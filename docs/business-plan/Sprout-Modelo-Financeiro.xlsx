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ssupostos" sheetId="2" state="visible" r:id="rId4"/>
    <sheet name="Unit economics" sheetId="3" state="visible" r:id="rId5"/>
    <sheet name="Volumes" sheetId="4" state="visible" r:id="rId6"/>
    <sheet name="Receitas" sheetId="5" state="visible" r:id="rId7"/>
    <sheet name="Pessoal" sheetId="6" state="visible" r:id="rId8"/>
    <sheet name="Custos" sheetId="7" state="visible" r:id="rId9"/>
    <sheet name="DR" sheetId="8" state="visible" r:id="rId10"/>
    <sheet name="Cash flow" sheetId="9" state="visible" r:id="rId11"/>
    <sheet name="Capital &amp; financiamento" sheetId="10" state="visible" r:id="rId12"/>
    <sheet name="Cenários" sheetId="11" state="visible" r:id="rId13"/>
    <sheet name="Sensibilidade" sheetId="12" state="visible" r:id="rId14"/>
    <sheet name="Fontes" sheetId="13" state="visible" r:id="rId15"/>
    <sheet name="Motor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<sst xmlns="http://schemas.openxmlformats.org/spreadsheetml/2006/main" count="18135" uniqueCount="1425">
  <si>
    <t xml:space="preserve">Sprout — Modelo financeiro 2027–2031</t>
  </si>
  <si>
    <t xml:space="preserve">Gerado por docs/business-plan/modelo/build_model.py a partir de pressupostos.json · data de referência 13-10-2026 · euros correntes, sem IVA</t>
  </si>
  <si>
    <t xml:space="preserve">Resultados-chave (ligados à folha Cenários)</t>
  </si>
  <si>
    <t xml:space="preserve">Indicador</t>
  </si>
  <si>
    <t xml:space="preserve">Unidade</t>
  </si>
  <si>
    <t xml:space="preserve">Pessimista</t>
  </si>
  <si>
    <t xml:space="preserve">Base</t>
  </si>
  <si>
    <t xml:space="preserve">Otimista</t>
  </si>
  <si>
    <t xml:space="preserve">Recomendado</t>
  </si>
  <si>
    <t xml:space="preserve">EBITDA 2031</t>
  </si>
  <si>
    <t xml:space="preserve">€</t>
  </si>
  <si>
    <t xml:space="preserve">Resultado líquido 2031</t>
  </si>
  <si>
    <t xml:space="preserve">GMV 2031</t>
  </si>
  <si>
    <t xml:space="preserve">Cash flow acumulado para o acionista, 2027–2031</t>
  </si>
  <si>
    <t xml:space="preserve">Necessidade de capital próprio (pico no horizonte)</t>
  </si>
  <si>
    <t xml:space="preserve">Break-even do EBITDA</t>
  </si>
  <si>
    <t xml:space="preserve">mês</t>
  </si>
  <si>
    <t xml:space="preserve">1.º ano com cash flow para o acionista ≥ 0</t>
  </si>
  <si>
    <t xml:space="preserve">ano</t>
  </si>
  <si>
    <t xml:space="preserve">Verificações do modelo (Cenários, secção 5)</t>
  </si>
  <si>
    <t xml:space="preserve">Para que serve</t>
  </si>
  <si>
    <t xml:space="preserve">Testar, com números rastreáveis, se a tese do documento-fonte (marketplace B2B de azeite, água e café com desconto de 10–15%, captura de 80–90% da margem do embalador e investidores a 18 meses) fecha, e qual é o caminho para a viabilidade que a investigação aponta.</t>
  </si>
  <si>
    <t xml:space="preserve">Leitores: fundadores, Gonçalo Almeida (jurídico), Pedro Marques (operações, Lagar do Val) e investidores qualificados. Não é uma oferta de investimento.</t>
  </si>
  <si>
    <t xml:space="preserve">Resposta curta</t>
  </si>
  <si>
    <t xml:space="preserve">Os três cenários do documento-fonte, com as 53 correções verificadas e sem ajustes, não chegam ao break-even até 2031: a margem por kg não paga a estrutura.</t>
  </si>
  <si>
    <t xml:space="preserve">O cenário Recomendado (reestruturado) muda o produto, os canais e os custos como a investigação recomenda. O resultado está na tabela acima e na folha Cenários; não foi ajustado para dar break-even. A folha Sensibilidade mostra o caso com todas as alavancas no topo dos intervalos da investigação.</t>
  </si>
  <si>
    <t xml:space="preserve">Estrutura</t>
  </si>
  <si>
    <t xml:space="preserve">Pressupostos — todos os inputs, por cenário, com fonte; seletor do cenário ativo em C4.</t>
  </si>
  <si>
    <t xml:space="preserve">Unit economics — lotes-tipo de ponta a ponta (HoReCa 20 t, distribuidores 30 t, granel 100 t, água 20 paletes) nos quatro cenários; bolo de intermediação; teste da tese literal; risco de preço; piloto de 2027.</t>
  </si>
  <si>
    <t xml:space="preserve">Volumes, Receitas, Pessoal, Custos, DR, Cash flow, Capital &amp; financiamento — o cenário ativo, ano a ano.</t>
  </si>
  <si>
    <t xml:space="preserve">Cenários — os quatro cenários lado a lado; o que tem de ser verdade; o que muda no Recomendado; verificações.</t>
  </si>
  <si>
    <t xml:space="preserve">Sensibilidade — desconto 10/12,5/15%, volumes ±30%, preço do AOVE −30% e topo dos intervalos (motor completo por caso), para o Base e o Recomendado; grelha captura × desconto da tese literal; perda no stock com choque de preço.</t>
  </si>
  <si>
    <t xml:space="preserve">Fontes — origem de cada pressuposto e registo de verificação. Motor — o cálculo em blocos fixos por cenário e caso (não editar).</t>
  </si>
  <si>
    <t xml:space="preserve">Como mudar de cenário</t>
  </si>
  <si>
    <t xml:space="preserve">Pressupostos!C4: escolher Pessimista, Base, Otimista ou Recomendado. Mudam as folhas de detalhe. Cenários, Unit economics e Sensibilidade mostram sempre cenários fixos.</t>
  </si>
  <si>
    <t xml:space="preserve">Para alterar um pressuposto: mudar a célula azul em Pressupostos (o livro recalcula). Para que a alteração passe aos PDF, mudar pressupostos.json e voltar a correr build_model.py, que regrava resultados.json.</t>
  </si>
  <si>
    <t xml:space="preserve">Código de cores</t>
  </si>
  <si>
    <t xml:space="preserve">Azul = input (editar só estas células). Preto = fórmula. Verde = ligação a outra folha. Amarelo = seletor de cenário.</t>
  </si>
  <si>
    <t xml:space="preserve">Convenções</t>
  </si>
  <si>
    <t xml:space="preserve">Preços das mercadorias constantes ao nível de out. 2026 (compra back-to-back, neutra ao nível de preço); salários +3%/ano; opex +2%/ano e 5% de contingência.</t>
  </si>
  <si>
    <t xml:space="preserve">Capital de giro = nível médio do ano por prazos médios (stock, recebimento, pagamento ao produtor a 30 dias). Obrigações = % do capital de giro ÷ utilização; 0% em 2027 (CSC art. 348.º/2 [L]).</t>
  </si>
  <si>
    <t xml:space="preserve">EBITDA inclui o cupão das obrigações como custo direto do lote (a SPV financia stock lote a lote), como no 01 e em calculo_referencia.py; a DR mostra também o EBITDA sem cupão.</t>
  </si>
  <si>
    <t xml:space="preserve">IRC com taxa PME, derramas municipal e estadual e reporte de prejuízos a 65% [L]. Imposto pago no próprio ano (simplificação).</t>
  </si>
  <si>
    <t xml:space="preserve">Break-even em mês = cruzamento do EBITDA mensal com zero, interpolando linearmente entre os pontos médios dos anos (estimativa).</t>
  </si>
  <si>
    <t xml:space="preserve">Avisos</t>
  </si>
  <si>
    <t xml:space="preserve">Itens [L] (CSC, RGICSF, PRIIPs, IRC, TSU, retenções) estão por confirmar pelo advogado e pelo contabilista certificado: o acesso a fontes primárias (DRE, EUR-Lex, Portal das Finanças) estava bloqueado na verificação.</t>
  </si>
  <si>
    <t xml:space="preserve">Itens NV (referência HoReCa, preço de saída do embalador, comissões, custos de custódia e 3PL) são hipóteses a medir no piloto, não promessas comerciais.</t>
  </si>
  <si>
    <t xml:space="preserve">Não existem futuros de azeite (MFAO extinto). Deter stock 18 meses sem cobertura arrisca perdas de 50–70% do lote (carry 19,8% + VaR95 37–57% − margem).</t>
  </si>
  <si>
    <t xml:space="preserve">Pressupostos</t>
  </si>
  <si>
    <t xml:space="preserve">Todos os inputs do modelo (azul). Valores lidos de docs/business-plan/modelo/pressupostos.json em 13-10-2026. Etiquetas: [F] facto com fonte; [L] referência legal a confirmar; [E] estimativa; [I] inferência; NV não verificado.</t>
  </si>
  <si>
    <t xml:space="preserve">Cenário ativo (escolher na lista)</t>
  </si>
  <si>
    <t xml:space="preserve">índice</t>
  </si>
  <si>
    <t xml:space="preserve">Muda as folhas Volumes, Receitas, Pessoal, Custos, DR, Cash flow e Capital &amp; financiamento. Cenários, Unit economics e Sensibilidade mostram cenários fixos (folha Motor).</t>
  </si>
  <si>
    <t xml:space="preserve">A. Pressupostos escalares por cenário</t>
  </si>
  <si>
    <t xml:space="preserve">Parâmetro</t>
  </si>
  <si>
    <t xml:space="preserve">Ativo</t>
  </si>
  <si>
    <t xml:space="preserve">Fonte / racional</t>
  </si>
  <si>
    <t xml:space="preserve">Azeite: preço do granel e prémios de origem</t>
  </si>
  <si>
    <t xml:space="preserve">Índice do granel AOVE (média 2 semanas SIMA + Poolred)</t>
  </si>
  <si>
    <t xml:space="preserve">€/kg</t>
  </si>
  <si>
    <t xml:space="preserve">[F] SIMA 3,40–3,80 e Poolred 3,34 (out. 2026); 3,50 arredondado para cima; constante (compra back-to-back). 00 §1.2</t>
  </si>
  <si>
    <t xml:space="preserve">Prémio de origem pago ao lagar — HoReCa/gourmet</t>
  </si>
  <si>
    <t xml:space="preserve">[E] lote individualizado com ficha analítica; Recomendado 0,15 (DOP/monovarietal, o prémio mais alto do conjunto verificado)</t>
  </si>
  <si>
    <t xml:space="preserve">Prémio de origem pago ao lagar — distribuidores/exportação</t>
  </si>
  <si>
    <t xml:space="preserve">[E] igual ao HoReCa nos cenários do documento-fonte (calculo_referencia.py usa um só prémio)</t>
  </si>
  <si>
    <t xml:space="preserve">Prémio de origem pago ao lagar — granel certificado</t>
  </si>
  <si>
    <t xml:space="preserve">[E] granel comprado ao índice: o lagar ganha prazo (≤ 30 dias por SCT Inst), não preço</t>
  </si>
  <si>
    <t xml:space="preserve">Azeite: canal HoReCa/gourmet</t>
  </si>
  <si>
    <t xml:space="preserve">Referência do comprador (cotação documentada do equivalente, s/ IVA)</t>
  </si>
  <si>
    <t xml:space="preserve">[E, NV] equivalente de retalho standard 5,3–6,0; 6,00 só com origem identificada documentada (gate: ≥ 20 cotações). 00 §1.4; 01 §2.1</t>
  </si>
  <si>
    <t xml:space="preserve">Desconto ao comprador sobre a referência</t>
  </si>
  <si>
    <t xml:space="preserve">%</t>
  </si>
  <si>
    <t xml:space="preserve">Documento-fonte 10–15%; 10% porque 15% leva a margem para ~1,4%. 01 §2.5</t>
  </si>
  <si>
    <t xml:space="preserve">Prazo médio de recebimento</t>
  </si>
  <si>
    <t xml:space="preserve">dias</t>
  </si>
  <si>
    <t xml:space="preserve">[F] restauração: 30 dias de atraso médio, 11% paga a horas (Informa D&amp;B mai. 2026); 35 dias com SDD B2B</t>
  </si>
  <si>
    <t xml:space="preserve">Provisão de crédito</t>
  </si>
  <si>
    <t xml:space="preserve">% vendas</t>
  </si>
  <si>
    <t xml:space="preserve">[E] SDD B2B sem direito a reembolso + limites por cliente</t>
  </si>
  <si>
    <t xml:space="preserve">Azeite: canal distribuidores/exportação</t>
  </si>
  <si>
    <t xml:space="preserve">Referência = preço de saída do embalador</t>
  </si>
  <si>
    <t xml:space="preserve">[E, NV] granel 3,50 + embalamento 0,47–0,51 + margem do embalador 0,19–0,50 = 4,16–4,51. 00 §1.4</t>
  </si>
  <si>
    <t xml:space="preserve">Prémio de origem verificada pago pelo comprador</t>
  </si>
  <si>
    <t xml:space="preserve">[E] 0 no documento-fonte; Recomendado 0,10 = limite inferior da condição para a seed (0,10–0,20). 01 §5.4</t>
  </si>
  <si>
    <t xml:space="preserve">Desconto ao comprador</t>
  </si>
  <si>
    <t xml:space="preserve">0%: qualquer desconto põe o canal abaixo do break-even (4,29 €/kg). 01 §2.5</t>
  </si>
  <si>
    <t xml:space="preserve">Stock médio</t>
  </si>
  <si>
    <t xml:space="preserve">[E] paletes levantadas em ~60 dias</t>
  </si>
  <si>
    <t xml:space="preserve">[E] Recomendado 55 dias (mais exportação embalada; valor do pessimista)</t>
  </si>
  <si>
    <t xml:space="preserve">[E]</t>
  </si>
  <si>
    <t xml:space="preserve">Outros pressupostos por cenário</t>
  </si>
  <si>
    <t xml:space="preserve">Água: comissão de agente sobre o GMV</t>
  </si>
  <si>
    <t xml:space="preserve">[E, NV] banda 0,5–3%; 4–5% só com cotação real de um engarrafador. 01 §6.1</t>
  </si>
  <si>
    <t xml:space="preserve">Café: ano de início</t>
  </si>
  <si>
    <t xml:space="preserve">[F] EUDR aplicável a 30-12-2026 (grandes/médios) e 30-06-2027 (micro/pequenos); Recomendado adia para 2030</t>
  </si>
  <si>
    <t xml:space="preserve">Café: custo de cobertura (forward EUR/USD; ICE &gt; 50–100 t/ano)</t>
  </si>
  <si>
    <t xml:space="preserve">% compras</t>
  </si>
  <si>
    <t xml:space="preserve">[E/NV] forward 0,1–0,5%; ICE &lt; 0,5% do nocional por semestre. 40 §2.3–2.4</t>
  </si>
  <si>
    <t xml:space="preserve">Verificação para terceiros: parte dos custos suportada pela Sprout</t>
  </si>
  <si>
    <t xml:space="preserve">1 = Sprout paga collateral manager e análises; 0 = banco/mutuário paga (alternativa da nota de custos)</t>
  </si>
  <si>
    <t xml:space="preserve">Utilização média do capital levantado nas séries</t>
  </si>
  <si>
    <t xml:space="preserve">[E] capital levantado a 12–18 meses vs. rotação do stock de 2–4 meses. 40 §5.1</t>
  </si>
  <si>
    <t xml:space="preserve">Ronda pré-seed (recebida até 31-01-2027)</t>
  </si>
  <si>
    <t xml:space="preserve">01 §5.5 e §7.3: 1,1 M€ (ou 0,8 M€ + bridge firme de 0,3 M€)</t>
  </si>
  <si>
    <t xml:space="preserve">B. Constantes (iguais em todos os cenários)</t>
  </si>
  <si>
    <t xml:space="preserve">Valor</t>
  </si>
  <si>
    <t xml:space="preserve">Azeite: canal HoReCa/gourmet (constantes)</t>
  </si>
  <si>
    <t xml:space="preserve">Embalamento no lagar (5 L PET/BIB e vidro)</t>
  </si>
  <si>
    <t xml:space="preserve">[F] Observatorio 0,47–0,51 €/kg + 0,05 pelo mix com vidro. 00 §1.4</t>
  </si>
  <si>
    <t xml:space="preserve">Armazém logístico (3PL) e picking</t>
  </si>
  <si>
    <t xml:space="preserve">[E, NV] encomendas de 20–50 kg a ~2–4 € cada</t>
  </si>
  <si>
    <t xml:space="preserve">Dimensão do lote-tipo</t>
  </si>
  <si>
    <t xml:space="preserve">t</t>
  </si>
  <si>
    <t xml:space="preserve">01 §2.2</t>
  </si>
  <si>
    <t xml:space="preserve">Análises por lote (entrada + intermédia)</t>
  </si>
  <si>
    <t xml:space="preserve">n.º</t>
  </si>
  <si>
    <t xml:space="preserve">40 §5.2</t>
  </si>
  <si>
    <t xml:space="preserve">Custódia (collateral manager) por lote</t>
  </si>
  <si>
    <t xml:space="preserve">€/lote</t>
  </si>
  <si>
    <t xml:space="preserve">[E, NV] 300–500 € por visita: entrada + ~3 tranches + fecho</t>
  </si>
  <si>
    <t xml:space="preserve">Pagamentos bancários (SEPA)</t>
  </si>
  <si>
    <t xml:space="preserve">[E] comissões por operação; KYC e faturação no custo fixo de tecnologia</t>
  </si>
  <si>
    <t xml:space="preserve">Azeite: canal distribuidores/exportação (constantes)</t>
  </si>
  <si>
    <t xml:space="preserve">Embalamento no lagar (paletes de 5 L)</t>
  </si>
  <si>
    <t xml:space="preserve">[F] Observatorio 0,47–0,51 €/kg</t>
  </si>
  <si>
    <t xml:space="preserve">Armazém logístico (3PL)</t>
  </si>
  <si>
    <t xml:space="preserve">Levantamento no lagar</t>
  </si>
  <si>
    <t xml:space="preserve">01 §2.5</t>
  </si>
  <si>
    <t xml:space="preserve">Análises por lote</t>
  </si>
  <si>
    <t xml:space="preserve">Custódia por lote</t>
  </si>
  <si>
    <t xml:space="preserve">[E, NV]</t>
  </si>
  <si>
    <t xml:space="preserve">Pagamentos bancários</t>
  </si>
  <si>
    <t xml:space="preserve">Azeite: canal granel certificado (só o Recomendado tem volume)</t>
  </si>
  <si>
    <t xml:space="preserve">Preço de venda = índice + prémio de certificação</t>
  </si>
  <si>
    <t xml:space="preserve">[E] JSON: granel = índice + ≤ 0,15 €/kg, margem 0–0,10; 40 §1.3: margem bruta de trading 0,15–0,30. Usa-se 0,15</t>
  </si>
  <si>
    <t xml:space="preserve">Venda ao índice + prémio</t>
  </si>
  <si>
    <t xml:space="preserve">Embalamento</t>
  </si>
  <si>
    <t xml:space="preserve">IBC/cisterna, sem embalamento</t>
  </si>
  <si>
    <t xml:space="preserve">Logística (cisterna até ao embalador/exportador)</t>
  </si>
  <si>
    <t xml:space="preserve">[E, NV] ~1.000 € por cisterna de 24 t na Ibéria</t>
  </si>
  <si>
    <t xml:space="preserve">—</t>
  </si>
  <si>
    <t xml:space="preserve">Stock médio (back-to-back)</t>
  </si>
  <si>
    <t xml:space="preserve">[E] lote sai do tanque em ~30 dias</t>
  </si>
  <si>
    <t xml:space="preserve">[E] igual aos distribuidores no base; Dir. 2019/633: ≤ 60 dias para não perecíveis</t>
  </si>
  <si>
    <t xml:space="preserve">Dimensão do lote</t>
  </si>
  <si>
    <t xml:space="preserve">Igual à verificação para terceiros (lote de 100 t)</t>
  </si>
  <si>
    <t xml:space="preserve">600 € por lote de 100 t</t>
  </si>
  <si>
    <t xml:space="preserve">1.200 € por lote de 100 t</t>
  </si>
  <si>
    <t xml:space="preserve">[E] poucas operações de valor alto</t>
  </si>
  <si>
    <t xml:space="preserve">[E] igual aos distribuidores</t>
  </si>
  <si>
    <t xml:space="preserve">Azeite: custos físicos, custódia e cobertura</t>
  </si>
  <si>
    <t xml:space="preserve">Armazenagem no lagar</t>
  </si>
  <si>
    <t xml:space="preserve">€/t/mês</t>
  </si>
  <si>
    <t xml:space="preserve">[E] método de custo, 2–8 €/t/mês. 40 §1.5</t>
  </si>
  <si>
    <t xml:space="preserve">Seguro do stock</t>
  </si>
  <si>
    <t xml:space="preserve">%/ano</t>
  </si>
  <si>
    <t xml:space="preserve">[E, NV] 0,1–0,3%/ano. 40 §4.5</t>
  </si>
  <si>
    <t xml:space="preserve">Análise físico-química completa + painel</t>
  </si>
  <si>
    <t xml:space="preserve">[E, NV] 40 §5.2</t>
  </si>
  <si>
    <t xml:space="preserve">Perdas físicas (uma vez)</t>
  </si>
  <si>
    <t xml:space="preserve">% valor</t>
  </si>
  <si>
    <t xml:space="preserve">[E] 40 §5.2</t>
  </si>
  <si>
    <t xml:space="preserve">Probabilidade de desclassificação por trimestre</t>
  </si>
  <si>
    <t xml:space="preserve">[E] 3%/5%/15%/30% a 3/6/12/18 meses. 40 §5.2</t>
  </si>
  <si>
    <t xml:space="preserve">Penalização por desclassificação</t>
  </si>
  <si>
    <t xml:space="preserve">[F] diferencial AOVE–lampante 0,24 (2026); 0,75 um ano antes</t>
  </si>
  <si>
    <t xml:space="preserve">Prazo de pagamento ao produtor</t>
  </si>
  <si>
    <t xml:space="preserve">[F] Dir. (UE) 2019/633 e DL 118/2010 (DL 76/2021): ≤ 30/60 dias; política Sprout 30 dias</t>
  </si>
  <si>
    <t xml:space="preserve">Custo explícito de cobertura do azeite</t>
  </si>
  <si>
    <t xml:space="preserve">[F] sem futuros de azeite: MFAO extinto (MIC XSRM expirado em jan. 2017); cobertura = back-to-back, indexação, offtake</t>
  </si>
  <si>
    <t xml:space="preserve">Azeite: mercado</t>
  </si>
  <si>
    <t xml:space="preserve">Consumo por cliente HoReCa/gourmet</t>
  </si>
  <si>
    <t xml:space="preserve">t/ano</t>
  </si>
  <si>
    <t xml:space="preserve">[E] 150–300 L/ano = 137–275 kg. 10 §5</t>
  </si>
  <si>
    <t xml:space="preserve">Produção de azeite em Portugal (referência)</t>
  </si>
  <si>
    <t xml:space="preserve">kt</t>
  </si>
  <si>
    <t xml:space="preserve">[E] ~175 kt (160 Olivum; 179 Governo). 00 §1.1</t>
  </si>
  <si>
    <t xml:space="preserve">Água (modelo agente; lote de comparação)</t>
  </si>
  <si>
    <t xml:space="preserve">Litros por palete</t>
  </si>
  <si>
    <t xml:space="preserve">L</t>
  </si>
  <si>
    <t xml:space="preserve">[E] 500 garrafas de 1,5 L</t>
  </si>
  <si>
    <t xml:space="preserve">Garrafas por palete</t>
  </si>
  <si>
    <t xml:space="preserve">Preço B2B de referência</t>
  </si>
  <si>
    <t xml:space="preserve">€/L</t>
  </si>
  <si>
    <t xml:space="preserve">[E, NV] hipótese 0,30–0,60 €/L. 10 §2.3</t>
  </si>
  <si>
    <t xml:space="preserve">Documento-fonte</t>
  </si>
  <si>
    <t xml:space="preserve">Prazo de recebimento da comissão</t>
  </si>
  <si>
    <t xml:space="preserve">Preço ex-fábrica médio (lote principal)</t>
  </si>
  <si>
    <t xml:space="preserve">[I] DGEG 2025: 479 M€ / ~2.000 M L</t>
  </si>
  <si>
    <t xml:space="preserve">Depósito SDR por embalagem &lt; 3 L</t>
  </si>
  <si>
    <t xml:space="preserve">[F] SDR desde 10-04-2026</t>
  </si>
  <si>
    <t xml:space="preserve">Lote-tipo de água</t>
  </si>
  <si>
    <t xml:space="preserve">paletes</t>
  </si>
  <si>
    <t xml:space="preserve">01 §2.7</t>
  </si>
  <si>
    <t xml:space="preserve">Desconto alternativo no lote principal</t>
  </si>
  <si>
    <t xml:space="preserve">Logística troncal por lote (principal)</t>
  </si>
  <si>
    <t xml:space="preserve">01 §2.7 [E]</t>
  </si>
  <si>
    <t xml:space="preserve">Entrega por litro (principal)</t>
  </si>
  <si>
    <t xml:space="preserve">Operação e pagamentos por lote (principal)</t>
  </si>
  <si>
    <t xml:space="preserve">Dias de financiamento do stock e do SDR (principal)</t>
  </si>
  <si>
    <t xml:space="preserve">Café verde (principal; compra a importador UE)</t>
  </si>
  <si>
    <t xml:space="preserve">Preço de compra (EUR, preço fixo, importador UE operador EUDR)</t>
  </si>
  <si>
    <t xml:space="preserve">[E, NV] KC 2,85 USD/lb = 5,46 €/kg a 1,15 + ~1,5 €/kg de diferencial, importação e logística</t>
  </si>
  <si>
    <t xml:space="preserve">Preço de venda a microtorrefatores</t>
  </si>
  <si>
    <t xml:space="preserve">[E] NV, sem comparável verificado (margem bruta ~11%)</t>
  </si>
  <si>
    <t xml:space="preserve">Logística</t>
  </si>
  <si>
    <t xml:space="preserve">Prazo de recebimento</t>
  </si>
  <si>
    <t xml:space="preserve">Prazo de pagamento ao importador</t>
  </si>
  <si>
    <t xml:space="preserve">Operações e pagamentos</t>
  </si>
  <si>
    <t xml:space="preserve">Serviços: verificação e financiamento de stock de terceiros</t>
  </si>
  <si>
    <t xml:space="preserve">Comissão de verificação por utilização</t>
  </si>
  <si>
    <t xml:space="preserve">% carteira</t>
  </si>
  <si>
    <t xml:space="preserve">[E] estruturação/verificação 1–2% do lote financiado. 50 §12.2</t>
  </si>
  <si>
    <t xml:space="preserve">Rotações da carteira por ano</t>
  </si>
  <si>
    <t xml:space="preserve">Comissão de monitorização anual</t>
  </si>
  <si>
    <t xml:space="preserve">Custo de verificação por kg verificado</t>
  </si>
  <si>
    <t xml:space="preserve">[E] collateral manager 1.200 € + análises 600 € por lote de 100 t</t>
  </si>
  <si>
    <t xml:space="preserve">Valor do colateral</t>
  </si>
  <si>
    <t xml:space="preserve">Índice do granel</t>
  </si>
  <si>
    <t xml:space="preserve">LTV do banco parceiro</t>
  </si>
  <si>
    <t xml:space="preserve">[E] 60–65%. 40 §5.3</t>
  </si>
  <si>
    <t xml:space="preserve">Financiamento: SPV (Sprout Capital, SA) e obrigações</t>
  </si>
  <si>
    <t xml:space="preserve">Capital social da SPV (subordinado da 1.ª série)</t>
  </si>
  <si>
    <t xml:space="preserve">[L] mínimo legal de SA 50.000 € (CSC art. 276.º/5); realizado em 2026</t>
  </si>
  <si>
    <t xml:space="preserve">Reserva de primeira perda: teto em % do saldo de obrigações</t>
  </si>
  <si>
    <t xml:space="preserve">40 §5.3 (P3)</t>
  </si>
  <si>
    <t xml:space="preserve">Reserva de primeira perda: % da margem de cada lote</t>
  </si>
  <si>
    <t xml:space="preserve">Retenção sobre juros — particulares residentes (liberatória)</t>
  </si>
  <si>
    <t xml:space="preserve">[L] 28%; não reconfirmado online</t>
  </si>
  <si>
    <t xml:space="preserve">Ticket médio por investidor (estimativa)</t>
  </si>
  <si>
    <t xml:space="preserve">01 §7.3 [E]</t>
  </si>
  <si>
    <t xml:space="preserve">Custo nocional do capital próprio (memo; fora do EBITDA)</t>
  </si>
  <si>
    <t xml:space="preserve">SPV: constituição (2027)</t>
  </si>
  <si>
    <t xml:space="preserve">[E] SA PT 15–40k. 20 §7.1</t>
  </si>
  <si>
    <t xml:space="preserve">SPV: manutenção anual</t>
  </si>
  <si>
    <t xml:space="preserve">€/ano</t>
  </si>
  <si>
    <t xml:space="preserve">[E] 10–30k/ano</t>
  </si>
  <si>
    <t xml:space="preserve">SPV: custo por série emitida</t>
  </si>
  <si>
    <t xml:space="preserve">€/série</t>
  </si>
  <si>
    <t xml:space="preserve">Seguro de crédito, KYC e cobertura</t>
  </si>
  <si>
    <t xml:space="preserve">Seguro de crédito: prémio sobre vendas HoReCa e distribuidores</t>
  </si>
  <si>
    <t xml:space="preserve">[E, NV] 0,1–0,6%, mais alto na restauração. 40 §4.2</t>
  </si>
  <si>
    <t xml:space="preserve">Seguro de crédito: prémio sobre vendas de granel</t>
  </si>
  <si>
    <t xml:space="preserve">[E] compradores industriais; metade inferior do intervalo 0,1–0,6%</t>
  </si>
  <si>
    <t xml:space="preserve">Seguro de crédito no opex desde</t>
  </si>
  <si>
    <t xml:space="preserve">01 §4.1</t>
  </si>
  <si>
    <t xml:space="preserve">KYB por empresa</t>
  </si>
  <si>
    <t xml:space="preserve">[L/NV] 3–10 €. 30 §4.2</t>
  </si>
  <si>
    <t xml:space="preserve">Screening por entidade e mês</t>
  </si>
  <si>
    <t xml:space="preserve">€/mês</t>
  </si>
  <si>
    <t xml:space="preserve">[L/NV] 30 §4.4</t>
  </si>
  <si>
    <t xml:space="preserve">Pessoal</t>
  </si>
  <si>
    <t xml:space="preserve">TSU da entidade empregadora</t>
  </si>
  <si>
    <t xml:space="preserve">[L] Código Contributivo 23,75%</t>
  </si>
  <si>
    <t xml:space="preserve">Outros encargos (acidentes de trabalho, medicina, FGCT)</t>
  </si>
  <si>
    <t xml:space="preserve">Subsídio de refeição por FTE</t>
  </si>
  <si>
    <t xml:space="preserve">[L/NV] fora da TSU até aos limites legais</t>
  </si>
  <si>
    <t xml:space="preserve">Atualização salarial anual</t>
  </si>
  <si>
    <t xml:space="preserve">Fundadores: fator salarial efetivo em 2027</t>
  </si>
  <si>
    <t xml:space="preserve">x</t>
  </si>
  <si>
    <t xml:space="preserve">8/12 × 0,6 + 4/12 × 1 (60% até ao gate de 31-08-2027)</t>
  </si>
  <si>
    <t xml:space="preserve">Fundadores: fator salarial até ao gate</t>
  </si>
  <si>
    <t xml:space="preserve">01 §5.5</t>
  </si>
  <si>
    <t xml:space="preserve">Meses até ao gate (jan.–ago. 2027)</t>
  </si>
  <si>
    <t xml:space="preserve">meses</t>
  </si>
  <si>
    <t xml:space="preserve">01 §5.1</t>
  </si>
  <si>
    <t xml:space="preserve">Salário bruto anual (14 meses) — CEO / comercial (fundador)</t>
  </si>
  <si>
    <t xml:space="preserve">[E, NV] mercado Lisboa/Porto 2026–27</t>
  </si>
  <si>
    <t xml:space="preserve">Variável — CEO / comercial (fundador)</t>
  </si>
  <si>
    <t xml:space="preserve">% salário</t>
  </si>
  <si>
    <t xml:space="preserve">Salário bruto anual (14 meses) — CTO (fundador)</t>
  </si>
  <si>
    <t xml:space="preserve">Variável — CTO (fundador)</t>
  </si>
  <si>
    <t xml:space="preserve">Salário bruto anual (14 meses) — Engenheiro(a) de software</t>
  </si>
  <si>
    <t xml:space="preserve">Variável — Engenheiro(a) de software</t>
  </si>
  <si>
    <t xml:space="preserve">Salário bruto anual (14 meses) — Responsável de Risco e Tesouraria</t>
  </si>
  <si>
    <t xml:space="preserve">Variável — Responsável de Risco e Tesouraria</t>
  </si>
  <si>
    <t xml:space="preserve">Salário bruto anual (14 meses) — Compliance / AML</t>
  </si>
  <si>
    <t xml:space="preserve">Variável — Compliance / AML</t>
  </si>
  <si>
    <t xml:space="preserve">Salário bruto anual (14 meses) — Operações e supply</t>
  </si>
  <si>
    <t xml:space="preserve">Variável — Operações e supply</t>
  </si>
  <si>
    <t xml:space="preserve">Salário bruto anual (14 meses) — Técnico(a) de qualidade do azeite</t>
  </si>
  <si>
    <t xml:space="preserve">Variável — Técnico(a) de qualidade do azeite</t>
  </si>
  <si>
    <t xml:space="preserve">Salário bruto anual (14 meses) — Gestor(a) de conta B2B (~400 contas)</t>
  </si>
  <si>
    <t xml:space="preserve">Variável — Gestor(a) de conta B2B (~400 contas)</t>
  </si>
  <si>
    <t xml:space="preserve">Salário bruto anual (14 meses) — Controller financeiro</t>
  </si>
  <si>
    <t xml:space="preserve">Variável — Controller financeiro</t>
  </si>
  <si>
    <t xml:space="preserve">Salário bruto anual (14 meses) — Analista de dados/produto</t>
  </si>
  <si>
    <t xml:space="preserve">Variável — Analista de dados/produto</t>
  </si>
  <si>
    <t xml:space="preserve">Salário bruto anual (14 meses) — Assistente de operações</t>
  </si>
  <si>
    <t xml:space="preserve">Variável — Assistente de operações</t>
  </si>
  <si>
    <t xml:space="preserve">Salário bruto anual (14 meses) — Trader de granel e exportação</t>
  </si>
  <si>
    <t xml:space="preserve">Variável — Trader de granel e exportação</t>
  </si>
  <si>
    <t xml:space="preserve">Opex não salarial: parâmetros</t>
  </si>
  <si>
    <t xml:space="preserve">Contingência sobre as linhas de opex</t>
  </si>
  <si>
    <t xml:space="preserve">Inflação anual do opex</t>
  </si>
  <si>
    <t xml:space="preserve">Pré-arranque (4.º trimestre de 2026)</t>
  </si>
  <si>
    <t xml:space="preserve">Jurídico: parecer, constituição e minutas</t>
  </si>
  <si>
    <t xml:space="preserve">30 §10.1; 20 §7.1</t>
  </si>
  <si>
    <t xml:space="preserve">Auditoria do backoffice e pentest</t>
  </si>
  <si>
    <t xml:space="preserve">AIPD (RGPD)</t>
  </si>
  <si>
    <t xml:space="preserve">Integrações e ledger contratado</t>
  </si>
  <si>
    <t xml:space="preserve">Contingência</t>
  </si>
  <si>
    <t xml:space="preserve">Capex e caixa</t>
  </si>
  <si>
    <t xml:space="preserve">Telemetria por local (4–6 sensores radar + gateway)</t>
  </si>
  <si>
    <t xml:space="preserve">€/local</t>
  </si>
  <si>
    <t xml:space="preserve">[E] 3.000–9.000 €. 30 §10.1</t>
  </si>
  <si>
    <t xml:space="preserve">Equipamento informático por nova FTE</t>
  </si>
  <si>
    <t xml:space="preserve">Vida útil: software (plataforma)</t>
  </si>
  <si>
    <t xml:space="preserve">anos</t>
  </si>
  <si>
    <t xml:space="preserve">[L]</t>
  </si>
  <si>
    <t xml:space="preserve">Vida útil: equipamento informático</t>
  </si>
  <si>
    <t xml:space="preserve">Vida útil: sensores</t>
  </si>
  <si>
    <t xml:space="preserve">Caixa mínima operacional</t>
  </si>
  <si>
    <t xml:space="preserve">[E] ~2,5 meses de opex de 2027</t>
  </si>
  <si>
    <t xml:space="preserve">Impostos [L] (confirmar com contabilista certificado)</t>
  </si>
  <si>
    <t xml:space="preserve">IRC: taxa PME sobre os primeiros 50.000 €</t>
  </si>
  <si>
    <t xml:space="preserve">[L] não reconfirmado</t>
  </si>
  <si>
    <t xml:space="preserve">IRC: limite da matéria coletável à taxa PME</t>
  </si>
  <si>
    <t xml:space="preserve">Derrama municipal (máximo)</t>
  </si>
  <si>
    <t xml:space="preserve">% lucro tributável</t>
  </si>
  <si>
    <t xml:space="preserve">[L] RFAL, até 1,5%</t>
  </si>
  <si>
    <t xml:space="preserve">Derrama estadual: 1.º escalão a partir de</t>
  </si>
  <si>
    <t xml:space="preserve">[L] CIRC art. 87.º-A</t>
  </si>
  <si>
    <t xml:space="preserve">Derrama estadual: taxa do 1.º escalão</t>
  </si>
  <si>
    <t xml:space="preserve">Derrama estadual: 2.º escalão a partir de</t>
  </si>
  <si>
    <t xml:space="preserve">Derrama estadual: taxa do 2.º escalão</t>
  </si>
  <si>
    <t xml:space="preserve">Derrama estadual: 3.º escalão a partir de</t>
  </si>
  <si>
    <t xml:space="preserve">Derrama estadual: taxa do 3.º escalão</t>
  </si>
  <si>
    <t xml:space="preserve">Reporte de prejuízos: dedução máxima</t>
  </si>
  <si>
    <t xml:space="preserve">[L] OE2023, sem limite temporal</t>
  </si>
  <si>
    <t xml:space="preserve">Piloto, stress tests e unit economics</t>
  </si>
  <si>
    <t xml:space="preserve">Piloto: azeite HoReCa/gourmet</t>
  </si>
  <si>
    <t xml:space="preserve">01 §5.2</t>
  </si>
  <si>
    <t xml:space="preserve">Piloto: azeite para distribuidores com offtake</t>
  </si>
  <si>
    <t xml:space="preserve">Carry de 18 meses (% do valor do lote)</t>
  </si>
  <si>
    <t xml:space="preserve">VaR 95% de preço a 18 meses — volatilidade 23%</t>
  </si>
  <si>
    <t xml:space="preserve">[E] 40 §1.3</t>
  </si>
  <si>
    <t xml:space="preserve">VaR 95% de preço a 18 meses — volatilidade 42%</t>
  </si>
  <si>
    <t xml:space="preserve">Exposição aberta máxima (piloto; política back-to-back)</t>
  </si>
  <si>
    <t xml:space="preserve">% book</t>
  </si>
  <si>
    <t xml:space="preserve">Ano de regime dos lotes-tipo</t>
  </si>
  <si>
    <t xml:space="preserve">01 §2.1</t>
  </si>
  <si>
    <t xml:space="preserve">Sensibilidades e tese literal do documento-fonte</t>
  </si>
  <si>
    <t xml:space="preserve">Sensibilidade: desconto HoReCa — caso 1</t>
  </si>
  <si>
    <t xml:space="preserve">Documento-fonte 10–15%</t>
  </si>
  <si>
    <t xml:space="preserve">Sensibilidade: desconto HoReCa — caso 2</t>
  </si>
  <si>
    <t xml:space="preserve">Sensibilidade: desconto HoReCa — caso 3</t>
  </si>
  <si>
    <t xml:space="preserve">Sensibilidade: volumes físicos — caso baixo</t>
  </si>
  <si>
    <t xml:space="preserve">Estrutura fixa inalterada</t>
  </si>
  <si>
    <t xml:space="preserve">Sensibilidade: volumes físicos — caso alto</t>
  </si>
  <si>
    <t xml:space="preserve">Caso combinado: prémio de origem pago por distribuidores/exportadores (topo)</t>
  </si>
  <si>
    <t xml:space="preserve">Topo da condição 0,10–0,20 do 01 §5.4; com carteira de terceiros do otimista e volumes +30%</t>
  </si>
  <si>
    <t xml:space="preserve">Sensibilidade: preço do AOVE (índice e referências de venda)</t>
  </si>
  <si>
    <t xml:space="preserve">Repasse proporcional; embalamento, logística e fixos inalterados</t>
  </si>
  <si>
    <t xml:space="preserve">Margem líquida do embalador — mínimo (2018/19)</t>
  </si>
  <si>
    <t xml:space="preserve">[F] Observatorio. 00 §1.4</t>
  </si>
  <si>
    <t xml:space="preserve">Margem líquida do embalador — média de 3 campanhas</t>
  </si>
  <si>
    <t xml:space="preserve">[F→I] (0,187 + 0,499 + 0,206) / 3</t>
  </si>
  <si>
    <t xml:space="preserve">Margem líquida do embalador — máximo (2019/20)</t>
  </si>
  <si>
    <t xml:space="preserve">[F]</t>
  </si>
  <si>
    <t xml:space="preserve">Captura da margem do embalador — caso 1</t>
  </si>
  <si>
    <t xml:space="preserve">Documento-fonte 80–90%</t>
  </si>
  <si>
    <t xml:space="preserve">Captura da margem do embalador — caso 2</t>
  </si>
  <si>
    <t xml:space="preserve">Captura da margem do embalador — caso 3</t>
  </si>
  <si>
    <t xml:space="preserve">C. Séries anuais por cenário</t>
  </si>
  <si>
    <t xml:space="preserve">Parâmetro / cenário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</si>
  <si>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</si>
  <si>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</si>
  <si>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</si>
  <si>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</si>
  <si>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</si>
  <si>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Azeite: volumes e clientes</t>
  </si>
  <si>
    <t xml:space="preserve">Clientes HoReCa/gourmet ativos (média anual)</t>
  </si>
  <si>
    <t xml:space="preserve">[E] SOM: 1.000–2.000 clientes no ano 3. 10 §5</t>
  </si>
  <si>
    <t xml:space="preserve">    Pessimista</t>
  </si>
  <si>
    <t xml:space="preserve">    Base</t>
  </si>
  <si>
    <t xml:space="preserve">    Otimista</t>
  </si>
  <si>
    <t xml:space="preserve">    Recomendado</t>
  </si>
  <si>
    <t xml:space="preserve">    Ativo</t>
  </si>
  <si>
    <t xml:space="preserve">Azeite HoReCa/gourmet (≈ clientes × 0,205 t)</t>
  </si>
  <si>
    <t xml:space="preserve">[E] limitado ao SOM; documento-fonte com valores arredondados</t>
  </si>
  <si>
    <t xml:space="preserve">Azeite para distribuidores/exportação com offtake</t>
  </si>
  <si>
    <t xml:space="preserve">[E] restante volume do plano (base 2031 = 1,3% da produção PT)</t>
  </si>
  <si>
    <t xml:space="preserve">Azeite granel certificado</t>
  </si>
  <si>
    <t xml:space="preserve">[E] só no Recomendado: 3.500 t em 2031 = 2% da produção PT</t>
  </si>
  <si>
    <t xml:space="preserve">Azeite: logística e stock</t>
  </si>
  <si>
    <t xml:space="preserve">Logística até à HoReCa</t>
  </si>
  <si>
    <t xml:space="preserve">[E] 0,15–0,30 €/kg. 10 §1.7</t>
  </si>
  <si>
    <t xml:space="preserve">Stock médio HoReCa (180 dias com &lt; 300 clientes; 45 depois)</t>
  </si>
  <si>
    <t xml:space="preserve">[E] 01 §2.8</t>
  </si>
  <si>
    <t xml:space="preserve">Logística FCA/DAP distribuidores</t>
  </si>
  <si>
    <t xml:space="preserve">Água, café, serviços</t>
  </si>
  <si>
    <t xml:space="preserve">Água (paletes de 750 L)</t>
  </si>
  <si>
    <t xml:space="preserve">[E] pessimista: sai no gate; Recomendado: 0,9 paletes por cliente HoReCa (produto de cesto)</t>
  </si>
  <si>
    <t xml:space="preserve">Café verde (antes do ano de início conta 0)</t>
  </si>
  <si>
    <t xml:space="preserve">[E] 10–20 microtorrefatores</t>
  </si>
  <si>
    <t xml:space="preserve">Carteira média financiada por banco parceiro (verificada pela Sprout)</t>
  </si>
  <si>
    <t xml:space="preserve">[E] fase 2 (2028+); o banco é o mutuante (RGICSF)</t>
  </si>
  <si>
    <t xml:space="preserve">Dados e índice (subscrições)</t>
  </si>
  <si>
    <t xml:space="preserve">[E] conservador: Poolred e Mintec já publicam preços</t>
  </si>
  <si>
    <t xml:space="preserve">Financiamento</t>
  </si>
  <si>
    <t xml:space="preserve">Capital de giro financiado por obrigações</t>
  </si>
  <si>
    <t xml:space="preserve">[L] 0% em 2027: a SPV só emite 12 meses após o registo (CSC art. 348.º/2)</t>
  </si>
  <si>
    <t xml:space="preserve">Cupão anual das obrigações (bruto)</t>
  </si>
  <si>
    <t xml:space="preserve">[E] 8%/ano no modelo de carry; ECSP de retalho 10–13%/ano</t>
  </si>
  <si>
    <t xml:space="preserve">Séries emitidas no ano</t>
  </si>
  <si>
    <t xml:space="preserve">Seguro de crédito: prémio mínimo anual</t>
  </si>
  <si>
    <t xml:space="preserve">Capex</t>
  </si>
  <si>
    <t xml:space="preserve">Novos locais com telemetria</t>
  </si>
  <si>
    <t xml:space="preserve">Desenvolvimento capitalizável da plataforma</t>
  </si>
  <si>
    <t xml:space="preserve">[E] reescrita clean-room de ledger, pagamentos e KYC. 30 §8.6</t>
  </si>
  <si>
    <t xml:space="preserve">Pessoal (FTE por função)</t>
  </si>
  <si>
    <t xml:space="preserve">FTE — CEO / comercial (fundador)</t>
  </si>
  <si>
    <t xml:space="preserve">FTE</t>
  </si>
  <si>
    <t xml:space="preserve">FTE — CTO (fundador)</t>
  </si>
  <si>
    <t xml:space="preserve">FTE — Engenheiro(a) de software</t>
  </si>
  <si>
    <t xml:space="preserve">Recomendado: só depois do gate</t>
  </si>
  <si>
    <t xml:space="preserve">FTE — Responsável de Risco e Tesouraria</t>
  </si>
  <si>
    <t xml:space="preserve">Obrigatório antes da 1.ª emissão (01 §4.6); Recomendado: meio ano em 2027</t>
  </si>
  <si>
    <t xml:space="preserve">FTE — Compliance / AML</t>
  </si>
  <si>
    <t xml:space="preserve">FTE — Operações e supply</t>
  </si>
  <si>
    <t xml:space="preserve">FTE — Técnico(a) de qualidade do azeite</t>
  </si>
  <si>
    <t xml:space="preserve">FTE — Gestor(a) de conta B2B (~400 contas)</t>
  </si>
  <si>
    <t xml:space="preserve">~400 contas ativas por gestor com self-service e SDD [I, NV]</t>
  </si>
  <si>
    <t xml:space="preserve">FTE — Controller financeiro</t>
  </si>
  <si>
    <t xml:space="preserve">FTE — Analista de dados/produto</t>
  </si>
  <si>
    <t xml:space="preserve">FTE — Assistente de operações</t>
  </si>
  <si>
    <t xml:space="preserve">FTE — Trader de granel e exportação</t>
  </si>
  <si>
    <t xml:space="preserve">Só no Recomendado, desde 2029 [E, NV]</t>
  </si>
  <si>
    <t xml:space="preserve">Opex não salarial (€ de 2027, antes de contingência e inflação)</t>
  </si>
  <si>
    <t xml:space="preserve">Jurídico e compliance externo</t>
  </si>
  <si>
    <t xml:space="preserve">[E] 2027 inclui parecer independente, SPV e minutas (20 §11.14)</t>
  </si>
  <si>
    <t xml:space="preserve">Auditoria (ROC)</t>
  </si>
  <si>
    <t xml:space="preserve">Contabilidade externa</t>
  </si>
  <si>
    <t xml:space="preserve">[E] base: controller interno desde 2030; Recomendado: externa em todo o horizonte</t>
  </si>
  <si>
    <t xml:space="preserve">Tecnologia: cloud, SaaS, KYC, faturação certificada</t>
  </si>
  <si>
    <t xml:space="preserve">[E] Recomendado: metade das contas HoReCa do base</t>
  </si>
  <si>
    <t xml:space="preserve">Segurança: pentest e ISO 27001</t>
  </si>
  <si>
    <t xml:space="preserve">[E] pentest 5–15k; ISO 27001 15–50k no 1.º ano (30 §8.4)</t>
  </si>
  <si>
    <t xml:space="preserve">Seguros da empresa (RC, D&amp;O, ciber)</t>
  </si>
  <si>
    <t xml:space="preserve">Marketing e comercial B2B</t>
  </si>
  <si>
    <t xml:space="preserve">[E] Recomendado: aquisição HoReCa limitada; granel/exportação por relação direta</t>
  </si>
  <si>
    <t xml:space="preserve">Escritório</t>
  </si>
  <si>
    <t xml:space="preserve">[E] Recomendado: cowork até haver equipa</t>
  </si>
  <si>
    <t xml:space="preserve">Viagens e deslocações</t>
  </si>
  <si>
    <t xml:space="preserve">Formação e recrutamento</t>
  </si>
  <si>
    <t xml:space="preserve">D. Séries anuais comuns a todos os cenários</t>
  </si>
  <si>
    <t xml:space="preserve">SPV: funções independentes (administrador, comité, representante comum)</t>
  </si>
  <si>
    <t xml:space="preserve">[E, NV] 01 §4.6</t>
  </si>
  <si>
    <t xml:space="preserve">IRC: taxa geral</t>
  </si>
  <si>
    <t xml:space="preserve">[L] 18% 2027; 17% 2028+</t>
  </si>
  <si>
    <t xml:space="preserve">Unit economics</t>
  </si>
  <si>
    <t xml:space="preserve">Lotes-tipo de ponta a ponta, por cenário (independente do seletor). Valores por kg lidos do Motor no ano de regime; lote = €/kg × dimensão do lote.</t>
  </si>
  <si>
    <t xml:space="preserve">← índice do ano (1 = 2027); mude o ano em Pressupostos</t>
  </si>
  <si>
    <t xml:space="preserve">A. Lote de azeite HoReCa/gourmet (origem identificada; 5 L PET/BIB e vidro)</t>
  </si>
  <si>
    <t xml:space="preserve">Ponta a ponta no ano de regime (por lote e por kg)</t>
  </si>
  <si>
    <t xml:space="preserve">Rubrica</t>
  </si>
  <si>
    <t xml:space="preserve">Pessimista: € / lote</t>
  </si>
  <si>
    <t xml:space="preserve">Pessimista: €/kg</t>
  </si>
  <si>
    <t xml:space="preserve">Base: € / lote</t>
  </si>
  <si>
    <t xml:space="preserve">Base: €/kg</t>
  </si>
  <si>
    <t xml:space="preserve">Otimista: € / lote</t>
  </si>
  <si>
    <t xml:space="preserve">Otimista: €/kg</t>
  </si>
  <si>
    <t xml:space="preserve">Recomendado: € / lote</t>
  </si>
  <si>
    <t xml:space="preserve">Recomendado: €/kg</t>
  </si>
  <si>
    <t xml:space="preserve">Notas</t>
  </si>
  <si>
    <t xml:space="preserve">kg</t>
  </si>
  <si>
    <t xml:space="preserve">Preço de referência do comprador (mercado)</t>
  </si>
  <si>
    <t xml:space="preserve">Receita Sprout (preço de venda)</t>
  </si>
  <si>
    <t xml:space="preserve">Preço ao produtor (índice + prémio; pago ≤ 30 dias)</t>
  </si>
  <si>
    <t xml:space="preserve">Embalamento no lagar</t>
  </si>
  <si>
    <t xml:space="preserve">Armazenagem</t>
  </si>
  <si>
    <t xml:space="preserve">Análises físico-químicas e painel (testes de qualidade)</t>
  </si>
  <si>
    <t xml:space="preserve">Perdas físicas</t>
  </si>
  <si>
    <t xml:space="preserve">Desclassificação esperada</t>
  </si>
  <si>
    <t xml:space="preserve">Custódia independente (collateral manager)</t>
  </si>
  <si>
    <t xml:space="preserve">Pagamentos bancários (SEPA; KYC/KYB no custo fixo)</t>
  </si>
  <si>
    <t xml:space="preserve">Cobertura de preço explícita (azeite: sem futuros)</t>
  </si>
  <si>
    <t xml:space="preserve">Cupão das obrigações (retorno do investidor no ciclo)</t>
  </si>
  <si>
    <t xml:space="preserve">Margem de contribuição do Sprout (spread da plataforma)</t>
  </si>
  <si>
    <t xml:space="preserve">Margem em % da receita</t>
  </si>
  <si>
    <t xml:space="preserve">Lado do investidor e almofada</t>
  </si>
  <si>
    <t xml:space="preserve">Capital imobilizado no lote (granel + embalamento)</t>
  </si>
  <si>
    <t xml:space="preserve">Ciclo líquido do capital (stock + recebimento − pagamento)</t>
  </si>
  <si>
    <t xml:space="preserve">Parte do capital de giro financiada por obrigações</t>
  </si>
  <si>
    <t xml:space="preserve">Obrigações afetas ao lote (capital levantado = financiado ÷ utilização)</t>
  </si>
  <si>
    <t xml:space="preserve">Capital próprio do patrocinador no lote (subordinado)</t>
  </si>
  <si>
    <t xml:space="preserve">Cupão bruto anual</t>
  </si>
  <si>
    <t xml:space="preserve">Retorno líquido anual de um particular residente (retenção de 28%)</t>
  </si>
  <si>
    <t xml:space="preserve">Cupão pago no ciclo do lote</t>
  </si>
  <si>
    <t xml:space="preserve">Retorno bruto do investidor no ciclo (% das obrigações afetas ao lote)</t>
  </si>
  <si>
    <t xml:space="preserve">Retida na reserva de primeira perda (30% da margem; teto 5% das obrigações do lote)</t>
  </si>
  <si>
    <t xml:space="preserve">Margem livre para a OpCo depois da reserva</t>
  </si>
  <si>
    <t xml:space="preserve">Memo: KYC/KYB e screening das contrapartes do lote (no custo fixo de tecnologia)</t>
  </si>
  <si>
    <t xml:space="preserve">Memo: custo nocional do capital próprio (8%/ano; fora do EBITDA)</t>
  </si>
  <si>
    <t xml:space="preserve">Bolo de intermediação (Π = referência − granel − embalamento − logística) e repartição</t>
  </si>
  <si>
    <t xml:space="preserve">Π por kg</t>
  </si>
  <si>
    <t xml:space="preserve">Comprador: desconto</t>
  </si>
  <si>
    <t xml:space="preserve">% de Π</t>
  </si>
  <si>
    <t xml:space="preserve">Investidores: cupão</t>
  </si>
  <si>
    <t xml:space="preserve">Custos diretos (3PL, custódia, qualidade, crédito, pagamentos, armazenagem)</t>
  </si>
  <si>
    <t xml:space="preserve">Sprout: margem de contribuição</t>
  </si>
  <si>
    <t xml:space="preserve">Teste da tese literal do documento-fonte (lote HoReCa, por kg): captura de 80–90% da margem do embalador + desconto de 10–15%</t>
  </si>
  <si>
    <t xml:space="preserve">Margem líquida do embalador (média de 3 campanhas do Observatorio)</t>
  </si>
  <si>
    <t xml:space="preserve">Captura de 85% (ponto médio de 80–90%)</t>
  </si>
  <si>
    <t xml:space="preserve">Custo do desconto ao comprador (desconto × referência)</t>
  </si>
  <si>
    <t xml:space="preserve">Retorno do investidor (cupão do ciclo)</t>
  </si>
  <si>
    <t xml:space="preserve">Custos diretos da plataforma (sem granel, embalamento e logística)</t>
  </si>
  <si>
    <t xml:space="preserve">Spread que sobra para a plataforma</t>
  </si>
  <si>
    <t xml:space="preserve">Negativo = a tese literal não fecha: o desconto custa mais do que a margem capturada</t>
  </si>
  <si>
    <t xml:space="preserve">Desconto ÷ captura (vezes)</t>
  </si>
  <si>
    <t xml:space="preserve">Veredicto</t>
  </si>
  <si>
    <t xml:space="preserve">Risco de preço do lote HoReCa (por que só back-to-back)</t>
  </si>
  <si>
    <t xml:space="preserve">Valor do stock ao custo (granel + embalamento)</t>
  </si>
  <si>
    <t xml:space="preserve">Choque de −30% no preço: perda com 100% do lote em aberto</t>
  </si>
  <si>
    <t xml:space="preserve">Idem com 15% em aberto (política back-to-back)</t>
  </si>
  <si>
    <t xml:space="preserve">Perda com 100% em aberto ÷ margem do lote</t>
  </si>
  <si>
    <t xml:space="preserve">Detenção de 18 meses sem cobertura: carry + VaR95 (σ 23%) − margem</t>
  </si>
  <si>
    <t xml:space="preserve">% do lote</t>
  </si>
  <si>
    <t xml:space="preserve">40 §5.2 e §1.3; 01 §2.6. Não há futuros de azeite para cobrir esta perda.</t>
  </si>
  <si>
    <t xml:space="preserve">Idem com σ 42%</t>
  </si>
  <si>
    <t xml:space="preserve">Piloto de 2027 (sem obrigações: stock em capital próprio)</t>
  </si>
  <si>
    <t xml:space="preserve">HoReCa/gourmet: preço de venda</t>
  </si>
  <si>
    <t xml:space="preserve">HoReCa/gourmet: custo direto</t>
  </si>
  <si>
    <t xml:space="preserve">HoReCa/gourmet: margem de contribuição</t>
  </si>
  <si>
    <t xml:space="preserve">HoReCa/gourmet: margem em %</t>
  </si>
  <si>
    <t xml:space="preserve">Distribuidores/exportação: preço de venda</t>
  </si>
  <si>
    <t xml:space="preserve">Distribuidores/exportação: custo direto</t>
  </si>
  <si>
    <t xml:space="preserve">Distribuidores/exportação: margem de contribuição</t>
  </si>
  <si>
    <t xml:space="preserve">Distribuidores/exportação: margem em %</t>
  </si>
  <si>
    <t xml:space="preserve">B. Lote de azeite para distribuidores/exportação (paletes de 5 L; preço de saída do embalador)</t>
  </si>
  <si>
    <t xml:space="preserve">C. Lote de granel certificado (IBC/cisterna; só o Recomendado tem volume)</t>
  </si>
  <si>
    <t xml:space="preserve">D. Lote de água: 20 paletes (comparação principal vs. agente; recomendado: agente)</t>
  </si>
  <si>
    <t xml:space="preserve">Principal, desconto 10%</t>
  </si>
  <si>
    <t xml:space="preserve">Principal, desconto 15%</t>
  </si>
  <si>
    <t xml:space="preserve">Agente: Pessimista</t>
  </si>
  <si>
    <t xml:space="preserve">Agente: Base</t>
  </si>
  <si>
    <t xml:space="preserve">Agente: Otimista</t>
  </si>
  <si>
    <t xml:space="preserve">Agente: Recomendado</t>
  </si>
  <si>
    <t xml:space="preserve">Volume</t>
  </si>
  <si>
    <t xml:space="preserve">Valor à referência (preço B2B, NV)</t>
  </si>
  <si>
    <t xml:space="preserve">Receita (principal) ou GMV (agente)</t>
  </si>
  <si>
    <t xml:space="preserve">Preço ex-fábrica</t>
  </si>
  <si>
    <t xml:space="preserve">Logística (troncal + entrega)</t>
  </si>
  <si>
    <t xml:space="preserve">Operação e pagamentos</t>
  </si>
  <si>
    <t xml:space="preserve">Depósito SDR a adiantar e reconciliar</t>
  </si>
  <si>
    <t xml:space="preserve">Financiamento do stock e do SDR (cupão de 2027, 30 dias)</t>
  </si>
  <si>
    <t xml:space="preserve">01 §2.7 indica 38 € (≈ 10%/ano); com o cupão de 8% dá ~30 €: ver Fontes</t>
  </si>
  <si>
    <t xml:space="preserve">Provisão de crédito (0,6%)</t>
  </si>
  <si>
    <t xml:space="preserve">Margem (principal) ou comissão (agente) do Sprout</t>
  </si>
  <si>
    <t xml:space="preserve">em % da receita/GMV</t>
  </si>
  <si>
    <t xml:space="preserve">por palete</t>
  </si>
  <si>
    <t xml:space="preserve">€/palete</t>
  </si>
  <si>
    <t xml:space="preserve">Margem de embalador capturável (embalamento na origem obrigatório, Dir. 2009/54/CE)</t>
  </si>
  <si>
    <t xml:space="preserve">Volumes</t>
  </si>
  <si>
    <t xml:space="preserve">Volumes físicos por mercadoria e canal, clientes e carteira de terceiros (cenário ativo).</t>
  </si>
  <si>
    <t xml:space="preserve">Calendário</t>
  </si>
  <si>
    <t xml:space="preserve">Ano</t>
  </si>
  <si>
    <t xml:space="preserve">Azeite (t)</t>
  </si>
  <si>
    <t xml:space="preserve">Azeite HoReCa/gourmet</t>
  </si>
  <si>
    <t xml:space="preserve">Azeite distribuidores/exportação (offtake)</t>
  </si>
  <si>
    <t xml:space="preserve">Azeite total</t>
  </si>
  <si>
    <t xml:space="preserve">Peso da HoReCa/gourmet no volume</t>
  </si>
  <si>
    <t xml:space="preserve">Quota da produção portuguesa</t>
  </si>
  <si>
    <t xml:space="preserve">Lotes-tipo equivalentes</t>
  </si>
  <si>
    <t xml:space="preserve">Água (modelo agente)</t>
  </si>
  <si>
    <t xml:space="preserve">Água</t>
  </si>
  <si>
    <t xml:space="preserve">Café verde</t>
  </si>
  <si>
    <t xml:space="preserve">Café verde (0 antes do ano de início)</t>
  </si>
  <si>
    <t xml:space="preserve">Verificação para terceiros (banco parceiro)</t>
  </si>
  <si>
    <t xml:space="preserve">Carteira média financiada pelo banco parceiro</t>
  </si>
  <si>
    <t xml:space="preserve">Azeite verificado para terceiros</t>
  </si>
  <si>
    <t xml:space="preserve">Receitas</t>
  </si>
  <si>
    <t xml:space="preserve">Receitas por fluxo, GMV, capital de lotes financiado e margem de contribuição por fluxo (cenário ativo).</t>
  </si>
  <si>
    <t xml:space="preserve">Receitas por fluxo (€)</t>
  </si>
  <si>
    <t xml:space="preserve">Vendas de azeite: HoReCa/gourmet</t>
  </si>
  <si>
    <t xml:space="preserve">Vendas de azeite: distribuidores/exportação</t>
  </si>
  <si>
    <t xml:space="preserve">Vendas de azeite: granel certificado</t>
  </si>
  <si>
    <t xml:space="preserve">Vendas de azeite</t>
  </si>
  <si>
    <t xml:space="preserve">Vendas de café verde</t>
  </si>
  <si>
    <t xml:space="preserve">Memo: GMV de água (faturado pelo engarrafador)</t>
  </si>
  <si>
    <t xml:space="preserve">Comissões de agente: água</t>
  </si>
  <si>
    <t xml:space="preserve">Comissões de originação e verificação (terceiros)</t>
  </si>
  <si>
    <t xml:space="preserve">Dados e índice</t>
  </si>
  <si>
    <t xml:space="preserve">Receita total</t>
  </si>
  <si>
    <t xml:space="preserve">GMV e capital de lotes (€)</t>
  </si>
  <si>
    <t xml:space="preserve">GMV total (azeite + café + água)</t>
  </si>
  <si>
    <t xml:space="preserve">Valor de compra dos lotes (granel + embalamento; café verde)</t>
  </si>
  <si>
    <t xml:space="preserve">dos quais financiados por obrigações (capital financiado)</t>
  </si>
  <si>
    <t xml:space="preserve">Margem de contribuição por fluxo (€)</t>
  </si>
  <si>
    <t xml:space="preserve">Azeite: HoReCa/gourmet</t>
  </si>
  <si>
    <t xml:space="preserve">Azeite: distribuidores/exportação</t>
  </si>
  <si>
    <t xml:space="preserve">Azeite: granel certificado</t>
  </si>
  <si>
    <t xml:space="preserve">Azeite</t>
  </si>
  <si>
    <t xml:space="preserve">Margem média do azeite</t>
  </si>
  <si>
    <t xml:space="preserve">Margem do azeite em % das vendas de azeite</t>
  </si>
  <si>
    <t xml:space="preserve">Café: cupão por kg</t>
  </si>
  <si>
    <t xml:space="preserve">Água (comissão)</t>
  </si>
  <si>
    <t xml:space="preserve">Verificação para terceiros (líquida)</t>
  </si>
  <si>
    <t xml:space="preserve">Margem de contribuição total</t>
  </si>
  <si>
    <t xml:space="preserve">Equipa por função; salário bruto anual com 14 meses, TSU de 23,75% + 2% e subsídio de refeição (cenário ativo).</t>
  </si>
  <si>
    <t xml:space="preserve">FTE por função</t>
  </si>
  <si>
    <t xml:space="preserve">CEO / comercial (fundador)</t>
  </si>
  <si>
    <t xml:space="preserve">CTO (fundador)</t>
  </si>
  <si>
    <t xml:space="preserve">Engenheiro(a) de software</t>
  </si>
  <si>
    <t xml:space="preserve">Responsável de Risco e Tesouraria</t>
  </si>
  <si>
    <t xml:space="preserve">Compliance / AML</t>
  </si>
  <si>
    <t xml:space="preserve">Operações e supply</t>
  </si>
  <si>
    <t xml:space="preserve">Técnico(a) de qualidade do azeite</t>
  </si>
  <si>
    <t xml:space="preserve">Gestor(a) de conta B2B (~400 contas)</t>
  </si>
  <si>
    <t xml:space="preserve">Controller financeiro</t>
  </si>
  <si>
    <t xml:space="preserve">Analista de dados/produto</t>
  </si>
  <si>
    <t xml:space="preserve">Assistente de operações</t>
  </si>
  <si>
    <t xml:space="preserve">Trader de granel e exportação</t>
  </si>
  <si>
    <t xml:space="preserve">Total de FTE</t>
  </si>
  <si>
    <t xml:space="preserve">Custo salarial bruto (€, 14 meses, com variável e atualização)</t>
  </si>
  <si>
    <t xml:space="preserve">Salários brutos</t>
  </si>
  <si>
    <t xml:space="preserve">TSU e outros encargos</t>
  </si>
  <si>
    <t xml:space="preserve">Subsídio de refeição</t>
  </si>
  <si>
    <t xml:space="preserve">Custo total com pessoal</t>
  </si>
  <si>
    <t xml:space="preserve">Custo médio por FTE</t>
  </si>
  <si>
    <t xml:space="preserve">Tabela salarial (inputs em Pressupostos; valores de 2027)</t>
  </si>
  <si>
    <t xml:space="preserve">Função</t>
  </si>
  <si>
    <t xml:space="preserve">Fundador?</t>
  </si>
  <si>
    <t xml:space="preserve">Salário anual (14 meses)</t>
  </si>
  <si>
    <t xml:space="preserve">Salário mensal (÷ 14)</t>
  </si>
  <si>
    <t xml:space="preserve">Variável</t>
  </si>
  <si>
    <t xml:space="preserve">Custo anual c/ encargos (1 FTE)</t>
  </si>
  <si>
    <t xml:space="preserve">sim (60% até ao gate)</t>
  </si>
  <si>
    <t xml:space="preserve">não</t>
  </si>
  <si>
    <t xml:space="preserve">Custos</t>
  </si>
  <si>
    <t xml:space="preserve">Economia por kg de cada canal, custos diretos, opex não salarial, capex e amortizações (cenário ativo).</t>
  </si>
  <si>
    <t xml:space="preserve">Economia por kg: HoReCa/gourmet</t>
  </si>
  <si>
    <t xml:space="preserve">Preço ao produtor (índice + prémio de origem)</t>
  </si>
  <si>
    <t xml:space="preserve">Preço de referência do comprador</t>
  </si>
  <si>
    <t xml:space="preserve">Preço de venda Sprout (referência − desconto)</t>
  </si>
  <si>
    <t xml:space="preserve">Análises (testes de qualidade)</t>
  </si>
  <si>
    <t xml:space="preserve">Custódia (collateral manager)</t>
  </si>
  <si>
    <t xml:space="preserve">Cobertura de preço explícita (sem futuros de azeite)</t>
  </si>
  <si>
    <t xml:space="preserve">Cupão das obrigações (financiamento do stock)</t>
  </si>
  <si>
    <t xml:space="preserve">Custo direto total</t>
  </si>
  <si>
    <t xml:space="preserve">Margem de contribuição</t>
  </si>
  <si>
    <t xml:space="preserve">Margem de contribuição em % do preço</t>
  </si>
  <si>
    <t xml:space="preserve">Capital de giro por kg vendido</t>
  </si>
  <si>
    <t xml:space="preserve">Economia por kg: distribuidores/exportação</t>
  </si>
  <si>
    <t xml:space="preserve">Economia por kg: granel certificado</t>
  </si>
  <si>
    <t xml:space="preserve">Custo das mercadorias e custos diretos (€)</t>
  </si>
  <si>
    <t xml:space="preserve">Custo das mercadorias: azeite (granel + embalamento)</t>
  </si>
  <si>
    <t xml:space="preserve">Custo das mercadorias: café verde</t>
  </si>
  <si>
    <t xml:space="preserve">Custo das mercadorias vendidas</t>
  </si>
  <si>
    <t xml:space="preserve">Armazenagem e seguro do stock</t>
  </si>
  <si>
    <t xml:space="preserve">Análises, perdas e desclassificação</t>
  </si>
  <si>
    <t xml:space="preserve">Pagamentos bancários e operações</t>
  </si>
  <si>
    <t xml:space="preserve">Cobertura explícita (café: forward EUR/USD; azeite: sem futuros)</t>
  </si>
  <si>
    <t xml:space="preserve">Verificação para terceiros (collateral manager e análises)</t>
  </si>
  <si>
    <t xml:space="preserve">Custos variáveis diretos</t>
  </si>
  <si>
    <t xml:space="preserve">Cupão das obrigações: azeite</t>
  </si>
  <si>
    <t xml:space="preserve">Cupão das obrigações: café</t>
  </si>
  <si>
    <t xml:space="preserve">Cupão das obrigações (custo de financiar o stock)</t>
  </si>
  <si>
    <t xml:space="preserve">Verificação: receita − CMV − variáveis − cupão − margem de contribuição</t>
  </si>
  <si>
    <t xml:space="preserve">Opex não salarial (€ nominais: + contingência e inflação)</t>
  </si>
  <si>
    <t xml:space="preserve">Subtotal das linhas</t>
  </si>
  <si>
    <t xml:space="preserve">SPV: constituição, manutenção, séries e funções independentes</t>
  </si>
  <si>
    <t xml:space="preserve">Seguro de crédito (prémio proporcional ou mínimo)</t>
  </si>
  <si>
    <t xml:space="preserve">Opex não salarial</t>
  </si>
  <si>
    <t xml:space="preserve">Capex e amortizações (€)</t>
  </si>
  <si>
    <t xml:space="preserve">Telemetria nos lagares</t>
  </si>
  <si>
    <t xml:space="preserve">Plataforma (desenvolvimento capitalizável)</t>
  </si>
  <si>
    <t xml:space="preserve">Equipamento informático (novas FTE)</t>
  </si>
  <si>
    <t xml:space="preserve">Amortização: plataforma</t>
  </si>
  <si>
    <t xml:space="preserve">Amortização: telemetria</t>
  </si>
  <si>
    <t xml:space="preserve">Amortização: equipamento</t>
  </si>
  <si>
    <t xml:space="preserve">Amortizações</t>
  </si>
  <si>
    <t xml:space="preserve">Demonstração de resultados</t>
  </si>
  <si>
    <t xml:space="preserve">Receita, margem bruta, margem de contribuição, EBITDA, amortizações, EBIT, IRC com derramas e resultado líquido (cenário ativo).</t>
  </si>
  <si>
    <t xml:space="preserve">Demonstração de resultados (€)</t>
  </si>
  <si>
    <t xml:space="preserve">Receita</t>
  </si>
  <si>
    <t xml:space="preserve">Margem bruta</t>
  </si>
  <si>
    <t xml:space="preserve">Margem bruta em % da receita</t>
  </si>
  <si>
    <t xml:space="preserve">Custos variáveis diretos (logística, custódia, qualidade, crédito, pagamentos)</t>
  </si>
  <si>
    <t xml:space="preserve">Opex não salarial (incl. SPV e seguro de crédito)</t>
  </si>
  <si>
    <t xml:space="preserve">EBITDA</t>
  </si>
  <si>
    <t xml:space="preserve">Convenção do modelo (igual ao 01 e a calculo_referencia.py): inclui o cupão, que financia stock lote a lote</t>
  </si>
  <si>
    <t xml:space="preserve">EBITDA em % da receita</t>
  </si>
  <si>
    <t xml:space="preserve">Memo: EBITDA sem o cupão (juros abaixo do EBIT, convenção SNC)</t>
  </si>
  <si>
    <t xml:space="preserve">EBIT</t>
  </si>
  <si>
    <t xml:space="preserve">IRC e derramas [L]</t>
  </si>
  <si>
    <t xml:space="preserve">Lucro tributável antes de prejuízos (= EBIT; sem correções fiscais)</t>
  </si>
  <si>
    <t xml:space="preserve">Prejuízos fiscais reportáveis no início do ano</t>
  </si>
  <si>
    <t xml:space="preserve">Prejuízo fiscal gerado no ano</t>
  </si>
  <si>
    <t xml:space="preserve">Dedução de prejuízos (até 65% do lucro tributável)</t>
  </si>
  <si>
    <t xml:space="preserve">Prejuízos fiscais reportáveis no fim do ano</t>
  </si>
  <si>
    <t xml:space="preserve">Matéria coletável</t>
  </si>
  <si>
    <t xml:space="preserve">IRC (15% até 50.000 €; taxa geral acima)</t>
  </si>
  <si>
    <t xml:space="preserve">Derrama municipal</t>
  </si>
  <si>
    <t xml:space="preserve">Derrama estadual</t>
  </si>
  <si>
    <t xml:space="preserve">Imposto sobre o rendimento</t>
  </si>
  <si>
    <t xml:space="preserve">Resultado</t>
  </si>
  <si>
    <t xml:space="preserve">Resultado líquido</t>
  </si>
  <si>
    <t xml:space="preserve">Cash flow</t>
  </si>
  <si>
    <t xml:space="preserve">Capital de giro por prazos médios, obrigações e float das séries, cash flow para o acionista, caixa e rondas (cenário ativo).</t>
  </si>
  <si>
    <t xml:space="preserve">Capital de giro (€, nível médio do ano, sem IVA)</t>
  </si>
  <si>
    <t xml:space="preserve">Stock de azeite (ao custo)</t>
  </si>
  <si>
    <t xml:space="preserve">Stock total (azeite + café)</t>
  </si>
  <si>
    <t xml:space="preserve">Recebíveis (prazos médios de recebimento)</t>
  </si>
  <si>
    <t xml:space="preserve">Fornecedores (produtor pago a 30 dias)</t>
  </si>
  <si>
    <t xml:space="preserve">Capital de giro líquido</t>
  </si>
  <si>
    <t xml:space="preserve">Financiamento do capital de giro (€)</t>
  </si>
  <si>
    <t xml:space="preserve">Obrigações em circulação (capital levantado nas séries)</t>
  </si>
  <si>
    <t xml:space="preserve">das quais aplicadas em stock e recebíveis</t>
  </si>
  <si>
    <t xml:space="preserve">Caixa parada nas séries (float de financiamento)</t>
  </si>
  <si>
    <t xml:space="preserve">Capital de giro financiado por capital próprio</t>
  </si>
  <si>
    <t xml:space="preserve">Capital social da SPV ainda em caixa (não aplicado em stock)</t>
  </si>
  <si>
    <t xml:space="preserve">Reserva de primeira perda (caixa restrita, 5% das obrigações)</t>
  </si>
  <si>
    <t xml:space="preserve">Investidores estimados (obrigações ÷ ticket médio)</t>
  </si>
  <si>
    <t xml:space="preserve">Cash flow (€)</t>
  </si>
  <si>
    <t xml:space="preserve">Imposto pago (no próprio ano; simplificação)</t>
  </si>
  <si>
    <t xml:space="preserve">Variação do capital de giro</t>
  </si>
  <si>
    <t xml:space="preserve">Cash flow operacional e de investimento</t>
  </si>
  <si>
    <t xml:space="preserve">Emissão líquida de obrigações</t>
  </si>
  <si>
    <t xml:space="preserve">Variação da caixa parada nas séries</t>
  </si>
  <si>
    <t xml:space="preserve">Variação da reserva de primeira perda</t>
  </si>
  <si>
    <t xml:space="preserve">Capital social da SPV aplicado em stock</t>
  </si>
  <si>
    <t xml:space="preserve">Cash flow para o acionista</t>
  </si>
  <si>
    <t xml:space="preserve">Cash flow para o acionista acumulado</t>
  </si>
  <si>
    <t xml:space="preserve">Verificação: EBITDA − capex − imposto − Δ max(capital próprio no giro; capital SPV) − Δ reserva − cash flow</t>
  </si>
  <si>
    <t xml:space="preserve">Caixa e rondas de capital (€)</t>
  </si>
  <si>
    <t xml:space="preserve">Caixa livre no início do ano</t>
  </si>
  <si>
    <t xml:space="preserve">Pré-arranque (4.º trim. 2026) e capital social da SPV</t>
  </si>
  <si>
    <t xml:space="preserve">Ronda pré-seed</t>
  </si>
  <si>
    <t xml:space="preserve">Caixa antes de rondas adicionais</t>
  </si>
  <si>
    <t xml:space="preserve">Ronda adicional necessária para manter a caixa mínima</t>
  </si>
  <si>
    <t xml:space="preserve">Caixa livre no fim do ano</t>
  </si>
  <si>
    <t xml:space="preserve">Caixa restrita (séries, reserva, capital da SPV)</t>
  </si>
  <si>
    <t xml:space="preserve">Caixa total</t>
  </si>
  <si>
    <t xml:space="preserve">Capital próprio levantado (acumulado)</t>
  </si>
  <si>
    <t xml:space="preserve">Capital &amp; financiamento</t>
  </si>
  <si>
    <t xml:space="preserve">Necessidade de capital, aplicação de fundos, runway, break-even, investidores e o que tem de ser verdade (cenário ativo).</t>
  </si>
  <si>
    <t xml:space="preserve">Necessidade de capital próprio</t>
  </si>
  <si>
    <t xml:space="preserve">Pré-arranque (4.º trim. 2026)</t>
  </si>
  <si>
    <t xml:space="preserve">Capital social da SPV</t>
  </si>
  <si>
    <t xml:space="preserve">Vale do cash flow acumulado para o acionista</t>
  </si>
  <si>
    <t xml:space="preserve">Ano do mínimo do cash flow acumulado</t>
  </si>
  <si>
    <t xml:space="preserve">O acumulado ainda desce em 2031?</t>
  </si>
  <si>
    <t xml:space="preserve">Capital próprio levantado no plano (pré-seed + rondas adicionais)</t>
  </si>
  <si>
    <t xml:space="preserve">Aplicação de fundos até ao ano do mínimo (€)</t>
  </si>
  <si>
    <t xml:space="preserve">Pré-arranque e capital social da SPV</t>
  </si>
  <si>
    <t xml:space="preserve">Perdas operacionais (EBITDA negativo acumulado)</t>
  </si>
  <si>
    <t xml:space="preserve">Impostos</t>
  </si>
  <si>
    <t xml:space="preserve">Capital de giro, reserva e caixa das séries a cargo do capital próprio</t>
  </si>
  <si>
    <t xml:space="preserve">Total = necessidade de capital próprio</t>
  </si>
  <si>
    <t xml:space="preserve">Pré-seed, runway e gate</t>
  </si>
  <si>
    <t xml:space="preserve">Gasto até ao gate de 31-08-2027 (pré-arranque, SPV, opex jan.–ago., capex, stock do piloto)</t>
  </si>
  <si>
    <t xml:space="preserve">01 §5.5: ~0,74 M€ no base</t>
  </si>
  <si>
    <t xml:space="preserve">Gasto até 31-12-2027 (pré-arranque, SPV e cash flow de 2027)</t>
  </si>
  <si>
    <t xml:space="preserve">Caixa sem rondas adicionais (pré-seed − pré-arranque − SPV + cash flow acumulado)</t>
  </si>
  <si>
    <t xml:space="preserve">Mês em que a caixa sem rondas adicionais chega a zero (1 = jan. 2027)</t>
  </si>
  <si>
    <t xml:space="preserve">Runway da pré-seed (meses desde jan. 2027; sem rondas adicionais)</t>
  </si>
  <si>
    <t xml:space="preserve">Break-even</t>
  </si>
  <si>
    <t xml:space="preserve">Cruzamento do EBITDA mensal (run-rate) com zero (mês; 1 = jan. 2027)</t>
  </si>
  <si>
    <t xml:space="preserve">Mês de break-even do EBITDA (run-rate; 1 = jan. 2027)</t>
  </si>
  <si>
    <t xml:space="preserve">Break-even do EBITDA (mês)</t>
  </si>
  <si>
    <t xml:space="preserve">data</t>
  </si>
  <si>
    <t xml:space="preserve">Anos com EBITDA ≥ 0</t>
  </si>
  <si>
    <t xml:space="preserve">1.º ano com EBITDA ≥ 0</t>
  </si>
  <si>
    <t xml:space="preserve">Anos com resultado líquido ≥ 0</t>
  </si>
  <si>
    <t xml:space="preserve">1.º ano com resultado líquido ≥ 0</t>
  </si>
  <si>
    <t xml:space="preserve">Anos com cash flow para o acionista ≥ 0</t>
  </si>
  <si>
    <t xml:space="preserve">Investidores (obrigações da Sprout Capital, SA)</t>
  </si>
  <si>
    <t xml:space="preserve">Obrigações em circulação</t>
  </si>
  <si>
    <t xml:space="preserve">Cupão líquido para um particular residente (retenção de 28%)</t>
  </si>
  <si>
    <t xml:space="preserve">Cupão pago no ano</t>
  </si>
  <si>
    <t xml:space="preserve">Almofada de primeira perda (capital próprio no giro + reserva) em % das obrigações</t>
  </si>
  <si>
    <t xml:space="preserve">Investidores estimados</t>
  </si>
  <si>
    <t xml:space="preserve">O que tem de ser verdade para EBITDA = 0 (uma alavanca de cada vez)</t>
  </si>
  <si>
    <t xml:space="preserve">Défice de EBITDA a cobrir</t>
  </si>
  <si>
    <t xml:space="preserve">Seguro de crédito acima do prémio mínimo? (1 = sim)</t>
  </si>
  <si>
    <t xml:space="preserve">Prémio adicional pago pelos distribuidores/exportadores</t>
  </si>
  <si>
    <t xml:space="preserve">Referência HoReCa documentada necessária</t>
  </si>
  <si>
    <t xml:space="preserve">Margem do granel depois do seguro de crédito</t>
  </si>
  <si>
    <t xml:space="preserve">Volume de granel certificado necessário</t>
  </si>
  <si>
    <t xml:space="preserve">Corte necessário nos custos fixos (pessoal + opex sem seguro de crédito)</t>
  </si>
  <si>
    <t xml:space="preserve">Margem líquida da verificação para terceiros por € de carteira</t>
  </si>
  <si>
    <t xml:space="preserve">Carteira de terceiros necessária</t>
  </si>
  <si>
    <t xml:space="preserve">Cenários</t>
  </si>
  <si>
    <t xml:space="preserve">Os três cenários do documento-fonte (com as correções verificadas, sem ajustes) e o cenário Recomendado (reestruturado), lado a lado. Ligações ao Motor: não dependem do seletor.</t>
  </si>
  <si>
    <t xml:space="preserve">1. Indicadores por ano</t>
  </si>
  <si>
    <t xml:space="preserve">Cenário</t>
  </si>
  <si>
    <t xml:space="preserve">Azeite transacionado</t>
  </si>
  <si>
    <t xml:space="preserve">GMV total</t>
  </si>
  <si>
    <t xml:space="preserve">— vendas de azeite HoReCa/gourmet</t>
  </si>
  <si>
    <t xml:space="preserve">— vendas de azeite a distribuidores/exportação</t>
  </si>
  <si>
    <t xml:space="preserve">— vendas de granel certificado</t>
  </si>
  <si>
    <t xml:space="preserve">— vendas de café verde</t>
  </si>
  <si>
    <t xml:space="preserve">— comissões de água</t>
  </si>
  <si>
    <t xml:space="preserve">— verificação para terceiros</t>
  </si>
  <si>
    <t xml:space="preserve">— dados e índice</t>
  </si>
  <si>
    <t xml:space="preserve">Cash flow acumulado</t>
  </si>
  <si>
    <t xml:space="preserve">Rondas adicionais necessárias (além da pré-seed)</t>
  </si>
  <si>
    <t xml:space="preserve">Valor de lotes financiado por obrigações (capital financiado)</t>
  </si>
  <si>
    <t xml:space="preserve">2. Capital, break-even e runway</t>
  </si>
  <si>
    <t xml:space="preserve">Pré-arranque + capital da SPV + caixa mínima + vale do cash flow acumulado</t>
  </si>
  <si>
    <t xml:space="preserve">Capital próprio levantado (pré-seed + rondas adicionais)</t>
  </si>
  <si>
    <t xml:space="preserve">Break-even do EBITDA (mês, run-rate)</t>
  </si>
  <si>
    <t xml:space="preserve">Run-rate mensal interpolado entre os pontos médios dos anos (estimativa)</t>
  </si>
  <si>
    <t xml:space="preserve">Runway da pré-seed (meses desde jan. 2027)</t>
  </si>
  <si>
    <t xml:space="preserve">Gasto até ao gate de 31-08-2027</t>
  </si>
  <si>
    <t xml:space="preserve">3. O que tem de ser verdade para EBITDA = 0 em 2031 (uma alavanca de cada vez, o resto igual)</t>
  </si>
  <si>
    <t xml:space="preserve">Alavanca</t>
  </si>
  <si>
    <t xml:space="preserve">Leitura</t>
  </si>
  <si>
    <t xml:space="preserve">Défice de EBITDA a cobrir em 2031</t>
  </si>
  <si>
    <t xml:space="preserve">… ou prémio adicional dos distribuidores/exportadores</t>
  </si>
  <si>
    <t xml:space="preserve">Valor a somar ao prémio já assumido; comparar com 0,10–0,20 (condição do 01 para a seed)</t>
  </si>
  <si>
    <t xml:space="preserve">… ou referência HoReCa documentada</t>
  </si>
  <si>
    <t xml:space="preserve">Comparar com 5,3–6,0 €/kg (equivalente de retalho a out. 2026, NV)</t>
  </si>
  <si>
    <t xml:space="preserve">… ou volume de granel certificado</t>
  </si>
  <si>
    <t xml:space="preserve">Comparar com ~175 kt de produção portuguesa</t>
  </si>
  <si>
    <t xml:space="preserve">… ou corte nos custos fixos</t>
  </si>
  <si>
    <t xml:space="preserve">… ou carteira de verificação para terceiros</t>
  </si>
  <si>
    <t xml:space="preserve">4. O que muda no cenário Recomendado (reestruturado) face ao base</t>
  </si>
  <si>
    <t xml:space="preserve">Justificação e fonte</t>
  </si>
  <si>
    <t xml:space="preserve">commodities.azeite.canais.horeca_gourmet.preco_referencia_eur_kg</t>
  </si>
  <si>
    <t xml:space="preserve">5,65</t>
  </si>
  <si>
    <t xml:space="preserve">6,00</t>
  </si>
  <si>
    <t xml:space="preserve">produto passa a AOVE de origem identificada; o desconto de 10% mede-se contra marca PT/cash &amp; carry do produto equivalente. 6,00 é o limiar que o 01 fixa como condição para a seed e o topo do intervalo 5,3-6,0 do equivalente de retalho; é o valor do otimista. NÃO VERIFICADO: o gate exige &gt;= 20 cotações com mediana &gt;= 6,00 Fonte: 01-desenho-do-modelo.md sec. 2.8 e 5.4; 00-base-factual.md sec. 1.4; 10-mercado.md sec. 1.7 e 6.3</t>
  </si>
  <si>
    <t xml:space="preserve">commodities.azeite.canais.horeca_gourmet.premio_lagar_eur_kg</t>
  </si>
  <si>
    <t xml:space="preserve">0,10</t>
  </si>
  <si>
    <t xml:space="preserve">0,15</t>
  </si>
  <si>
    <t xml:space="preserve">lotes DOP/monovarietal são mais escassos e custam mais na origem; usa-se o prémio mais alto do conjunto verificado (o do pessimista) como custo conservador [E] Fonte: commodities.azeite.premio_origem_pago_ao_lagar_eur_kg; 00-base-factual.md sec. 1.2 (diferencial AOVE-lampante 0,24)</t>
  </si>
  <si>
    <t xml:space="preserve">commodities.azeite.clientes_horeca_gourmet_ativos_medios</t>
  </si>
  <si>
    <t xml:space="preserve">40 / 180 / 650 / 1.300 / 2.000</t>
  </si>
  <si>
    <t xml:space="preserve">40 / 150 / 400 / 700 / 1.000</t>
  </si>
  <si>
    <t xml:space="preserve">o segmento premium (HoReCa média/alta + gourmet) é subconjunto do SOM; o limite inferior do SOM (1.000 clientes) só é atingido em 2031 e não em 2029; volume = clientes x 0,205 t/ano; dias de stock pela regra do 01 (180 com &lt; 300 clientes, 45 depois) Fonte: 10-mercado.md sec. 5; 01-desenho-do-modelo.md sec. 7.1</t>
  </si>
  <si>
    <t xml:space="preserve">commodities.azeite.canais.distribuidores_export.premio_origem_venda_eur_kg</t>
  </si>
  <si>
    <t xml:space="preserve">0,00</t>
  </si>
  <si>
    <t xml:space="preserve">distribuidores e exportadores pagam prémio de origem verificada sobre o preço de saída do embalador (4,35 -&gt; 4,45); 0,10 é o limite inferior da condição do 01 para a seed (0,10-0,20). Hipótese a provar no piloto: &gt;= 1 offtake &gt;= 10 t com prémio documentado Fonte: 01-desenho-do-modelo.md sec. 5.4 e 7.4; 50-concorrencia.md sec. 10.2</t>
  </si>
  <si>
    <t xml:space="preserve">commodities.azeite.canais.distribuidores_export.dias_recebimento</t>
  </si>
  <si>
    <t xml:space="preserve">45</t>
  </si>
  <si>
    <t xml:space="preserve">55</t>
  </si>
  <si>
    <t xml:space="preserve">mais exportação embalada (Brasil: Portugal tem ~62% das importações brasileiras de azeite) alonga prazos de cobrança; usa-se o valor do pessimista Fonte: 00-base-factual.md sec. 1.7</t>
  </si>
  <si>
    <t xml:space="preserve">commodities.azeite.volume_granel_certificado_t (canal novo)</t>
  </si>
  <si>
    <t xml:space="preserve">0 / 0 / 0 / 0 / 0</t>
  </si>
  <si>
    <t xml:space="preserve">0 / 500 / 1.500 / 2.500 / 3.500</t>
  </si>
  <si>
    <t xml:space="preserve">alavanca de escala: granel certificado (lote, ficha, custódia, telemetria) comprado back-to-back ao índice e vendido a embaladores/exportadores a índice + 0,15 EUR/kg; lote de 100 t com collateral manager 1.200 EUR e análises 600 EUR (os mesmos custos da verificação para terceiros); 3.500 t em 2031 = 2% da produção PT (~175 kt). Margem esperada 0,03-0,04 EUR/kg antes do seguro de crédito, dentro do intervalo 0-0,10 do JSON; o 40 estima margem bruta de trading de granel de 0,15-0,30 EUR/kg (usa-se 0,15, o ponto de encontro das duas fontes) Fonte: 10-mercado.md sec. 5 e 6.9; commodities.azeite.canais.distribuidores_export.descricao; 40-risco-coberturas.md sec. 1.3; receitas.financiamento_stock_terceiros.nota_custos</t>
  </si>
  <si>
    <t xml:space="preserve">custos.seguro_credito.premio_pct_volume_seguro_granel</t>
  </si>
  <si>
    <t xml:space="preserve">n/a (0,4% em todas as vendas de azeite)</t>
  </si>
  <si>
    <t xml:space="preserve">compradores de granel são embaladores/exportadores, não restauração; o intervalo indicativo é 0,1-0,6%, mais alto na restauração; usa-se metade da taxa do modelo (0,4%) só sobre as vendas de granel Fonte: 40-risco-coberturas.md sec. 4.2</t>
  </si>
  <si>
    <t xml:space="preserve">commodities.agua.volume_paletes</t>
  </si>
  <si>
    <t xml:space="preserve">150 / 600 / 1.000 / 1.400 / 1.800</t>
  </si>
  <si>
    <t xml:space="preserve">36 / 135 / 360 / 630 / 900</t>
  </si>
  <si>
    <t xml:space="preserve">água só como produto de cesto para clientes HoReCa já ativos, em modelo agente (2%, sem stock nem fundos de terceiros): 0,9 paletes por cliente/ano (rácio do base em 2031) Fonte: 10-mercado.md sec. 6.4; 01-desenho-do-modelo.md sec. 2.7</t>
  </si>
  <si>
    <t xml:space="preserve">commodities.cafe.ano_inicio / volume_t / custo_cobertura_pct_compras</t>
  </si>
  <si>
    <t xml:space="preserve">2029; 30-60-100 t; 0</t>
  </si>
  <si>
    <t xml:space="preserve">2030; 20-50 t; 0,3% das compras</t>
  </si>
  <si>
    <t xml:space="preserve">café adiado (EUDR para PME a 30-06-2027) e redefinido como sourcing de verde em EUR a importador UE operador EUDR, com forward EUR/USD (0,1-0,5%) e ICE só acima de 50-100 t/ano Fonte: 40-risco-coberturas.md sec. 2.3-2.5; 00-base-factual.md sec. 3</t>
  </si>
  <si>
    <t xml:space="preserve">receitas.financiamento_stock_terceiros.pct_custo_verificacao_suportado_sprout</t>
  </si>
  <si>
    <t xml:space="preserve">1,00</t>
  </si>
  <si>
    <t xml:space="preserve">o banco parceiro ou o mutuário paga diretamente o collateral manager e o laboratório (alternativa já prevista na nota de custos); a carteira é a do base Fonte: receitas.financiamento_stock_terceiros.nota_custos; 50-concorrencia.md sec. 12.9</t>
  </si>
  <si>
    <t xml:space="preserve">custos.pessoal.funcoes.*.fte</t>
  </si>
  <si>
    <t xml:space="preserve">7 / 8 / 11 / 14 / 17 FTE</t>
  </si>
  <si>
    <t xml:space="preserve">5,5 / 7,5 / 8,5 / 11 / 12 FTE</t>
  </si>
  <si>
    <t xml:space="preserve">contratações por etapas: Risco e Tesouraria a meio de 2027 (antes do gate e da 1.ª série); engenheiro só depois do gate; gestores de conta = clientes/400; trader de granel/exportação desde 2029; sem controller (contabilidade externa) nem analista de dados no horizonte; assistente de operações desde 2030 Fonte: 01-desenho-do-modelo.md sec. 4.6, 5.4, 6.2 e 7.4 (estrutura ~0,7-1,2 M EUR/ano mais leve)</t>
  </si>
  <si>
    <t xml:space="preserve">custos.opex_nao_salarial_eur (tecnologia, marketing, escritório, viagens, formação, contabilidade)</t>
  </si>
  <si>
    <t xml:space="preserve">2031: 85k / 110k / 36k / 45k / 15k / 0</t>
  </si>
  <si>
    <t xml:space="preserve">2031: 55k / 55k / 18k / 36k / 8k / 12k</t>
  </si>
  <si>
    <t xml:space="preserve">metade das contas HoReCa do base (menos KYC/KYB e faturação); aquisição HoReCa limitada a 1.000 contas premium e granel/exportação vendidos por relação direta; cowork até haver equipa; menos contratações; contabilidade externa em vez de controller. Jurídico, ROC, segurança, seguros e SPV iguais ao base Fonte: 01-desenho-do-modelo.md sec. 6.2 e 7.4 [E]</t>
  </si>
  <si>
    <t xml:space="preserve">Não alterado</t>
  </si>
  <si>
    <t xml:space="preserve">índice do granel 3,50; desconto HoReCa 10%; 0% de desconto a distribuidores; cupão 8% -&gt; 7%; obrigações 0% em 2027 e 90% do capital de giro desde 2028 (CSC art. 348.º/2 [L]); utilização 80%; custos e funções independentes da SPV; seguro de crédito 0,4% nas vendas HoReCa e distribuidores; capex; caixa mínima; impostos; pré-seed de 1,1 M EUR</t>
  </si>
  <si>
    <t xml:space="preserve">Produto para investidores</t>
  </si>
  <si>
    <t xml:space="preserve">obrigações da Sprout Capital, SA (SPV PT) só a clientes profissionais e investidores qualificados (MiFID II Anexo II) ou com subscrição &gt;= 100.000 EUR se o parecer afastar o KID PRIIPs; retalho só mais tarde, como promotor numa ECSP de terceiros (teto 5 M EUR/12 meses, custo 10-13%/ano [E]), fora do horizonte do modelo [L: confirmar com o advogado]</t>
  </si>
  <si>
    <t xml:space="preserve">5. Verificações (devem ser 0)</t>
  </si>
  <si>
    <t xml:space="preserve">EBITDA: folha DR − Motor (cenário ativo)</t>
  </si>
  <si>
    <t xml:space="preserve">Cash flow acumulado: folha Cash flow − Motor</t>
  </si>
  <si>
    <t xml:space="preserve">Necessidade de capital: folha Capital − Motor</t>
  </si>
  <si>
    <t xml:space="preserve">Verificações internas do Motor (margem e cash flow), soma dos valores absolutos</t>
  </si>
  <si>
    <t xml:space="preserve">Estado</t>
  </si>
  <si>
    <t xml:space="preserve">Sensibilidade</t>
  </si>
  <si>
    <t xml:space="preserve">Base e Recomendado: desconto HoReCa, volumes e preço do AOVE (motor completo, recalculado por caso); tese literal do documento-fonte: captura da margem do embalador × desconto.</t>
  </si>
  <si>
    <t xml:space="preserve">Casos (inputs em Pressupostos)</t>
  </si>
  <si>
    <t xml:space="preserve">Cenário Base</t>
  </si>
  <si>
    <t xml:space="preserve">Caso</t>
  </si>
  <si>
    <t xml:space="preserve">Valor do caso</t>
  </si>
  <si>
    <t xml:space="preserve">Margem HoReCa 2029 (€/kg)</t>
  </si>
  <si>
    <t xml:space="preserve">EBITDA 2029 (€)</t>
  </si>
  <si>
    <t xml:space="preserve">EBITDA 2031 (€)</t>
  </si>
  <si>
    <t xml:space="preserve">Δ EBITDA 2031 vs. cenário (€)</t>
  </si>
  <si>
    <t xml:space="preserve">Cash flow acumulado 2031 (€)</t>
  </si>
  <si>
    <t xml:space="preserve">Necessidade de capital (€)</t>
  </si>
  <si>
    <t xml:space="preserve">Cenário (referência)</t>
  </si>
  <si>
    <t xml:space="preserve">Desconto HoReCa</t>
  </si>
  <si>
    <t xml:space="preserve">Volumes físicos (estrutura fixa)</t>
  </si>
  <si>
    <t xml:space="preserve">Preço do AOVE (índice e referências; repasse proporcional)</t>
  </si>
  <si>
    <t xml:space="preserve">Topo dos intervalos: prémio de origem dos distribuidores, carteira de terceiros do otimista, volumes +30%</t>
  </si>
  <si>
    <t xml:space="preserve">Cenário Recomendado (reestruturado)</t>
  </si>
  <si>
    <t xml:space="preserve">Tese literal do documento-fonte, lote HoReCa do base em 2029 (€/kg que sobram para a plataforma)</t>
  </si>
  <si>
    <t xml:space="preserve">Saldo = captura × margem do embalador − desconto × referência − cupão − custos diretos da plataforma</t>
  </si>
  <si>
    <t xml:space="preserve">Margem líquida do embalador: média de 3 campanhas (€/kg)</t>
  </si>
  <si>
    <t xml:space="preserve">Desconto \ captura da margem do embalador</t>
  </si>
  <si>
    <t xml:space="preserve">Margem líquida do embalador: máximo, 2019/20 (€/kg)</t>
  </si>
  <si>
    <t xml:space="preserve">Todas as células negativas: com 80–90% da margem do embalador não se paga um desconto de 10–15% sobre a referência, nem sequer antes do cupão e dos custos da plataforma.</t>
  </si>
  <si>
    <t xml:space="preserve">Choque de −30% no preço: perda pontual no stock de azeite (2031)</t>
  </si>
  <si>
    <t xml:space="preserve">Stock médio de azeite (€)</t>
  </si>
  <si>
    <t xml:space="preserve">Perda: 100% em aberto (€)</t>
  </si>
  <si>
    <t xml:space="preserve">Perda: 15% em aberto (€)</t>
  </si>
  <si>
    <t xml:space="preserve">Perda 100% ÷ margem anual do azeite</t>
  </si>
  <si>
    <t xml:space="preserve">Recomendado (reestruturado)</t>
  </si>
  <si>
    <t xml:space="preserve">O que tem de ser verdade em 2031 (Base e Recomendado): ver Cenários, secção 3</t>
  </si>
  <si>
    <t xml:space="preserve">Fontes</t>
  </si>
  <si>
    <t xml:space="preserve">Origem de cada pressuposto (texto de pressupostos.json → fontes) e registo de verificação. URL completas em docs/research/00-base-factual.md.</t>
  </si>
  <si>
    <t xml:space="preserve">Documentos</t>
  </si>
  <si>
    <t xml:space="preserve">docs/fonte/plano-estrategico-10-13.md</t>
  </si>
  <si>
    <t xml:space="preserve">Documento-fonte (reunião de 13-10): tese, piloto, responsáveis</t>
  </si>
  <si>
    <t xml:space="preserve">docs/research/00-base-factual.md</t>
  </si>
  <si>
    <t xml:space="preserve">Base factual consolidada, com fontes, etiquetas e registo de verificação (53 correções)</t>
  </si>
  <si>
    <t xml:space="preserve">docs/research/01-desenho-do-modelo.md</t>
  </si>
  <si>
    <t xml:space="preserve">Desenho do modelo recomendado: aritmética do lote, estrutura jurídica, risco, piloto, cenários</t>
  </si>
  <si>
    <t xml:space="preserve">docs/research/10-mercado.md</t>
  </si>
  <si>
    <t xml:space="preserve">Mercado, preços e cadeia de valor (azeite, água, café); TAM/SAM/SOM</t>
  </si>
  <si>
    <t xml:space="preserve">docs/research/20-regulatorio.md</t>
  </si>
  <si>
    <t xml:space="preserve">Regulatório: prospeto, MiFID, PRIIPs, ECSP, RGICSF, CSC, AIFMD</t>
  </si>
  <si>
    <t xml:space="preserve">docs/research/30-pagamentos-infra.md</t>
  </si>
  <si>
    <t xml:space="preserve">Pagamentos, PSP, KYC/AML, reconciliação, infraestrutura</t>
  </si>
  <si>
    <t xml:space="preserve">docs/research/40-risco-coberturas.md</t>
  </si>
  <si>
    <t xml:space="preserve">Risco de preço, carry, coberturas, crédito, stress tests, política de cobertura</t>
  </si>
  <si>
    <t xml:space="preserve">docs/research/50-concorrencia.md</t>
  </si>
  <si>
    <t xml:space="preserve">Concorrência e comparáveis; economia ECSP; fosso</t>
  </si>
  <si>
    <t xml:space="preserve">docs/business-plan/modelo/pressupostos.json</t>
  </si>
  <si>
    <t xml:space="preserve">Todos os pressupostos (fonte única dos inputs deste livro)</t>
  </si>
  <si>
    <t xml:space="preserve">docs/business-plan/modelo/calculo_referencia.py</t>
  </si>
  <si>
    <t xml:space="preserve">Cálculo de referência dos três cenários do documento-fonte (este livro reproduz-o)</t>
  </si>
  <si>
    <t xml:space="preserve">docs/business-plan/modelo/resultados.json</t>
  </si>
  <si>
    <t xml:space="preserve">Valores recalculados deste livro, por cenário e ano (fonte única dos números dos PDF)</t>
  </si>
  <si>
    <t xml:space="preserve">Registo de verificação do modelo financeiro</t>
  </si>
  <si>
    <t xml:space="preserve">2026-10-13, build_model.py: o modelo em Excel (~26.500 fórmulas, 0 erros depois de recalculado no LibreOffice) reproduz calculo_referencia.py nos três cenários do documento-fonte com desvio máximo de 0,01% (EBITDA, GMV, margem, pessoal, opex, capex, capital de giro, obrigações, reserva, cash flow e necessidade de capital) e um espelho em Python do mesmo motor nos quatro cenários e nas 14 sensibilidades; o lote-tipo HoReCa de 2029 reproduz o 01 sec. 2.2 (0,347 €/kg; 6.943 €; cupão 959 €; obrigações 93.375 €; reserva 2.083 €; repartição de Π 46/4/21/28%); referência HoReCa 6,00 no base = +128k de EBITDA em 2031, como no 01 sec. 7.4. Ver resultados.json -&gt; verificacao.</t>
  </si>
  <si>
    <t xml:space="preserve">Água, lote de 20 paletes (01 sec. 2.7): o financiamento de 38 EUR implica ~10%/ano; com o cupão base de 8% durante 30 dias sobre stock + depósitos SDR dá 30 EUR. Parâmetros do lote acrescentados em commodities.agua.lote_tipo; diferença de 8 EUR sem efeito no modelo (água em modelo agente).</t>
  </si>
  <si>
    <t xml:space="preserve">Ticket médio HoReCa de 150-300 EUR/mês (azeite + água) só é coerente no piloto (~211 EUR/mês); no base de 2031 o consumo assumido dá ~107 EUR/mês (azeite 205 kg/ano a 5,085 + água 0,9 paletes/ano), porque as paletes de água por cliente caem de ~4,8/ano no piloto para 0,9/ano. Não altera margens (água em modelo agente); corrigir a frase no deck.</t>
  </si>
  <si>
    <t xml:space="preserve">Gestores de conta no base de 2030: 3 para 1.300 contas (433 por gestor) contra a regra de ~400; diferença dentro do arredondamento ('~400'); não alterado.</t>
  </si>
  <si>
    <t xml:space="preserve">Perda potencial de deter stock 18 meses sem cobertura: carry 19,8% + VaR95 37-57% - margem do lote. Com a margem base (6,8%) dá 50-70% (01 sec. 2.6); o intervalo 45-65% só sai com margem de ~12% (referência 6,00). Usar 50-70% no caso base.</t>
  </si>
  <si>
    <t xml:space="preserve">Brasil: Portugal tem ~62% das importações de azeite do Brasil; não é o Brasil que compra 62% das exportações portuguesas (00 sec. 1.7).</t>
  </si>
  <si>
    <t xml:space="preserve">Correção de leitura (Brasil)</t>
  </si>
  <si>
    <t xml:space="preserve">a investigação diz que Portugal tem ~62% das importações de azeite do Brasil (2025/26), não que o Brasil compra 62% das exportações portuguesas: por volume, o 1.º destino é Espanha (37%, sobretudo granel); o Brasil é o 1.º destino do embalado com marca (00-base-factual.md sec. 1.7; 10-mercado.md sec. 1.2)</t>
  </si>
  <si>
    <t xml:space="preserve">Pressupostos: fonte por parâmetro (caminho no JSON)</t>
  </si>
  <si>
    <t xml:space="preserve">Fonte / método</t>
  </si>
  <si>
    <t xml:space="preserve">commodities.azeite.preco_indice_granel_eur_kg</t>
  </si>
  <si>
    <t xml:space="preserve">SIMA/GPP AOVE granel PT intervalo 3,40-3,80 EUR/kg início out. 2026 (https://www.agroportal.pt/azeite-e-azeitona-21-a-27-de-setembro-de-2026/); 3,50 EUR/kg sem. 39/2026 é cotação Oleista, não SIMA (10-mercado.md sec. 1.3; confirmar no boletim SIMA da sem. 39); Poolred 3,34 EUR/kg 29/09-05/10/2026 (https://wikifarmer.com/library/en/article/olive-oil-prices-spain-national-aforo-2026-27); Infaoliva 3,10 a 13/10/2026 (https://www.infobae.com/espana/2026/10/13/precio-del-aceite-de-oliva-en-espana-este-martes-13-de-octubre/). Índice tal como definido (média SIMA + Poolred) a out. 2026 = 3,42-3,47 (3,3-3,4 com as cotações ES de 13-10); o modelo usa 3,50, arredondado para cima (conservador para a margem). Constante: sem previsão de preço.</t>
  </si>
  <si>
    <t xml:space="preserve">commodities.azeite.premio_origem_pago_ao_lagar_eur_kg</t>
  </si>
  <si>
    <t xml:space="preserve">estimativa: prémio de origem/qualidade sobre o índice para lote individualizado com ficha analítica; diferencial AOVE-lampante de 0,24 EUR/kg em 2026 (https://navarraexports.com/en/market-intelligence/spanish-olive-oil-prices-september-2026-bulk-buyers) indica prémios de qualidade comprimidos</t>
  </si>
  <si>
    <t xml:space="preserve">commodities.azeite.volume_t</t>
  </si>
  <si>
    <t xml:space="preserve">estimativa: piloto 20 t (1 lote misto: 4 t HoReCa/gourmet + 16 t distribuidores com offtake) + rampa; base 2031 = 2.200 t (~1,3% de ~175 kt [E, ponto médio de 160 (Olivum, https://observador.pt/2026/09/23/producao-de-azeite-em-portugal-pode-crescer-10-em-2026-2027-e-aproximar-se-das-177-mil-toneladas-da-campanha-anterior/) e 179 (Governo, https://www.vejaportugal.pt/2026/07/03/producao-nacional-de-azeite-devera-atingir-179-mil-toneladas-na-campanha-2025-2026/)]); a parte HoReCa está limitada ao SOM (10-mercado.md sec. 5: 1.000-2.000 clientes no ano 3); o resto vai para distribuidores/exportadores com offtake</t>
  </si>
  <si>
    <t xml:space="preserve">commodities.azeite.mix_horeca_gourmet</t>
  </si>
  <si>
    <t xml:space="preserve">derivado de clientes_horeca_gourmet_ativos_medios x 0,205 t/ano (ponto médio de 150-300 L/ano = 137-275 kg; 10-mercado.md sec. 5); HoReCa: 74.524 empresas, 91% micro (https://tnews.pt/ahresp-setor-da-restauracao-revela-se-instavel-em-2024-devido-a-localizacao-dos-negocios/); 2.000 contas em 2031 = 2,7% das empresas</t>
  </si>
  <si>
    <t xml:space="preserve">estimativa (NÃO VERIFICADO no terreno): retalho PT AOVE 6,48 EUR/L c/ IVA mar-abr 2026 = 6,67 EUR/kg s/ IVA com granel a 4,43 (https://observatorioagroalimentar.gov.pt/wp-content/uploads/2026/05/Observatorio_Resumo_Periodo-042026.pdf); ajustado à descida do granel para 3,50-3,60: rácio 0,664 =&gt; 5,27-5,42; diferencial constante de 2,24 =&gt; 5,74-5,84; intervalo 5,3-6,0 (equivalente de retalho standard a out. 2026); base = 5,65 (ponto médio); 6,00 só no otimista, condicionado a cotações documentadas de AOVE de origem identificada; porta do lagar 5 L 6,08 EUR/L mar. 2026 (https://www.agroportal.pt/wp-content/uploads/2026/03/azei_News12.pdf). Validar com 20-30 cotações cash &amp; carry/foodservice.</t>
  </si>
  <si>
    <t xml:space="preserve">commodities.azeite.canais.horeca_gourmet.desconto_efetivo</t>
  </si>
  <si>
    <t xml:space="preserve">documento-fonte (10-15%); base no limite inferior porque, com referência 5,65, 15% leva a margem de contribuição HoReCa a ~1,4% (01-desenho-do-modelo.md sec. 2.5)</t>
  </si>
  <si>
    <t xml:space="preserve">commodities.azeite.canais.horeca_gourmet.embalamento_eur_kg</t>
  </si>
  <si>
    <t xml:space="preserve">Observatorio de la Cadena Alimentaria: 0,470 (2019/20) e 0,514 EUR/kg (2020/21), intervalo 0,293-1,589 (https://www.mapa.gob.es/dam/mapa/contenido/alimentacion/temas/consumo-y-tendencias-en-alimentacion/observatorio-cadena-alimentaria-abril-2016/estudios-e-informes/estudiodelacadenadevalordelaove2019-202008062021.pdf; https://www.interempresas.net/Produccion-Aceite/474711-Actualizado-el-estudio-de-la-cadena-de-valor-del-aceite-de-oliva-virgen-extra.html); +0,05 pelo mix com vidro</t>
  </si>
  <si>
    <t xml:space="preserve">commodities.azeite.canais.horeca_gourmet.logistica_eur_kg</t>
  </si>
  <si>
    <t xml:space="preserve">estimativa 10-mercado.md sec. 1.7 (0,15-0,30 EUR/kg até à HoReCa); ANTRAM camião Lisboa-Porto 250-270 EUR em 2021 e 'emergência' de combustíveis em mai. 2026 (https://rr.pt/noticia/pais/2026/05/24/transportadoras-a-beira-do-limite-o-setor-esta-completamente-asfixiado/471894/)</t>
  </si>
  <si>
    <t xml:space="preserve">commodities.azeite.canais.horeca_gourmet.dias_recebimento</t>
  </si>
  <si>
    <t xml:space="preserve">Informa D&amp;B mai. 2026: alojamento e restauração com atraso médio de 30 dias e 11% a pagar a horas (https://blog.informadb.pt/2026/07/empresas-portuguesas-estao-entre-as-que-mais-se-atrasam-nos-pagamentos-em-todo-o-mundo/); base 35 dias assume SDD B2B</t>
  </si>
  <si>
    <t xml:space="preserve">commodities.azeite.canais.horeca_gourmet.provisao_credito_pct_vendas</t>
  </si>
  <si>
    <t xml:space="preserve">estimativa: SDD B2B sem direito a reembolso (https://europeanpaymentscouncil.eu/sites/default/files/kb/file/2024-11/EPC222-07%202025%20SDD%20B2B%20Rulebook%20version%201.0.pdf) + limites por cliente; ~66 mil empresas em risco de atraso &gt;90 dias (https://jornaleconomico.sapo.pt/noticias/empresas-portuguesas-em-risco-de-atrasos-graves-disparam-para-66-mil-diz-informa-db/)</t>
  </si>
  <si>
    <t xml:space="preserve">commodities.azeite.canais.distribuidores_export.preco_referencia_eur_kg</t>
  </si>
  <si>
    <t xml:space="preserve">estimativa (NÃO VERIFICADO): preço de saída do embalador pela decomposição do Observatorio de la Cadena Alimentaria: granel 3,50 + embalamento 0,47-0,51 + margem líquida do embalador 0,19-0,50 = 4,16-4,51 EUR/kg (https://www.mapa.gob.es/dam/mapa/contenido/alimentacion/temas/consumo-y-tendencias-en-alimentacion/observatorio-cadena-alimentaria-abril-2016/estudios-e-informes/estudiodelacadenadevalordelaove2019-202008062021.pdf); marca branca ES 5 L 3,99 EUR/kg s/ IVA na prateleira (https://radarsuper.com/mercadona/p/aceite-oliva-virgen-extra-hacendado-garrafa-14727). Break-even do canal em regime: 4,29 EUR/kg; cada 0,10 EUR/kg vale ~178k EUR de EBITDA em 2031 (base, 1.790 t)</t>
  </si>
  <si>
    <t xml:space="preserve">commodities.azeite.canais.distribuidores_export.desconto_efetivo</t>
  </si>
  <si>
    <t xml:space="preserve">0%: a referência já é o preço de saída do embalador; qualquer desconto põe o canal abaixo do break-even</t>
  </si>
  <si>
    <t xml:space="preserve">commodities.azeite.custos_fisicos_e_custodia.armazenagem_eur_t_mes</t>
  </si>
  <si>
    <t xml:space="preserve">estimativa pelo método de custo (inox amortizado + N2 + energia), intervalo 2-8 EUR/t/mês (40-risco-coberturas.md sec. 1.5); pedir cotação ao Lagar do Val</t>
  </si>
  <si>
    <t xml:space="preserve">commodities.azeite.custos_fisicos_e_custodia.seguro_stock_pct_ano</t>
  </si>
  <si>
    <t xml:space="preserve">estimativa 0,1-0,3%/ano (40-risco-coberturas.md sec. 4.5); NÃO VERIFICADO</t>
  </si>
  <si>
    <t xml:space="preserve">commodities.azeite.custos_fisicos_e_custodia.analise_fisico_quimica_painel_eur</t>
  </si>
  <si>
    <t xml:space="preserve">estimativa 300 EUR por análise completa + painel (40-risco-coberturas.md sec. 5.2); NÃO VERIFICADO</t>
  </si>
  <si>
    <t xml:space="preserve">commodities.azeite.custos_fisicos_e_custodia.desclassificacao_prob_por_trimestre</t>
  </si>
  <si>
    <t xml:space="preserve">estimativa 3%/5%/15%/30% a 3/6/12/18 meses x 0,30 EUR/kg (40-risco-coberturas.md sec. 5.2); diferencial AOVE-lampante 0,24 EUR/kg em 2026</t>
  </si>
  <si>
    <t xml:space="preserve">commodities.azeite.custos_fisicos_e_custodia.dias_pagamento_produtor</t>
  </si>
  <si>
    <t xml:space="preserve">Diretiva (UE) 2019/633 (https://eur-lex.europa.eu/eli/dir/2019/633/oj) e DL 76/2021 (https://sima.gpp.pt/images/Producao_e_Mercados/OrgProducao_CadeiaAlimentar/PARCA/DL_76_2021.pdf): máximo 30 dias perecíveis / 60 dias restantes; política Sprout 30 dias como vantagem comercial</t>
  </si>
  <si>
    <t xml:space="preserve">commodities.agua.litros_por_palete</t>
  </si>
  <si>
    <t xml:space="preserve">estimativa: palete de 500 garrafas de 1,5 L (formato varia por engarrafador)</t>
  </si>
  <si>
    <t xml:space="preserve">commodities.agua.preco_ex_fabrica_medio_eur_l</t>
  </si>
  <si>
    <t xml:space="preserve">inferência DGEG 2025: 479 MEUR / ~2.000 M L (https://www.dgeg.gov.pt/pt/destaques/aguas-em-numeros-estatisticas-dos-recursos-hidrogeologicos-e-geotermicos/)</t>
  </si>
  <si>
    <t xml:space="preserve">commodities.agua.preco_b2b_referencia_eur_l</t>
  </si>
  <si>
    <t xml:space="preserve">estimativa NÃO VERIFICADA (hipótese 0,30-0,60 EUR/L a saída do distribuidor; 10-mercado.md sec. 2.3)</t>
  </si>
  <si>
    <t xml:space="preserve">commodities.agua.comissao_agente_pct_gmv</t>
  </si>
  <si>
    <t xml:space="preserve">estimativa [E]: base 2%, intervalo 0,5-3% (marketplace B2B agente em commodity, 50-concorrencia.md sec. 8, não verificado); 4-5% só com cotação real de um engarrafador</t>
  </si>
  <si>
    <t xml:space="preserve">commodities.agua.deposito_sdr_eur_por_embalagem</t>
  </si>
  <si>
    <t xml:space="preserve">SDR em vigor desde 10/04/2026, 0,10 EUR por embalagem &lt; 3 L (https://www.ambienteonline.pt/destaques/sistema-de-deposito-e-reembolso-arranca-a-10-de-abril-de-2026)</t>
  </si>
  <si>
    <t xml:space="preserve">estimativa: piloto 60 paletes (25 HoReCa x 1.500-2.500 L por semestre = 37.500-62.500 L; 3.000-5.000 L/ano por cliente, 10-mercado.md sec. 5); pessimista = descontinuar no gate (água sem margem de embalador a capturar: Diretiva 2009/54/CE, https://eur-lex.europa.eu/eli/dir/2009/54/oj)</t>
  </si>
  <si>
    <t xml:space="preserve">commodities.cafe.ano_inicio</t>
  </si>
  <si>
    <t xml:space="preserve">EUDR aplicável a 30/12/2026 (grandes/médios) e 30/06/2027 (micro/pequenos) (https://www.hqts.com/eudr-postponed/); HoReCa presa a comodato/exclusividade (https://jurisprudencia.pt/acordao/220334/)</t>
  </si>
  <si>
    <t xml:space="preserve">commodities.cafe.preco_compra_eur_kg</t>
  </si>
  <si>
    <t xml:space="preserve">estimativa: KC 2,85 USD/lb a 09/10/2026 (https://www.macrotrends.net/2535/coffee-prices-historical-chart-data) = 6,28 USD/kg = 5,46 EUR/kg a 1,15 + diferencial, importação e logística ~1,5 EUR/kg (NÃO VERIFICADO)</t>
  </si>
  <si>
    <t xml:space="preserve">commodities.cafe.preco_venda_eur_kg</t>
  </si>
  <si>
    <t xml:space="preserve">[E] NV, sem comparável verificado: margem bruta ~11% sobre a venda a microtorrefatores; as taxas e margens da Algrano estão como NV em 50-concorrencia.md sec. 2.1 e 8; hipótese a validar com 2-3 importadores da UE</t>
  </si>
  <si>
    <t xml:space="preserve">commodities.cafe.eurusd_trabalho</t>
  </si>
  <si>
    <t xml:space="preserve">BCE 1,1401 a 26/06/2026 (https://www.ecb.europa.eu/stats/exchange/eurofxref/shared/pdf/2026/06/20260626.pdf); valor de out. 2026 NÃO VERIFICADO</t>
  </si>
  <si>
    <t xml:space="preserve">commodities.cafe.volume_t</t>
  </si>
  <si>
    <t xml:space="preserve">estimativa: 92 empresas de torrefação em PT (https://blog.informadb.pt/2025/05/faturacao-do-setor-do-cafe-aumenta-69-em-2024-e-atinge-os-695-milhoes-de-euros/); 30-100 t/ano = 10-20 microtorrefatores</t>
  </si>
  <si>
    <t xml:space="preserve">receitas.financiamento_stock_terceiros</t>
  </si>
  <si>
    <t xml:space="preserve">estimativa: comissão de estruturação/verificação de 1-2% do lote financiado (50-concorrencia.md sec. 12.2); banco parceiro como mutuante por causa da reserva de atividade de crédito (RGICSF; 40-risco-coberturas.md sec. 5.3); custos diretos de verificação de 0,018 EUR/kg verificado (collateral manager 1.200 + análises 600 EUR por lote de 100 t) a LTV 60-65% (40-risco-coberturas.md sec. 5.3): margem líquida 2031 base ~18k EUR, não 100k</t>
  </si>
  <si>
    <t xml:space="preserve">receitas.dados_e_indice_eur</t>
  </si>
  <si>
    <t xml:space="preserve">estimativa conservadora; Mintec/Expana e Poolred já publicam preços (50-concorrencia.md sec. 2.1)</t>
  </si>
  <si>
    <t xml:space="preserve">financiamento.cupao_anual</t>
  </si>
  <si>
    <t xml:space="preserve">estimativa: custo de capital do investidor de 8%/ano usado no modelo de carry (40-risco-coberturas.md sec. 5.2); custo ECSP de retalho 10-13%/ano (50-concorrencia.md sec. 3.3); descida com historial</t>
  </si>
  <si>
    <t xml:space="preserve">financiamento.utilizacao_media_capital</t>
  </si>
  <si>
    <t xml:space="preserve">estimativa: capital levantado a 12-18 meses vs. rotação de stock de 2-4 meses (40-risco-coberturas.md sec. 5.1); cash sweep reduz capital parado</t>
  </si>
  <si>
    <t xml:space="preserve">financiamento.capital_subordinado_patrocinador_pct</t>
  </si>
  <si>
    <t xml:space="preserve">40-risco-coberturas.md sec. 5.3 (P3: 10% skin in the game) em regime; 1.ª série 33% porque o subordinado é o capital social da SPV (50k) e a reserva começa vazia (stress test em 01-desenho-do-modelo.md sec. 4.4)</t>
  </si>
  <si>
    <t xml:space="preserve">financiamento.reserva_primeira_perda</t>
  </si>
  <si>
    <t xml:space="preserve">40-risco-coberturas.md sec. 5.3 (P3: 30% da margem bruta do lote, teto 5% do saldo vivo)</t>
  </si>
  <si>
    <t xml:space="preserve">financiamento.extensao</t>
  </si>
  <si>
    <t xml:space="preserve">40-risco-coberturas.md sec. 5.3 (P5) e sec. 8 (playbook): uma extensão de 6 meses, step-up +200-300 p.b., cash sweep 100%</t>
  </si>
  <si>
    <t xml:space="preserve">financiamento.retorno_investidor</t>
  </si>
  <si>
    <t xml:space="preserve">taxa liberatória de 28% sobre juros (singulares) e retenção de 25% (coletivas): conhecimento de referência [L], NÃO VERIFICADO online</t>
  </si>
  <si>
    <t xml:space="preserve">financiamento.custos_spv</t>
  </si>
  <si>
    <t xml:space="preserve">estimativa: SA PT emitente com custo anual de 10-30k EUR e constituição de 15-40k EUR (20-regulatorio.md sec. 7.1); funções independentes (administrador, membro do Comité de Risco, representante comum) ~15-30k EUR/ano [E, NV]</t>
  </si>
  <si>
    <t xml:space="preserve">custos.transacao</t>
  </si>
  <si>
    <t xml:space="preserve">Lemonway preçário público (https://lemonway.com/en/pricing-marketplace); rails SEPA e SDD B2B (30-pagamentos-infra.md sec. 3.3-3.4); preços bancários PT NÃO VERIFICADOS</t>
  </si>
  <si>
    <t xml:space="preserve">custos.kyc</t>
  </si>
  <si>
    <t xml:space="preserve">estimativa [L/NV]: Sumsub ~1,35-1,85 USD, Veriff ~0,80-1,89 USD por verificação; KYB 3-10 EUR; screening 100-500 EUR/mês (30-pagamentos-infra.md sec. 4.2 e 4.4)</t>
  </si>
  <si>
    <t xml:space="preserve">custos.seguro_credito</t>
  </si>
  <si>
    <t xml:space="preserve">estimativa 0,1-0,6% do volume seguro, prémio mínimo de alguns milhares de EUR (40-risco-coberturas.md sec. 4.2); NÃO VERIFICADO; incluído no opex desde 2028 sobre todas as vendas de azeite (o stress test S3 de regime conta com ele)</t>
  </si>
  <si>
    <t xml:space="preserve">custos.hedge</t>
  </si>
  <si>
    <t xml:space="preserve">MFAO extinto, MIC XSRM expirado em jan. 2017 (https://www.tradinghours.com/mic/s/xsrm; https://www.einforma.com/informacion-empresa/mfao-rectora-mercado-futuros-aceite-oliva); ICE KC 37.500 lb (https://www.ice.com/products/15/Coffee-C-Futures); limite de 30% da margem bruta (40-risco-coberturas.md sec. 7)</t>
  </si>
  <si>
    <t xml:space="preserve">custos.pessoal.tsu_entidade_empregadora</t>
  </si>
  <si>
    <t xml:space="preserve">Código Contributivo, taxa contributiva global 34,75% (23,75% entidade empregadora): conhecimento de referência [L], NÃO reconfirmado online nesta sessão</t>
  </si>
  <si>
    <t xml:space="preserve">custos.pessoal.outros_encargos_pct</t>
  </si>
  <si>
    <t xml:space="preserve">estimativa: seguro de acidentes de trabalho + medicina do trabalho + FGCT; subsídio de refeição à parte (custos.pessoal.subsidio_refeicao_eur_fte_ano; limites de isenção [L], https://info.portaldasfinancas.gov.pt/pt/informacao_fiscal/codigos_tributarios/cirs_rep/Pages/irs2.aspx)</t>
  </si>
  <si>
    <t xml:space="preserve">custos.pessoal.funcoes</t>
  </si>
  <si>
    <t xml:space="preserve">estimativa de mercado PT 2026-27 (Lisboa/Porto), salário bruto anual com 14 meses; NÃO VERIFICADO contra guias salariais (pesquisa web indisponível). Responsável de Risco obrigatório antes da 1.ª emissão (40-risco-coberturas.md sec. 9.16)</t>
  </si>
  <si>
    <t xml:space="preserve">custos.opex_nao_salarial_eur</t>
  </si>
  <si>
    <t xml:space="preserve">estimativa: jurídico Y1 inclui parecer escrito, SPV e minutas (20-regulatorio.md sec. 11.14); segurança inclui pentest 5-15k e ISO 27001 15-50k no 1.º ano (30-pagamentos-infra.md sec. 8.4 e 10.1); restantes por custo de mercado</t>
  </si>
  <si>
    <t xml:space="preserve">custos.pre_arranque_2026_eur</t>
  </si>
  <si>
    <t xml:space="preserve">30-pagamentos-infra.md sec. 10.1 (auditoria do backoffice + pentest 10-25k; AIPD 3-8k) e 20-regulatorio.md sec. 7.1 (constituição PT SA 15-40k)</t>
  </si>
  <si>
    <t xml:space="preserve">capex.telemetria_eur_por_local</t>
  </si>
  <si>
    <t xml:space="preserve">estimativa 3.000-9.000 EUR por 4-6 sensores radar + gateway (30-pagamentos-infra.md sec. 10.1)</t>
  </si>
  <si>
    <t xml:space="preserve">capex.plataforma_desenvolvimento_capitalizavel_eur</t>
  </si>
  <si>
    <t xml:space="preserve">estimativa: reescrita clean-room de ledger, pagamentos e KYC (30-pagamentos-infra.md sec. 8.6) + portais</t>
  </si>
  <si>
    <t xml:space="preserve">capital_de_giro.caixa_minima_operacional_eur</t>
  </si>
  <si>
    <t xml:space="preserve">estimativa: ~2,5 meses de opex de 2027 (pessoal 401k + opex não salarial 319k = 60k/mês)</t>
  </si>
  <si>
    <t xml:space="preserve">capital_de_giro.iva</t>
  </si>
  <si>
    <t xml:space="preserve">AT: azeite 6% (https://info.portaldasfinancas.gov.pt/pt/informacao_fiscal/informacoes_vinculativas/despesa/civa/Documents/PIV_29955.pdf); água 13% (informação vinculativa 10884, http://www.fa-cont.com/INFORMACAO%20VINCULATIVA%2010884%20IVA%20AGUA%20GAS%20NATURAL%2013%25.pdf); café 23% inferido (20-regulatorio.md sec. 8.6)</t>
  </si>
  <si>
    <t xml:space="preserve">impostos.irc_taxa_geral</t>
  </si>
  <si>
    <t xml:space="preserve">conhecimento de referência [L]: redução de 1 p.p./ano aprovada em 2025 (19% 2026, 18% 2027, 17% 2028); NÃO reconfirmado online a 2026-10-13</t>
  </si>
  <si>
    <t xml:space="preserve">impostos.irc_taxa_pme_primeiros_50k</t>
  </si>
  <si>
    <t xml:space="preserve">conhecimento de referência [L]; NÃO reconfirmado</t>
  </si>
  <si>
    <t xml:space="preserve">impostos.derrama_municipal_max</t>
  </si>
  <si>
    <t xml:space="preserve">Regime Financeiro das Autarquias Locais, até 1,5% do lucro tributável [L]</t>
  </si>
  <si>
    <t xml:space="preserve">impostos.derrama_estadual</t>
  </si>
  <si>
    <t xml:space="preserve">CIRC art. 87.º-A [L]: 3% / 5% / 9% acima de 1,5 / 7,5 / 35 MEUR</t>
  </si>
  <si>
    <t xml:space="preserve">impostos.reporte_prejuizos</t>
  </si>
  <si>
    <t xml:space="preserve">OE2023 [L]: sem limite temporal, dedução até 65% do lucro tributável</t>
  </si>
  <si>
    <t xml:space="preserve">stress_tests</t>
  </si>
  <si>
    <t xml:space="preserve">40-risco-coberturas.md sec. 1.3 (volatilidade, VaR) e sec. 5.2-5.4 (carry e stress tests); aplicação à 1.ª série em 01-desenho-do-modelo.md sec. 4.4</t>
  </si>
  <si>
    <t xml:space="preserve">kpis_piloto</t>
  </si>
  <si>
    <t xml:space="preserve">documento-fonte (fill rate, variação de base, SLA de pagamentos, reconciliação diária); metas de reconciliação de 30-pagamentos-infra.md sec. 5.5; limites de 40-risco-coberturas.md sec. 7; volume dimensionado pelo consumo por cliente (150-300 L/ano azeite; 3.000-5.000 L/ano água; 10-mercado.md sec. 5); margens por canal de calculo_referencia.py</t>
  </si>
  <si>
    <t xml:space="preserve">resultados_referencia</t>
  </si>
  <si>
    <t xml:space="preserve">estimativa: cálculo determinístico em docs/business-plan/modelo/calculo_referencia.py a partir dos pressupostos deste ficheiro (volumes por canal x preços x custos por kg; pessoal com TSU, subsídio de refeição e fundadores a 60% até ao gate; opex com contingência e inflação, custos da SPV e seguro de crédito; capital de giro por dias de stock médio; obrigações = % do capital de giro / utilização; capital próprio no capital de giro &gt;= capital social da SPV; reserva = 5% das obrigações; impostos com reporte de prejuízos a 65%)</t>
  </si>
  <si>
    <t xml:space="preserve">estimativa [E]: piloto 33 clientes (fev.-jul. 2027); base dentro do SOM do ano 3 (1.000-2.000 clientes, 10-mercado.md sec. 5); otimista 3.000 em 2031 (4% das empresas)</t>
  </si>
  <si>
    <t xml:space="preserve">commodities.azeite.canais.horeca_gourmet.dias_stock</t>
  </si>
  <si>
    <t xml:space="preserve">stock médio; 180 dias com &lt; 300 clientes ativos (lote ou tranche HoReCa escoado em ~6 meses), 45 dias com &gt;= 300 (escoamento uniforme em ~90 dias)</t>
  </si>
  <si>
    <t xml:space="preserve">commodities.azeite.canais.horeca_gourmet.armazem_logistico_picking_eur_kg</t>
  </si>
  <si>
    <t xml:space="preserve">estimativa [E, NV]: armazenagem e picking em 3PL de encomendas de 20-50 kg (~2-4 EUR por encomenda); sensibilidade: cada +0,05 EUR/kg = -20,5k EUR de EBITDA em 2031 (base, 410 t)</t>
  </si>
  <si>
    <t xml:space="preserve">commodities.azeite.canais.horeca_gourmet.inspecao_collateral_manager_eur_por_lote</t>
  </si>
  <si>
    <t xml:space="preserve">estimativa [E, NV]: 300-500 EUR por visita (30-pagamentos-infra.md sec. 7.4); entrada + ~3 libertações de tranche para o 3PL + fecho = 2.000 EUR por lote de 20 t</t>
  </si>
  <si>
    <t xml:space="preserve">commodities.azeite.canais.distribuidores_export.dias_stock</t>
  </si>
  <si>
    <t xml:space="preserve">stock médio de 30 dias (paletes levantadas em ~60 dias)</t>
  </si>
  <si>
    <t xml:space="preserve">commodities.azeite.canais.horeca_gourmet.pagamentos_bancarios_eur_kg</t>
  </si>
  <si>
    <t xml:space="preserve">estimativa: só comissões bancárias por operação SEPA (~0-2 EUR por operação; 30-pagamentos-infra.md sec. 4.4); KYC e faturação no fixo de tecnologia</t>
  </si>
  <si>
    <t xml:space="preserve">financiamento.pct_capital_giro_azeite_financiado_por_notes</t>
  </si>
  <si>
    <t xml:space="preserve">CSC art. 348.º/2 [L, redação a reconfirmar no DRE: https://diariodarepublica.pt/dr/legislacao-consolidada/decreto-lei/1986-34443975]: só emitem obrigações sociedades registadas há mais de 1 ano, salvo fusão/cisão com sociedade registada há mais de 1 ano, maioria de capital público ou garantia de instituição de crédito ou do Estado; RGICSF art. 9.º só cobre obrigações "nos termos e limites do CSC" =&gt; 2027 = 0%</t>
  </si>
  <si>
    <t xml:space="preserve">financiamento.primeira_serie</t>
  </si>
  <si>
    <t xml:space="preserve">Reg. (UE) 2017/1129 art. 1.º(4)(a)/(d) e art. 2.º al. e) (https://eur-lex.europa.eu/eli/reg/2017/1129/oj/eng): investidor qualificado a pedido = tratado como profissional por empresa de investimento ou instituição de crédito (MiFID II Anexo II, Secção II, https://www.esma.europa.eu/publications-and-data/interactive-single-rulebook/mifid-ii/annex-ii), que comunica a classificação ao emitente; a SPV e a OpCo não fazem opt-up. Subscritores &gt;= 100k não profissionais são retalho para os PRIIPs (Reg. 1286/2014 art. 4.º(6), https://eur-lex.europa.eu/eli/reg/2014/1286/oj/eng). Capital social mínimo de SA 50.000 EUR (CSC art. 276.º/5) e realização mínima de 30% (art. 277.º/2) [L]. Dimensão 100-150k EUR (40-risco-coberturas.md sec. 9.10)</t>
  </si>
  <si>
    <t xml:space="preserve">commodities.azeite.canais.granel_certificado</t>
  </si>
  <si>
    <t xml:space="preserve">alavanca de escala: granel certificado (lote, ficha, custódia, telemetria) comprado back-to-back ao índice e vendido a embaladores/exportadores a índice + 0,15 EUR/kg; lote de 100 t com collateral manager 1.200 EUR e análises 600 EUR (os mesmos custos da verificação para terceiros); 3.500 t em 2031 = 2% da produção PT (~175 kt). Margem esperada 0,03-0,04 EUR/kg antes do seguro de crédito, dentro do intervalo 0-0,10 do JSON; o 40 estima margem bruta de trading de granel de 0,15-0,30 EUR/kg (usa-se 0,15, o ponto de encontro das duas fontes) Fontes: 10-mercado.md sec. 5 e 6.9; commodities.azeite.canais.distribuidores_export.descricao; 40-risco-coberturas.md sec. 1.3; receitas.financiamento_stock_terceiros.nota_custos</t>
  </si>
  <si>
    <t xml:space="preserve">0 nos três cenários do documento-fonte; 0,10 no recomendado (01-desenho-do-modelo.md sec. 5.4: condição para a seed 0,10-0,20)</t>
  </si>
  <si>
    <t xml:space="preserve">igual a commodities.azeite.premio_origem_pago_ao_lagar_eur_kg nos três cenários do documento-fonte; recomendado 0,15 (DOP/monovarietal) [E]</t>
  </si>
  <si>
    <t xml:space="preserve">commodities.azeite.producao_pt_referencia_kt</t>
  </si>
  <si>
    <t xml:space="preserve">~175 kt [E], ponto médio de 160 (Olivum) e 179 (Governo) para 2025/26 (00-base-factual.md sec. 1.1)</t>
  </si>
  <si>
    <t xml:space="preserve">commodities.azeite.tese_documento_fonte</t>
  </si>
  <si>
    <t xml:space="preserve">Observatorio de la Cadena Alimentaria (00-base-factual.md sec. 1.4): margem líquida do embalador 0,187 / 0,499 / 0,206 EUR/kg; documento-fonte: 80-90% capturados e 10-15% de desconto</t>
  </si>
  <si>
    <t xml:space="preserve">commodities.agua.lote_tipo</t>
  </si>
  <si>
    <t xml:space="preserve">01-desenho-do-modelo.md sec. 2.7 (comparação principal vs agente); o financiamento usa o cupão base de 2027 (8%) sobre stock + depósitos SDR durante 30 dias = 30 EUR; o 01 indica 38 EUR (equivale a ~10%/ano): diferença de 8 EUR por lote, sem efeito no modelo (água em modelo agente)</t>
  </si>
  <si>
    <t xml:space="preserve">commodities.cafe.custo_cobertura_pct_compras</t>
  </si>
  <si>
    <t xml:space="preserve">40-risco-coberturas.md sec. 2.3-2.4: forward EUR/USD 0,1-0,5% [E/NV]; ICE &lt; 0,5% do nocional por semestre; 0 nos cenários do documento-fonte (compra a preço fixo em EUR, custo embutido no preço do importador)</t>
  </si>
  <si>
    <t xml:space="preserve">1 = a Sprout paga collateral manager e análises (cenários do documento-fonte); 0 = pagos pelo banco/mutuário (alternativa da nota de custos; recomendado)</t>
  </si>
  <si>
    <t xml:space="preserve">financiamento.ronda_pre_seed_eur</t>
  </si>
  <si>
    <t xml:space="preserve">01-desenho-do-modelo.md sec. 5.5 e 7.3: pré-seed 1,1 M EUR até 31-01-2027 (pré-arranque, capital da SPV, fase 0, piloto, set.-dez. 2027 e 150k de caixa mínima)</t>
  </si>
  <si>
    <t xml:space="preserve">financiamento.ticket_medio_investidor_eur</t>
  </si>
  <si>
    <t xml:space="preserve">01-desenho-do-modelo.md sec. 7.3: ~30 investidores com ticket médio de 50k EUR em 2031 (base) [E]</t>
  </si>
  <si>
    <t xml:space="preserve">compradores de granel são embaladores/exportadores, não restauração; o intervalo indicativo é 0,1-0,6%, mais alto na restauração; usa-se metade da taxa do modelo (0,4%) só sobre as vendas de granel</t>
  </si>
  <si>
    <t xml:space="preserve">custos.pessoal.funcoes.trader_granel_exportacao</t>
  </si>
  <si>
    <t xml:space="preserve">só no recomendado: originação de granel certificado e exportação embalada a partir de 2029 (em 2028 o CEO/comercial e Operações cobrem 500 t) [E, NV]</t>
  </si>
  <si>
    <t xml:space="preserve">sensibilidades</t>
  </si>
  <si>
    <t xml:space="preserve">aplicadas aos cenários base e recomendado no modelo financeiro (folha Motor); volume = todos os volumes físicos (azeite por canal, água, café), estrutura fixa inalterada; preço do AOVE = índice do granel e referências de venda HoReCa e distribuidores x (1 - 30%), com embalamento, logística e custos fixos inalterados (repasse proporcional, o caso conservador); a perda pontual no stock em aberto é mostrada à parte</t>
  </si>
  <si>
    <t xml:space="preserve">unit_economics</t>
  </si>
  <si>
    <t xml:space="preserve">lotes-tipo: HoReCa/gourmet 20 t, distribuidores/exportação 30 t, granel certificado 100 t (dimensões em commodities.azeite.canais.*.lote_medio_t); água 20 paletes (commodities.agua.lote_tipo)</t>
  </si>
  <si>
    <t xml:space="preserve">cenario_recomendado</t>
  </si>
  <si>
    <t xml:space="preserve">ver cenario_recomendado.alteracoes (cada alteração com justificação e fonte)</t>
  </si>
  <si>
    <t xml:space="preserve">Motor de cálculo</t>
  </si>
  <si>
    <t xml:space="preserve">As mesmas linhas das folhas de detalhe, em blocos fixos por cenário e por caso de sensibilidade. Não editar: os inputs estão em Pressupostos. Cenários, Unit economics e Sensibilidade leem daqui.</t>
  </si>
  <si>
    <t xml:space="preserve">id da linha</t>
  </si>
  <si>
    <t xml:space="preserve">Bloco: Pessimista</t>
  </si>
  <si>
    <t xml:space="preserve">Volumes · Calendário</t>
  </si>
  <si>
    <t xml:space="preserve">Volumes · Azeite (t)</t>
  </si>
  <si>
    <t xml:space="preserve">v_h_cli</t>
  </si>
  <si>
    <t xml:space="preserve">v_h_t</t>
  </si>
  <si>
    <t xml:space="preserve">v_d_t</t>
  </si>
  <si>
    <t xml:space="preserve">v_g_t</t>
  </si>
  <si>
    <t xml:space="preserve">v_az_t</t>
  </si>
  <si>
    <t xml:space="preserve">v_h_mix</t>
  </si>
  <si>
    <t xml:space="preserve">v_quota</t>
  </si>
  <si>
    <t xml:space="preserve">v_lotes</t>
  </si>
  <si>
    <t xml:space="preserve">Volumes · Água (modelo agente)</t>
  </si>
  <si>
    <t xml:space="preserve">v_ag_pal</t>
  </si>
  <si>
    <t xml:space="preserve">v_ag_l</t>
  </si>
  <si>
    <t xml:space="preserve">Volumes · Café verde</t>
  </si>
  <si>
    <t xml:space="preserve">v_cf_t</t>
  </si>
  <si>
    <t xml:space="preserve">Volumes · Verificação para terceiros (banco parceiro)</t>
  </si>
  <si>
    <t xml:space="preserve">v_tp_cart</t>
  </si>
  <si>
    <t xml:space="preserve">v_tp_t</t>
  </si>
  <si>
    <t xml:space="preserve">Custos · Economia por kg: HoReCa/gourmet</t>
  </si>
  <si>
    <t xml:space="preserve">h_gr</t>
  </si>
  <si>
    <t xml:space="preserve">h_ref</t>
  </si>
  <si>
    <t xml:space="preserve">h_price</t>
  </si>
  <si>
    <t xml:space="preserve">h_emb</t>
  </si>
  <si>
    <t xml:space="preserve">h_log</t>
  </si>
  <si>
    <t xml:space="preserve">h_3pl</t>
  </si>
  <si>
    <t xml:space="preserve">h_ds</t>
  </si>
  <si>
    <t xml:space="preserve">h_dr</t>
  </si>
  <si>
    <t xml:space="preserve">h_arm</t>
  </si>
  <si>
    <t xml:space="preserve">h_seg</t>
  </si>
  <si>
    <t xml:space="preserve">h_anal</t>
  </si>
  <si>
    <t xml:space="preserve">h_perdas</t>
  </si>
  <si>
    <t xml:space="preserve">h_descl</t>
  </si>
  <si>
    <t xml:space="preserve">h_cust</t>
  </si>
  <si>
    <t xml:space="preserve">h_pag</t>
  </si>
  <si>
    <t xml:space="preserve">h_prov</t>
  </si>
  <si>
    <t xml:space="preserve">h_hedge</t>
  </si>
  <si>
    <t xml:space="preserve">h_cupao</t>
  </si>
  <si>
    <t xml:space="preserve">h_custo</t>
  </si>
  <si>
    <t xml:space="preserve">h_margem</t>
  </si>
  <si>
    <t xml:space="preserve">h_margem_pct</t>
  </si>
  <si>
    <t xml:space="preserve">h_cg</t>
  </si>
  <si>
    <t xml:space="preserve">Custos · Economia por kg: distribuidores/exportação</t>
  </si>
  <si>
    <t xml:space="preserve">d_gr</t>
  </si>
  <si>
    <t xml:space="preserve">d_ref</t>
  </si>
  <si>
    <t xml:space="preserve">d_price</t>
  </si>
  <si>
    <t xml:space="preserve">d_emb</t>
  </si>
  <si>
    <t xml:space="preserve">d_log</t>
  </si>
  <si>
    <t xml:space="preserve">d_3pl</t>
  </si>
  <si>
    <t xml:space="preserve">d_ds</t>
  </si>
  <si>
    <t xml:space="preserve">d_dr</t>
  </si>
  <si>
    <t xml:space="preserve">d_arm</t>
  </si>
  <si>
    <t xml:space="preserve">d_seg</t>
  </si>
  <si>
    <t xml:space="preserve">d_anal</t>
  </si>
  <si>
    <t xml:space="preserve">d_perdas</t>
  </si>
  <si>
    <t xml:space="preserve">d_descl</t>
  </si>
  <si>
    <t xml:space="preserve">d_cust</t>
  </si>
  <si>
    <t xml:space="preserve">d_pag</t>
  </si>
  <si>
    <t xml:space="preserve">d_prov</t>
  </si>
  <si>
    <t xml:space="preserve">d_hedge</t>
  </si>
  <si>
    <t xml:space="preserve">d_cupao</t>
  </si>
  <si>
    <t xml:space="preserve">d_custo</t>
  </si>
  <si>
    <t xml:space="preserve">d_margem</t>
  </si>
  <si>
    <t xml:space="preserve">d_margem_pct</t>
  </si>
  <si>
    <t xml:space="preserve">d_cg</t>
  </si>
  <si>
    <t xml:space="preserve">Custos · Economia por kg: granel certificado</t>
  </si>
  <si>
    <t xml:space="preserve">g_gr</t>
  </si>
  <si>
    <t xml:space="preserve">g_ref</t>
  </si>
  <si>
    <t xml:space="preserve">g_price</t>
  </si>
  <si>
    <t xml:space="preserve">g_emb</t>
  </si>
  <si>
    <t xml:space="preserve">g_log</t>
  </si>
  <si>
    <t xml:space="preserve">g_3pl</t>
  </si>
  <si>
    <t xml:space="preserve">g_ds</t>
  </si>
  <si>
    <t xml:space="preserve">g_dr</t>
  </si>
  <si>
    <t xml:space="preserve">g_arm</t>
  </si>
  <si>
    <t xml:space="preserve">g_seg</t>
  </si>
  <si>
    <t xml:space="preserve">g_anal</t>
  </si>
  <si>
    <t xml:space="preserve">g_perdas</t>
  </si>
  <si>
    <t xml:space="preserve">g_descl</t>
  </si>
  <si>
    <t xml:space="preserve">g_cust</t>
  </si>
  <si>
    <t xml:space="preserve">g_pag</t>
  </si>
  <si>
    <t xml:space="preserve">g_prov</t>
  </si>
  <si>
    <t xml:space="preserve">g_hedge</t>
  </si>
  <si>
    <t xml:space="preserve">g_cupao</t>
  </si>
  <si>
    <t xml:space="preserve">g_custo</t>
  </si>
  <si>
    <t xml:space="preserve">g_margem</t>
  </si>
  <si>
    <t xml:space="preserve">g_margem_pct</t>
  </si>
  <si>
    <t xml:space="preserve">g_cg</t>
  </si>
  <si>
    <t xml:space="preserve">Receitas · Receitas por fluxo (€)</t>
  </si>
  <si>
    <t xml:space="preserve">r_h</t>
  </si>
  <si>
    <t xml:space="preserve">r_d</t>
  </si>
  <si>
    <t xml:space="preserve">r_g</t>
  </si>
  <si>
    <t xml:space="preserve">r_az</t>
  </si>
  <si>
    <t xml:space="preserve">r_cf</t>
  </si>
  <si>
    <t xml:space="preserve">gmv_ag</t>
  </si>
  <si>
    <t xml:space="preserve">r_ag</t>
  </si>
  <si>
    <t xml:space="preserve">r_tp</t>
  </si>
  <si>
    <t xml:space="preserve">r_dd</t>
  </si>
  <si>
    <t xml:space="preserve">r_total</t>
  </si>
  <si>
    <t xml:space="preserve">Receitas · GMV e capital de lotes (€)</t>
  </si>
  <si>
    <t xml:space="preserve">gmv_total</t>
  </si>
  <si>
    <t xml:space="preserve">lotes_valor</t>
  </si>
  <si>
    <t xml:space="preserve">lotes_fin_obr</t>
  </si>
  <si>
    <t xml:space="preserve">Receitas · Margem de contribuição por fluxo (€)</t>
  </si>
  <si>
    <t xml:space="preserve">mc_h</t>
  </si>
  <si>
    <t xml:space="preserve">mc_d</t>
  </si>
  <si>
    <t xml:space="preserve">mc_g</t>
  </si>
  <si>
    <t xml:space="preserve">mc_az</t>
  </si>
  <si>
    <t xml:space="preserve">mc_az_kg</t>
  </si>
  <si>
    <t xml:space="preserve">mc_az_pct</t>
  </si>
  <si>
    <t xml:space="preserve">cf_fin_kg</t>
  </si>
  <si>
    <t xml:space="preserve">mc_cf</t>
  </si>
  <si>
    <t xml:space="preserve">mc_ag</t>
  </si>
  <si>
    <t xml:space="preserve">mc_tp</t>
  </si>
  <si>
    <t xml:space="preserve">mc_dd</t>
  </si>
  <si>
    <t xml:space="preserve">mc_total</t>
  </si>
  <si>
    <t xml:space="preserve">Custos · Custo das mercadorias e custos diretos (€)</t>
  </si>
  <si>
    <t xml:space="preserve">cmv_az</t>
  </si>
  <si>
    <t xml:space="preserve">cmv_cf</t>
  </si>
  <si>
    <t xml:space="preserve">cmv</t>
  </si>
  <si>
    <t xml:space="preserve">cv_log</t>
  </si>
  <si>
    <t xml:space="preserve">cv_3pl</t>
  </si>
  <si>
    <t xml:space="preserve">cv_arm</t>
  </si>
  <si>
    <t xml:space="preserve">cv_qual</t>
  </si>
  <si>
    <t xml:space="preserve">cv_cust</t>
  </si>
  <si>
    <t xml:space="preserve">cv_pag</t>
  </si>
  <si>
    <t xml:space="preserve">cv_prov</t>
  </si>
  <si>
    <t xml:space="preserve">cv_hedge</t>
  </si>
  <si>
    <t xml:space="preserve">cv_tp</t>
  </si>
  <si>
    <t xml:space="preserve">cv_total</t>
  </si>
  <si>
    <t xml:space="preserve">cup_az</t>
  </si>
  <si>
    <t xml:space="preserve">cup_cf</t>
  </si>
  <si>
    <t xml:space="preserve">cup_total</t>
  </si>
  <si>
    <t xml:space="preserve">chk_mc</t>
  </si>
  <si>
    <t xml:space="preserve">Pessoal · FTE por função</t>
  </si>
  <si>
    <t xml:space="preserve">pf_ceo_comercial</t>
  </si>
  <si>
    <t xml:space="preserve">pf_cto</t>
  </si>
  <si>
    <t xml:space="preserve">pf_engenheiro_software</t>
  </si>
  <si>
    <t xml:space="preserve">pf_risco_tesouraria</t>
  </si>
  <si>
    <t xml:space="preserve">pf_compliance_aml</t>
  </si>
  <si>
    <t xml:space="preserve">pf_operacoes_supply</t>
  </si>
  <si>
    <t xml:space="preserve">pf_tecnico_qualidade_azeite</t>
  </si>
  <si>
    <t xml:space="preserve">pf_gestor_conta_b2b</t>
  </si>
  <si>
    <t xml:space="preserve">pf_controller_financeiro</t>
  </si>
  <si>
    <t xml:space="preserve">pf_analista_dados_produto</t>
  </si>
  <si>
    <t xml:space="preserve">pf_assistente_operacoes</t>
  </si>
  <si>
    <t xml:space="preserve">pf_trader_granel_exportacao</t>
  </si>
  <si>
    <t xml:space="preserve">fte_total</t>
  </si>
  <si>
    <t xml:space="preserve">Pessoal · Custo salarial bruto (€, 14 meses, com variável e atualização)</t>
  </si>
  <si>
    <t xml:space="preserve">ps_ceo_comercial</t>
  </si>
  <si>
    <t xml:space="preserve">ps_cto</t>
  </si>
  <si>
    <t xml:space="preserve">ps_engenheiro_software</t>
  </si>
  <si>
    <t xml:space="preserve">ps_risco_tesouraria</t>
  </si>
  <si>
    <t xml:space="preserve">ps_compliance_aml</t>
  </si>
  <si>
    <t xml:space="preserve">ps_operacoes_supply</t>
  </si>
  <si>
    <t xml:space="preserve">ps_tecnico_qualidade_azeite</t>
  </si>
  <si>
    <t xml:space="preserve">ps_gestor_conta_b2b</t>
  </si>
  <si>
    <t xml:space="preserve">ps_controller_financeiro</t>
  </si>
  <si>
    <t xml:space="preserve">ps_analista_dados_produto</t>
  </si>
  <si>
    <t xml:space="preserve">ps_assistente_operacoes</t>
  </si>
  <si>
    <t xml:space="preserve">ps_trader_granel_exportacao</t>
  </si>
  <si>
    <t xml:space="preserve">ps_total</t>
  </si>
  <si>
    <t xml:space="preserve">ps_enc</t>
  </si>
  <si>
    <t xml:space="preserve">ps_sub</t>
  </si>
  <si>
    <t xml:space="preserve">pess_total</t>
  </si>
  <si>
    <t xml:space="preserve">pess_fte</t>
  </si>
  <si>
    <t xml:space="preserve">Custos · Opex não salarial (€ nominais: + contingência e inflação)</t>
  </si>
  <si>
    <t xml:space="preserve">ox_juridico_compliance_externo</t>
  </si>
  <si>
    <t xml:space="preserve">ox_auditoria_roc</t>
  </si>
  <si>
    <t xml:space="preserve">ox_contabilidade_externa</t>
  </si>
  <si>
    <t xml:space="preserve">ox_tecnologia_cloud_saas_kyc</t>
  </si>
  <si>
    <t xml:space="preserve">ox_seguranca_pentest_iso27001</t>
  </si>
  <si>
    <t xml:space="preserve">ox_seguros_empresa_rc_do_cyber</t>
  </si>
  <si>
    <t xml:space="preserve">ox_marketing_comercial_b2b</t>
  </si>
  <si>
    <t xml:space="preserve">ox_escritorio</t>
  </si>
  <si>
    <t xml:space="preserve">ox_viagens_deslocacoes</t>
  </si>
  <si>
    <t xml:space="preserve">ox_formacao_recrutamento</t>
  </si>
  <si>
    <t xml:space="preserve">ox_linhas</t>
  </si>
  <si>
    <t xml:space="preserve">ox_spv</t>
  </si>
  <si>
    <t xml:space="preserve">ox_seg</t>
  </si>
  <si>
    <t xml:space="preserve">ox_total</t>
  </si>
  <si>
    <t xml:space="preserve">Custos · Capex e amortizações (€)</t>
  </si>
  <si>
    <t xml:space="preserve">cx_tel</t>
  </si>
  <si>
    <t xml:space="preserve">cx_plat</t>
  </si>
  <si>
    <t xml:space="preserve">cx_eq</t>
  </si>
  <si>
    <t xml:space="preserve">capex</t>
  </si>
  <si>
    <t xml:space="preserve">da_plat</t>
  </si>
  <si>
    <t xml:space="preserve">da_tel</t>
  </si>
  <si>
    <t xml:space="preserve">da_eq</t>
  </si>
  <si>
    <t xml:space="preserve">da</t>
  </si>
  <si>
    <t xml:space="preserve">DR · Demonstração de resultados (€)</t>
  </si>
  <si>
    <t xml:space="preserve">dr_rec</t>
  </si>
  <si>
    <t xml:space="preserve">dr_cmv</t>
  </si>
  <si>
    <t xml:space="preserve">dr_mb</t>
  </si>
  <si>
    <t xml:space="preserve">dr_mb_pct</t>
  </si>
  <si>
    <t xml:space="preserve">dr_cv</t>
  </si>
  <si>
    <t xml:space="preserve">dr_cup</t>
  </si>
  <si>
    <t xml:space="preserve">dr_mc</t>
  </si>
  <si>
    <t xml:space="preserve">dr_pess</t>
  </si>
  <si>
    <t xml:space="preserve">dr_opex</t>
  </si>
  <si>
    <t xml:space="preserve">dr_ebitda</t>
  </si>
  <si>
    <t xml:space="preserve">dr_ebitda_pct</t>
  </si>
  <si>
    <t xml:space="preserve">dr_ebitda_xc</t>
  </si>
  <si>
    <t xml:space="preserve">dr_da</t>
  </si>
  <si>
    <t xml:space="preserve">dr_ebit</t>
  </si>
  <si>
    <t xml:space="preserve">DR · IRC e derramas [L]</t>
  </si>
  <si>
    <t xml:space="preserve">tx_lt</t>
  </si>
  <si>
    <t xml:space="preserve">tx_prej_ini</t>
  </si>
  <si>
    <t xml:space="preserve">tx_prej_ger</t>
  </si>
  <si>
    <t xml:space="preserve">tx_ded</t>
  </si>
  <si>
    <t xml:space="preserve">tx_prej_fim</t>
  </si>
  <si>
    <t xml:space="preserve">tx_mc</t>
  </si>
  <si>
    <t xml:space="preserve">tx_irc</t>
  </si>
  <si>
    <t xml:space="preserve">tx_dm</t>
  </si>
  <si>
    <t xml:space="preserve">tx_de</t>
  </si>
  <si>
    <t xml:space="preserve">tx_total</t>
  </si>
  <si>
    <t xml:space="preserve">DR · Resultado</t>
  </si>
  <si>
    <t xml:space="preserve">dr_imp</t>
  </si>
  <si>
    <t xml:space="preserve">dr_rl</t>
  </si>
  <si>
    <t xml:space="preserve">Cash flow · Capital de giro (€, nível médio do ano, sem IVA)</t>
  </si>
  <si>
    <t xml:space="preserve">cg_stock_az</t>
  </si>
  <si>
    <t xml:space="preserve">cg_stock</t>
  </si>
  <si>
    <t xml:space="preserve">cg_rec</t>
  </si>
  <si>
    <t xml:space="preserve">cg_forn</t>
  </si>
  <si>
    <t xml:space="preserve">cg</t>
  </si>
  <si>
    <t xml:space="preserve">Cash flow · Financiamento do capital de giro (€)</t>
  </si>
  <si>
    <t xml:space="preserve">ob</t>
  </si>
  <si>
    <t xml:space="preserve">ob_uso</t>
  </si>
  <si>
    <t xml:space="preserve">ob_float</t>
  </si>
  <si>
    <t xml:space="preserve">cg_eq</t>
  </si>
  <si>
    <t xml:space="preserve">spv_caixa</t>
  </si>
  <si>
    <t xml:space="preserve">res</t>
  </si>
  <si>
    <t xml:space="preserve">inv_n</t>
  </si>
  <si>
    <t xml:space="preserve">Cash flow · Cash flow (€)</t>
  </si>
  <si>
    <t xml:space="preserve">cf_ebitda</t>
  </si>
  <si>
    <t xml:space="preserve">cf_imp</t>
  </si>
  <si>
    <t xml:space="preserve">cf_dcg</t>
  </si>
  <si>
    <t xml:space="preserve">cf_capex</t>
  </si>
  <si>
    <t xml:space="preserve">cf_fcf</t>
  </si>
  <si>
    <t xml:space="preserve">cf_dob</t>
  </si>
  <si>
    <t xml:space="preserve">cf_dfloat</t>
  </si>
  <si>
    <t xml:space="preserve">cf_dres</t>
  </si>
  <si>
    <t xml:space="preserve">cf_dspv</t>
  </si>
  <si>
    <t xml:space="preserve">cf_acion</t>
  </si>
  <si>
    <t xml:space="preserve">cf_acum</t>
  </si>
  <si>
    <t xml:space="preserve">chk_cf</t>
  </si>
  <si>
    <t xml:space="preserve">Cash flow · Caixa e rondas de capital (€)</t>
  </si>
  <si>
    <t xml:space="preserve">cx_ini</t>
  </si>
  <si>
    <t xml:space="preserve">cx_pre</t>
  </si>
  <si>
    <t xml:space="preserve">cx_seed</t>
  </si>
  <si>
    <t xml:space="preserve">cx_antes</t>
  </si>
  <si>
    <t xml:space="preserve">cx_plug</t>
  </si>
  <si>
    <t xml:space="preserve">cx_fim</t>
  </si>
  <si>
    <t xml:space="preserve">cx_restrita</t>
  </si>
  <si>
    <t xml:space="preserve">cx_total</t>
  </si>
  <si>
    <t xml:space="preserve">cx_rondas_acum</t>
  </si>
  <si>
    <t xml:space="preserve">Capital &amp; financiamento · Necessidade de capital próprio</t>
  </si>
  <si>
    <t xml:space="preserve">k_pre</t>
  </si>
  <si>
    <t xml:space="preserve">k_spv</t>
  </si>
  <si>
    <t xml:space="preserve">k_cmin</t>
  </si>
  <si>
    <t xml:space="preserve">k_vale</t>
  </si>
  <si>
    <t xml:space="preserve">k_need</t>
  </si>
  <si>
    <t xml:space="preserve">k_min_ano</t>
  </si>
  <si>
    <t xml:space="preserve">k_ainda</t>
  </si>
  <si>
    <t xml:space="preserve">k_rondas</t>
  </si>
  <si>
    <t xml:space="preserve">Capital &amp; financiamento · Aplicação de fundos até ao ano do mínimo (€)</t>
  </si>
  <si>
    <t xml:space="preserve">u_pre</t>
  </si>
  <si>
    <t xml:space="preserve">u_ebitda</t>
  </si>
  <si>
    <t xml:space="preserve">u_capex</t>
  </si>
  <si>
    <t xml:space="preserve">u_imp</t>
  </si>
  <si>
    <t xml:space="preserve">u_cg</t>
  </si>
  <si>
    <t xml:space="preserve">u_cmin</t>
  </si>
  <si>
    <t xml:space="preserve">u_total</t>
  </si>
  <si>
    <t xml:space="preserve">Capital &amp; financiamento · Pré-seed, runway e gate</t>
  </si>
  <si>
    <t xml:space="preserve">b_seed</t>
  </si>
  <si>
    <t xml:space="preserve">b_gate</t>
  </si>
  <si>
    <t xml:space="preserve">b_2027</t>
  </si>
  <si>
    <t xml:space="preserve">rw_cash</t>
  </si>
  <si>
    <t xml:space="preserve">rw_cross</t>
  </si>
  <si>
    <t xml:space="preserve">b_runway</t>
  </si>
  <si>
    <t xml:space="preserve">Capital &amp; financiamento · Break-even</t>
  </si>
  <si>
    <t xml:space="preserve">be_cross</t>
  </si>
  <si>
    <t xml:space="preserve">be_mes</t>
  </si>
  <si>
    <t xml:space="preserve">be_data</t>
  </si>
  <si>
    <t xml:space="preserve">be_f_ebitda</t>
  </si>
  <si>
    <t xml:space="preserve">be_ano_ebitda</t>
  </si>
  <si>
    <t xml:space="preserve">be_f_rl</t>
  </si>
  <si>
    <t xml:space="preserve">be_ano_rl</t>
  </si>
  <si>
    <t xml:space="preserve">be_f_cf</t>
  </si>
  <si>
    <t xml:space="preserve">be_ano_cf</t>
  </si>
  <si>
    <t xml:space="preserve">Capital &amp; financiamento · Investidores (obrigações da Sprout Capital, SA)</t>
  </si>
  <si>
    <t xml:space="preserve">i_ob</t>
  </si>
  <si>
    <t xml:space="preserve">i_cup</t>
  </si>
  <si>
    <t xml:space="preserve">i_cup_liq</t>
  </si>
  <si>
    <t xml:space="preserve">i_pago</t>
  </si>
  <si>
    <t xml:space="preserve">i_alm</t>
  </si>
  <si>
    <t xml:space="preserve">i_n</t>
  </si>
  <si>
    <t xml:space="preserve">Capital &amp; financiamento · O que tem de ser verdade para EBITDA = 0 (uma alavanca de cada vez)</t>
  </si>
  <si>
    <t xml:space="preserve">wt_gap</t>
  </si>
  <si>
    <t xml:space="preserve">wt_ins</t>
  </si>
  <si>
    <t xml:space="preserve">wt_d</t>
  </si>
  <si>
    <t xml:space="preserve">wt_h</t>
  </si>
  <si>
    <t xml:space="preserve">wt_g_m</t>
  </si>
  <si>
    <t xml:space="preserve">wt_g</t>
  </si>
  <si>
    <t xml:space="preserve">wt_fix</t>
  </si>
  <si>
    <t xml:space="preserve">wt_tp_rate</t>
  </si>
  <si>
    <t xml:space="preserve">wt_tp</t>
  </si>
  <si>
    <t xml:space="preserve">Bloco: Base</t>
  </si>
  <si>
    <t xml:space="preserve">Bloco: Otimista</t>
  </si>
  <si>
    <t xml:space="preserve">Bloco: Recomendado (reestruturado)</t>
  </si>
  <si>
    <t xml:space="preserve">Bloco: Base · desconto HoReCa caso 1</t>
  </si>
  <si>
    <t xml:space="preserve">Bloco: Base · desconto HoReCa caso 2</t>
  </si>
  <si>
    <t xml:space="preserve">Bloco: Base · desconto HoReCa caso 3</t>
  </si>
  <si>
    <t xml:space="preserve">Bloco: Base · volumes −</t>
  </si>
  <si>
    <t xml:space="preserve">Bloco: Base · volumes +</t>
  </si>
  <si>
    <t xml:space="preserve">Bloco: Base · preço do AOVE</t>
  </si>
  <si>
    <t xml:space="preserve">Bloco: Base · topo dos intervalos (prémio 0,20; carteira do otimista; volumes +30%)</t>
  </si>
  <si>
    <t xml:space="preserve">Bloco: Recomendado (reestruturado) · desconto HoReCa caso 1</t>
  </si>
  <si>
    <t xml:space="preserve">Bloco: Recomendado (reestruturado) · desconto HoReCa caso 2</t>
  </si>
  <si>
    <t xml:space="preserve">Bloco: Recomendado (reestruturado) · desconto HoReCa caso 3</t>
  </si>
  <si>
    <t xml:space="preserve">Bloco: Recomendado (reestruturado) · volumes −</t>
  </si>
  <si>
    <t xml:space="preserve">Bloco: Recomendado (reestruturado) · volumes +</t>
  </si>
  <si>
    <t xml:space="preserve">Bloco: Recomendado (reestruturado) · preço do AOVE</t>
  </si>
  <si>
    <t xml:space="preserve">Bloco: Recomendado (reestruturado) · topo dos intervalos (prémio 0,20; carteira do otimista; volumes +30%)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</si>
</sst>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mmm\ yyyy"/>
    <numFmt numFmtId="167" formatCode="0"/>
    <numFmt numFmtId="168" formatCode="0.00;\(0.00\);\-"/>
    <numFmt numFmtId="169" formatCode="0.0%;\(0.0%\);\-"/>
    <numFmt numFmtId="170" formatCode="0;\(0\);\-"/>
    <numFmt numFmtId="171" formatCode="0.00%;\(0.00%\);\-"/>
    <numFmt numFmtId="172" formatCode="#,##0.0;\(#,##0.0\);\-"/>
    <numFmt numFmtId="173" formatCode="0.000;\(0.000\);\-"/>
    <numFmt numFmtId="174" formatCode="0.00"/>
    <numFmt numFmtId="175" formatCode="0.0;\(0.0\);\-"/>
    <numFmt numFmtId="176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E16"/>
      <name val="Arial"/>
      <family val="0"/>
      <charset val="1"/>
    </font>
    <font>
      <i val="true"/>
      <sz val="10"/>
      <color rgb="FF5B6352"/>
      <name val="Arial"/>
      <family val="0"/>
      <charset val="1"/>
    </font>
    <font>
      <b val="true"/>
      <sz val="10"/>
      <color rgb="FF3F5A1E"/>
      <name val="Arial"/>
      <family val="0"/>
      <charset val="1"/>
    </font>
    <font>
      <b val="true"/>
      <sz val="10"/>
      <color rgb="FF1A1E16"/>
      <name val="Arial"/>
      <family val="0"/>
      <charset val="1"/>
    </font>
    <font>
      <sz val="10"/>
      <color rgb="FF1A1E16"/>
      <name val="Arial"/>
      <family val="0"/>
      <charset val="1"/>
    </font>
    <font>
      <sz val="10"/>
      <color rgb="FF5B635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5B635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1A1E1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3F5A1E"/>
      <name val="Arial"/>
      <family val="0"/>
      <charset val="1"/>
    </font>
    <font>
      <b val="true"/>
      <sz val="12"/>
      <color rgb="FF1A1E1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4F5E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DBCC"/>
      </bottom>
      <diagonal/>
    </border>
    <border diagonalUp="false" diagonalDown="false">
      <left/>
      <right/>
      <top style="thin">
        <color rgb="FFD7DB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DB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352"/>
      <rgbColor rgb="FF969696"/>
      <rgbColor rgb="FF003366"/>
      <rgbColor rgb="FF339966"/>
      <rgbColor rgb="FF003300"/>
      <rgbColor rgb="FF1A1E16"/>
      <rgbColor rgb="FF993300"/>
      <rgbColor rgb="FF993366"/>
      <rgbColor rgb="FF333399"/>
      <rgbColor rgb="FF3F5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A1E"/>
    <pageSetUpPr fitToPage="false"/>
  </sheetPr>
  <dimension ref="A1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6" min="3" style="0" width="2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3</v>
      </c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customFormat="false" ht="15" hidden="false" customHeight="false" outlineLevel="0" collapsed="false">
      <c r="A6" s="7" t="s">
        <v>9</v>
      </c>
      <c r="B6" s="8" t="s">
        <v>10</v>
      </c>
      <c r="C6" s="9" t="n">
        <f aca="false">Cenários!G66</f>
        <v>-931281.492192886</v>
      </c>
      <c r="D6" s="9" t="n">
        <f aca="false">Cenários!G67</f>
        <v>-1219975.89659631</v>
      </c>
      <c r="E6" s="9" t="n">
        <f aca="false">Cenários!G68</f>
        <v>-906159.632961748</v>
      </c>
      <c r="F6" s="9" t="n">
        <f aca="false">Cenários!G69</f>
        <v>-529540.381498266</v>
      </c>
    </row>
    <row r="7" customFormat="false" ht="15" hidden="false" customHeight="false" outlineLevel="0" collapsed="false">
      <c r="A7" s="7" t="s">
        <v>11</v>
      </c>
      <c r="B7" s="8" t="s">
        <v>10</v>
      </c>
      <c r="C7" s="9" t="n">
        <f aca="false">Cenários!G70</f>
        <v>-953731.492192886</v>
      </c>
      <c r="D7" s="9" t="n">
        <f aca="false">Cenários!G71</f>
        <v>-1261509.22992964</v>
      </c>
      <c r="E7" s="9" t="n">
        <f aca="false">Cenários!G72</f>
        <v>-967992.966295082</v>
      </c>
      <c r="F7" s="9" t="n">
        <f aca="false">Cenários!G73</f>
        <v>-569323.714831599</v>
      </c>
    </row>
    <row r="8" customFormat="false" ht="15" hidden="false" customHeight="false" outlineLevel="0" collapsed="false">
      <c r="A8" s="7" t="s">
        <v>12</v>
      </c>
      <c r="B8" s="8" t="s">
        <v>10</v>
      </c>
      <c r="C8" s="9" t="n">
        <f aca="false">Cenários!G10</f>
        <v>2823480</v>
      </c>
      <c r="D8" s="9" t="n">
        <f aca="false">Cenários!G11</f>
        <v>11142350</v>
      </c>
      <c r="E8" s="9" t="n">
        <f aca="false">Cenários!G12</f>
        <v>17469500</v>
      </c>
      <c r="F8" s="9" t="n">
        <f aca="false">Cenários!G13</f>
        <v>22483000</v>
      </c>
    </row>
    <row r="9" customFormat="false" ht="15" hidden="false" customHeight="false" outlineLevel="0" collapsed="false">
      <c r="A9" s="7" t="s">
        <v>13</v>
      </c>
      <c r="B9" s="8" t="s">
        <v>10</v>
      </c>
      <c r="C9" s="9" t="n">
        <f aca="false">Cenários!G78</f>
        <v>-4277080.64549146</v>
      </c>
      <c r="D9" s="9" t="n">
        <f aca="false">Cenários!G79</f>
        <v>-5213753.67227711</v>
      </c>
      <c r="E9" s="9" t="n">
        <f aca="false">Cenários!G80</f>
        <v>-4836437.53341978</v>
      </c>
      <c r="F9" s="9" t="n">
        <f aca="false">Cenários!G81</f>
        <v>-3726708.2124372</v>
      </c>
    </row>
    <row r="10" customFormat="false" ht="15" hidden="false" customHeight="false" outlineLevel="0" collapsed="false">
      <c r="A10" s="10" t="s">
        <v>14</v>
      </c>
      <c r="B10" s="8" t="s">
        <v>10</v>
      </c>
      <c r="C10" s="11" t="n">
        <f aca="false">Cenários!C109</f>
        <v>4572080.64549146</v>
      </c>
      <c r="D10" s="11" t="n">
        <f aca="false">Cenários!D109</f>
        <v>5508753.67227711</v>
      </c>
      <c r="E10" s="11" t="n">
        <f aca="false">Cenários!E109</f>
        <v>5131437.53341978</v>
      </c>
      <c r="F10" s="11" t="n">
        <f aca="false">Cenários!F109</f>
        <v>4021708.2124372</v>
      </c>
    </row>
    <row r="11" customFormat="false" ht="15" hidden="false" customHeight="false" outlineLevel="0" collapsed="false">
      <c r="A11" s="7" t="s">
        <v>15</v>
      </c>
      <c r="B11" s="8" t="s">
        <v>16</v>
      </c>
      <c r="C11" s="12" t="str">
        <f aca="false">Cenários!C113</f>
        <v>não atinge até 2031</v>
      </c>
      <c r="D11" s="12" t="str">
        <f aca="false">Cenários!D113</f>
        <v>não atinge até 2031</v>
      </c>
      <c r="E11" s="12" t="str">
        <f aca="false">Cenários!E113</f>
        <v>não atinge até 2031</v>
      </c>
      <c r="F11" s="12" t="str">
        <f aca="false">Cenários!F113</f>
        <v>não atinge até 2031</v>
      </c>
    </row>
    <row r="12" customFormat="false" ht="15" hidden="false" customHeight="false" outlineLevel="0" collapsed="false">
      <c r="A12" s="7" t="s">
        <v>17</v>
      </c>
      <c r="B12" s="8" t="s">
        <v>18</v>
      </c>
      <c r="C12" s="13" t="str">
        <f aca="false">Cenários!C115</f>
        <v>não atinge até 2031</v>
      </c>
      <c r="D12" s="13" t="str">
        <f aca="false">Cenários!D115</f>
        <v>não atinge até 2031</v>
      </c>
      <c r="E12" s="13" t="str">
        <f aca="false">Cenários!E115</f>
        <v>não atinge até 2031</v>
      </c>
      <c r="F12" s="13" t="str">
        <f aca="false">Cenários!F115</f>
        <v>não atinge até 2031</v>
      </c>
    </row>
    <row r="13" customFormat="false" ht="15" hidden="false" customHeight="false" outlineLevel="0" collapsed="false">
      <c r="A13" s="7" t="s">
        <v>19</v>
      </c>
      <c r="C13" s="14" t="str">
        <f aca="false">Cenários!C150</f>
        <v>OK</v>
      </c>
    </row>
    <row r="16" customFormat="false" ht="40.5" hidden="false" customHeight="true" outlineLevel="0" collapsed="false">
      <c r="A16" s="15" t="s">
        <v>20</v>
      </c>
      <c r="B16" s="16" t="s">
        <v>21</v>
      </c>
      <c r="C16" s="16"/>
      <c r="D16" s="16"/>
      <c r="E16" s="16"/>
      <c r="F16" s="16"/>
      <c r="G16" s="16"/>
    </row>
    <row r="17" customFormat="false" ht="27" hidden="false" customHeight="true" outlineLevel="0" collapsed="false">
      <c r="B17" s="16" t="s">
        <v>22</v>
      </c>
      <c r="C17" s="16"/>
      <c r="D17" s="16"/>
      <c r="E17" s="16"/>
      <c r="F17" s="16"/>
      <c r="G17" s="16"/>
    </row>
    <row r="19" customFormat="false" ht="27" hidden="false" customHeight="true" outlineLevel="0" collapsed="false">
      <c r="A19" s="15" t="s">
        <v>23</v>
      </c>
      <c r="B19" s="16" t="s">
        <v>24</v>
      </c>
      <c r="C19" s="16"/>
      <c r="D19" s="16"/>
      <c r="E19" s="16"/>
      <c r="F19" s="16"/>
      <c r="G19" s="16"/>
    </row>
    <row r="20" customFormat="false" ht="40.5" hidden="false" customHeight="true" outlineLevel="0" collapsed="false">
      <c r="B20" s="16" t="s">
        <v>25</v>
      </c>
      <c r="C20" s="16"/>
      <c r="D20" s="16"/>
      <c r="E20" s="16"/>
      <c r="F20" s="16"/>
      <c r="G20" s="16"/>
    </row>
    <row r="22" customFormat="false" ht="13.5" hidden="false" customHeight="true" outlineLevel="0" collapsed="false">
      <c r="A22" s="15" t="s">
        <v>26</v>
      </c>
      <c r="B22" s="16" t="s">
        <v>27</v>
      </c>
      <c r="C22" s="16"/>
      <c r="D22" s="16"/>
      <c r="E22" s="16"/>
      <c r="F22" s="16"/>
      <c r="G22" s="16"/>
    </row>
    <row r="23" customFormat="false" ht="27" hidden="false" customHeight="true" outlineLevel="0" collapsed="false">
      <c r="B23" s="16" t="s">
        <v>28</v>
      </c>
      <c r="C23" s="16"/>
      <c r="D23" s="16"/>
      <c r="E23" s="16"/>
      <c r="F23" s="16"/>
      <c r="G23" s="16"/>
    </row>
    <row r="24" customFormat="false" ht="13.5" hidden="false" customHeight="true" outlineLevel="0" collapsed="false">
      <c r="B24" s="16" t="s">
        <v>29</v>
      </c>
      <c r="C24" s="16"/>
      <c r="D24" s="16"/>
      <c r="E24" s="16"/>
      <c r="F24" s="16"/>
      <c r="G24" s="16"/>
    </row>
    <row r="25" customFormat="false" ht="13.5" hidden="false" customHeight="true" outlineLevel="0" collapsed="false">
      <c r="B25" s="16" t="s">
        <v>30</v>
      </c>
      <c r="C25" s="16"/>
      <c r="D25" s="16"/>
      <c r="E25" s="16"/>
      <c r="F25" s="16"/>
      <c r="G25" s="16"/>
    </row>
    <row r="26" customFormat="false" ht="27" hidden="false" customHeight="true" outlineLevel="0" collapsed="false">
      <c r="B26" s="16" t="s">
        <v>31</v>
      </c>
      <c r="C26" s="16"/>
      <c r="D26" s="16"/>
      <c r="E26" s="16"/>
      <c r="F26" s="16"/>
      <c r="G26" s="16"/>
    </row>
    <row r="27" customFormat="false" ht="27" hidden="false" customHeight="true" outlineLevel="0" collapsed="false">
      <c r="B27" s="16" t="s">
        <v>32</v>
      </c>
      <c r="C27" s="16"/>
      <c r="D27" s="16"/>
      <c r="E27" s="16"/>
      <c r="F27" s="16"/>
      <c r="G27" s="16"/>
    </row>
    <row r="29" customFormat="false" ht="27" hidden="false" customHeight="true" outlineLevel="0" collapsed="false">
      <c r="A29" s="15" t="s">
        <v>33</v>
      </c>
      <c r="B29" s="16" t="s">
        <v>34</v>
      </c>
      <c r="C29" s="16"/>
      <c r="D29" s="16"/>
      <c r="E29" s="16"/>
      <c r="F29" s="16"/>
      <c r="G29" s="16"/>
    </row>
    <row r="30" customFormat="false" ht="27" hidden="false" customHeight="true" outlineLevel="0" collapsed="false">
      <c r="B30" s="16" t="s">
        <v>35</v>
      </c>
      <c r="C30" s="16"/>
      <c r="D30" s="16"/>
      <c r="E30" s="16"/>
      <c r="F30" s="16"/>
      <c r="G30" s="16"/>
    </row>
    <row r="32" customFormat="false" ht="13.5" hidden="false" customHeight="true" outlineLevel="0" collapsed="false">
      <c r="A32" s="15" t="s">
        <v>36</v>
      </c>
      <c r="B32" s="16" t="s">
        <v>37</v>
      </c>
      <c r="C32" s="16"/>
      <c r="D32" s="16"/>
      <c r="E32" s="16"/>
      <c r="F32" s="16"/>
      <c r="G32" s="16"/>
    </row>
    <row r="34" customFormat="false" ht="27" hidden="false" customHeight="true" outlineLevel="0" collapsed="false">
      <c r="A34" s="15" t="s">
        <v>38</v>
      </c>
      <c r="B34" s="16" t="s">
        <v>39</v>
      </c>
      <c r="C34" s="16"/>
      <c r="D34" s="16"/>
      <c r="E34" s="16"/>
      <c r="F34" s="16"/>
      <c r="G34" s="16"/>
    </row>
    <row r="35" customFormat="false" ht="27" hidden="false" customHeight="true" outlineLevel="0" collapsed="false">
      <c r="B35" s="16" t="s">
        <v>40</v>
      </c>
      <c r="C35" s="16"/>
      <c r="D35" s="16"/>
      <c r="E35" s="16"/>
      <c r="F35" s="16"/>
      <c r="G35" s="16"/>
    </row>
    <row r="36" customFormat="false" ht="27" hidden="false" customHeight="true" outlineLevel="0" collapsed="false">
      <c r="B36" s="16" t="s">
        <v>41</v>
      </c>
      <c r="C36" s="16"/>
      <c r="D36" s="16"/>
      <c r="E36" s="16"/>
      <c r="F36" s="16"/>
      <c r="G36" s="16"/>
    </row>
    <row r="37" customFormat="false" ht="27" hidden="false" customHeight="true" outlineLevel="0" collapsed="false">
      <c r="B37" s="16" t="s">
        <v>42</v>
      </c>
      <c r="C37" s="16"/>
      <c r="D37" s="16"/>
      <c r="E37" s="16"/>
      <c r="F37" s="16"/>
      <c r="G37" s="16"/>
    </row>
    <row r="38" customFormat="false" ht="27" hidden="false" customHeight="true" outlineLevel="0" collapsed="false">
      <c r="B38" s="16" t="s">
        <v>43</v>
      </c>
      <c r="C38" s="16"/>
      <c r="D38" s="16"/>
      <c r="E38" s="16"/>
      <c r="F38" s="16"/>
      <c r="G38" s="16"/>
    </row>
    <row r="40" customFormat="false" ht="27" hidden="false" customHeight="true" outlineLevel="0" collapsed="false">
      <c r="A40" s="15" t="s">
        <v>44</v>
      </c>
      <c r="B40" s="16" t="s">
        <v>45</v>
      </c>
      <c r="C40" s="16"/>
      <c r="D40" s="16"/>
      <c r="E40" s="16"/>
      <c r="F40" s="16"/>
      <c r="G40" s="16"/>
    </row>
    <row r="41" customFormat="false" ht="27" hidden="false" customHeight="true" outlineLevel="0" collapsed="false">
      <c r="B41" s="16" t="s">
        <v>46</v>
      </c>
      <c r="C41" s="16"/>
      <c r="D41" s="16"/>
      <c r="E41" s="16"/>
      <c r="F41" s="16"/>
      <c r="G41" s="16"/>
    </row>
    <row r="42" customFormat="false" ht="27" hidden="false" customHeight="true" outlineLevel="0" collapsed="false">
      <c r="B42" s="16" t="s">
        <v>47</v>
      </c>
      <c r="C42" s="16"/>
      <c r="D42" s="16"/>
      <c r="E42" s="16"/>
      <c r="F42" s="16"/>
      <c r="G42" s="16"/>
    </row>
  </sheetData>
  <mergeCells count="21">
    <mergeCell ref="B16:G16"/>
    <mergeCell ref="B17:G17"/>
    <mergeCell ref="B19:G19"/>
    <mergeCell ref="B20:G20"/>
    <mergeCell ref="B22:G22"/>
    <mergeCell ref="B23:G23"/>
    <mergeCell ref="B24:G24"/>
    <mergeCell ref="B25:G25"/>
    <mergeCell ref="B26:G26"/>
    <mergeCell ref="B27:G27"/>
    <mergeCell ref="B29:G29"/>
    <mergeCell ref="B30:G30"/>
    <mergeCell ref="B32:G32"/>
    <mergeCell ref="B34:G34"/>
    <mergeCell ref="B35:G35"/>
    <mergeCell ref="B36:G36"/>
    <mergeCell ref="B37:G37"/>
    <mergeCell ref="B38:G38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H4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95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10" t="s">
        <v>50</v>
      </c>
      <c r="C4" s="17" t="s">
        <v>6</v>
      </c>
      <c r="D4" s="2" t="s">
        <v>51</v>
      </c>
      <c r="E4" s="18" t="n">
        <f aca="false">MATCH($C$4,$C$8:$F$8,0)</f>
        <v>2</v>
      </c>
    </row>
    <row r="5" customFormat="false" ht="15" hidden="false" customHeight="false" outlineLevel="0" collapsed="false">
      <c r="A5" s="2" t="s">
        <v>52</v>
      </c>
    </row>
    <row r="7" customFormat="false" ht="15" hidden="false" customHeight="false" outlineLevel="0" collapsed="false">
      <c r="A7" s="3" t="s">
        <v>53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5" t="s">
        <v>54</v>
      </c>
      <c r="B8" s="5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55</v>
      </c>
      <c r="H8" s="6" t="s">
        <v>56</v>
      </c>
    </row>
    <row r="9" customFormat="false" ht="15" hidden="false" customHeight="false" outlineLevel="0" collapsed="false">
      <c r="A9" s="19" t="s">
        <v>57</v>
      </c>
    </row>
    <row r="10" customFormat="false" ht="15" hidden="false" customHeight="false" outlineLevel="0" collapsed="false">
      <c r="A10" s="7" t="s">
        <v>58</v>
      </c>
      <c r="B10" s="8" t="s">
        <v>59</v>
      </c>
      <c r="C10" s="20" t="n">
        <v>3.5</v>
      </c>
      <c r="D10" s="20" t="n">
        <v>3.5</v>
      </c>
      <c r="E10" s="20" t="n">
        <v>3.5</v>
      </c>
      <c r="F10" s="20" t="n">
        <v>3.5</v>
      </c>
      <c r="G10" s="21" t="n">
        <f aca="false">CHOOSE($E$4,C10,D10,E10,F10)</f>
        <v>3.5</v>
      </c>
      <c r="H10" s="8" t="s">
        <v>60</v>
      </c>
    </row>
    <row r="11" customFormat="false" ht="15" hidden="false" customHeight="false" outlineLevel="0" collapsed="false">
      <c r="A11" s="7" t="s">
        <v>61</v>
      </c>
      <c r="B11" s="8" t="s">
        <v>59</v>
      </c>
      <c r="C11" s="20" t="n">
        <v>0.15</v>
      </c>
      <c r="D11" s="20" t="n">
        <v>0.1</v>
      </c>
      <c r="E11" s="20" t="n">
        <v>0.05</v>
      </c>
      <c r="F11" s="20" t="n">
        <v>0.15</v>
      </c>
      <c r="G11" s="21" t="n">
        <f aca="false">CHOOSE($E$4,C11,D11,E11,F11)</f>
        <v>0.1</v>
      </c>
      <c r="H11" s="8" t="s">
        <v>62</v>
      </c>
    </row>
    <row r="12" customFormat="false" ht="15" hidden="false" customHeight="false" outlineLevel="0" collapsed="false">
      <c r="A12" s="7" t="s">
        <v>63</v>
      </c>
      <c r="B12" s="8" t="s">
        <v>59</v>
      </c>
      <c r="C12" s="20" t="n">
        <v>0.15</v>
      </c>
      <c r="D12" s="20" t="n">
        <v>0.1</v>
      </c>
      <c r="E12" s="20" t="n">
        <v>0.05</v>
      </c>
      <c r="F12" s="20" t="n">
        <v>0.1</v>
      </c>
      <c r="G12" s="21" t="n">
        <f aca="false">CHOOSE($E$4,C12,D12,E12,F12)</f>
        <v>0.1</v>
      </c>
      <c r="H12" s="8" t="s">
        <v>64</v>
      </c>
    </row>
    <row r="13" customFormat="false" ht="15" hidden="false" customHeight="false" outlineLevel="0" collapsed="false">
      <c r="A13" s="7" t="s">
        <v>65</v>
      </c>
      <c r="B13" s="8" t="s">
        <v>59</v>
      </c>
      <c r="C13" s="20" t="n">
        <v>0</v>
      </c>
      <c r="D13" s="20" t="n">
        <v>0</v>
      </c>
      <c r="E13" s="20" t="n">
        <v>0</v>
      </c>
      <c r="F13" s="20" t="n">
        <v>0</v>
      </c>
      <c r="G13" s="21" t="n">
        <f aca="false">CHOOSE($E$4,C13,D13,E13,F13)</f>
        <v>0</v>
      </c>
      <c r="H13" s="8" t="s">
        <v>66</v>
      </c>
    </row>
    <row r="14" customFormat="false" ht="15" hidden="false" customHeight="false" outlineLevel="0" collapsed="false">
      <c r="A14" s="19" t="s">
        <v>67</v>
      </c>
    </row>
    <row r="15" customFormat="false" ht="15" hidden="false" customHeight="false" outlineLevel="0" collapsed="false">
      <c r="A15" s="7" t="s">
        <v>68</v>
      </c>
      <c r="B15" s="8" t="s">
        <v>59</v>
      </c>
      <c r="C15" s="20" t="n">
        <v>5.4</v>
      </c>
      <c r="D15" s="20" t="n">
        <v>5.65</v>
      </c>
      <c r="E15" s="20" t="n">
        <v>6</v>
      </c>
      <c r="F15" s="20" t="n">
        <v>6</v>
      </c>
      <c r="G15" s="21" t="n">
        <f aca="false">CHOOSE($E$4,C15,D15,E15,F15)</f>
        <v>5.65</v>
      </c>
      <c r="H15" s="8" t="s">
        <v>69</v>
      </c>
    </row>
    <row r="16" customFormat="false" ht="15" hidden="false" customHeight="false" outlineLevel="0" collapsed="false">
      <c r="A16" s="7" t="s">
        <v>70</v>
      </c>
      <c r="B16" s="8" t="s">
        <v>71</v>
      </c>
      <c r="C16" s="22" t="n">
        <v>0.1</v>
      </c>
      <c r="D16" s="22" t="n">
        <v>0.1</v>
      </c>
      <c r="E16" s="22" t="n">
        <v>0.1</v>
      </c>
      <c r="F16" s="22" t="n">
        <v>0.1</v>
      </c>
      <c r="G16" s="23" t="n">
        <f aca="false">CHOOSE($E$4,C16,D16,E16,F16)</f>
        <v>0.1</v>
      </c>
      <c r="H16" s="8" t="s">
        <v>72</v>
      </c>
    </row>
    <row r="17" customFormat="false" ht="15" hidden="false" customHeight="false" outlineLevel="0" collapsed="false">
      <c r="A17" s="7" t="s">
        <v>73</v>
      </c>
      <c r="B17" s="8" t="s">
        <v>74</v>
      </c>
      <c r="C17" s="24" t="n">
        <v>45</v>
      </c>
      <c r="D17" s="24" t="n">
        <v>35</v>
      </c>
      <c r="E17" s="24" t="n">
        <v>30</v>
      </c>
      <c r="F17" s="24" t="n">
        <v>35</v>
      </c>
      <c r="G17" s="25" t="n">
        <f aca="false">CHOOSE($E$4,C17,D17,E17,F17)</f>
        <v>35</v>
      </c>
      <c r="H17" s="8" t="s">
        <v>75</v>
      </c>
    </row>
    <row r="18" customFormat="false" ht="15" hidden="false" customHeight="false" outlineLevel="0" collapsed="false">
      <c r="A18" s="7" t="s">
        <v>76</v>
      </c>
      <c r="B18" s="8" t="s">
        <v>77</v>
      </c>
      <c r="C18" s="26" t="n">
        <v>0.008</v>
      </c>
      <c r="D18" s="26" t="n">
        <v>0.006</v>
      </c>
      <c r="E18" s="26" t="n">
        <v>0.005</v>
      </c>
      <c r="F18" s="26" t="n">
        <v>0.006</v>
      </c>
      <c r="G18" s="27" t="n">
        <f aca="false">CHOOSE($E$4,C18,D18,E18,F18)</f>
        <v>0.006</v>
      </c>
      <c r="H18" s="8" t="s">
        <v>78</v>
      </c>
    </row>
    <row r="19" customFormat="false" ht="15" hidden="false" customHeight="false" outlineLevel="0" collapsed="false">
      <c r="A19" s="19" t="s">
        <v>79</v>
      </c>
    </row>
    <row r="20" customFormat="false" ht="15" hidden="false" customHeight="false" outlineLevel="0" collapsed="false">
      <c r="A20" s="7" t="s">
        <v>80</v>
      </c>
      <c r="B20" s="8" t="s">
        <v>59</v>
      </c>
      <c r="C20" s="20" t="n">
        <v>4.2</v>
      </c>
      <c r="D20" s="20" t="n">
        <v>4.35</v>
      </c>
      <c r="E20" s="20" t="n">
        <v>4.5</v>
      </c>
      <c r="F20" s="20" t="n">
        <v>4.35</v>
      </c>
      <c r="G20" s="21" t="n">
        <f aca="false">CHOOSE($E$4,C20,D20,E20,F20)</f>
        <v>4.35</v>
      </c>
      <c r="H20" s="8" t="s">
        <v>81</v>
      </c>
    </row>
    <row r="21" customFormat="false" ht="15" hidden="false" customHeight="false" outlineLevel="0" collapsed="false">
      <c r="A21" s="7" t="s">
        <v>82</v>
      </c>
      <c r="B21" s="8" t="s">
        <v>59</v>
      </c>
      <c r="C21" s="20" t="n">
        <v>0</v>
      </c>
      <c r="D21" s="20" t="n">
        <v>0</v>
      </c>
      <c r="E21" s="20" t="n">
        <v>0</v>
      </c>
      <c r="F21" s="20" t="n">
        <v>0.1</v>
      </c>
      <c r="G21" s="21" t="n">
        <f aca="false">CHOOSE($E$4,C21,D21,E21,F21)</f>
        <v>0</v>
      </c>
      <c r="H21" s="8" t="s">
        <v>83</v>
      </c>
    </row>
    <row r="22" customFormat="false" ht="15" hidden="false" customHeight="false" outlineLevel="0" collapsed="false">
      <c r="A22" s="7" t="s">
        <v>84</v>
      </c>
      <c r="B22" s="8" t="s">
        <v>71</v>
      </c>
      <c r="C22" s="22" t="n">
        <v>0</v>
      </c>
      <c r="D22" s="22" t="n">
        <v>0</v>
      </c>
      <c r="E22" s="22" t="n">
        <v>0</v>
      </c>
      <c r="F22" s="22" t="n">
        <v>0</v>
      </c>
      <c r="G22" s="23" t="n">
        <f aca="false">CHOOSE($E$4,C22,D22,E22,F22)</f>
        <v>0</v>
      </c>
      <c r="H22" s="8" t="s">
        <v>85</v>
      </c>
    </row>
    <row r="23" customFormat="false" ht="15" hidden="false" customHeight="false" outlineLevel="0" collapsed="false">
      <c r="A23" s="7" t="s">
        <v>86</v>
      </c>
      <c r="B23" s="8" t="s">
        <v>74</v>
      </c>
      <c r="C23" s="24" t="n">
        <v>35</v>
      </c>
      <c r="D23" s="24" t="n">
        <v>30</v>
      </c>
      <c r="E23" s="24" t="n">
        <v>25</v>
      </c>
      <c r="F23" s="24" t="n">
        <v>30</v>
      </c>
      <c r="G23" s="25" t="n">
        <f aca="false">CHOOSE($E$4,C23,D23,E23,F23)</f>
        <v>30</v>
      </c>
      <c r="H23" s="8" t="s">
        <v>87</v>
      </c>
    </row>
    <row r="24" customFormat="false" ht="15" hidden="false" customHeight="false" outlineLevel="0" collapsed="false">
      <c r="A24" s="7" t="s">
        <v>73</v>
      </c>
      <c r="B24" s="8" t="s">
        <v>74</v>
      </c>
      <c r="C24" s="24" t="n">
        <v>55</v>
      </c>
      <c r="D24" s="24" t="n">
        <v>45</v>
      </c>
      <c r="E24" s="24" t="n">
        <v>40</v>
      </c>
      <c r="F24" s="24" t="n">
        <v>55</v>
      </c>
      <c r="G24" s="25" t="n">
        <f aca="false">CHOOSE($E$4,C24,D24,E24,F24)</f>
        <v>45</v>
      </c>
      <c r="H24" s="8" t="s">
        <v>88</v>
      </c>
    </row>
    <row r="25" customFormat="false" ht="15" hidden="false" customHeight="false" outlineLevel="0" collapsed="false">
      <c r="A25" s="7" t="s">
        <v>76</v>
      </c>
      <c r="B25" s="8" t="s">
        <v>77</v>
      </c>
      <c r="C25" s="26" t="n">
        <v>0.005</v>
      </c>
      <c r="D25" s="26" t="n">
        <v>0.003</v>
      </c>
      <c r="E25" s="26" t="n">
        <v>0.003</v>
      </c>
      <c r="F25" s="26" t="n">
        <v>0.003</v>
      </c>
      <c r="G25" s="27" t="n">
        <f aca="false">CHOOSE($E$4,C25,D25,E25,F25)</f>
        <v>0.003</v>
      </c>
      <c r="H25" s="8" t="s">
        <v>89</v>
      </c>
    </row>
    <row r="26" customFormat="false" ht="15" hidden="false" customHeight="false" outlineLevel="0" collapsed="false">
      <c r="A26" s="19" t="s">
        <v>90</v>
      </c>
    </row>
    <row r="27" customFormat="false" ht="15" hidden="false" customHeight="false" outlineLevel="0" collapsed="false">
      <c r="A27" s="7" t="s">
        <v>91</v>
      </c>
      <c r="B27" s="8" t="s">
        <v>71</v>
      </c>
      <c r="C27" s="22" t="n">
        <v>0.01</v>
      </c>
      <c r="D27" s="22" t="n">
        <v>0.02</v>
      </c>
      <c r="E27" s="22" t="n">
        <v>0.03</v>
      </c>
      <c r="F27" s="22" t="n">
        <v>0.02</v>
      </c>
      <c r="G27" s="23" t="n">
        <f aca="false">CHOOSE($E$4,C27,D27,E27,F27)</f>
        <v>0.02</v>
      </c>
      <c r="H27" s="8" t="s">
        <v>92</v>
      </c>
    </row>
    <row r="28" customFormat="false" ht="15" hidden="false" customHeight="false" outlineLevel="0" collapsed="false">
      <c r="A28" s="7" t="s">
        <v>93</v>
      </c>
      <c r="B28" s="8" t="s">
        <v>18</v>
      </c>
      <c r="C28" s="28" t="n">
        <v>2029</v>
      </c>
      <c r="D28" s="28" t="n">
        <v>2029</v>
      </c>
      <c r="E28" s="28" t="n">
        <v>2028</v>
      </c>
      <c r="F28" s="28" t="n">
        <v>2030</v>
      </c>
      <c r="G28" s="18" t="n">
        <f aca="false">CHOOSE($E$4,C28,D28,E28,F28)</f>
        <v>2029</v>
      </c>
      <c r="H28" s="8" t="s">
        <v>94</v>
      </c>
    </row>
    <row r="29" customFormat="false" ht="15" hidden="false" customHeight="false" outlineLevel="0" collapsed="false">
      <c r="A29" s="7" t="s">
        <v>95</v>
      </c>
      <c r="B29" s="8" t="s">
        <v>96</v>
      </c>
      <c r="C29" s="26" t="n">
        <v>0</v>
      </c>
      <c r="D29" s="26" t="n">
        <v>0</v>
      </c>
      <c r="E29" s="26" t="n">
        <v>0</v>
      </c>
      <c r="F29" s="26" t="n">
        <v>0.003</v>
      </c>
      <c r="G29" s="27" t="n">
        <f aca="false">CHOOSE($E$4,C29,D29,E29,F29)</f>
        <v>0</v>
      </c>
      <c r="H29" s="8" t="s">
        <v>97</v>
      </c>
    </row>
    <row r="30" customFormat="false" ht="15" hidden="false" customHeight="false" outlineLevel="0" collapsed="false">
      <c r="A30" s="7" t="s">
        <v>98</v>
      </c>
      <c r="B30" s="8" t="s">
        <v>71</v>
      </c>
      <c r="C30" s="22" t="n">
        <v>1</v>
      </c>
      <c r="D30" s="22" t="n">
        <v>1</v>
      </c>
      <c r="E30" s="22" t="n">
        <v>1</v>
      </c>
      <c r="F30" s="22" t="n">
        <v>0</v>
      </c>
      <c r="G30" s="23" t="n">
        <f aca="false">CHOOSE($E$4,C30,D30,E30,F30)</f>
        <v>1</v>
      </c>
      <c r="H30" s="8" t="s">
        <v>99</v>
      </c>
    </row>
    <row r="31" customFormat="false" ht="15" hidden="false" customHeight="false" outlineLevel="0" collapsed="false">
      <c r="A31" s="7" t="s">
        <v>100</v>
      </c>
      <c r="B31" s="8" t="s">
        <v>71</v>
      </c>
      <c r="C31" s="22" t="n">
        <v>0.7</v>
      </c>
      <c r="D31" s="22" t="n">
        <v>0.8</v>
      </c>
      <c r="E31" s="22" t="n">
        <v>0.85</v>
      </c>
      <c r="F31" s="22" t="n">
        <v>0.8</v>
      </c>
      <c r="G31" s="23" t="n">
        <f aca="false">CHOOSE($E$4,C31,D31,E31,F31)</f>
        <v>0.8</v>
      </c>
      <c r="H31" s="8" t="s">
        <v>101</v>
      </c>
    </row>
    <row r="32" customFormat="false" ht="15" hidden="false" customHeight="false" outlineLevel="0" collapsed="false">
      <c r="A32" s="7" t="s">
        <v>102</v>
      </c>
      <c r="B32" s="8" t="s">
        <v>10</v>
      </c>
      <c r="C32" s="29" t="n">
        <v>1100000</v>
      </c>
      <c r="D32" s="29" t="n">
        <v>1100000</v>
      </c>
      <c r="E32" s="29" t="n">
        <v>1100000</v>
      </c>
      <c r="F32" s="29" t="n">
        <v>1100000</v>
      </c>
      <c r="G32" s="30" t="n">
        <f aca="false">CHOOSE($E$4,C32,D32,E32,F32)</f>
        <v>1100000</v>
      </c>
      <c r="H32" s="8" t="s">
        <v>103</v>
      </c>
    </row>
    <row r="34" customFormat="false" ht="15" hidden="false" customHeight="false" outlineLevel="0" collapsed="false">
      <c r="A34" s="3" t="s">
        <v>104</v>
      </c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5" t="s">
        <v>54</v>
      </c>
      <c r="B35" s="5" t="s">
        <v>4</v>
      </c>
      <c r="C35" s="6" t="s">
        <v>105</v>
      </c>
      <c r="D35" s="6"/>
      <c r="E35" s="6"/>
      <c r="F35" s="6"/>
      <c r="G35" s="6" t="s">
        <v>55</v>
      </c>
      <c r="H35" s="6" t="s">
        <v>56</v>
      </c>
    </row>
    <row r="36" customFormat="false" ht="15" hidden="false" customHeight="false" outlineLevel="0" collapsed="false">
      <c r="A36" s="19" t="s">
        <v>106</v>
      </c>
    </row>
    <row r="37" customFormat="false" ht="15" hidden="false" customHeight="false" outlineLevel="0" collapsed="false">
      <c r="A37" s="7" t="s">
        <v>107</v>
      </c>
      <c r="B37" s="8" t="s">
        <v>59</v>
      </c>
      <c r="C37" s="20" t="n">
        <v>0.55</v>
      </c>
      <c r="G37" s="21" t="n">
        <f aca="false">C37</f>
        <v>0.55</v>
      </c>
      <c r="H37" s="8" t="s">
        <v>108</v>
      </c>
    </row>
    <row r="38" customFormat="false" ht="15" hidden="false" customHeight="false" outlineLevel="0" collapsed="false">
      <c r="A38" s="7" t="s">
        <v>109</v>
      </c>
      <c r="B38" s="8" t="s">
        <v>59</v>
      </c>
      <c r="C38" s="20" t="n">
        <v>0.06</v>
      </c>
      <c r="G38" s="21" t="n">
        <f aca="false">C38</f>
        <v>0.06</v>
      </c>
      <c r="H38" s="8" t="s">
        <v>110</v>
      </c>
    </row>
    <row r="39" customFormat="false" ht="15" hidden="false" customHeight="false" outlineLevel="0" collapsed="false">
      <c r="A39" s="7" t="s">
        <v>111</v>
      </c>
      <c r="B39" s="8" t="s">
        <v>112</v>
      </c>
      <c r="C39" s="31" t="n">
        <v>20</v>
      </c>
      <c r="G39" s="32" t="n">
        <f aca="false">C39</f>
        <v>20</v>
      </c>
      <c r="H39" s="8" t="s">
        <v>113</v>
      </c>
    </row>
    <row r="40" customFormat="false" ht="15" hidden="false" customHeight="false" outlineLevel="0" collapsed="false">
      <c r="A40" s="7" t="s">
        <v>114</v>
      </c>
      <c r="B40" s="8" t="s">
        <v>115</v>
      </c>
      <c r="C40" s="29" t="n">
        <v>2</v>
      </c>
      <c r="G40" s="30" t="n">
        <f aca="false">C40</f>
        <v>2</v>
      </c>
      <c r="H40" s="8" t="s">
        <v>116</v>
      </c>
    </row>
    <row r="41" customFormat="false" ht="15" hidden="false" customHeight="false" outlineLevel="0" collapsed="false">
      <c r="A41" s="7" t="s">
        <v>117</v>
      </c>
      <c r="B41" s="8" t="s">
        <v>118</v>
      </c>
      <c r="C41" s="29" t="n">
        <v>2000</v>
      </c>
      <c r="G41" s="30" t="n">
        <f aca="false">C41</f>
        <v>2000</v>
      </c>
      <c r="H41" s="8" t="s">
        <v>119</v>
      </c>
    </row>
    <row r="42" customFormat="false" ht="15" hidden="false" customHeight="false" outlineLevel="0" collapsed="false">
      <c r="A42" s="7" t="s">
        <v>120</v>
      </c>
      <c r="B42" s="8" t="s">
        <v>59</v>
      </c>
      <c r="C42" s="33" t="n">
        <v>0.01</v>
      </c>
      <c r="G42" s="34" t="n">
        <f aca="false">C42</f>
        <v>0.01</v>
      </c>
      <c r="H42" s="8" t="s">
        <v>121</v>
      </c>
    </row>
    <row r="43" customFormat="false" ht="15" hidden="false" customHeight="false" outlineLevel="0" collapsed="false">
      <c r="A43" s="19" t="s">
        <v>122</v>
      </c>
    </row>
    <row r="44" customFormat="false" ht="15" hidden="false" customHeight="false" outlineLevel="0" collapsed="false">
      <c r="A44" s="7" t="s">
        <v>123</v>
      </c>
      <c r="B44" s="8" t="s">
        <v>59</v>
      </c>
      <c r="C44" s="20" t="n">
        <v>0.45</v>
      </c>
      <c r="G44" s="21" t="n">
        <f aca="false">C44</f>
        <v>0.45</v>
      </c>
      <c r="H44" s="8" t="s">
        <v>124</v>
      </c>
    </row>
    <row r="45" customFormat="false" ht="15" hidden="false" customHeight="false" outlineLevel="0" collapsed="false">
      <c r="A45" s="7" t="s">
        <v>125</v>
      </c>
      <c r="B45" s="8" t="s">
        <v>59</v>
      </c>
      <c r="C45" s="20" t="n">
        <v>0</v>
      </c>
      <c r="G45" s="21" t="n">
        <f aca="false">C45</f>
        <v>0</v>
      </c>
      <c r="H45" s="8" t="s">
        <v>126</v>
      </c>
    </row>
    <row r="46" customFormat="false" ht="15" hidden="false" customHeight="false" outlineLevel="0" collapsed="false">
      <c r="A46" s="7" t="s">
        <v>111</v>
      </c>
      <c r="B46" s="8" t="s">
        <v>112</v>
      </c>
      <c r="C46" s="31" t="n">
        <v>30</v>
      </c>
      <c r="G46" s="32" t="n">
        <f aca="false">C46</f>
        <v>30</v>
      </c>
      <c r="H46" s="8" t="s">
        <v>127</v>
      </c>
    </row>
    <row r="47" customFormat="false" ht="15" hidden="false" customHeight="false" outlineLevel="0" collapsed="false">
      <c r="A47" s="7" t="s">
        <v>128</v>
      </c>
      <c r="B47" s="8" t="s">
        <v>115</v>
      </c>
      <c r="C47" s="29" t="n">
        <v>2</v>
      </c>
      <c r="G47" s="30" t="n">
        <f aca="false">C47</f>
        <v>2</v>
      </c>
      <c r="H47" s="8" t="s">
        <v>116</v>
      </c>
    </row>
    <row r="48" customFormat="false" ht="15" hidden="false" customHeight="false" outlineLevel="0" collapsed="false">
      <c r="A48" s="7" t="s">
        <v>129</v>
      </c>
      <c r="B48" s="8" t="s">
        <v>118</v>
      </c>
      <c r="C48" s="29" t="n">
        <v>1200</v>
      </c>
      <c r="G48" s="30" t="n">
        <f aca="false">C48</f>
        <v>1200</v>
      </c>
      <c r="H48" s="8" t="s">
        <v>130</v>
      </c>
    </row>
    <row r="49" customFormat="false" ht="15" hidden="false" customHeight="false" outlineLevel="0" collapsed="false">
      <c r="A49" s="7" t="s">
        <v>131</v>
      </c>
      <c r="B49" s="8" t="s">
        <v>59</v>
      </c>
      <c r="C49" s="33" t="n">
        <v>0.005</v>
      </c>
      <c r="G49" s="34" t="n">
        <f aca="false">C49</f>
        <v>0.005</v>
      </c>
      <c r="H49" s="8" t="s">
        <v>89</v>
      </c>
    </row>
    <row r="50" customFormat="false" ht="15" hidden="false" customHeight="false" outlineLevel="0" collapsed="false">
      <c r="A50" s="19" t="s">
        <v>132</v>
      </c>
    </row>
    <row r="51" customFormat="false" ht="15" hidden="false" customHeight="false" outlineLevel="0" collapsed="false">
      <c r="A51" s="7" t="s">
        <v>133</v>
      </c>
      <c r="B51" s="8" t="s">
        <v>59</v>
      </c>
      <c r="C51" s="20" t="n">
        <v>0.15</v>
      </c>
      <c r="G51" s="21" t="n">
        <f aca="false">C51</f>
        <v>0.15</v>
      </c>
      <c r="H51" s="8" t="s">
        <v>134</v>
      </c>
    </row>
    <row r="52" customFormat="false" ht="15" hidden="false" customHeight="false" outlineLevel="0" collapsed="false">
      <c r="A52" s="7" t="s">
        <v>84</v>
      </c>
      <c r="B52" s="8" t="s">
        <v>71</v>
      </c>
      <c r="C52" s="22" t="n">
        <v>0</v>
      </c>
      <c r="G52" s="23" t="n">
        <f aca="false">C52</f>
        <v>0</v>
      </c>
      <c r="H52" s="8" t="s">
        <v>135</v>
      </c>
    </row>
    <row r="53" customFormat="false" ht="15" hidden="false" customHeight="false" outlineLevel="0" collapsed="false">
      <c r="A53" s="7" t="s">
        <v>136</v>
      </c>
      <c r="B53" s="8" t="s">
        <v>59</v>
      </c>
      <c r="C53" s="20" t="n">
        <v>0</v>
      </c>
      <c r="G53" s="21" t="n">
        <f aca="false">C53</f>
        <v>0</v>
      </c>
      <c r="H53" s="8" t="s">
        <v>137</v>
      </c>
    </row>
    <row r="54" customFormat="false" ht="15" hidden="false" customHeight="false" outlineLevel="0" collapsed="false">
      <c r="A54" s="7" t="s">
        <v>138</v>
      </c>
      <c r="B54" s="8" t="s">
        <v>59</v>
      </c>
      <c r="C54" s="20" t="n">
        <v>0.04</v>
      </c>
      <c r="G54" s="21" t="n">
        <f aca="false">C54</f>
        <v>0.04</v>
      </c>
      <c r="H54" s="8" t="s">
        <v>139</v>
      </c>
    </row>
    <row r="55" customFormat="false" ht="15" hidden="false" customHeight="false" outlineLevel="0" collapsed="false">
      <c r="A55" s="7" t="s">
        <v>125</v>
      </c>
      <c r="B55" s="8" t="s">
        <v>59</v>
      </c>
      <c r="C55" s="20" t="n">
        <v>0</v>
      </c>
      <c r="G55" s="21" t="n">
        <f aca="false">C55</f>
        <v>0</v>
      </c>
      <c r="H55" s="8" t="s">
        <v>140</v>
      </c>
    </row>
    <row r="56" customFormat="false" ht="15" hidden="false" customHeight="false" outlineLevel="0" collapsed="false">
      <c r="A56" s="7" t="s">
        <v>141</v>
      </c>
      <c r="B56" s="8" t="s">
        <v>74</v>
      </c>
      <c r="C56" s="24" t="n">
        <v>15</v>
      </c>
      <c r="G56" s="25" t="n">
        <f aca="false">C56</f>
        <v>15</v>
      </c>
      <c r="H56" s="8" t="s">
        <v>142</v>
      </c>
    </row>
    <row r="57" customFormat="false" ht="15" hidden="false" customHeight="false" outlineLevel="0" collapsed="false">
      <c r="A57" s="7" t="s">
        <v>73</v>
      </c>
      <c r="B57" s="8" t="s">
        <v>74</v>
      </c>
      <c r="C57" s="24" t="n">
        <v>45</v>
      </c>
      <c r="G57" s="25" t="n">
        <f aca="false">C57</f>
        <v>45</v>
      </c>
      <c r="H57" s="8" t="s">
        <v>143</v>
      </c>
    </row>
    <row r="58" customFormat="false" ht="15" hidden="false" customHeight="false" outlineLevel="0" collapsed="false">
      <c r="A58" s="7" t="s">
        <v>144</v>
      </c>
      <c r="B58" s="8" t="s">
        <v>112</v>
      </c>
      <c r="C58" s="31" t="n">
        <v>100</v>
      </c>
      <c r="G58" s="32" t="n">
        <f aca="false">C58</f>
        <v>100</v>
      </c>
      <c r="H58" s="8" t="s">
        <v>145</v>
      </c>
    </row>
    <row r="59" customFormat="false" ht="15" hidden="false" customHeight="false" outlineLevel="0" collapsed="false">
      <c r="A59" s="7" t="s">
        <v>128</v>
      </c>
      <c r="B59" s="8" t="s">
        <v>115</v>
      </c>
      <c r="C59" s="29" t="n">
        <v>2</v>
      </c>
      <c r="G59" s="30" t="n">
        <f aca="false">C59</f>
        <v>2</v>
      </c>
      <c r="H59" s="8" t="s">
        <v>146</v>
      </c>
    </row>
    <row r="60" customFormat="false" ht="15" hidden="false" customHeight="false" outlineLevel="0" collapsed="false">
      <c r="A60" s="7" t="s">
        <v>129</v>
      </c>
      <c r="B60" s="8" t="s">
        <v>118</v>
      </c>
      <c r="C60" s="29" t="n">
        <v>1200</v>
      </c>
      <c r="G60" s="30" t="n">
        <f aca="false">C60</f>
        <v>1200</v>
      </c>
      <c r="H60" s="8" t="s">
        <v>147</v>
      </c>
    </row>
    <row r="61" customFormat="false" ht="15" hidden="false" customHeight="false" outlineLevel="0" collapsed="false">
      <c r="A61" s="7" t="s">
        <v>131</v>
      </c>
      <c r="B61" s="8" t="s">
        <v>59</v>
      </c>
      <c r="C61" s="33" t="n">
        <v>0.001</v>
      </c>
      <c r="G61" s="34" t="n">
        <f aca="false">C61</f>
        <v>0.001</v>
      </c>
      <c r="H61" s="8" t="s">
        <v>148</v>
      </c>
    </row>
    <row r="62" customFormat="false" ht="15" hidden="false" customHeight="false" outlineLevel="0" collapsed="false">
      <c r="A62" s="7" t="s">
        <v>76</v>
      </c>
      <c r="B62" s="8" t="s">
        <v>77</v>
      </c>
      <c r="C62" s="26" t="n">
        <v>0.003</v>
      </c>
      <c r="G62" s="27" t="n">
        <f aca="false">C62</f>
        <v>0.003</v>
      </c>
      <c r="H62" s="8" t="s">
        <v>149</v>
      </c>
    </row>
    <row r="63" customFormat="false" ht="15" hidden="false" customHeight="false" outlineLevel="0" collapsed="false">
      <c r="A63" s="19" t="s">
        <v>150</v>
      </c>
    </row>
    <row r="64" customFormat="false" ht="15" hidden="false" customHeight="false" outlineLevel="0" collapsed="false">
      <c r="A64" s="7" t="s">
        <v>151</v>
      </c>
      <c r="B64" s="8" t="s">
        <v>152</v>
      </c>
      <c r="C64" s="20" t="n">
        <v>4</v>
      </c>
      <c r="G64" s="21" t="n">
        <f aca="false">C64</f>
        <v>4</v>
      </c>
      <c r="H64" s="8" t="s">
        <v>153</v>
      </c>
    </row>
    <row r="65" customFormat="false" ht="15" hidden="false" customHeight="false" outlineLevel="0" collapsed="false">
      <c r="A65" s="7" t="s">
        <v>154</v>
      </c>
      <c r="B65" s="8" t="s">
        <v>155</v>
      </c>
      <c r="C65" s="26" t="n">
        <v>0.002</v>
      </c>
      <c r="G65" s="27" t="n">
        <f aca="false">C65</f>
        <v>0.002</v>
      </c>
      <c r="H65" s="8" t="s">
        <v>156</v>
      </c>
    </row>
    <row r="66" customFormat="false" ht="15" hidden="false" customHeight="false" outlineLevel="0" collapsed="false">
      <c r="A66" s="7" t="s">
        <v>157</v>
      </c>
      <c r="B66" s="8" t="s">
        <v>10</v>
      </c>
      <c r="C66" s="29" t="n">
        <v>300</v>
      </c>
      <c r="G66" s="30" t="n">
        <f aca="false">C66</f>
        <v>300</v>
      </c>
      <c r="H66" s="8" t="s">
        <v>158</v>
      </c>
    </row>
    <row r="67" customFormat="false" ht="15" hidden="false" customHeight="false" outlineLevel="0" collapsed="false">
      <c r="A67" s="7" t="s">
        <v>159</v>
      </c>
      <c r="B67" s="8" t="s">
        <v>160</v>
      </c>
      <c r="C67" s="26" t="n">
        <v>0.005</v>
      </c>
      <c r="G67" s="27" t="n">
        <f aca="false">C67</f>
        <v>0.005</v>
      </c>
      <c r="H67" s="8" t="s">
        <v>161</v>
      </c>
    </row>
    <row r="68" customFormat="false" ht="15" hidden="false" customHeight="false" outlineLevel="0" collapsed="false">
      <c r="A68" s="7" t="s">
        <v>162</v>
      </c>
      <c r="B68" s="8" t="s">
        <v>71</v>
      </c>
      <c r="C68" s="22" t="n">
        <v>0.03</v>
      </c>
      <c r="G68" s="23" t="n">
        <f aca="false">C68</f>
        <v>0.03</v>
      </c>
      <c r="H68" s="8" t="s">
        <v>163</v>
      </c>
    </row>
    <row r="69" customFormat="false" ht="15" hidden="false" customHeight="false" outlineLevel="0" collapsed="false">
      <c r="A69" s="7" t="s">
        <v>164</v>
      </c>
      <c r="B69" s="8" t="s">
        <v>59</v>
      </c>
      <c r="C69" s="20" t="n">
        <v>0.3</v>
      </c>
      <c r="G69" s="21" t="n">
        <f aca="false">C69</f>
        <v>0.3</v>
      </c>
      <c r="H69" s="8" t="s">
        <v>165</v>
      </c>
    </row>
    <row r="70" customFormat="false" ht="15" hidden="false" customHeight="false" outlineLevel="0" collapsed="false">
      <c r="A70" s="7" t="s">
        <v>166</v>
      </c>
      <c r="B70" s="8" t="s">
        <v>74</v>
      </c>
      <c r="C70" s="24" t="n">
        <v>30</v>
      </c>
      <c r="G70" s="25" t="n">
        <f aca="false">C70</f>
        <v>30</v>
      </c>
      <c r="H70" s="8" t="s">
        <v>167</v>
      </c>
    </row>
    <row r="71" customFormat="false" ht="15" hidden="false" customHeight="false" outlineLevel="0" collapsed="false">
      <c r="A71" s="7" t="s">
        <v>168</v>
      </c>
      <c r="B71" s="8" t="s">
        <v>77</v>
      </c>
      <c r="C71" s="26" t="n">
        <v>0</v>
      </c>
      <c r="G71" s="27" t="n">
        <f aca="false">C71</f>
        <v>0</v>
      </c>
      <c r="H71" s="8" t="s">
        <v>169</v>
      </c>
    </row>
    <row r="72" customFormat="false" ht="15" hidden="false" customHeight="false" outlineLevel="0" collapsed="false">
      <c r="A72" s="19" t="s">
        <v>170</v>
      </c>
    </row>
    <row r="73" customFormat="false" ht="15" hidden="false" customHeight="false" outlineLevel="0" collapsed="false">
      <c r="A73" s="7" t="s">
        <v>171</v>
      </c>
      <c r="B73" s="8" t="s">
        <v>172</v>
      </c>
      <c r="C73" s="33" t="n">
        <v>0.205</v>
      </c>
      <c r="G73" s="34" t="n">
        <f aca="false">C73</f>
        <v>0.205</v>
      </c>
      <c r="H73" s="8" t="s">
        <v>173</v>
      </c>
    </row>
    <row r="74" customFormat="false" ht="15" hidden="false" customHeight="false" outlineLevel="0" collapsed="false">
      <c r="A74" s="7" t="s">
        <v>174</v>
      </c>
      <c r="B74" s="8" t="s">
        <v>175</v>
      </c>
      <c r="C74" s="31" t="n">
        <v>175</v>
      </c>
      <c r="G74" s="32" t="n">
        <f aca="false">C74</f>
        <v>175</v>
      </c>
      <c r="H74" s="8" t="s">
        <v>176</v>
      </c>
    </row>
    <row r="75" customFormat="false" ht="15" hidden="false" customHeight="false" outlineLevel="0" collapsed="false">
      <c r="A75" s="19" t="s">
        <v>177</v>
      </c>
    </row>
    <row r="76" customFormat="false" ht="15" hidden="false" customHeight="false" outlineLevel="0" collapsed="false">
      <c r="A76" s="7" t="s">
        <v>178</v>
      </c>
      <c r="B76" s="8" t="s">
        <v>179</v>
      </c>
      <c r="C76" s="29" t="n">
        <v>750</v>
      </c>
      <c r="G76" s="30" t="n">
        <f aca="false">C76</f>
        <v>750</v>
      </c>
      <c r="H76" s="8" t="s">
        <v>180</v>
      </c>
    </row>
    <row r="77" customFormat="false" ht="15" hidden="false" customHeight="false" outlineLevel="0" collapsed="false">
      <c r="A77" s="7" t="s">
        <v>181</v>
      </c>
      <c r="B77" s="8" t="s">
        <v>115</v>
      </c>
      <c r="C77" s="29" t="n">
        <v>500</v>
      </c>
      <c r="G77" s="30" t="n">
        <f aca="false">C77</f>
        <v>500</v>
      </c>
      <c r="H77" s="8" t="s">
        <v>89</v>
      </c>
    </row>
    <row r="78" customFormat="false" ht="15" hidden="false" customHeight="false" outlineLevel="0" collapsed="false">
      <c r="A78" s="7" t="s">
        <v>182</v>
      </c>
      <c r="B78" s="8" t="s">
        <v>183</v>
      </c>
      <c r="C78" s="20" t="n">
        <v>0.4</v>
      </c>
      <c r="G78" s="21" t="n">
        <f aca="false">C78</f>
        <v>0.4</v>
      </c>
      <c r="H78" s="8" t="s">
        <v>184</v>
      </c>
    </row>
    <row r="79" customFormat="false" ht="15" hidden="false" customHeight="false" outlineLevel="0" collapsed="false">
      <c r="A79" s="7" t="s">
        <v>84</v>
      </c>
      <c r="B79" s="8" t="s">
        <v>71</v>
      </c>
      <c r="C79" s="22" t="n">
        <v>0.1</v>
      </c>
      <c r="G79" s="23" t="n">
        <f aca="false">C79</f>
        <v>0.1</v>
      </c>
      <c r="H79" s="8" t="s">
        <v>185</v>
      </c>
    </row>
    <row r="80" customFormat="false" ht="15" hidden="false" customHeight="false" outlineLevel="0" collapsed="false">
      <c r="A80" s="7" t="s">
        <v>186</v>
      </c>
      <c r="B80" s="8" t="s">
        <v>74</v>
      </c>
      <c r="C80" s="24" t="n">
        <v>30</v>
      </c>
      <c r="G80" s="25" t="n">
        <f aca="false">C80</f>
        <v>30</v>
      </c>
      <c r="H80" s="8" t="s">
        <v>89</v>
      </c>
    </row>
    <row r="81" customFormat="false" ht="15" hidden="false" customHeight="false" outlineLevel="0" collapsed="false">
      <c r="A81" s="7" t="s">
        <v>187</v>
      </c>
      <c r="B81" s="8" t="s">
        <v>183</v>
      </c>
      <c r="C81" s="20" t="n">
        <v>0.24</v>
      </c>
      <c r="G81" s="21" t="n">
        <f aca="false">C81</f>
        <v>0.24</v>
      </c>
      <c r="H81" s="8" t="s">
        <v>188</v>
      </c>
    </row>
    <row r="82" customFormat="false" ht="15" hidden="false" customHeight="false" outlineLevel="0" collapsed="false">
      <c r="A82" s="7" t="s">
        <v>189</v>
      </c>
      <c r="B82" s="8" t="s">
        <v>10</v>
      </c>
      <c r="C82" s="20" t="n">
        <v>0.1</v>
      </c>
      <c r="G82" s="21" t="n">
        <f aca="false">C82</f>
        <v>0.1</v>
      </c>
      <c r="H82" s="8" t="s">
        <v>190</v>
      </c>
    </row>
    <row r="83" customFormat="false" ht="15" hidden="false" customHeight="false" outlineLevel="0" collapsed="false">
      <c r="A83" s="7" t="s">
        <v>191</v>
      </c>
      <c r="B83" s="8" t="s">
        <v>192</v>
      </c>
      <c r="C83" s="29" t="n">
        <v>20</v>
      </c>
      <c r="G83" s="30" t="n">
        <f aca="false">C83</f>
        <v>20</v>
      </c>
      <c r="H83" s="8" t="s">
        <v>193</v>
      </c>
    </row>
    <row r="84" customFormat="false" ht="15" hidden="false" customHeight="false" outlineLevel="0" collapsed="false">
      <c r="A84" s="7" t="s">
        <v>194</v>
      </c>
      <c r="B84" s="8" t="s">
        <v>71</v>
      </c>
      <c r="C84" s="22" t="n">
        <v>0.15</v>
      </c>
      <c r="G84" s="23" t="n">
        <f aca="false">C84</f>
        <v>0.15</v>
      </c>
      <c r="H84" s="8" t="s">
        <v>193</v>
      </c>
    </row>
    <row r="85" customFormat="false" ht="15" hidden="false" customHeight="false" outlineLevel="0" collapsed="false">
      <c r="A85" s="7" t="s">
        <v>195</v>
      </c>
      <c r="B85" s="8" t="s">
        <v>118</v>
      </c>
      <c r="C85" s="29" t="n">
        <v>200</v>
      </c>
      <c r="G85" s="30" t="n">
        <f aca="false">C85</f>
        <v>200</v>
      </c>
      <c r="H85" s="8" t="s">
        <v>196</v>
      </c>
    </row>
    <row r="86" customFormat="false" ht="15" hidden="false" customHeight="false" outlineLevel="0" collapsed="false">
      <c r="A86" s="7" t="s">
        <v>197</v>
      </c>
      <c r="B86" s="8" t="s">
        <v>183</v>
      </c>
      <c r="C86" s="20" t="n">
        <v>0.05</v>
      </c>
      <c r="G86" s="21" t="n">
        <f aca="false">C86</f>
        <v>0.05</v>
      </c>
      <c r="H86" s="8" t="s">
        <v>196</v>
      </c>
    </row>
    <row r="87" customFormat="false" ht="15" hidden="false" customHeight="false" outlineLevel="0" collapsed="false">
      <c r="A87" s="7" t="s">
        <v>198</v>
      </c>
      <c r="B87" s="8" t="s">
        <v>118</v>
      </c>
      <c r="C87" s="29" t="n">
        <v>150</v>
      </c>
      <c r="G87" s="30" t="n">
        <f aca="false">C87</f>
        <v>150</v>
      </c>
      <c r="H87" s="8" t="s">
        <v>196</v>
      </c>
    </row>
    <row r="88" customFormat="false" ht="15" hidden="false" customHeight="false" outlineLevel="0" collapsed="false">
      <c r="A88" s="7" t="s">
        <v>199</v>
      </c>
      <c r="B88" s="8" t="s">
        <v>74</v>
      </c>
      <c r="C88" s="24" t="n">
        <v>30</v>
      </c>
      <c r="G88" s="25" t="n">
        <f aca="false">C88</f>
        <v>30</v>
      </c>
      <c r="H88" s="8" t="s">
        <v>196</v>
      </c>
    </row>
    <row r="89" customFormat="false" ht="15" hidden="false" customHeight="false" outlineLevel="0" collapsed="false">
      <c r="A89" s="19" t="s">
        <v>200</v>
      </c>
    </row>
    <row r="90" customFormat="false" ht="15" hidden="false" customHeight="false" outlineLevel="0" collapsed="false">
      <c r="A90" s="7" t="s">
        <v>201</v>
      </c>
      <c r="B90" s="8" t="s">
        <v>59</v>
      </c>
      <c r="C90" s="20" t="n">
        <v>7</v>
      </c>
      <c r="G90" s="21" t="n">
        <f aca="false">C90</f>
        <v>7</v>
      </c>
      <c r="H90" s="8" t="s">
        <v>202</v>
      </c>
    </row>
    <row r="91" customFormat="false" ht="15" hidden="false" customHeight="false" outlineLevel="0" collapsed="false">
      <c r="A91" s="7" t="s">
        <v>203</v>
      </c>
      <c r="B91" s="8" t="s">
        <v>59</v>
      </c>
      <c r="C91" s="20" t="n">
        <v>7.85</v>
      </c>
      <c r="G91" s="21" t="n">
        <f aca="false">C91</f>
        <v>7.85</v>
      </c>
      <c r="H91" s="8" t="s">
        <v>204</v>
      </c>
    </row>
    <row r="92" customFormat="false" ht="15" hidden="false" customHeight="false" outlineLevel="0" collapsed="false">
      <c r="A92" s="7" t="s">
        <v>205</v>
      </c>
      <c r="B92" s="8" t="s">
        <v>59</v>
      </c>
      <c r="C92" s="20" t="n">
        <v>0.15</v>
      </c>
      <c r="G92" s="21" t="n">
        <f aca="false">C92</f>
        <v>0.15</v>
      </c>
      <c r="H92" s="8" t="s">
        <v>89</v>
      </c>
    </row>
    <row r="93" customFormat="false" ht="15" hidden="false" customHeight="false" outlineLevel="0" collapsed="false">
      <c r="A93" s="7" t="s">
        <v>86</v>
      </c>
      <c r="B93" s="8" t="s">
        <v>74</v>
      </c>
      <c r="C93" s="24" t="n">
        <v>45</v>
      </c>
      <c r="G93" s="25" t="n">
        <f aca="false">C93</f>
        <v>45</v>
      </c>
      <c r="H93" s="8" t="s">
        <v>89</v>
      </c>
    </row>
    <row r="94" customFormat="false" ht="15" hidden="false" customHeight="false" outlineLevel="0" collapsed="false">
      <c r="A94" s="7" t="s">
        <v>206</v>
      </c>
      <c r="B94" s="8" t="s">
        <v>74</v>
      </c>
      <c r="C94" s="24" t="n">
        <v>30</v>
      </c>
      <c r="G94" s="25" t="n">
        <f aca="false">C94</f>
        <v>30</v>
      </c>
      <c r="H94" s="8" t="s">
        <v>89</v>
      </c>
    </row>
    <row r="95" customFormat="false" ht="15" hidden="false" customHeight="false" outlineLevel="0" collapsed="false">
      <c r="A95" s="7" t="s">
        <v>207</v>
      </c>
      <c r="B95" s="8" t="s">
        <v>74</v>
      </c>
      <c r="C95" s="24" t="n">
        <v>30</v>
      </c>
      <c r="G95" s="25" t="n">
        <f aca="false">C95</f>
        <v>30</v>
      </c>
      <c r="H95" s="8" t="s">
        <v>89</v>
      </c>
    </row>
    <row r="96" customFormat="false" ht="15" hidden="false" customHeight="false" outlineLevel="0" collapsed="false">
      <c r="A96" s="7" t="s">
        <v>76</v>
      </c>
      <c r="B96" s="8" t="s">
        <v>77</v>
      </c>
      <c r="C96" s="26" t="n">
        <v>0.006</v>
      </c>
      <c r="G96" s="27" t="n">
        <f aca="false">C96</f>
        <v>0.006</v>
      </c>
      <c r="H96" s="8" t="s">
        <v>89</v>
      </c>
    </row>
    <row r="97" customFormat="false" ht="15" hidden="false" customHeight="false" outlineLevel="0" collapsed="false">
      <c r="A97" s="7" t="s">
        <v>208</v>
      </c>
      <c r="B97" s="8" t="s">
        <v>59</v>
      </c>
      <c r="C97" s="20" t="n">
        <v>0.03</v>
      </c>
      <c r="G97" s="21" t="n">
        <f aca="false">C97</f>
        <v>0.03</v>
      </c>
      <c r="H97" s="8" t="s">
        <v>89</v>
      </c>
    </row>
    <row r="98" customFormat="false" ht="15" hidden="false" customHeight="false" outlineLevel="0" collapsed="false">
      <c r="A98" s="19" t="s">
        <v>209</v>
      </c>
    </row>
    <row r="99" customFormat="false" ht="15" hidden="false" customHeight="false" outlineLevel="0" collapsed="false">
      <c r="A99" s="7" t="s">
        <v>210</v>
      </c>
      <c r="B99" s="8" t="s">
        <v>211</v>
      </c>
      <c r="C99" s="26" t="n">
        <v>0.0075</v>
      </c>
      <c r="G99" s="27" t="n">
        <f aca="false">C99</f>
        <v>0.0075</v>
      </c>
      <c r="H99" s="8" t="s">
        <v>212</v>
      </c>
    </row>
    <row r="100" customFormat="false" ht="15" hidden="false" customHeight="false" outlineLevel="0" collapsed="false">
      <c r="A100" s="7" t="s">
        <v>213</v>
      </c>
      <c r="B100" s="8" t="s">
        <v>115</v>
      </c>
      <c r="C100" s="35" t="n">
        <v>2</v>
      </c>
      <c r="G100" s="36" t="n">
        <f aca="false">C100</f>
        <v>2</v>
      </c>
      <c r="H100" s="8" t="s">
        <v>89</v>
      </c>
    </row>
    <row r="101" customFormat="false" ht="15" hidden="false" customHeight="false" outlineLevel="0" collapsed="false">
      <c r="A101" s="7" t="s">
        <v>214</v>
      </c>
      <c r="B101" s="8" t="s">
        <v>211</v>
      </c>
      <c r="C101" s="26" t="n">
        <v>0.005</v>
      </c>
      <c r="G101" s="27" t="n">
        <f aca="false">C101</f>
        <v>0.005</v>
      </c>
      <c r="H101" s="8" t="s">
        <v>89</v>
      </c>
    </row>
    <row r="102" customFormat="false" ht="15" hidden="false" customHeight="false" outlineLevel="0" collapsed="false">
      <c r="A102" s="7" t="s">
        <v>215</v>
      </c>
      <c r="B102" s="8" t="s">
        <v>59</v>
      </c>
      <c r="C102" s="33" t="n">
        <v>0.018</v>
      </c>
      <c r="G102" s="34" t="n">
        <f aca="false">C102</f>
        <v>0.018</v>
      </c>
      <c r="H102" s="8" t="s">
        <v>216</v>
      </c>
    </row>
    <row r="103" customFormat="false" ht="15" hidden="false" customHeight="false" outlineLevel="0" collapsed="false">
      <c r="A103" s="7" t="s">
        <v>217</v>
      </c>
      <c r="B103" s="8" t="s">
        <v>59</v>
      </c>
      <c r="C103" s="20" t="n">
        <v>3.5</v>
      </c>
      <c r="G103" s="21" t="n">
        <f aca="false">C103</f>
        <v>3.5</v>
      </c>
      <c r="H103" s="8" t="s">
        <v>218</v>
      </c>
    </row>
    <row r="104" customFormat="false" ht="15" hidden="false" customHeight="false" outlineLevel="0" collapsed="false">
      <c r="A104" s="7" t="s">
        <v>219</v>
      </c>
      <c r="B104" s="8" t="s">
        <v>71</v>
      </c>
      <c r="C104" s="22" t="n">
        <v>0.625</v>
      </c>
      <c r="G104" s="23" t="n">
        <f aca="false">C104</f>
        <v>0.625</v>
      </c>
      <c r="H104" s="8" t="s">
        <v>220</v>
      </c>
    </row>
    <row r="105" customFormat="false" ht="15" hidden="false" customHeight="false" outlineLevel="0" collapsed="false">
      <c r="A105" s="19" t="s">
        <v>221</v>
      </c>
    </row>
    <row r="106" customFormat="false" ht="15" hidden="false" customHeight="false" outlineLevel="0" collapsed="false">
      <c r="A106" s="7" t="s">
        <v>222</v>
      </c>
      <c r="B106" s="8" t="s">
        <v>10</v>
      </c>
      <c r="C106" s="29" t="n">
        <v>50000</v>
      </c>
      <c r="G106" s="30" t="n">
        <f aca="false">C106</f>
        <v>50000</v>
      </c>
      <c r="H106" s="8" t="s">
        <v>223</v>
      </c>
    </row>
    <row r="107" customFormat="false" ht="15" hidden="false" customHeight="false" outlineLevel="0" collapsed="false">
      <c r="A107" s="7" t="s">
        <v>224</v>
      </c>
      <c r="B107" s="8" t="s">
        <v>71</v>
      </c>
      <c r="C107" s="22" t="n">
        <v>0.05</v>
      </c>
      <c r="G107" s="23" t="n">
        <f aca="false">C107</f>
        <v>0.05</v>
      </c>
      <c r="H107" s="8" t="s">
        <v>225</v>
      </c>
    </row>
    <row r="108" customFormat="false" ht="15" hidden="false" customHeight="false" outlineLevel="0" collapsed="false">
      <c r="A108" s="7" t="s">
        <v>226</v>
      </c>
      <c r="B108" s="8" t="s">
        <v>71</v>
      </c>
      <c r="C108" s="22" t="n">
        <v>0.3</v>
      </c>
      <c r="G108" s="23" t="n">
        <f aca="false">C108</f>
        <v>0.3</v>
      </c>
      <c r="H108" s="8" t="s">
        <v>225</v>
      </c>
    </row>
    <row r="109" customFormat="false" ht="15" hidden="false" customHeight="false" outlineLevel="0" collapsed="false">
      <c r="A109" s="7" t="s">
        <v>227</v>
      </c>
      <c r="B109" s="8" t="s">
        <v>71</v>
      </c>
      <c r="C109" s="22" t="n">
        <v>0.28</v>
      </c>
      <c r="G109" s="23" t="n">
        <f aca="false">C109</f>
        <v>0.28</v>
      </c>
      <c r="H109" s="8" t="s">
        <v>228</v>
      </c>
    </row>
    <row r="110" customFormat="false" ht="15" hidden="false" customHeight="false" outlineLevel="0" collapsed="false">
      <c r="A110" s="7" t="s">
        <v>229</v>
      </c>
      <c r="B110" s="8" t="s">
        <v>10</v>
      </c>
      <c r="C110" s="29" t="n">
        <v>50000</v>
      </c>
      <c r="G110" s="30" t="n">
        <f aca="false">C110</f>
        <v>50000</v>
      </c>
      <c r="H110" s="8" t="s">
        <v>230</v>
      </c>
    </row>
    <row r="111" customFormat="false" ht="15" hidden="false" customHeight="false" outlineLevel="0" collapsed="false">
      <c r="A111" s="7" t="s">
        <v>231</v>
      </c>
      <c r="B111" s="8" t="s">
        <v>155</v>
      </c>
      <c r="C111" s="22" t="n">
        <v>0.08</v>
      </c>
      <c r="G111" s="23" t="n">
        <f aca="false">C111</f>
        <v>0.08</v>
      </c>
      <c r="H111" s="8" t="s">
        <v>113</v>
      </c>
    </row>
    <row r="112" customFormat="false" ht="15" hidden="false" customHeight="false" outlineLevel="0" collapsed="false">
      <c r="A112" s="7" t="s">
        <v>232</v>
      </c>
      <c r="B112" s="8" t="s">
        <v>10</v>
      </c>
      <c r="C112" s="29" t="n">
        <v>25000</v>
      </c>
      <c r="G112" s="30" t="n">
        <f aca="false">C112</f>
        <v>25000</v>
      </c>
      <c r="H112" s="8" t="s">
        <v>233</v>
      </c>
    </row>
    <row r="113" customFormat="false" ht="15" hidden="false" customHeight="false" outlineLevel="0" collapsed="false">
      <c r="A113" s="7" t="s">
        <v>234</v>
      </c>
      <c r="B113" s="8" t="s">
        <v>235</v>
      </c>
      <c r="C113" s="29" t="n">
        <v>25000</v>
      </c>
      <c r="G113" s="30" t="n">
        <f aca="false">C113</f>
        <v>25000</v>
      </c>
      <c r="H113" s="8" t="s">
        <v>236</v>
      </c>
    </row>
    <row r="114" customFormat="false" ht="15" hidden="false" customHeight="false" outlineLevel="0" collapsed="false">
      <c r="A114" s="7" t="s">
        <v>237</v>
      </c>
      <c r="B114" s="8" t="s">
        <v>238</v>
      </c>
      <c r="C114" s="29" t="n">
        <v>5000</v>
      </c>
      <c r="G114" s="30" t="n">
        <f aca="false">C114</f>
        <v>5000</v>
      </c>
      <c r="H114" s="8" t="s">
        <v>89</v>
      </c>
    </row>
    <row r="115" customFormat="false" ht="15" hidden="false" customHeight="false" outlineLevel="0" collapsed="false">
      <c r="A115" s="19" t="s">
        <v>239</v>
      </c>
    </row>
    <row r="116" customFormat="false" ht="15" hidden="false" customHeight="false" outlineLevel="0" collapsed="false">
      <c r="A116" s="7" t="s">
        <v>240</v>
      </c>
      <c r="B116" s="8" t="s">
        <v>77</v>
      </c>
      <c r="C116" s="26" t="n">
        <v>0.004</v>
      </c>
      <c r="G116" s="27" t="n">
        <f aca="false">C116</f>
        <v>0.004</v>
      </c>
      <c r="H116" s="8" t="s">
        <v>241</v>
      </c>
    </row>
    <row r="117" customFormat="false" ht="15" hidden="false" customHeight="false" outlineLevel="0" collapsed="false">
      <c r="A117" s="7" t="s">
        <v>242</v>
      </c>
      <c r="B117" s="8" t="s">
        <v>77</v>
      </c>
      <c r="C117" s="26" t="n">
        <v>0.002</v>
      </c>
      <c r="G117" s="27" t="n">
        <f aca="false">C117</f>
        <v>0.002</v>
      </c>
      <c r="H117" s="8" t="s">
        <v>243</v>
      </c>
    </row>
    <row r="118" customFormat="false" ht="15" hidden="false" customHeight="false" outlineLevel="0" collapsed="false">
      <c r="A118" s="7" t="s">
        <v>244</v>
      </c>
      <c r="B118" s="8" t="s">
        <v>18</v>
      </c>
      <c r="C118" s="28" t="n">
        <v>2028</v>
      </c>
      <c r="G118" s="18" t="n">
        <f aca="false">C118</f>
        <v>2028</v>
      </c>
      <c r="H118" s="8" t="s">
        <v>245</v>
      </c>
    </row>
    <row r="119" customFormat="false" ht="15" hidden="false" customHeight="false" outlineLevel="0" collapsed="false">
      <c r="A119" s="7" t="s">
        <v>246</v>
      </c>
      <c r="B119" s="8" t="s">
        <v>10</v>
      </c>
      <c r="C119" s="20" t="n">
        <v>7</v>
      </c>
      <c r="G119" s="21" t="n">
        <f aca="false">C119</f>
        <v>7</v>
      </c>
      <c r="H119" s="8" t="s">
        <v>247</v>
      </c>
    </row>
    <row r="120" customFormat="false" ht="15" hidden="false" customHeight="false" outlineLevel="0" collapsed="false">
      <c r="A120" s="7" t="s">
        <v>248</v>
      </c>
      <c r="B120" s="8" t="s">
        <v>249</v>
      </c>
      <c r="C120" s="20" t="n">
        <v>0.5</v>
      </c>
      <c r="G120" s="21" t="n">
        <f aca="false">C120</f>
        <v>0.5</v>
      </c>
      <c r="H120" s="8" t="s">
        <v>250</v>
      </c>
    </row>
    <row r="121" customFormat="false" ht="15" hidden="false" customHeight="false" outlineLevel="0" collapsed="false">
      <c r="A121" s="19" t="s">
        <v>251</v>
      </c>
    </row>
    <row r="122" customFormat="false" ht="15" hidden="false" customHeight="false" outlineLevel="0" collapsed="false">
      <c r="A122" s="7" t="s">
        <v>252</v>
      </c>
      <c r="B122" s="8" t="s">
        <v>71</v>
      </c>
      <c r="C122" s="26" t="n">
        <v>0.2375</v>
      </c>
      <c r="G122" s="27" t="n">
        <f aca="false">C122</f>
        <v>0.2375</v>
      </c>
      <c r="H122" s="8" t="s">
        <v>253</v>
      </c>
    </row>
    <row r="123" customFormat="false" ht="15" hidden="false" customHeight="false" outlineLevel="0" collapsed="false">
      <c r="A123" s="7" t="s">
        <v>254</v>
      </c>
      <c r="B123" s="8" t="s">
        <v>71</v>
      </c>
      <c r="C123" s="22" t="n">
        <v>0.02</v>
      </c>
      <c r="G123" s="23" t="n">
        <f aca="false">C123</f>
        <v>0.02</v>
      </c>
      <c r="H123" s="8" t="s">
        <v>89</v>
      </c>
    </row>
    <row r="124" customFormat="false" ht="15" hidden="false" customHeight="false" outlineLevel="0" collapsed="false">
      <c r="A124" s="7" t="s">
        <v>255</v>
      </c>
      <c r="B124" s="8" t="s">
        <v>235</v>
      </c>
      <c r="C124" s="29" t="n">
        <v>2000</v>
      </c>
      <c r="G124" s="30" t="n">
        <f aca="false">C124</f>
        <v>2000</v>
      </c>
      <c r="H124" s="8" t="s">
        <v>256</v>
      </c>
    </row>
    <row r="125" customFormat="false" ht="15" hidden="false" customHeight="false" outlineLevel="0" collapsed="false">
      <c r="A125" s="7" t="s">
        <v>257</v>
      </c>
      <c r="B125" s="8" t="s">
        <v>71</v>
      </c>
      <c r="C125" s="22" t="n">
        <v>0.03</v>
      </c>
      <c r="G125" s="23" t="n">
        <f aca="false">C125</f>
        <v>0.03</v>
      </c>
      <c r="H125" s="8" t="s">
        <v>89</v>
      </c>
    </row>
    <row r="126" customFormat="false" ht="15" hidden="false" customHeight="false" outlineLevel="0" collapsed="false">
      <c r="A126" s="7" t="s">
        <v>258</v>
      </c>
      <c r="B126" s="8" t="s">
        <v>259</v>
      </c>
      <c r="C126" s="35" t="n">
        <v>0.7333</v>
      </c>
      <c r="G126" s="36" t="n">
        <f aca="false">C126</f>
        <v>0.7333</v>
      </c>
      <c r="H126" s="8" t="s">
        <v>260</v>
      </c>
    </row>
    <row r="127" customFormat="false" ht="15" hidden="false" customHeight="false" outlineLevel="0" collapsed="false">
      <c r="A127" s="7" t="s">
        <v>261</v>
      </c>
      <c r="B127" s="8" t="s">
        <v>259</v>
      </c>
      <c r="C127" s="35" t="n">
        <v>0.6</v>
      </c>
      <c r="G127" s="36" t="n">
        <f aca="false">C127</f>
        <v>0.6</v>
      </c>
      <c r="H127" s="8" t="s">
        <v>262</v>
      </c>
    </row>
    <row r="128" customFormat="false" ht="15" hidden="false" customHeight="false" outlineLevel="0" collapsed="false">
      <c r="A128" s="7" t="s">
        <v>263</v>
      </c>
      <c r="B128" s="8" t="s">
        <v>264</v>
      </c>
      <c r="C128" s="29" t="n">
        <v>8</v>
      </c>
      <c r="G128" s="30" t="n">
        <f aca="false">C128</f>
        <v>8</v>
      </c>
      <c r="H128" s="8" t="s">
        <v>265</v>
      </c>
    </row>
    <row r="129" customFormat="false" ht="15" hidden="false" customHeight="false" outlineLevel="0" collapsed="false">
      <c r="A129" s="7" t="s">
        <v>266</v>
      </c>
      <c r="B129" s="8" t="s">
        <v>235</v>
      </c>
      <c r="C129" s="29" t="n">
        <v>60000</v>
      </c>
      <c r="G129" s="30" t="n">
        <f aca="false">C129</f>
        <v>60000</v>
      </c>
      <c r="H129" s="8" t="s">
        <v>267</v>
      </c>
    </row>
    <row r="130" customFormat="false" ht="15" hidden="false" customHeight="false" outlineLevel="0" collapsed="false">
      <c r="A130" s="7" t="s">
        <v>268</v>
      </c>
      <c r="B130" s="8" t="s">
        <v>269</v>
      </c>
      <c r="C130" s="22" t="n">
        <v>0</v>
      </c>
      <c r="G130" s="23" t="n">
        <f aca="false">C130</f>
        <v>0</v>
      </c>
      <c r="H130" s="8" t="s">
        <v>89</v>
      </c>
    </row>
    <row r="131" customFormat="false" ht="15" hidden="false" customHeight="false" outlineLevel="0" collapsed="false">
      <c r="A131" s="7" t="s">
        <v>270</v>
      </c>
      <c r="B131" s="8" t="s">
        <v>235</v>
      </c>
      <c r="C131" s="29" t="n">
        <v>65000</v>
      </c>
      <c r="G131" s="30" t="n">
        <f aca="false">C131</f>
        <v>65000</v>
      </c>
      <c r="H131" s="8" t="s">
        <v>267</v>
      </c>
    </row>
    <row r="132" customFormat="false" ht="15" hidden="false" customHeight="false" outlineLevel="0" collapsed="false">
      <c r="A132" s="7" t="s">
        <v>271</v>
      </c>
      <c r="B132" s="8" t="s">
        <v>269</v>
      </c>
      <c r="C132" s="22" t="n">
        <v>0</v>
      </c>
      <c r="G132" s="23" t="n">
        <f aca="false">C132</f>
        <v>0</v>
      </c>
      <c r="H132" s="8" t="s">
        <v>89</v>
      </c>
    </row>
    <row r="133" customFormat="false" ht="15" hidden="false" customHeight="false" outlineLevel="0" collapsed="false">
      <c r="A133" s="7" t="s">
        <v>272</v>
      </c>
      <c r="B133" s="8" t="s">
        <v>235</v>
      </c>
      <c r="C133" s="29" t="n">
        <v>45000</v>
      </c>
      <c r="G133" s="30" t="n">
        <f aca="false">C133</f>
        <v>45000</v>
      </c>
      <c r="H133" s="8" t="s">
        <v>267</v>
      </c>
    </row>
    <row r="134" customFormat="false" ht="15" hidden="false" customHeight="false" outlineLevel="0" collapsed="false">
      <c r="A134" s="7" t="s">
        <v>273</v>
      </c>
      <c r="B134" s="8" t="s">
        <v>269</v>
      </c>
      <c r="C134" s="22" t="n">
        <v>0</v>
      </c>
      <c r="G134" s="23" t="n">
        <f aca="false">C134</f>
        <v>0</v>
      </c>
      <c r="H134" s="8" t="s">
        <v>89</v>
      </c>
    </row>
    <row r="135" customFormat="false" ht="15" hidden="false" customHeight="false" outlineLevel="0" collapsed="false">
      <c r="A135" s="7" t="s">
        <v>274</v>
      </c>
      <c r="B135" s="8" t="s">
        <v>235</v>
      </c>
      <c r="C135" s="29" t="n">
        <v>60000</v>
      </c>
      <c r="G135" s="30" t="n">
        <f aca="false">C135</f>
        <v>60000</v>
      </c>
      <c r="H135" s="8" t="s">
        <v>267</v>
      </c>
    </row>
    <row r="136" customFormat="false" ht="15" hidden="false" customHeight="false" outlineLevel="0" collapsed="false">
      <c r="A136" s="7" t="s">
        <v>275</v>
      </c>
      <c r="B136" s="8" t="s">
        <v>269</v>
      </c>
      <c r="C136" s="22" t="n">
        <v>0</v>
      </c>
      <c r="G136" s="23" t="n">
        <f aca="false">C136</f>
        <v>0</v>
      </c>
      <c r="H136" s="8" t="s">
        <v>89</v>
      </c>
    </row>
    <row r="137" customFormat="false" ht="15" hidden="false" customHeight="false" outlineLevel="0" collapsed="false">
      <c r="A137" s="7" t="s">
        <v>276</v>
      </c>
      <c r="B137" s="8" t="s">
        <v>235</v>
      </c>
      <c r="C137" s="29" t="n">
        <v>45000</v>
      </c>
      <c r="G137" s="30" t="n">
        <f aca="false">C137</f>
        <v>45000</v>
      </c>
      <c r="H137" s="8" t="s">
        <v>267</v>
      </c>
    </row>
    <row r="138" customFormat="false" ht="15" hidden="false" customHeight="false" outlineLevel="0" collapsed="false">
      <c r="A138" s="7" t="s">
        <v>277</v>
      </c>
      <c r="B138" s="8" t="s">
        <v>269</v>
      </c>
      <c r="C138" s="22" t="n">
        <v>0</v>
      </c>
      <c r="G138" s="23" t="n">
        <f aca="false">C138</f>
        <v>0</v>
      </c>
      <c r="H138" s="8" t="s">
        <v>89</v>
      </c>
    </row>
    <row r="139" customFormat="false" ht="15" hidden="false" customHeight="false" outlineLevel="0" collapsed="false">
      <c r="A139" s="7" t="s">
        <v>278</v>
      </c>
      <c r="B139" s="8" t="s">
        <v>235</v>
      </c>
      <c r="C139" s="29" t="n">
        <v>38000</v>
      </c>
      <c r="G139" s="30" t="n">
        <f aca="false">C139</f>
        <v>38000</v>
      </c>
      <c r="H139" s="8" t="s">
        <v>267</v>
      </c>
    </row>
    <row r="140" customFormat="false" ht="15" hidden="false" customHeight="false" outlineLevel="0" collapsed="false">
      <c r="A140" s="7" t="s">
        <v>279</v>
      </c>
      <c r="B140" s="8" t="s">
        <v>269</v>
      </c>
      <c r="C140" s="22" t="n">
        <v>0</v>
      </c>
      <c r="G140" s="23" t="n">
        <f aca="false">C140</f>
        <v>0</v>
      </c>
      <c r="H140" s="8" t="s">
        <v>89</v>
      </c>
    </row>
    <row r="141" customFormat="false" ht="15" hidden="false" customHeight="false" outlineLevel="0" collapsed="false">
      <c r="A141" s="7" t="s">
        <v>280</v>
      </c>
      <c r="B141" s="8" t="s">
        <v>235</v>
      </c>
      <c r="C141" s="29" t="n">
        <v>32000</v>
      </c>
      <c r="G141" s="30" t="n">
        <f aca="false">C141</f>
        <v>32000</v>
      </c>
      <c r="H141" s="8" t="s">
        <v>267</v>
      </c>
    </row>
    <row r="142" customFormat="false" ht="15" hidden="false" customHeight="false" outlineLevel="0" collapsed="false">
      <c r="A142" s="7" t="s">
        <v>281</v>
      </c>
      <c r="B142" s="8" t="s">
        <v>269</v>
      </c>
      <c r="C142" s="22" t="n">
        <v>0</v>
      </c>
      <c r="G142" s="23" t="n">
        <f aca="false">C142</f>
        <v>0</v>
      </c>
      <c r="H142" s="8" t="s">
        <v>89</v>
      </c>
    </row>
    <row r="143" customFormat="false" ht="15" hidden="false" customHeight="false" outlineLevel="0" collapsed="false">
      <c r="A143" s="7" t="s">
        <v>282</v>
      </c>
      <c r="B143" s="8" t="s">
        <v>235</v>
      </c>
      <c r="C143" s="29" t="n">
        <v>30000</v>
      </c>
      <c r="G143" s="30" t="n">
        <f aca="false">C143</f>
        <v>30000</v>
      </c>
      <c r="H143" s="8" t="s">
        <v>267</v>
      </c>
    </row>
    <row r="144" customFormat="false" ht="15" hidden="false" customHeight="false" outlineLevel="0" collapsed="false">
      <c r="A144" s="7" t="s">
        <v>283</v>
      </c>
      <c r="B144" s="8" t="s">
        <v>269</v>
      </c>
      <c r="C144" s="22" t="n">
        <v>0.15</v>
      </c>
      <c r="G144" s="23" t="n">
        <f aca="false">C144</f>
        <v>0.15</v>
      </c>
      <c r="H144" s="8" t="s">
        <v>89</v>
      </c>
    </row>
    <row r="145" customFormat="false" ht="15" hidden="false" customHeight="false" outlineLevel="0" collapsed="false">
      <c r="A145" s="7" t="s">
        <v>284</v>
      </c>
      <c r="B145" s="8" t="s">
        <v>235</v>
      </c>
      <c r="C145" s="29" t="n">
        <v>45000</v>
      </c>
      <c r="G145" s="30" t="n">
        <f aca="false">C145</f>
        <v>45000</v>
      </c>
      <c r="H145" s="8" t="s">
        <v>267</v>
      </c>
    </row>
    <row r="146" customFormat="false" ht="15" hidden="false" customHeight="false" outlineLevel="0" collapsed="false">
      <c r="A146" s="7" t="s">
        <v>285</v>
      </c>
      <c r="B146" s="8" t="s">
        <v>269</v>
      </c>
      <c r="C146" s="22" t="n">
        <v>0</v>
      </c>
      <c r="G146" s="23" t="n">
        <f aca="false">C146</f>
        <v>0</v>
      </c>
      <c r="H146" s="8" t="s">
        <v>89</v>
      </c>
    </row>
    <row r="147" customFormat="false" ht="15" hidden="false" customHeight="false" outlineLevel="0" collapsed="false">
      <c r="A147" s="7" t="s">
        <v>286</v>
      </c>
      <c r="B147" s="8" t="s">
        <v>235</v>
      </c>
      <c r="C147" s="29" t="n">
        <v>40000</v>
      </c>
      <c r="G147" s="30" t="n">
        <f aca="false">C147</f>
        <v>40000</v>
      </c>
      <c r="H147" s="8" t="s">
        <v>267</v>
      </c>
    </row>
    <row r="148" customFormat="false" ht="15" hidden="false" customHeight="false" outlineLevel="0" collapsed="false">
      <c r="A148" s="7" t="s">
        <v>287</v>
      </c>
      <c r="B148" s="8" t="s">
        <v>269</v>
      </c>
      <c r="C148" s="22" t="n">
        <v>0</v>
      </c>
      <c r="G148" s="23" t="n">
        <f aca="false">C148</f>
        <v>0</v>
      </c>
      <c r="H148" s="8" t="s">
        <v>89</v>
      </c>
    </row>
    <row r="149" customFormat="false" ht="15" hidden="false" customHeight="false" outlineLevel="0" collapsed="false">
      <c r="A149" s="7" t="s">
        <v>288</v>
      </c>
      <c r="B149" s="8" t="s">
        <v>235</v>
      </c>
      <c r="C149" s="29" t="n">
        <v>24000</v>
      </c>
      <c r="G149" s="30" t="n">
        <f aca="false">C149</f>
        <v>24000</v>
      </c>
      <c r="H149" s="8" t="s">
        <v>267</v>
      </c>
    </row>
    <row r="150" customFormat="false" ht="15" hidden="false" customHeight="false" outlineLevel="0" collapsed="false">
      <c r="A150" s="7" t="s">
        <v>289</v>
      </c>
      <c r="B150" s="8" t="s">
        <v>269</v>
      </c>
      <c r="C150" s="22" t="n">
        <v>0</v>
      </c>
      <c r="G150" s="23" t="n">
        <f aca="false">C150</f>
        <v>0</v>
      </c>
      <c r="H150" s="8" t="s">
        <v>89</v>
      </c>
    </row>
    <row r="151" customFormat="false" ht="15" hidden="false" customHeight="false" outlineLevel="0" collapsed="false">
      <c r="A151" s="7" t="s">
        <v>290</v>
      </c>
      <c r="B151" s="8" t="s">
        <v>235</v>
      </c>
      <c r="C151" s="29" t="n">
        <v>45000</v>
      </c>
      <c r="G151" s="30" t="n">
        <f aca="false">C151</f>
        <v>45000</v>
      </c>
      <c r="H151" s="8" t="s">
        <v>267</v>
      </c>
    </row>
    <row r="152" customFormat="false" ht="15" hidden="false" customHeight="false" outlineLevel="0" collapsed="false">
      <c r="A152" s="7" t="s">
        <v>291</v>
      </c>
      <c r="B152" s="8" t="s">
        <v>269</v>
      </c>
      <c r="C152" s="22" t="n">
        <v>0.15</v>
      </c>
      <c r="G152" s="23" t="n">
        <f aca="false">C152</f>
        <v>0.15</v>
      </c>
      <c r="H152" s="8" t="s">
        <v>89</v>
      </c>
    </row>
    <row r="153" customFormat="false" ht="15" hidden="false" customHeight="false" outlineLevel="0" collapsed="false">
      <c r="A153" s="19" t="s">
        <v>292</v>
      </c>
    </row>
    <row r="154" customFormat="false" ht="15" hidden="false" customHeight="false" outlineLevel="0" collapsed="false">
      <c r="A154" s="7" t="s">
        <v>293</v>
      </c>
      <c r="B154" s="8" t="s">
        <v>71</v>
      </c>
      <c r="C154" s="22" t="n">
        <v>0.05</v>
      </c>
      <c r="G154" s="23" t="n">
        <f aca="false">C154</f>
        <v>0.05</v>
      </c>
      <c r="H154" s="8" t="s">
        <v>89</v>
      </c>
    </row>
    <row r="155" customFormat="false" ht="15" hidden="false" customHeight="false" outlineLevel="0" collapsed="false">
      <c r="A155" s="7" t="s">
        <v>294</v>
      </c>
      <c r="B155" s="8" t="s">
        <v>71</v>
      </c>
      <c r="C155" s="22" t="n">
        <v>0.02</v>
      </c>
      <c r="G155" s="23" t="n">
        <f aca="false">C155</f>
        <v>0.02</v>
      </c>
      <c r="H155" s="8" t="s">
        <v>89</v>
      </c>
    </row>
    <row r="156" customFormat="false" ht="15" hidden="false" customHeight="false" outlineLevel="0" collapsed="false">
      <c r="A156" s="19" t="s">
        <v>295</v>
      </c>
    </row>
    <row r="157" customFormat="false" ht="15" hidden="false" customHeight="false" outlineLevel="0" collapsed="false">
      <c r="A157" s="7" t="s">
        <v>296</v>
      </c>
      <c r="B157" s="8" t="s">
        <v>10</v>
      </c>
      <c r="C157" s="29" t="n">
        <v>45000</v>
      </c>
      <c r="G157" s="30" t="n">
        <f aca="false">C157</f>
        <v>45000</v>
      </c>
      <c r="H157" s="8" t="s">
        <v>297</v>
      </c>
    </row>
    <row r="158" customFormat="false" ht="15" hidden="false" customHeight="false" outlineLevel="0" collapsed="false">
      <c r="A158" s="7" t="s">
        <v>298</v>
      </c>
      <c r="B158" s="8" t="s">
        <v>10</v>
      </c>
      <c r="C158" s="29" t="n">
        <v>20000</v>
      </c>
      <c r="G158" s="30" t="n">
        <f aca="false">C158</f>
        <v>20000</v>
      </c>
      <c r="H158" s="8" t="s">
        <v>297</v>
      </c>
    </row>
    <row r="159" customFormat="false" ht="15" hidden="false" customHeight="false" outlineLevel="0" collapsed="false">
      <c r="A159" s="7" t="s">
        <v>299</v>
      </c>
      <c r="B159" s="8" t="s">
        <v>10</v>
      </c>
      <c r="C159" s="29" t="n">
        <v>5000</v>
      </c>
      <c r="G159" s="30" t="n">
        <f aca="false">C159</f>
        <v>5000</v>
      </c>
      <c r="H159" s="8" t="s">
        <v>297</v>
      </c>
    </row>
    <row r="160" customFormat="false" ht="15" hidden="false" customHeight="false" outlineLevel="0" collapsed="false">
      <c r="A160" s="7" t="s">
        <v>300</v>
      </c>
      <c r="B160" s="8" t="s">
        <v>10</v>
      </c>
      <c r="C160" s="29" t="n">
        <v>15000</v>
      </c>
      <c r="G160" s="30" t="n">
        <f aca="false">C160</f>
        <v>15000</v>
      </c>
      <c r="H160" s="8" t="s">
        <v>297</v>
      </c>
    </row>
    <row r="161" customFormat="false" ht="15" hidden="false" customHeight="false" outlineLevel="0" collapsed="false">
      <c r="A161" s="7" t="s">
        <v>301</v>
      </c>
      <c r="B161" s="8" t="s">
        <v>10</v>
      </c>
      <c r="C161" s="29" t="n">
        <v>10000</v>
      </c>
      <c r="G161" s="30" t="n">
        <f aca="false">C161</f>
        <v>10000</v>
      </c>
      <c r="H161" s="8" t="s">
        <v>297</v>
      </c>
    </row>
    <row r="162" customFormat="false" ht="15" hidden="false" customHeight="false" outlineLevel="0" collapsed="false">
      <c r="A162" s="19" t="s">
        <v>302</v>
      </c>
    </row>
    <row r="163" customFormat="false" ht="15" hidden="false" customHeight="false" outlineLevel="0" collapsed="false">
      <c r="A163" s="7" t="s">
        <v>303</v>
      </c>
      <c r="B163" s="8" t="s">
        <v>304</v>
      </c>
      <c r="C163" s="29" t="n">
        <v>6000</v>
      </c>
      <c r="G163" s="30" t="n">
        <f aca="false">C163</f>
        <v>6000</v>
      </c>
      <c r="H163" s="8" t="s">
        <v>305</v>
      </c>
    </row>
    <row r="164" customFormat="false" ht="15" hidden="false" customHeight="false" outlineLevel="0" collapsed="false">
      <c r="A164" s="7" t="s">
        <v>306</v>
      </c>
      <c r="B164" s="8" t="s">
        <v>10</v>
      </c>
      <c r="C164" s="29" t="n">
        <v>2000</v>
      </c>
      <c r="G164" s="30" t="n">
        <f aca="false">C164</f>
        <v>2000</v>
      </c>
      <c r="H164" s="8" t="s">
        <v>89</v>
      </c>
    </row>
    <row r="165" customFormat="false" ht="15" hidden="false" customHeight="false" outlineLevel="0" collapsed="false">
      <c r="A165" s="7" t="s">
        <v>307</v>
      </c>
      <c r="B165" s="8" t="s">
        <v>308</v>
      </c>
      <c r="C165" s="29" t="n">
        <v>3</v>
      </c>
      <c r="G165" s="30" t="n">
        <f aca="false">C165</f>
        <v>3</v>
      </c>
      <c r="H165" s="8" t="s">
        <v>309</v>
      </c>
    </row>
    <row r="166" customFormat="false" ht="15" hidden="false" customHeight="false" outlineLevel="0" collapsed="false">
      <c r="A166" s="7" t="s">
        <v>310</v>
      </c>
      <c r="B166" s="8" t="s">
        <v>308</v>
      </c>
      <c r="C166" s="29" t="n">
        <v>4</v>
      </c>
      <c r="G166" s="30" t="n">
        <f aca="false">C166</f>
        <v>4</v>
      </c>
      <c r="H166" s="8" t="s">
        <v>309</v>
      </c>
    </row>
    <row r="167" customFormat="false" ht="15" hidden="false" customHeight="false" outlineLevel="0" collapsed="false">
      <c r="A167" s="7" t="s">
        <v>311</v>
      </c>
      <c r="B167" s="8" t="s">
        <v>308</v>
      </c>
      <c r="C167" s="29" t="n">
        <v>5</v>
      </c>
      <c r="G167" s="30" t="n">
        <f aca="false">C167</f>
        <v>5</v>
      </c>
      <c r="H167" s="8" t="s">
        <v>309</v>
      </c>
    </row>
    <row r="168" customFormat="false" ht="15" hidden="false" customHeight="false" outlineLevel="0" collapsed="false">
      <c r="A168" s="7" t="s">
        <v>312</v>
      </c>
      <c r="B168" s="8" t="s">
        <v>10</v>
      </c>
      <c r="C168" s="29" t="n">
        <v>150000</v>
      </c>
      <c r="G168" s="30" t="n">
        <f aca="false">C168</f>
        <v>150000</v>
      </c>
      <c r="H168" s="8" t="s">
        <v>313</v>
      </c>
    </row>
    <row r="169" customFormat="false" ht="15" hidden="false" customHeight="false" outlineLevel="0" collapsed="false">
      <c r="A169" s="19" t="s">
        <v>314</v>
      </c>
    </row>
    <row r="170" customFormat="false" ht="15" hidden="false" customHeight="false" outlineLevel="0" collapsed="false">
      <c r="A170" s="7" t="s">
        <v>315</v>
      </c>
      <c r="B170" s="8" t="s">
        <v>71</v>
      </c>
      <c r="C170" s="22" t="n">
        <v>0.15</v>
      </c>
      <c r="G170" s="23" t="n">
        <f aca="false">C170</f>
        <v>0.15</v>
      </c>
      <c r="H170" s="8" t="s">
        <v>316</v>
      </c>
    </row>
    <row r="171" customFormat="false" ht="15" hidden="false" customHeight="false" outlineLevel="0" collapsed="false">
      <c r="A171" s="7" t="s">
        <v>317</v>
      </c>
      <c r="B171" s="8" t="s">
        <v>10</v>
      </c>
      <c r="C171" s="29" t="n">
        <v>50000</v>
      </c>
      <c r="G171" s="30" t="n">
        <f aca="false">C171</f>
        <v>50000</v>
      </c>
      <c r="H171" s="8" t="s">
        <v>309</v>
      </c>
    </row>
    <row r="172" customFormat="false" ht="15" hidden="false" customHeight="false" outlineLevel="0" collapsed="false">
      <c r="A172" s="7" t="s">
        <v>318</v>
      </c>
      <c r="B172" s="8" t="s">
        <v>319</v>
      </c>
      <c r="C172" s="26" t="n">
        <v>0.015</v>
      </c>
      <c r="G172" s="27" t="n">
        <f aca="false">C172</f>
        <v>0.015</v>
      </c>
      <c r="H172" s="8" t="s">
        <v>320</v>
      </c>
    </row>
    <row r="173" customFormat="false" ht="15" hidden="false" customHeight="false" outlineLevel="0" collapsed="false">
      <c r="A173" s="7" t="s">
        <v>321</v>
      </c>
      <c r="B173" s="8" t="s">
        <v>10</v>
      </c>
      <c r="C173" s="29" t="n">
        <v>1500000</v>
      </c>
      <c r="G173" s="30" t="n">
        <f aca="false">C173</f>
        <v>1500000</v>
      </c>
      <c r="H173" s="8" t="s">
        <v>322</v>
      </c>
    </row>
    <row r="174" customFormat="false" ht="15" hidden="false" customHeight="false" outlineLevel="0" collapsed="false">
      <c r="A174" s="7" t="s">
        <v>323</v>
      </c>
      <c r="B174" s="8" t="s">
        <v>71</v>
      </c>
      <c r="C174" s="22" t="n">
        <v>0.03</v>
      </c>
      <c r="G174" s="23" t="n">
        <f aca="false">C174</f>
        <v>0.03</v>
      </c>
      <c r="H174" s="8" t="s">
        <v>309</v>
      </c>
    </row>
    <row r="175" customFormat="false" ht="15" hidden="false" customHeight="false" outlineLevel="0" collapsed="false">
      <c r="A175" s="7" t="s">
        <v>324</v>
      </c>
      <c r="B175" s="8" t="s">
        <v>10</v>
      </c>
      <c r="C175" s="29" t="n">
        <v>7500000</v>
      </c>
      <c r="G175" s="30" t="n">
        <f aca="false">C175</f>
        <v>7500000</v>
      </c>
      <c r="H175" s="8" t="s">
        <v>309</v>
      </c>
    </row>
    <row r="176" customFormat="false" ht="15" hidden="false" customHeight="false" outlineLevel="0" collapsed="false">
      <c r="A176" s="7" t="s">
        <v>325</v>
      </c>
      <c r="B176" s="8" t="s">
        <v>71</v>
      </c>
      <c r="C176" s="22" t="n">
        <v>0.05</v>
      </c>
      <c r="G176" s="23" t="n">
        <f aca="false">C176</f>
        <v>0.05</v>
      </c>
      <c r="H176" s="8" t="s">
        <v>309</v>
      </c>
    </row>
    <row r="177" customFormat="false" ht="15" hidden="false" customHeight="false" outlineLevel="0" collapsed="false">
      <c r="A177" s="7" t="s">
        <v>326</v>
      </c>
      <c r="B177" s="8" t="s">
        <v>10</v>
      </c>
      <c r="C177" s="29" t="n">
        <v>35000000</v>
      </c>
      <c r="G177" s="30" t="n">
        <f aca="false">C177</f>
        <v>35000000</v>
      </c>
      <c r="H177" s="8" t="s">
        <v>309</v>
      </c>
    </row>
    <row r="178" customFormat="false" ht="15" hidden="false" customHeight="false" outlineLevel="0" collapsed="false">
      <c r="A178" s="7" t="s">
        <v>327</v>
      </c>
      <c r="B178" s="8" t="s">
        <v>71</v>
      </c>
      <c r="C178" s="22" t="n">
        <v>0.09</v>
      </c>
      <c r="G178" s="23" t="n">
        <f aca="false">C178</f>
        <v>0.09</v>
      </c>
      <c r="H178" s="8" t="s">
        <v>309</v>
      </c>
    </row>
    <row r="179" customFormat="false" ht="15" hidden="false" customHeight="false" outlineLevel="0" collapsed="false">
      <c r="A179" s="7" t="s">
        <v>328</v>
      </c>
      <c r="B179" s="8" t="s">
        <v>319</v>
      </c>
      <c r="C179" s="22" t="n">
        <v>0.65</v>
      </c>
      <c r="G179" s="23" t="n">
        <f aca="false">C179</f>
        <v>0.65</v>
      </c>
      <c r="H179" s="8" t="s">
        <v>329</v>
      </c>
    </row>
    <row r="180" customFormat="false" ht="15" hidden="false" customHeight="false" outlineLevel="0" collapsed="false">
      <c r="A180" s="19" t="s">
        <v>330</v>
      </c>
    </row>
    <row r="181" customFormat="false" ht="15" hidden="false" customHeight="false" outlineLevel="0" collapsed="false">
      <c r="A181" s="7" t="s">
        <v>331</v>
      </c>
      <c r="B181" s="8" t="s">
        <v>112</v>
      </c>
      <c r="C181" s="31" t="n">
        <v>4</v>
      </c>
      <c r="G181" s="32" t="n">
        <f aca="false">C181</f>
        <v>4</v>
      </c>
      <c r="H181" s="8" t="s">
        <v>332</v>
      </c>
    </row>
    <row r="182" customFormat="false" ht="15" hidden="false" customHeight="false" outlineLevel="0" collapsed="false">
      <c r="A182" s="7" t="s">
        <v>333</v>
      </c>
      <c r="B182" s="8" t="s">
        <v>112</v>
      </c>
      <c r="C182" s="31" t="n">
        <v>16</v>
      </c>
      <c r="G182" s="32" t="n">
        <f aca="false">C182</f>
        <v>16</v>
      </c>
      <c r="H182" s="8" t="s">
        <v>332</v>
      </c>
    </row>
    <row r="183" customFormat="false" ht="15" hidden="false" customHeight="false" outlineLevel="0" collapsed="false">
      <c r="A183" s="7" t="s">
        <v>334</v>
      </c>
      <c r="B183" s="8" t="s">
        <v>71</v>
      </c>
      <c r="C183" s="22" t="n">
        <v>0.198</v>
      </c>
      <c r="G183" s="23" t="n">
        <f aca="false">C183</f>
        <v>0.198</v>
      </c>
      <c r="H183" s="8" t="s">
        <v>161</v>
      </c>
    </row>
    <row r="184" customFormat="false" ht="15" hidden="false" customHeight="false" outlineLevel="0" collapsed="false">
      <c r="A184" s="7" t="s">
        <v>335</v>
      </c>
      <c r="B184" s="8" t="s">
        <v>71</v>
      </c>
      <c r="C184" s="22" t="n">
        <v>0.37</v>
      </c>
      <c r="G184" s="23" t="n">
        <f aca="false">C184</f>
        <v>0.37</v>
      </c>
      <c r="H184" s="8" t="s">
        <v>336</v>
      </c>
    </row>
    <row r="185" customFormat="false" ht="15" hidden="false" customHeight="false" outlineLevel="0" collapsed="false">
      <c r="A185" s="7" t="s">
        <v>337</v>
      </c>
      <c r="B185" s="8" t="s">
        <v>71</v>
      </c>
      <c r="C185" s="22" t="n">
        <v>0.57</v>
      </c>
      <c r="G185" s="23" t="n">
        <f aca="false">C185</f>
        <v>0.57</v>
      </c>
      <c r="H185" s="8" t="s">
        <v>336</v>
      </c>
    </row>
    <row r="186" customFormat="false" ht="15" hidden="false" customHeight="false" outlineLevel="0" collapsed="false">
      <c r="A186" s="7" t="s">
        <v>338</v>
      </c>
      <c r="B186" s="8" t="s">
        <v>339</v>
      </c>
      <c r="C186" s="22" t="n">
        <v>0.15</v>
      </c>
      <c r="G186" s="23" t="n">
        <f aca="false">C186</f>
        <v>0.15</v>
      </c>
      <c r="H186" s="8" t="s">
        <v>245</v>
      </c>
    </row>
    <row r="187" customFormat="false" ht="15" hidden="false" customHeight="false" outlineLevel="0" collapsed="false">
      <c r="A187" s="7" t="s">
        <v>340</v>
      </c>
      <c r="B187" s="8" t="s">
        <v>18</v>
      </c>
      <c r="C187" s="28" t="n">
        <v>2029</v>
      </c>
      <c r="G187" s="18" t="n">
        <f aca="false">C187</f>
        <v>2029</v>
      </c>
      <c r="H187" s="8" t="s">
        <v>341</v>
      </c>
    </row>
    <row r="188" customFormat="false" ht="15" hidden="false" customHeight="false" outlineLevel="0" collapsed="false">
      <c r="A188" s="19" t="s">
        <v>342</v>
      </c>
    </row>
    <row r="189" customFormat="false" ht="15" hidden="false" customHeight="false" outlineLevel="0" collapsed="false">
      <c r="A189" s="7" t="s">
        <v>343</v>
      </c>
      <c r="B189" s="8" t="s">
        <v>71</v>
      </c>
      <c r="C189" s="22" t="n">
        <v>0.1</v>
      </c>
      <c r="G189" s="23" t="n">
        <f aca="false">C189</f>
        <v>0.1</v>
      </c>
      <c r="H189" s="8" t="s">
        <v>344</v>
      </c>
    </row>
    <row r="190" customFormat="false" ht="15" hidden="false" customHeight="false" outlineLevel="0" collapsed="false">
      <c r="A190" s="7" t="s">
        <v>345</v>
      </c>
      <c r="B190" s="8" t="s">
        <v>71</v>
      </c>
      <c r="C190" s="22" t="n">
        <v>0.125</v>
      </c>
      <c r="G190" s="23" t="n">
        <f aca="false">C190</f>
        <v>0.125</v>
      </c>
      <c r="H190" s="8"/>
    </row>
    <row r="191" customFormat="false" ht="15" hidden="false" customHeight="false" outlineLevel="0" collapsed="false">
      <c r="A191" s="7" t="s">
        <v>346</v>
      </c>
      <c r="B191" s="8" t="s">
        <v>71</v>
      </c>
      <c r="C191" s="22" t="n">
        <v>0.15</v>
      </c>
      <c r="G191" s="23" t="n">
        <f aca="false">C191</f>
        <v>0.15</v>
      </c>
      <c r="H191" s="8"/>
    </row>
    <row r="192" customFormat="false" ht="15" hidden="false" customHeight="false" outlineLevel="0" collapsed="false">
      <c r="A192" s="7" t="s">
        <v>347</v>
      </c>
      <c r="B192" s="8" t="s">
        <v>71</v>
      </c>
      <c r="C192" s="22" t="n">
        <v>-0.3</v>
      </c>
      <c r="G192" s="23" t="n">
        <f aca="false">C192</f>
        <v>-0.3</v>
      </c>
      <c r="H192" s="8" t="s">
        <v>348</v>
      </c>
    </row>
    <row r="193" customFormat="false" ht="15" hidden="false" customHeight="false" outlineLevel="0" collapsed="false">
      <c r="A193" s="7" t="s">
        <v>349</v>
      </c>
      <c r="B193" s="8" t="s">
        <v>71</v>
      </c>
      <c r="C193" s="22" t="n">
        <v>0.3</v>
      </c>
      <c r="G193" s="23" t="n">
        <f aca="false">C193</f>
        <v>0.3</v>
      </c>
      <c r="H193" s="8"/>
    </row>
    <row r="194" customFormat="false" ht="15" hidden="false" customHeight="false" outlineLevel="0" collapsed="false">
      <c r="A194" s="7" t="s">
        <v>350</v>
      </c>
      <c r="B194" s="8" t="s">
        <v>59</v>
      </c>
      <c r="C194" s="20" t="n">
        <v>0.2</v>
      </c>
      <c r="G194" s="21" t="n">
        <f aca="false">C194</f>
        <v>0.2</v>
      </c>
      <c r="H194" s="8" t="s">
        <v>351</v>
      </c>
    </row>
    <row r="195" customFormat="false" ht="15" hidden="false" customHeight="false" outlineLevel="0" collapsed="false">
      <c r="A195" s="7" t="s">
        <v>352</v>
      </c>
      <c r="B195" s="8" t="s">
        <v>71</v>
      </c>
      <c r="C195" s="22" t="n">
        <v>-0.3</v>
      </c>
      <c r="G195" s="23" t="n">
        <f aca="false">C195</f>
        <v>-0.3</v>
      </c>
      <c r="H195" s="8" t="s">
        <v>353</v>
      </c>
    </row>
    <row r="196" customFormat="false" ht="15" hidden="false" customHeight="false" outlineLevel="0" collapsed="false">
      <c r="A196" s="7" t="s">
        <v>354</v>
      </c>
      <c r="B196" s="8" t="s">
        <v>59</v>
      </c>
      <c r="C196" s="33" t="n">
        <v>0.187</v>
      </c>
      <c r="G196" s="34" t="n">
        <f aca="false">C196</f>
        <v>0.187</v>
      </c>
      <c r="H196" s="8" t="s">
        <v>355</v>
      </c>
    </row>
    <row r="197" customFormat="false" ht="15" hidden="false" customHeight="false" outlineLevel="0" collapsed="false">
      <c r="A197" s="7" t="s">
        <v>356</v>
      </c>
      <c r="B197" s="8" t="s">
        <v>59</v>
      </c>
      <c r="C197" s="33" t="n">
        <v>0.297</v>
      </c>
      <c r="G197" s="34" t="n">
        <f aca="false">C197</f>
        <v>0.297</v>
      </c>
      <c r="H197" s="8" t="s">
        <v>357</v>
      </c>
    </row>
    <row r="198" customFormat="false" ht="15" hidden="false" customHeight="false" outlineLevel="0" collapsed="false">
      <c r="A198" s="7" t="s">
        <v>358</v>
      </c>
      <c r="B198" s="8" t="s">
        <v>59</v>
      </c>
      <c r="C198" s="33" t="n">
        <v>0.499</v>
      </c>
      <c r="G198" s="34" t="n">
        <f aca="false">C198</f>
        <v>0.499</v>
      </c>
      <c r="H198" s="8" t="s">
        <v>359</v>
      </c>
    </row>
    <row r="199" customFormat="false" ht="15" hidden="false" customHeight="false" outlineLevel="0" collapsed="false">
      <c r="A199" s="7" t="s">
        <v>360</v>
      </c>
      <c r="B199" s="8" t="s">
        <v>71</v>
      </c>
      <c r="C199" s="22" t="n">
        <v>0.8</v>
      </c>
      <c r="G199" s="23" t="n">
        <f aca="false">C199</f>
        <v>0.8</v>
      </c>
      <c r="H199" s="8" t="s">
        <v>361</v>
      </c>
    </row>
    <row r="200" customFormat="false" ht="15" hidden="false" customHeight="false" outlineLevel="0" collapsed="false">
      <c r="A200" s="7" t="s">
        <v>362</v>
      </c>
      <c r="B200" s="8" t="s">
        <v>71</v>
      </c>
      <c r="C200" s="22" t="n">
        <v>0.85</v>
      </c>
      <c r="G200" s="23" t="n">
        <f aca="false">C200</f>
        <v>0.85</v>
      </c>
      <c r="H200" s="8" t="s">
        <v>361</v>
      </c>
    </row>
    <row r="201" customFormat="false" ht="15" hidden="false" customHeight="false" outlineLevel="0" collapsed="false">
      <c r="A201" s="7" t="s">
        <v>363</v>
      </c>
      <c r="B201" s="8" t="s">
        <v>71</v>
      </c>
      <c r="C201" s="22" t="n">
        <v>0.9</v>
      </c>
      <c r="G201" s="23" t="n">
        <f aca="false">C201</f>
        <v>0.9</v>
      </c>
      <c r="H201" s="8" t="s">
        <v>361</v>
      </c>
    </row>
    <row r="203" customFormat="false" ht="15" hidden="false" customHeight="false" outlineLevel="0" collapsed="false">
      <c r="A203" s="3" t="s">
        <v>364</v>
      </c>
      <c r="B203" s="4"/>
      <c r="C203" s="4"/>
      <c r="D203" s="4"/>
      <c r="E203" s="4"/>
      <c r="F203" s="4"/>
      <c r="G203" s="4"/>
      <c r="H203" s="4"/>
    </row>
    <row r="204" customFormat="false" ht="15" hidden="false" customHeight="false" outlineLevel="0" collapsed="false">
      <c r="A204" s="5" t="s">
        <v>365</v>
      </c>
      <c r="B204" s="5" t="s">
        <v>4</v>
      </c>
      <c r="C204" s="6" t="s">
        <v>366</v>
      </c>
      <c r="D204" s="6" t="s">
        <v>367</v>
      </c>
      <c r="E204" s="6" t="s">
        <v>368</v>
      </c>
      <c r="F204" s="6" t="s">
        <v>369</v>
      </c>
      <c r="G204" s="6" t="s">
        <v>370</v>
      </c>
      <c r="H204" s="6" t="s">
        <v>56</v>
      </c>
    </row>
    <row r="205" customFormat="false" ht="15" hidden="false" customHeight="false" outlineLevel="0" collapsed="false">
      <c r="A205" s="19" t="s">
        <v>371</v>
      </c>
    </row>
    <row r="206" customFormat="false" ht="15" hidden="false" customHeight="false" outlineLevel="0" collapsed="false">
      <c r="A206" s="10" t="s">
        <v>372</v>
      </c>
      <c r="B206" s="8" t="s">
        <v>115</v>
      </c>
      <c r="H206" s="8" t="s">
        <v>373</v>
      </c>
    </row>
    <row r="207" customFormat="false" ht="15" hidden="false" customHeight="false" outlineLevel="0" collapsed="false">
      <c r="A207" s="8" t="s">
        <v>374</v>
      </c>
      <c r="C207" s="29" t="n">
        <v>30</v>
      </c>
      <c r="D207" s="29" t="n">
        <v>100</v>
      </c>
      <c r="E207" s="29" t="n">
        <v>250</v>
      </c>
      <c r="F207" s="29" t="n">
        <v>400</v>
      </c>
      <c r="G207" s="29" t="n">
        <v>500</v>
      </c>
    </row>
    <row r="208" customFormat="false" ht="15" hidden="false" customHeight="false" outlineLevel="0" collapsed="false">
      <c r="A208" s="8" t="s">
        <v>375</v>
      </c>
      <c r="C208" s="29" t="n">
        <v>40</v>
      </c>
      <c r="D208" s="29" t="n">
        <v>180</v>
      </c>
      <c r="E208" s="29" t="n">
        <v>650</v>
      </c>
      <c r="F208" s="29" t="n">
        <v>1300</v>
      </c>
      <c r="G208" s="29" t="n">
        <v>2000</v>
      </c>
    </row>
    <row r="209" customFormat="false" ht="15" hidden="false" customHeight="false" outlineLevel="0" collapsed="false">
      <c r="A209" s="8" t="s">
        <v>376</v>
      </c>
      <c r="C209" s="29" t="n">
        <v>50</v>
      </c>
      <c r="D209" s="29" t="n">
        <v>300</v>
      </c>
      <c r="E209" s="29" t="n">
        <v>1000</v>
      </c>
      <c r="F209" s="29" t="n">
        <v>2000</v>
      </c>
      <c r="G209" s="29" t="n">
        <v>3000</v>
      </c>
    </row>
    <row r="210" customFormat="false" ht="15" hidden="false" customHeight="false" outlineLevel="0" collapsed="false">
      <c r="A210" s="8" t="s">
        <v>377</v>
      </c>
      <c r="C210" s="29" t="n">
        <v>40</v>
      </c>
      <c r="D210" s="29" t="n">
        <v>150</v>
      </c>
      <c r="E210" s="29" t="n">
        <v>400</v>
      </c>
      <c r="F210" s="29" t="n">
        <v>700</v>
      </c>
      <c r="G210" s="29" t="n">
        <v>1000</v>
      </c>
    </row>
    <row r="211" customFormat="false" ht="15" hidden="false" customHeight="false" outlineLevel="0" collapsed="false">
      <c r="A211" s="37" t="s">
        <v>378</v>
      </c>
      <c r="C211" s="30" t="n">
        <f aca="false">CHOOSE($E$4,C207,C208,C209,C210)</f>
        <v>40</v>
      </c>
      <c r="D211" s="30" t="n">
        <f aca="false">CHOOSE($E$4,D207,D208,D209,D210)</f>
        <v>180</v>
      </c>
      <c r="E211" s="30" t="n">
        <f aca="false">CHOOSE($E$4,E207,E208,E209,E210)</f>
        <v>650</v>
      </c>
      <c r="F211" s="30" t="n">
        <f aca="false">CHOOSE($E$4,F207,F208,F209,F210)</f>
        <v>1300</v>
      </c>
      <c r="G211" s="30" t="n">
        <f aca="false">CHOOSE($E$4,G207,G208,G209,G210)</f>
        <v>2000</v>
      </c>
    </row>
    <row r="212" customFormat="false" ht="15" hidden="false" customHeight="false" outlineLevel="0" collapsed="false">
      <c r="A212" s="10" t="s">
        <v>379</v>
      </c>
      <c r="B212" s="8" t="s">
        <v>112</v>
      </c>
      <c r="H212" s="8" t="s">
        <v>380</v>
      </c>
    </row>
    <row r="213" customFormat="false" ht="15" hidden="false" customHeight="false" outlineLevel="0" collapsed="false">
      <c r="A213" s="8" t="s">
        <v>374</v>
      </c>
      <c r="C213" s="31" t="n">
        <v>6</v>
      </c>
      <c r="D213" s="31" t="n">
        <v>21</v>
      </c>
      <c r="E213" s="31" t="n">
        <v>51</v>
      </c>
      <c r="F213" s="31" t="n">
        <v>82</v>
      </c>
      <c r="G213" s="31" t="n">
        <v>103</v>
      </c>
    </row>
    <row r="214" customFormat="false" ht="15" hidden="false" customHeight="false" outlineLevel="0" collapsed="false">
      <c r="A214" s="8" t="s">
        <v>375</v>
      </c>
      <c r="C214" s="31" t="n">
        <v>8</v>
      </c>
      <c r="D214" s="31" t="n">
        <v>37</v>
      </c>
      <c r="E214" s="31" t="n">
        <v>133</v>
      </c>
      <c r="F214" s="31" t="n">
        <v>267</v>
      </c>
      <c r="G214" s="31" t="n">
        <v>410</v>
      </c>
    </row>
    <row r="215" customFormat="false" ht="15" hidden="false" customHeight="false" outlineLevel="0" collapsed="false">
      <c r="A215" s="8" t="s">
        <v>376</v>
      </c>
      <c r="C215" s="31" t="n">
        <v>10</v>
      </c>
      <c r="D215" s="31" t="n">
        <v>62</v>
      </c>
      <c r="E215" s="31" t="n">
        <v>205</v>
      </c>
      <c r="F215" s="31" t="n">
        <v>410</v>
      </c>
      <c r="G215" s="31" t="n">
        <v>615</v>
      </c>
    </row>
    <row r="216" customFormat="false" ht="15" hidden="false" customHeight="false" outlineLevel="0" collapsed="false">
      <c r="A216" s="8" t="s">
        <v>377</v>
      </c>
      <c r="C216" s="31" t="n">
        <v>8.2</v>
      </c>
      <c r="D216" s="31" t="n">
        <v>30.75</v>
      </c>
      <c r="E216" s="31" t="n">
        <v>82</v>
      </c>
      <c r="F216" s="31" t="n">
        <v>143.5</v>
      </c>
      <c r="G216" s="31" t="n">
        <v>205</v>
      </c>
    </row>
    <row r="217" customFormat="false" ht="15" hidden="false" customHeight="false" outlineLevel="0" collapsed="false">
      <c r="A217" s="37" t="s">
        <v>378</v>
      </c>
      <c r="C217" s="32" t="n">
        <f aca="false">CHOOSE($E$4,C213,C214,C215,C216)</f>
        <v>8</v>
      </c>
      <c r="D217" s="32" t="n">
        <f aca="false">CHOOSE($E$4,D213,D214,D215,D216)</f>
        <v>37</v>
      </c>
      <c r="E217" s="32" t="n">
        <f aca="false">CHOOSE($E$4,E213,E214,E215,E216)</f>
        <v>133</v>
      </c>
      <c r="F217" s="32" t="n">
        <f aca="false">CHOOSE($E$4,F213,F214,F215,F216)</f>
        <v>267</v>
      </c>
      <c r="G217" s="32" t="n">
        <f aca="false">CHOOSE($E$4,G213,G214,G215,G216)</f>
        <v>410</v>
      </c>
    </row>
    <row r="218" customFormat="false" ht="15" hidden="false" customHeight="false" outlineLevel="0" collapsed="false">
      <c r="A218" s="10" t="s">
        <v>381</v>
      </c>
      <c r="B218" s="8" t="s">
        <v>112</v>
      </c>
      <c r="H218" s="8" t="s">
        <v>382</v>
      </c>
    </row>
    <row r="219" customFormat="false" ht="15" hidden="false" customHeight="false" outlineLevel="0" collapsed="false">
      <c r="A219" s="8" t="s">
        <v>374</v>
      </c>
      <c r="C219" s="31" t="n">
        <v>34</v>
      </c>
      <c r="D219" s="31" t="n">
        <v>129</v>
      </c>
      <c r="E219" s="31" t="n">
        <v>249</v>
      </c>
      <c r="F219" s="31" t="n">
        <v>368</v>
      </c>
      <c r="G219" s="31" t="n">
        <v>497</v>
      </c>
    </row>
    <row r="220" customFormat="false" ht="15" hidden="false" customHeight="false" outlineLevel="0" collapsed="false">
      <c r="A220" s="8" t="s">
        <v>375</v>
      </c>
      <c r="C220" s="31" t="n">
        <v>52</v>
      </c>
      <c r="D220" s="31" t="n">
        <v>363</v>
      </c>
      <c r="E220" s="31" t="n">
        <v>717</v>
      </c>
      <c r="F220" s="31" t="n">
        <v>1183</v>
      </c>
      <c r="G220" s="31" t="n">
        <v>1790</v>
      </c>
    </row>
    <row r="221" customFormat="false" ht="15" hidden="false" customHeight="false" outlineLevel="0" collapsed="false">
      <c r="A221" s="8" t="s">
        <v>376</v>
      </c>
      <c r="C221" s="31" t="n">
        <v>70</v>
      </c>
      <c r="D221" s="31" t="n">
        <v>588</v>
      </c>
      <c r="E221" s="31" t="n">
        <v>1095</v>
      </c>
      <c r="F221" s="31" t="n">
        <v>1790</v>
      </c>
      <c r="G221" s="31" t="n">
        <v>2685</v>
      </c>
    </row>
    <row r="222" customFormat="false" ht="15" hidden="false" customHeight="false" outlineLevel="0" collapsed="false">
      <c r="A222" s="8" t="s">
        <v>377</v>
      </c>
      <c r="C222" s="31" t="n">
        <v>52</v>
      </c>
      <c r="D222" s="31" t="n">
        <v>363</v>
      </c>
      <c r="E222" s="31" t="n">
        <v>717</v>
      </c>
      <c r="F222" s="31" t="n">
        <v>1183</v>
      </c>
      <c r="G222" s="31" t="n">
        <v>1790</v>
      </c>
    </row>
    <row r="223" customFormat="false" ht="15" hidden="false" customHeight="false" outlineLevel="0" collapsed="false">
      <c r="A223" s="37" t="s">
        <v>378</v>
      </c>
      <c r="C223" s="32" t="n">
        <f aca="false">CHOOSE($E$4,C219,C220,C221,C222)</f>
        <v>52</v>
      </c>
      <c r="D223" s="32" t="n">
        <f aca="false">CHOOSE($E$4,D219,D220,D221,D222)</f>
        <v>363</v>
      </c>
      <c r="E223" s="32" t="n">
        <f aca="false">CHOOSE($E$4,E219,E220,E221,E222)</f>
        <v>717</v>
      </c>
      <c r="F223" s="32" t="n">
        <f aca="false">CHOOSE($E$4,F219,F220,F221,F222)</f>
        <v>1183</v>
      </c>
      <c r="G223" s="32" t="n">
        <f aca="false">CHOOSE($E$4,G219,G220,G221,G222)</f>
        <v>1790</v>
      </c>
    </row>
    <row r="224" customFormat="false" ht="15" hidden="false" customHeight="false" outlineLevel="0" collapsed="false">
      <c r="A224" s="10" t="s">
        <v>383</v>
      </c>
      <c r="B224" s="8" t="s">
        <v>112</v>
      </c>
      <c r="H224" s="8" t="s">
        <v>384</v>
      </c>
    </row>
    <row r="225" customFormat="false" ht="15" hidden="false" customHeight="false" outlineLevel="0" collapsed="false">
      <c r="A225" s="8" t="s">
        <v>374</v>
      </c>
      <c r="C225" s="31" t="n">
        <v>0</v>
      </c>
      <c r="D225" s="31" t="n">
        <v>0</v>
      </c>
      <c r="E225" s="31" t="n">
        <v>0</v>
      </c>
      <c r="F225" s="31" t="n">
        <v>0</v>
      </c>
      <c r="G225" s="31" t="n">
        <v>0</v>
      </c>
    </row>
    <row r="226" customFormat="false" ht="15" hidden="false" customHeight="false" outlineLevel="0" collapsed="false">
      <c r="A226" s="8" t="s">
        <v>375</v>
      </c>
      <c r="C226" s="31" t="n">
        <v>0</v>
      </c>
      <c r="D226" s="31" t="n">
        <v>0</v>
      </c>
      <c r="E226" s="31" t="n">
        <v>0</v>
      </c>
      <c r="F226" s="31" t="n">
        <v>0</v>
      </c>
      <c r="G226" s="31" t="n">
        <v>0</v>
      </c>
    </row>
    <row r="227" customFormat="false" ht="15" hidden="false" customHeight="false" outlineLevel="0" collapsed="false">
      <c r="A227" s="8" t="s">
        <v>376</v>
      </c>
      <c r="C227" s="31" t="n">
        <v>0</v>
      </c>
      <c r="D227" s="31" t="n">
        <v>0</v>
      </c>
      <c r="E227" s="31" t="n">
        <v>0</v>
      </c>
      <c r="F227" s="31" t="n">
        <v>0</v>
      </c>
      <c r="G227" s="31" t="n">
        <v>0</v>
      </c>
    </row>
    <row r="228" customFormat="false" ht="15" hidden="false" customHeight="false" outlineLevel="0" collapsed="false">
      <c r="A228" s="8" t="s">
        <v>377</v>
      </c>
      <c r="C228" s="31" t="n">
        <v>0</v>
      </c>
      <c r="D228" s="31" t="n">
        <v>500</v>
      </c>
      <c r="E228" s="31" t="n">
        <v>1500</v>
      </c>
      <c r="F228" s="31" t="n">
        <v>2500</v>
      </c>
      <c r="G228" s="31" t="n">
        <v>3500</v>
      </c>
    </row>
    <row r="229" customFormat="false" ht="15" hidden="false" customHeight="false" outlineLevel="0" collapsed="false">
      <c r="A229" s="37" t="s">
        <v>378</v>
      </c>
      <c r="C229" s="32" t="n">
        <f aca="false">CHOOSE($E$4,C225,C226,C227,C228)</f>
        <v>0</v>
      </c>
      <c r="D229" s="32" t="n">
        <f aca="false">CHOOSE($E$4,D225,D226,D227,D228)</f>
        <v>0</v>
      </c>
      <c r="E229" s="32" t="n">
        <f aca="false">CHOOSE($E$4,E225,E226,E227,E228)</f>
        <v>0</v>
      </c>
      <c r="F229" s="32" t="n">
        <f aca="false">CHOOSE($E$4,F225,F226,F227,F228)</f>
        <v>0</v>
      </c>
      <c r="G229" s="32" t="n">
        <f aca="false">CHOOSE($E$4,G225,G226,G227,G228)</f>
        <v>0</v>
      </c>
    </row>
    <row r="230" customFormat="false" ht="15" hidden="false" customHeight="false" outlineLevel="0" collapsed="false">
      <c r="A230" s="19" t="s">
        <v>385</v>
      </c>
    </row>
    <row r="231" customFormat="false" ht="15" hidden="false" customHeight="false" outlineLevel="0" collapsed="false">
      <c r="A231" s="10" t="s">
        <v>386</v>
      </c>
      <c r="B231" s="8" t="s">
        <v>59</v>
      </c>
      <c r="H231" s="8" t="s">
        <v>387</v>
      </c>
    </row>
    <row r="232" customFormat="false" ht="15" hidden="false" customHeight="false" outlineLevel="0" collapsed="false">
      <c r="A232" s="8" t="s">
        <v>374</v>
      </c>
      <c r="C232" s="20" t="n">
        <v>0.32</v>
      </c>
      <c r="D232" s="20" t="n">
        <v>0.32</v>
      </c>
      <c r="E232" s="20" t="n">
        <v>0.31</v>
      </c>
      <c r="F232" s="20" t="n">
        <v>0.31</v>
      </c>
      <c r="G232" s="20" t="n">
        <v>0.3</v>
      </c>
    </row>
    <row r="233" customFormat="false" ht="15" hidden="false" customHeight="false" outlineLevel="0" collapsed="false">
      <c r="A233" s="8" t="s">
        <v>375</v>
      </c>
      <c r="C233" s="20" t="n">
        <v>0.3</v>
      </c>
      <c r="D233" s="20" t="n">
        <v>0.3</v>
      </c>
      <c r="E233" s="20" t="n">
        <v>0.28</v>
      </c>
      <c r="F233" s="20" t="n">
        <v>0.27</v>
      </c>
      <c r="G233" s="20" t="n">
        <v>0.27</v>
      </c>
    </row>
    <row r="234" customFormat="false" ht="15" hidden="false" customHeight="false" outlineLevel="0" collapsed="false">
      <c r="A234" s="8" t="s">
        <v>376</v>
      </c>
      <c r="C234" s="20" t="n">
        <v>0.3</v>
      </c>
      <c r="D234" s="20" t="n">
        <v>0.28</v>
      </c>
      <c r="E234" s="20" t="n">
        <v>0.26</v>
      </c>
      <c r="F234" s="20" t="n">
        <v>0.25</v>
      </c>
      <c r="G234" s="20" t="n">
        <v>0.25</v>
      </c>
    </row>
    <row r="235" customFormat="false" ht="15" hidden="false" customHeight="false" outlineLevel="0" collapsed="false">
      <c r="A235" s="8" t="s">
        <v>377</v>
      </c>
      <c r="C235" s="20" t="n">
        <v>0.3</v>
      </c>
      <c r="D235" s="20" t="n">
        <v>0.3</v>
      </c>
      <c r="E235" s="20" t="n">
        <v>0.28</v>
      </c>
      <c r="F235" s="20" t="n">
        <v>0.27</v>
      </c>
      <c r="G235" s="20" t="n">
        <v>0.27</v>
      </c>
    </row>
    <row r="236" customFormat="false" ht="15" hidden="false" customHeight="false" outlineLevel="0" collapsed="false">
      <c r="A236" s="37" t="s">
        <v>378</v>
      </c>
      <c r="C236" s="21" t="n">
        <f aca="false">CHOOSE($E$4,C232,C233,C234,C235)</f>
        <v>0.3</v>
      </c>
      <c r="D236" s="21" t="n">
        <f aca="false">CHOOSE($E$4,D232,D233,D234,D235)</f>
        <v>0.3</v>
      </c>
      <c r="E236" s="21" t="n">
        <f aca="false">CHOOSE($E$4,E232,E233,E234,E235)</f>
        <v>0.28</v>
      </c>
      <c r="F236" s="21" t="n">
        <f aca="false">CHOOSE($E$4,F232,F233,F234,F235)</f>
        <v>0.27</v>
      </c>
      <c r="G236" s="21" t="n">
        <f aca="false">CHOOSE($E$4,G232,G233,G234,G235)</f>
        <v>0.27</v>
      </c>
    </row>
    <row r="237" customFormat="false" ht="15" hidden="false" customHeight="false" outlineLevel="0" collapsed="false">
      <c r="A237" s="10" t="s">
        <v>388</v>
      </c>
      <c r="B237" s="8" t="s">
        <v>74</v>
      </c>
      <c r="H237" s="8" t="s">
        <v>389</v>
      </c>
    </row>
    <row r="238" customFormat="false" ht="15" hidden="false" customHeight="false" outlineLevel="0" collapsed="false">
      <c r="A238" s="8" t="s">
        <v>374</v>
      </c>
      <c r="C238" s="24" t="n">
        <v>180</v>
      </c>
      <c r="D238" s="24" t="n">
        <v>180</v>
      </c>
      <c r="E238" s="24" t="n">
        <v>180</v>
      </c>
      <c r="F238" s="24" t="n">
        <v>90</v>
      </c>
      <c r="G238" s="24" t="n">
        <v>60</v>
      </c>
    </row>
    <row r="239" customFormat="false" ht="15" hidden="false" customHeight="false" outlineLevel="0" collapsed="false">
      <c r="A239" s="8" t="s">
        <v>375</v>
      </c>
      <c r="C239" s="24" t="n">
        <v>180</v>
      </c>
      <c r="D239" s="24" t="n">
        <v>180</v>
      </c>
      <c r="E239" s="24" t="n">
        <v>45</v>
      </c>
      <c r="F239" s="24" t="n">
        <v>45</v>
      </c>
      <c r="G239" s="24" t="n">
        <v>45</v>
      </c>
    </row>
    <row r="240" customFormat="false" ht="15" hidden="false" customHeight="false" outlineLevel="0" collapsed="false">
      <c r="A240" s="8" t="s">
        <v>376</v>
      </c>
      <c r="C240" s="24" t="n">
        <v>180</v>
      </c>
      <c r="D240" s="24" t="n">
        <v>90</v>
      </c>
      <c r="E240" s="24" t="n">
        <v>45</v>
      </c>
      <c r="F240" s="24" t="n">
        <v>45</v>
      </c>
      <c r="G240" s="24" t="n">
        <v>45</v>
      </c>
    </row>
    <row r="241" customFormat="false" ht="15" hidden="false" customHeight="false" outlineLevel="0" collapsed="false">
      <c r="A241" s="8" t="s">
        <v>377</v>
      </c>
      <c r="C241" s="24" t="n">
        <v>180</v>
      </c>
      <c r="D241" s="24" t="n">
        <v>180</v>
      </c>
      <c r="E241" s="24" t="n">
        <v>45</v>
      </c>
      <c r="F241" s="24" t="n">
        <v>45</v>
      </c>
      <c r="G241" s="24" t="n">
        <v>45</v>
      </c>
    </row>
    <row r="242" customFormat="false" ht="15" hidden="false" customHeight="false" outlineLevel="0" collapsed="false">
      <c r="A242" s="37" t="s">
        <v>378</v>
      </c>
      <c r="C242" s="25" t="n">
        <f aca="false">CHOOSE($E$4,C238,C239,C240,C241)</f>
        <v>180</v>
      </c>
      <c r="D242" s="25" t="n">
        <f aca="false">CHOOSE($E$4,D238,D239,D240,D241)</f>
        <v>180</v>
      </c>
      <c r="E242" s="25" t="n">
        <f aca="false">CHOOSE($E$4,E238,E239,E240,E241)</f>
        <v>45</v>
      </c>
      <c r="F242" s="25" t="n">
        <f aca="false">CHOOSE($E$4,F238,F239,F240,F241)</f>
        <v>45</v>
      </c>
      <c r="G242" s="25" t="n">
        <f aca="false">CHOOSE($E$4,G238,G239,G240,G241)</f>
        <v>45</v>
      </c>
    </row>
    <row r="243" customFormat="false" ht="15" hidden="false" customHeight="false" outlineLevel="0" collapsed="false">
      <c r="A243" s="10" t="s">
        <v>390</v>
      </c>
      <c r="B243" s="8" t="s">
        <v>59</v>
      </c>
      <c r="H243" s="8" t="s">
        <v>89</v>
      </c>
    </row>
    <row r="244" customFormat="false" ht="15" hidden="false" customHeight="false" outlineLevel="0" collapsed="false">
      <c r="A244" s="8" t="s">
        <v>374</v>
      </c>
      <c r="C244" s="20" t="n">
        <v>0.11</v>
      </c>
      <c r="D244" s="20" t="n">
        <v>0.11</v>
      </c>
      <c r="E244" s="20" t="n">
        <v>0.11</v>
      </c>
      <c r="F244" s="20" t="n">
        <v>0.11</v>
      </c>
      <c r="G244" s="20" t="n">
        <v>0.11</v>
      </c>
    </row>
    <row r="245" customFormat="false" ht="15" hidden="false" customHeight="false" outlineLevel="0" collapsed="false">
      <c r="A245" s="8" t="s">
        <v>375</v>
      </c>
      <c r="C245" s="20" t="n">
        <v>0.1</v>
      </c>
      <c r="D245" s="20" t="n">
        <v>0.1</v>
      </c>
      <c r="E245" s="20" t="n">
        <v>0.09</v>
      </c>
      <c r="F245" s="20" t="n">
        <v>0.09</v>
      </c>
      <c r="G245" s="20" t="n">
        <v>0.09</v>
      </c>
    </row>
    <row r="246" customFormat="false" ht="15" hidden="false" customHeight="false" outlineLevel="0" collapsed="false">
      <c r="A246" s="8" t="s">
        <v>376</v>
      </c>
      <c r="C246" s="20" t="n">
        <v>0.1</v>
      </c>
      <c r="D246" s="20" t="n">
        <v>0.09</v>
      </c>
      <c r="E246" s="20" t="n">
        <v>0.08</v>
      </c>
      <c r="F246" s="20" t="n">
        <v>0.08</v>
      </c>
      <c r="G246" s="20" t="n">
        <v>0.08</v>
      </c>
    </row>
    <row r="247" customFormat="false" ht="15" hidden="false" customHeight="false" outlineLevel="0" collapsed="false">
      <c r="A247" s="8" t="s">
        <v>377</v>
      </c>
      <c r="C247" s="20" t="n">
        <v>0.1</v>
      </c>
      <c r="D247" s="20" t="n">
        <v>0.1</v>
      </c>
      <c r="E247" s="20" t="n">
        <v>0.09</v>
      </c>
      <c r="F247" s="20" t="n">
        <v>0.09</v>
      </c>
      <c r="G247" s="20" t="n">
        <v>0.09</v>
      </c>
    </row>
    <row r="248" customFormat="false" ht="15" hidden="false" customHeight="false" outlineLevel="0" collapsed="false">
      <c r="A248" s="37" t="s">
        <v>378</v>
      </c>
      <c r="C248" s="21" t="n">
        <f aca="false">CHOOSE($E$4,C244,C245,C246,C247)</f>
        <v>0.1</v>
      </c>
      <c r="D248" s="21" t="n">
        <f aca="false">CHOOSE($E$4,D244,D245,D246,D247)</f>
        <v>0.1</v>
      </c>
      <c r="E248" s="21" t="n">
        <f aca="false">CHOOSE($E$4,E244,E245,E246,E247)</f>
        <v>0.09</v>
      </c>
      <c r="F248" s="21" t="n">
        <f aca="false">CHOOSE($E$4,F244,F245,F246,F247)</f>
        <v>0.09</v>
      </c>
      <c r="G248" s="21" t="n">
        <f aca="false">CHOOSE($E$4,G244,G245,G246,G247)</f>
        <v>0.09</v>
      </c>
    </row>
    <row r="249" customFormat="false" ht="15" hidden="false" customHeight="false" outlineLevel="0" collapsed="false">
      <c r="A249" s="19" t="s">
        <v>391</v>
      </c>
    </row>
    <row r="250" customFormat="false" ht="15" hidden="false" customHeight="false" outlineLevel="0" collapsed="false">
      <c r="A250" s="10" t="s">
        <v>392</v>
      </c>
      <c r="B250" s="8" t="s">
        <v>192</v>
      </c>
      <c r="H250" s="8" t="s">
        <v>393</v>
      </c>
    </row>
    <row r="251" customFormat="false" ht="15" hidden="false" customHeight="false" outlineLevel="0" collapsed="false">
      <c r="A251" s="8" t="s">
        <v>374</v>
      </c>
      <c r="C251" s="29" t="n">
        <v>60</v>
      </c>
      <c r="D251" s="29" t="n">
        <v>0</v>
      </c>
      <c r="E251" s="29" t="n">
        <v>0</v>
      </c>
      <c r="F251" s="29" t="n">
        <v>0</v>
      </c>
      <c r="G251" s="29" t="n">
        <v>0</v>
      </c>
    </row>
    <row r="252" customFormat="false" ht="15" hidden="false" customHeight="false" outlineLevel="0" collapsed="false">
      <c r="A252" s="8" t="s">
        <v>375</v>
      </c>
      <c r="C252" s="29" t="n">
        <v>150</v>
      </c>
      <c r="D252" s="29" t="n">
        <v>600</v>
      </c>
      <c r="E252" s="29" t="n">
        <v>1000</v>
      </c>
      <c r="F252" s="29" t="n">
        <v>1400</v>
      </c>
      <c r="G252" s="29" t="n">
        <v>1800</v>
      </c>
    </row>
    <row r="253" customFormat="false" ht="15" hidden="false" customHeight="false" outlineLevel="0" collapsed="false">
      <c r="A253" s="8" t="s">
        <v>376</v>
      </c>
      <c r="C253" s="29" t="n">
        <v>180</v>
      </c>
      <c r="D253" s="29" t="n">
        <v>800</v>
      </c>
      <c r="E253" s="29" t="n">
        <v>1500</v>
      </c>
      <c r="F253" s="29" t="n">
        <v>2200</v>
      </c>
      <c r="G253" s="29" t="n">
        <v>3000</v>
      </c>
    </row>
    <row r="254" customFormat="false" ht="15" hidden="false" customHeight="false" outlineLevel="0" collapsed="false">
      <c r="A254" s="8" t="s">
        <v>377</v>
      </c>
      <c r="C254" s="29" t="n">
        <v>36</v>
      </c>
      <c r="D254" s="29" t="n">
        <v>135</v>
      </c>
      <c r="E254" s="29" t="n">
        <v>360</v>
      </c>
      <c r="F254" s="29" t="n">
        <v>630</v>
      </c>
      <c r="G254" s="29" t="n">
        <v>900</v>
      </c>
    </row>
    <row r="255" customFormat="false" ht="15" hidden="false" customHeight="false" outlineLevel="0" collapsed="false">
      <c r="A255" s="37" t="s">
        <v>378</v>
      </c>
      <c r="C255" s="30" t="n">
        <f aca="false">CHOOSE($E$4,C251,C252,C253,C254)</f>
        <v>150</v>
      </c>
      <c r="D255" s="30" t="n">
        <f aca="false">CHOOSE($E$4,D251,D252,D253,D254)</f>
        <v>600</v>
      </c>
      <c r="E255" s="30" t="n">
        <f aca="false">CHOOSE($E$4,E251,E252,E253,E254)</f>
        <v>1000</v>
      </c>
      <c r="F255" s="30" t="n">
        <f aca="false">CHOOSE($E$4,F251,F252,F253,F254)</f>
        <v>1400</v>
      </c>
      <c r="G255" s="30" t="n">
        <f aca="false">CHOOSE($E$4,G251,G252,G253,G254)</f>
        <v>1800</v>
      </c>
    </row>
    <row r="256" customFormat="false" ht="15" hidden="false" customHeight="false" outlineLevel="0" collapsed="false">
      <c r="A256" s="10" t="s">
        <v>394</v>
      </c>
      <c r="B256" s="8" t="s">
        <v>112</v>
      </c>
      <c r="H256" s="8" t="s">
        <v>395</v>
      </c>
    </row>
    <row r="257" customFormat="false" ht="15" hidden="false" customHeight="false" outlineLevel="0" collapsed="false">
      <c r="A257" s="8" t="s">
        <v>374</v>
      </c>
      <c r="C257" s="31" t="n">
        <v>0</v>
      </c>
      <c r="D257" s="31" t="n">
        <v>0</v>
      </c>
      <c r="E257" s="31" t="n">
        <v>10</v>
      </c>
      <c r="F257" s="31" t="n">
        <v>20</v>
      </c>
      <c r="G257" s="31" t="n">
        <v>30</v>
      </c>
    </row>
    <row r="258" customFormat="false" ht="15" hidden="false" customHeight="false" outlineLevel="0" collapsed="false">
      <c r="A258" s="8" t="s">
        <v>375</v>
      </c>
      <c r="C258" s="31" t="n">
        <v>0</v>
      </c>
      <c r="D258" s="31" t="n">
        <v>0</v>
      </c>
      <c r="E258" s="31" t="n">
        <v>30</v>
      </c>
      <c r="F258" s="31" t="n">
        <v>60</v>
      </c>
      <c r="G258" s="31" t="n">
        <v>100</v>
      </c>
    </row>
    <row r="259" customFormat="false" ht="15" hidden="false" customHeight="false" outlineLevel="0" collapsed="false">
      <c r="A259" s="8" t="s">
        <v>376</v>
      </c>
      <c r="C259" s="31" t="n">
        <v>0</v>
      </c>
      <c r="D259" s="31" t="n">
        <v>20</v>
      </c>
      <c r="E259" s="31" t="n">
        <v>50</v>
      </c>
      <c r="F259" s="31" t="n">
        <v>100</v>
      </c>
      <c r="G259" s="31" t="n">
        <v>160</v>
      </c>
    </row>
    <row r="260" customFormat="false" ht="15" hidden="false" customHeight="false" outlineLevel="0" collapsed="false">
      <c r="A260" s="8" t="s">
        <v>377</v>
      </c>
      <c r="C260" s="31" t="n">
        <v>0</v>
      </c>
      <c r="D260" s="31" t="n">
        <v>0</v>
      </c>
      <c r="E260" s="31" t="n">
        <v>0</v>
      </c>
      <c r="F260" s="31" t="n">
        <v>20</v>
      </c>
      <c r="G260" s="31" t="n">
        <v>50</v>
      </c>
    </row>
    <row r="261" customFormat="false" ht="15" hidden="false" customHeight="false" outlineLevel="0" collapsed="false">
      <c r="A261" s="37" t="s">
        <v>378</v>
      </c>
      <c r="C261" s="32" t="n">
        <f aca="false">CHOOSE($E$4,C257,C258,C259,C260)</f>
        <v>0</v>
      </c>
      <c r="D261" s="32" t="n">
        <f aca="false">CHOOSE($E$4,D257,D258,D259,D260)</f>
        <v>0</v>
      </c>
      <c r="E261" s="32" t="n">
        <f aca="false">CHOOSE($E$4,E257,E258,E259,E260)</f>
        <v>30</v>
      </c>
      <c r="F261" s="32" t="n">
        <f aca="false">CHOOSE($E$4,F257,F258,F259,F260)</f>
        <v>60</v>
      </c>
      <c r="G261" s="32" t="n">
        <f aca="false">CHOOSE($E$4,G257,G258,G259,G260)</f>
        <v>100</v>
      </c>
    </row>
    <row r="262" customFormat="false" ht="15" hidden="false" customHeight="false" outlineLevel="0" collapsed="false">
      <c r="A262" s="10" t="s">
        <v>396</v>
      </c>
      <c r="B262" s="8" t="s">
        <v>10</v>
      </c>
      <c r="H262" s="8" t="s">
        <v>397</v>
      </c>
    </row>
    <row r="263" customFormat="false" ht="15" hidden="false" customHeight="false" outlineLevel="0" collapsed="false">
      <c r="A263" s="8" t="s">
        <v>374</v>
      </c>
      <c r="C263" s="29" t="n">
        <v>0</v>
      </c>
      <c r="D263" s="29" t="n">
        <v>0</v>
      </c>
      <c r="E263" s="29" t="n">
        <v>0</v>
      </c>
      <c r="F263" s="29" t="n">
        <v>500000</v>
      </c>
      <c r="G263" s="29" t="n">
        <v>1000000</v>
      </c>
    </row>
    <row r="264" customFormat="false" ht="15" hidden="false" customHeight="false" outlineLevel="0" collapsed="false">
      <c r="A264" s="8" t="s">
        <v>375</v>
      </c>
      <c r="C264" s="29" t="n">
        <v>0</v>
      </c>
      <c r="D264" s="29" t="n">
        <v>500000</v>
      </c>
      <c r="E264" s="29" t="n">
        <v>1500000</v>
      </c>
      <c r="F264" s="29" t="n">
        <v>3000000</v>
      </c>
      <c r="G264" s="29" t="n">
        <v>5000000</v>
      </c>
    </row>
    <row r="265" customFormat="false" ht="15" hidden="false" customHeight="false" outlineLevel="0" collapsed="false">
      <c r="A265" s="8" t="s">
        <v>376</v>
      </c>
      <c r="C265" s="29" t="n">
        <v>0</v>
      </c>
      <c r="D265" s="29" t="n">
        <v>1000000</v>
      </c>
      <c r="E265" s="29" t="n">
        <v>3000000</v>
      </c>
      <c r="F265" s="29" t="n">
        <v>6000000</v>
      </c>
      <c r="G265" s="29" t="n">
        <v>10000000</v>
      </c>
    </row>
    <row r="266" customFormat="false" ht="15" hidden="false" customHeight="false" outlineLevel="0" collapsed="false">
      <c r="A266" s="8" t="s">
        <v>377</v>
      </c>
      <c r="C266" s="29" t="n">
        <v>0</v>
      </c>
      <c r="D266" s="29" t="n">
        <v>500000</v>
      </c>
      <c r="E266" s="29" t="n">
        <v>1500000</v>
      </c>
      <c r="F266" s="29" t="n">
        <v>3000000</v>
      </c>
      <c r="G266" s="29" t="n">
        <v>5000000</v>
      </c>
    </row>
    <row r="267" customFormat="false" ht="15" hidden="false" customHeight="false" outlineLevel="0" collapsed="false">
      <c r="A267" s="37" t="s">
        <v>378</v>
      </c>
      <c r="C267" s="30" t="n">
        <f aca="false">CHOOSE($E$4,C263,C264,C265,C266)</f>
        <v>0</v>
      </c>
      <c r="D267" s="30" t="n">
        <f aca="false">CHOOSE($E$4,D263,D264,D265,D266)</f>
        <v>500000</v>
      </c>
      <c r="E267" s="30" t="n">
        <f aca="false">CHOOSE($E$4,E263,E264,E265,E266)</f>
        <v>1500000</v>
      </c>
      <c r="F267" s="30" t="n">
        <f aca="false">CHOOSE($E$4,F263,F264,F265,F266)</f>
        <v>3000000</v>
      </c>
      <c r="G267" s="30" t="n">
        <f aca="false">CHOOSE($E$4,G263,G264,G265,G266)</f>
        <v>5000000</v>
      </c>
    </row>
    <row r="268" customFormat="false" ht="15" hidden="false" customHeight="false" outlineLevel="0" collapsed="false">
      <c r="A268" s="10" t="s">
        <v>398</v>
      </c>
      <c r="B268" s="8" t="s">
        <v>10</v>
      </c>
      <c r="H268" s="8" t="s">
        <v>399</v>
      </c>
    </row>
    <row r="269" customFormat="false" ht="15" hidden="false" customHeight="false" outlineLevel="0" collapsed="false">
      <c r="A269" s="8" t="s">
        <v>374</v>
      </c>
      <c r="C269" s="29" t="n">
        <v>0</v>
      </c>
      <c r="D269" s="29" t="n">
        <v>0</v>
      </c>
      <c r="E269" s="29" t="n">
        <v>0</v>
      </c>
      <c r="F269" s="29" t="n">
        <v>0</v>
      </c>
      <c r="G269" s="29" t="n">
        <v>0</v>
      </c>
    </row>
    <row r="270" customFormat="false" ht="15" hidden="false" customHeight="false" outlineLevel="0" collapsed="false">
      <c r="A270" s="8" t="s">
        <v>375</v>
      </c>
      <c r="C270" s="29" t="n">
        <v>0</v>
      </c>
      <c r="D270" s="29" t="n">
        <v>0</v>
      </c>
      <c r="E270" s="29" t="n">
        <v>0</v>
      </c>
      <c r="F270" s="29" t="n">
        <v>10000</v>
      </c>
      <c r="G270" s="29" t="n">
        <v>30000</v>
      </c>
    </row>
    <row r="271" customFormat="false" ht="15" hidden="false" customHeight="false" outlineLevel="0" collapsed="false">
      <c r="A271" s="8" t="s">
        <v>376</v>
      </c>
      <c r="C271" s="29" t="n">
        <v>0</v>
      </c>
      <c r="D271" s="29" t="n">
        <v>0</v>
      </c>
      <c r="E271" s="29" t="n">
        <v>10000</v>
      </c>
      <c r="F271" s="29" t="n">
        <v>30000</v>
      </c>
      <c r="G271" s="29" t="n">
        <v>60000</v>
      </c>
    </row>
    <row r="272" customFormat="false" ht="15" hidden="false" customHeight="false" outlineLevel="0" collapsed="false">
      <c r="A272" s="8" t="s">
        <v>377</v>
      </c>
      <c r="C272" s="29" t="n">
        <v>0</v>
      </c>
      <c r="D272" s="29" t="n">
        <v>0</v>
      </c>
      <c r="E272" s="29" t="n">
        <v>0</v>
      </c>
      <c r="F272" s="29" t="n">
        <v>10000</v>
      </c>
      <c r="G272" s="29" t="n">
        <v>30000</v>
      </c>
    </row>
    <row r="273" customFormat="false" ht="15" hidden="false" customHeight="false" outlineLevel="0" collapsed="false">
      <c r="A273" s="37" t="s">
        <v>378</v>
      </c>
      <c r="C273" s="30" t="n">
        <f aca="false">CHOOSE($E$4,C269,C270,C271,C272)</f>
        <v>0</v>
      </c>
      <c r="D273" s="30" t="n">
        <f aca="false">CHOOSE($E$4,D269,D270,D271,D272)</f>
        <v>0</v>
      </c>
      <c r="E273" s="30" t="n">
        <f aca="false">CHOOSE($E$4,E269,E270,E271,E272)</f>
        <v>0</v>
      </c>
      <c r="F273" s="30" t="n">
        <f aca="false">CHOOSE($E$4,F269,F270,F271,F272)</f>
        <v>10000</v>
      </c>
      <c r="G273" s="30" t="n">
        <f aca="false">CHOOSE($E$4,G269,G270,G271,G272)</f>
        <v>30000</v>
      </c>
    </row>
    <row r="274" customFormat="false" ht="15" hidden="false" customHeight="false" outlineLevel="0" collapsed="false">
      <c r="A274" s="19" t="s">
        <v>400</v>
      </c>
    </row>
    <row r="275" customFormat="false" ht="15" hidden="false" customHeight="false" outlineLevel="0" collapsed="false">
      <c r="A275" s="10" t="s">
        <v>401</v>
      </c>
      <c r="B275" s="8" t="s">
        <v>71</v>
      </c>
      <c r="H275" s="8" t="s">
        <v>402</v>
      </c>
    </row>
    <row r="276" customFormat="false" ht="15" hidden="false" customHeight="false" outlineLevel="0" collapsed="false">
      <c r="A276" s="8" t="s">
        <v>374</v>
      </c>
      <c r="C276" s="22" t="n">
        <v>0</v>
      </c>
      <c r="D276" s="22" t="n">
        <v>0.85</v>
      </c>
      <c r="E276" s="22" t="n">
        <v>0.85</v>
      </c>
      <c r="F276" s="22" t="n">
        <v>0.85</v>
      </c>
      <c r="G276" s="22" t="n">
        <v>0.85</v>
      </c>
    </row>
    <row r="277" customFormat="false" ht="15" hidden="false" customHeight="false" outlineLevel="0" collapsed="false">
      <c r="A277" s="8" t="s">
        <v>375</v>
      </c>
      <c r="C277" s="22" t="n">
        <v>0</v>
      </c>
      <c r="D277" s="22" t="n">
        <v>0.9</v>
      </c>
      <c r="E277" s="22" t="n">
        <v>0.9</v>
      </c>
      <c r="F277" s="22" t="n">
        <v>0.9</v>
      </c>
      <c r="G277" s="22" t="n">
        <v>0.9</v>
      </c>
    </row>
    <row r="278" customFormat="false" ht="15" hidden="false" customHeight="false" outlineLevel="0" collapsed="false">
      <c r="A278" s="8" t="s">
        <v>376</v>
      </c>
      <c r="C278" s="22" t="n">
        <v>0</v>
      </c>
      <c r="D278" s="22" t="n">
        <v>0.9</v>
      </c>
      <c r="E278" s="22" t="n">
        <v>0.9</v>
      </c>
      <c r="F278" s="22" t="n">
        <v>0.9</v>
      </c>
      <c r="G278" s="22" t="n">
        <v>0.9</v>
      </c>
    </row>
    <row r="279" customFormat="false" ht="15" hidden="false" customHeight="false" outlineLevel="0" collapsed="false">
      <c r="A279" s="8" t="s">
        <v>377</v>
      </c>
      <c r="C279" s="22" t="n">
        <v>0</v>
      </c>
      <c r="D279" s="22" t="n">
        <v>0.9</v>
      </c>
      <c r="E279" s="22" t="n">
        <v>0.9</v>
      </c>
      <c r="F279" s="22" t="n">
        <v>0.9</v>
      </c>
      <c r="G279" s="22" t="n">
        <v>0.9</v>
      </c>
    </row>
    <row r="280" customFormat="false" ht="15" hidden="false" customHeight="false" outlineLevel="0" collapsed="false">
      <c r="A280" s="37" t="s">
        <v>378</v>
      </c>
      <c r="C280" s="23" t="n">
        <f aca="false">CHOOSE($E$4,C276,C277,C278,C279)</f>
        <v>0</v>
      </c>
      <c r="D280" s="23" t="n">
        <f aca="false">CHOOSE($E$4,D276,D277,D278,D279)</f>
        <v>0.9</v>
      </c>
      <c r="E280" s="23" t="n">
        <f aca="false">CHOOSE($E$4,E276,E277,E278,E279)</f>
        <v>0.9</v>
      </c>
      <c r="F280" s="23" t="n">
        <f aca="false">CHOOSE($E$4,F276,F277,F278,F279)</f>
        <v>0.9</v>
      </c>
      <c r="G280" s="23" t="n">
        <f aca="false">CHOOSE($E$4,G276,G277,G278,G279)</f>
        <v>0.9</v>
      </c>
    </row>
    <row r="281" customFormat="false" ht="15" hidden="false" customHeight="false" outlineLevel="0" collapsed="false">
      <c r="A281" s="10" t="s">
        <v>403</v>
      </c>
      <c r="B281" s="8" t="s">
        <v>71</v>
      </c>
      <c r="H281" s="8" t="s">
        <v>404</v>
      </c>
    </row>
    <row r="282" customFormat="false" ht="15" hidden="false" customHeight="false" outlineLevel="0" collapsed="false">
      <c r="A282" s="8" t="s">
        <v>374</v>
      </c>
      <c r="C282" s="26" t="n">
        <v>0.09</v>
      </c>
      <c r="D282" s="26" t="n">
        <v>0.09</v>
      </c>
      <c r="E282" s="26" t="n">
        <v>0.09</v>
      </c>
      <c r="F282" s="26" t="n">
        <v>0.09</v>
      </c>
      <c r="G282" s="26" t="n">
        <v>0.09</v>
      </c>
    </row>
    <row r="283" customFormat="false" ht="15" hidden="false" customHeight="false" outlineLevel="0" collapsed="false">
      <c r="A283" s="8" t="s">
        <v>375</v>
      </c>
      <c r="C283" s="26" t="n">
        <v>0.08</v>
      </c>
      <c r="D283" s="26" t="n">
        <v>0.08</v>
      </c>
      <c r="E283" s="26" t="n">
        <v>0.075</v>
      </c>
      <c r="F283" s="26" t="n">
        <v>0.07</v>
      </c>
      <c r="G283" s="26" t="n">
        <v>0.07</v>
      </c>
    </row>
    <row r="284" customFormat="false" ht="15" hidden="false" customHeight="false" outlineLevel="0" collapsed="false">
      <c r="A284" s="8" t="s">
        <v>376</v>
      </c>
      <c r="C284" s="26" t="n">
        <v>0.08</v>
      </c>
      <c r="D284" s="26" t="n">
        <v>0.075</v>
      </c>
      <c r="E284" s="26" t="n">
        <v>0.07</v>
      </c>
      <c r="F284" s="26" t="n">
        <v>0.065</v>
      </c>
      <c r="G284" s="26" t="n">
        <v>0.065</v>
      </c>
    </row>
    <row r="285" customFormat="false" ht="15" hidden="false" customHeight="false" outlineLevel="0" collapsed="false">
      <c r="A285" s="8" t="s">
        <v>377</v>
      </c>
      <c r="C285" s="26" t="n">
        <v>0.08</v>
      </c>
      <c r="D285" s="26" t="n">
        <v>0.08</v>
      </c>
      <c r="E285" s="26" t="n">
        <v>0.075</v>
      </c>
      <c r="F285" s="26" t="n">
        <v>0.07</v>
      </c>
      <c r="G285" s="26" t="n">
        <v>0.07</v>
      </c>
    </row>
    <row r="286" customFormat="false" ht="15" hidden="false" customHeight="false" outlineLevel="0" collapsed="false">
      <c r="A286" s="37" t="s">
        <v>378</v>
      </c>
      <c r="C286" s="27" t="n">
        <f aca="false">CHOOSE($E$4,C282,C283,C284,C285)</f>
        <v>0.08</v>
      </c>
      <c r="D286" s="27" t="n">
        <f aca="false">CHOOSE($E$4,D282,D283,D284,D285)</f>
        <v>0.08</v>
      </c>
      <c r="E286" s="27" t="n">
        <f aca="false">CHOOSE($E$4,E282,E283,E284,E285)</f>
        <v>0.075</v>
      </c>
      <c r="F286" s="27" t="n">
        <f aca="false">CHOOSE($E$4,F282,F283,F284,F285)</f>
        <v>0.07</v>
      </c>
      <c r="G286" s="27" t="n">
        <f aca="false">CHOOSE($E$4,G282,G283,G284,G285)</f>
        <v>0.07</v>
      </c>
    </row>
    <row r="287" customFormat="false" ht="15" hidden="false" customHeight="false" outlineLevel="0" collapsed="false">
      <c r="A287" s="10" t="s">
        <v>405</v>
      </c>
      <c r="B287" s="8" t="s">
        <v>115</v>
      </c>
      <c r="H287" s="8" t="s">
        <v>89</v>
      </c>
    </row>
    <row r="288" customFormat="false" ht="15" hidden="false" customHeight="false" outlineLevel="0" collapsed="false">
      <c r="A288" s="8" t="s">
        <v>374</v>
      </c>
      <c r="C288" s="29" t="n">
        <v>0</v>
      </c>
      <c r="D288" s="29" t="n">
        <v>1</v>
      </c>
      <c r="E288" s="29" t="n">
        <v>2</v>
      </c>
      <c r="F288" s="29" t="n">
        <v>2</v>
      </c>
      <c r="G288" s="29" t="n">
        <v>2</v>
      </c>
    </row>
    <row r="289" customFormat="false" ht="15" hidden="false" customHeight="false" outlineLevel="0" collapsed="false">
      <c r="A289" s="8" t="s">
        <v>375</v>
      </c>
      <c r="C289" s="29" t="n">
        <v>0</v>
      </c>
      <c r="D289" s="29" t="n">
        <v>2</v>
      </c>
      <c r="E289" s="29" t="n">
        <v>3</v>
      </c>
      <c r="F289" s="29" t="n">
        <v>4</v>
      </c>
      <c r="G289" s="29" t="n">
        <v>5</v>
      </c>
    </row>
    <row r="290" customFormat="false" ht="15" hidden="false" customHeight="false" outlineLevel="0" collapsed="false">
      <c r="A290" s="8" t="s">
        <v>376</v>
      </c>
      <c r="C290" s="29" t="n">
        <v>0</v>
      </c>
      <c r="D290" s="29" t="n">
        <v>3</v>
      </c>
      <c r="E290" s="29" t="n">
        <v>4</v>
      </c>
      <c r="F290" s="29" t="n">
        <v>5</v>
      </c>
      <c r="G290" s="29" t="n">
        <v>6</v>
      </c>
    </row>
    <row r="291" customFormat="false" ht="15" hidden="false" customHeight="false" outlineLevel="0" collapsed="false">
      <c r="A291" s="8" t="s">
        <v>377</v>
      </c>
      <c r="C291" s="29" t="n">
        <v>0</v>
      </c>
      <c r="D291" s="29" t="n">
        <v>2</v>
      </c>
      <c r="E291" s="29" t="n">
        <v>3</v>
      </c>
      <c r="F291" s="29" t="n">
        <v>4</v>
      </c>
      <c r="G291" s="29" t="n">
        <v>5</v>
      </c>
    </row>
    <row r="292" customFormat="false" ht="15" hidden="false" customHeight="false" outlineLevel="0" collapsed="false">
      <c r="A292" s="37" t="s">
        <v>378</v>
      </c>
      <c r="C292" s="30" t="n">
        <f aca="false">CHOOSE($E$4,C288,C289,C290,C291)</f>
        <v>0</v>
      </c>
      <c r="D292" s="30" t="n">
        <f aca="false">CHOOSE($E$4,D288,D289,D290,D291)</f>
        <v>2</v>
      </c>
      <c r="E292" s="30" t="n">
        <f aca="false">CHOOSE($E$4,E288,E289,E290,E291)</f>
        <v>3</v>
      </c>
      <c r="F292" s="30" t="n">
        <f aca="false">CHOOSE($E$4,F288,F289,F290,F291)</f>
        <v>4</v>
      </c>
      <c r="G292" s="30" t="n">
        <f aca="false">CHOOSE($E$4,G288,G289,G290,G291)</f>
        <v>5</v>
      </c>
    </row>
    <row r="293" customFormat="false" ht="15" hidden="false" customHeight="false" outlineLevel="0" collapsed="false">
      <c r="A293" s="10" t="s">
        <v>406</v>
      </c>
      <c r="B293" s="8" t="s">
        <v>10</v>
      </c>
      <c r="H293" s="8" t="s">
        <v>130</v>
      </c>
    </row>
    <row r="294" customFormat="false" ht="15" hidden="false" customHeight="false" outlineLevel="0" collapsed="false">
      <c r="A294" s="8" t="s">
        <v>374</v>
      </c>
      <c r="C294" s="29" t="n">
        <v>0</v>
      </c>
      <c r="D294" s="29" t="n">
        <v>0</v>
      </c>
      <c r="E294" s="29" t="n">
        <v>4000</v>
      </c>
      <c r="F294" s="29" t="n">
        <v>5000</v>
      </c>
      <c r="G294" s="29" t="n">
        <v>6000</v>
      </c>
    </row>
    <row r="295" customFormat="false" ht="15" hidden="false" customHeight="false" outlineLevel="0" collapsed="false">
      <c r="A295" s="8" t="s">
        <v>375</v>
      </c>
      <c r="C295" s="29" t="n">
        <v>0</v>
      </c>
      <c r="D295" s="29" t="n">
        <v>4000</v>
      </c>
      <c r="E295" s="29" t="n">
        <v>5000</v>
      </c>
      <c r="F295" s="29" t="n">
        <v>6000</v>
      </c>
      <c r="G295" s="29" t="n">
        <v>8000</v>
      </c>
    </row>
    <row r="296" customFormat="false" ht="15" hidden="false" customHeight="false" outlineLevel="0" collapsed="false">
      <c r="A296" s="8" t="s">
        <v>376</v>
      </c>
      <c r="C296" s="29" t="n">
        <v>0</v>
      </c>
      <c r="D296" s="29" t="n">
        <v>4000</v>
      </c>
      <c r="E296" s="29" t="n">
        <v>6000</v>
      </c>
      <c r="F296" s="29" t="n">
        <v>8000</v>
      </c>
      <c r="G296" s="29" t="n">
        <v>10000</v>
      </c>
    </row>
    <row r="297" customFormat="false" ht="15" hidden="false" customHeight="false" outlineLevel="0" collapsed="false">
      <c r="A297" s="8" t="s">
        <v>377</v>
      </c>
      <c r="C297" s="29" t="n">
        <v>0</v>
      </c>
      <c r="D297" s="29" t="n">
        <v>4000</v>
      </c>
      <c r="E297" s="29" t="n">
        <v>5000</v>
      </c>
      <c r="F297" s="29" t="n">
        <v>6000</v>
      </c>
      <c r="G297" s="29" t="n">
        <v>8000</v>
      </c>
    </row>
    <row r="298" customFormat="false" ht="15" hidden="false" customHeight="false" outlineLevel="0" collapsed="false">
      <c r="A298" s="37" t="s">
        <v>378</v>
      </c>
      <c r="C298" s="30" t="n">
        <f aca="false">CHOOSE($E$4,C294,C295,C296,C297)</f>
        <v>0</v>
      </c>
      <c r="D298" s="30" t="n">
        <f aca="false">CHOOSE($E$4,D294,D295,D296,D297)</f>
        <v>4000</v>
      </c>
      <c r="E298" s="30" t="n">
        <f aca="false">CHOOSE($E$4,E294,E295,E296,E297)</f>
        <v>5000</v>
      </c>
      <c r="F298" s="30" t="n">
        <f aca="false">CHOOSE($E$4,F294,F295,F296,F297)</f>
        <v>6000</v>
      </c>
      <c r="G298" s="30" t="n">
        <f aca="false">CHOOSE($E$4,G294,G295,G296,G297)</f>
        <v>8000</v>
      </c>
    </row>
    <row r="299" customFormat="false" ht="15" hidden="false" customHeight="false" outlineLevel="0" collapsed="false">
      <c r="A299" s="19" t="s">
        <v>407</v>
      </c>
    </row>
    <row r="300" customFormat="false" ht="15" hidden="false" customHeight="false" outlineLevel="0" collapsed="false">
      <c r="A300" s="10" t="s">
        <v>408</v>
      </c>
      <c r="B300" s="8" t="s">
        <v>115</v>
      </c>
      <c r="H300" s="8" t="s">
        <v>89</v>
      </c>
    </row>
    <row r="301" customFormat="false" ht="15" hidden="false" customHeight="false" outlineLevel="0" collapsed="false">
      <c r="A301" s="8" t="s">
        <v>374</v>
      </c>
      <c r="C301" s="29" t="n">
        <v>3</v>
      </c>
      <c r="D301" s="29" t="n">
        <v>0</v>
      </c>
      <c r="E301" s="29" t="n">
        <v>1</v>
      </c>
      <c r="F301" s="29" t="n">
        <v>1</v>
      </c>
      <c r="G301" s="29" t="n">
        <v>1</v>
      </c>
    </row>
    <row r="302" customFormat="false" ht="15" hidden="false" customHeight="false" outlineLevel="0" collapsed="false">
      <c r="A302" s="8" t="s">
        <v>375</v>
      </c>
      <c r="C302" s="29" t="n">
        <v>3</v>
      </c>
      <c r="D302" s="29" t="n">
        <v>2</v>
      </c>
      <c r="E302" s="29" t="n">
        <v>2</v>
      </c>
      <c r="F302" s="29" t="n">
        <v>2</v>
      </c>
      <c r="G302" s="29" t="n">
        <v>2</v>
      </c>
    </row>
    <row r="303" customFormat="false" ht="15" hidden="false" customHeight="false" outlineLevel="0" collapsed="false">
      <c r="A303" s="8" t="s">
        <v>376</v>
      </c>
      <c r="C303" s="29" t="n">
        <v>3</v>
      </c>
      <c r="D303" s="29" t="n">
        <v>3</v>
      </c>
      <c r="E303" s="29" t="n">
        <v>3</v>
      </c>
      <c r="F303" s="29" t="n">
        <v>3</v>
      </c>
      <c r="G303" s="29" t="n">
        <v>3</v>
      </c>
    </row>
    <row r="304" customFormat="false" ht="15" hidden="false" customHeight="false" outlineLevel="0" collapsed="false">
      <c r="A304" s="8" t="s">
        <v>377</v>
      </c>
      <c r="C304" s="29" t="n">
        <v>3</v>
      </c>
      <c r="D304" s="29" t="n">
        <v>2</v>
      </c>
      <c r="E304" s="29" t="n">
        <v>2</v>
      </c>
      <c r="F304" s="29" t="n">
        <v>2</v>
      </c>
      <c r="G304" s="29" t="n">
        <v>2</v>
      </c>
    </row>
    <row r="305" customFormat="false" ht="15" hidden="false" customHeight="false" outlineLevel="0" collapsed="false">
      <c r="A305" s="37" t="s">
        <v>378</v>
      </c>
      <c r="C305" s="30" t="n">
        <f aca="false">CHOOSE($E$4,C301,C302,C303,C304)</f>
        <v>3</v>
      </c>
      <c r="D305" s="30" t="n">
        <f aca="false">CHOOSE($E$4,D301,D302,D303,D304)</f>
        <v>2</v>
      </c>
      <c r="E305" s="30" t="n">
        <f aca="false">CHOOSE($E$4,E301,E302,E303,E304)</f>
        <v>2</v>
      </c>
      <c r="F305" s="30" t="n">
        <f aca="false">CHOOSE($E$4,F301,F302,F303,F304)</f>
        <v>2</v>
      </c>
      <c r="G305" s="30" t="n">
        <f aca="false">CHOOSE($E$4,G301,G302,G303,G304)</f>
        <v>2</v>
      </c>
    </row>
    <row r="306" customFormat="false" ht="15" hidden="false" customHeight="false" outlineLevel="0" collapsed="false">
      <c r="A306" s="10" t="s">
        <v>409</v>
      </c>
      <c r="B306" s="8" t="s">
        <v>10</v>
      </c>
      <c r="H306" s="8" t="s">
        <v>410</v>
      </c>
    </row>
    <row r="307" customFormat="false" ht="15" hidden="false" customHeight="false" outlineLevel="0" collapsed="false">
      <c r="A307" s="8" t="s">
        <v>374</v>
      </c>
      <c r="C307" s="29" t="n">
        <v>60000</v>
      </c>
      <c r="D307" s="29" t="n">
        <v>15000</v>
      </c>
      <c r="E307" s="29" t="n">
        <v>15000</v>
      </c>
      <c r="F307" s="29" t="n">
        <v>15000</v>
      </c>
      <c r="G307" s="29" t="n">
        <v>15000</v>
      </c>
    </row>
    <row r="308" customFormat="false" ht="15" hidden="false" customHeight="false" outlineLevel="0" collapsed="false">
      <c r="A308" s="8" t="s">
        <v>375</v>
      </c>
      <c r="C308" s="29" t="n">
        <v>60000</v>
      </c>
      <c r="D308" s="29" t="n">
        <v>30000</v>
      </c>
      <c r="E308" s="29" t="n">
        <v>30000</v>
      </c>
      <c r="F308" s="29" t="n">
        <v>20000</v>
      </c>
      <c r="G308" s="29" t="n">
        <v>20000</v>
      </c>
    </row>
    <row r="309" customFormat="false" ht="15" hidden="false" customHeight="false" outlineLevel="0" collapsed="false">
      <c r="A309" s="8" t="s">
        <v>376</v>
      </c>
      <c r="C309" s="29" t="n">
        <v>60000</v>
      </c>
      <c r="D309" s="29" t="n">
        <v>45000</v>
      </c>
      <c r="E309" s="29" t="n">
        <v>40000</v>
      </c>
      <c r="F309" s="29" t="n">
        <v>30000</v>
      </c>
      <c r="G309" s="29" t="n">
        <v>30000</v>
      </c>
    </row>
    <row r="310" customFormat="false" ht="15" hidden="false" customHeight="false" outlineLevel="0" collapsed="false">
      <c r="A310" s="8" t="s">
        <v>377</v>
      </c>
      <c r="C310" s="29" t="n">
        <v>60000</v>
      </c>
      <c r="D310" s="29" t="n">
        <v>30000</v>
      </c>
      <c r="E310" s="29" t="n">
        <v>30000</v>
      </c>
      <c r="F310" s="29" t="n">
        <v>20000</v>
      </c>
      <c r="G310" s="29" t="n">
        <v>20000</v>
      </c>
    </row>
    <row r="311" customFormat="false" ht="15" hidden="false" customHeight="false" outlineLevel="0" collapsed="false">
      <c r="A311" s="37" t="s">
        <v>378</v>
      </c>
      <c r="C311" s="30" t="n">
        <f aca="false">CHOOSE($E$4,C307,C308,C309,C310)</f>
        <v>60000</v>
      </c>
      <c r="D311" s="30" t="n">
        <f aca="false">CHOOSE($E$4,D307,D308,D309,D310)</f>
        <v>30000</v>
      </c>
      <c r="E311" s="30" t="n">
        <f aca="false">CHOOSE($E$4,E307,E308,E309,E310)</f>
        <v>30000</v>
      </c>
      <c r="F311" s="30" t="n">
        <f aca="false">CHOOSE($E$4,F307,F308,F309,F310)</f>
        <v>20000</v>
      </c>
      <c r="G311" s="30" t="n">
        <f aca="false">CHOOSE($E$4,G307,G308,G309,G310)</f>
        <v>20000</v>
      </c>
    </row>
    <row r="312" customFormat="false" ht="15" hidden="false" customHeight="false" outlineLevel="0" collapsed="false">
      <c r="A312" s="19" t="s">
        <v>411</v>
      </c>
    </row>
    <row r="313" customFormat="false" ht="15" hidden="false" customHeight="false" outlineLevel="0" collapsed="false">
      <c r="A313" s="10" t="s">
        <v>412</v>
      </c>
      <c r="B313" s="8" t="s">
        <v>413</v>
      </c>
      <c r="H313" s="8" t="s">
        <v>89</v>
      </c>
    </row>
    <row r="314" customFormat="false" ht="15" hidden="false" customHeight="false" outlineLevel="0" collapsed="false">
      <c r="A314" s="8" t="s">
        <v>374</v>
      </c>
      <c r="C314" s="38" t="n">
        <v>1</v>
      </c>
      <c r="D314" s="38" t="n">
        <v>1</v>
      </c>
      <c r="E314" s="38" t="n">
        <v>1</v>
      </c>
      <c r="F314" s="38" t="n">
        <v>1</v>
      </c>
      <c r="G314" s="38" t="n">
        <v>1</v>
      </c>
    </row>
    <row r="315" customFormat="false" ht="15" hidden="false" customHeight="false" outlineLevel="0" collapsed="false">
      <c r="A315" s="8" t="s">
        <v>375</v>
      </c>
      <c r="C315" s="38" t="n">
        <v>1</v>
      </c>
      <c r="D315" s="38" t="n">
        <v>1</v>
      </c>
      <c r="E315" s="38" t="n">
        <v>1</v>
      </c>
      <c r="F315" s="38" t="n">
        <v>1</v>
      </c>
      <c r="G315" s="38" t="n">
        <v>1</v>
      </c>
    </row>
    <row r="316" customFormat="false" ht="15" hidden="false" customHeight="false" outlineLevel="0" collapsed="false">
      <c r="A316" s="8" t="s">
        <v>376</v>
      </c>
      <c r="C316" s="38" t="n">
        <v>1</v>
      </c>
      <c r="D316" s="38" t="n">
        <v>1</v>
      </c>
      <c r="E316" s="38" t="n">
        <v>1</v>
      </c>
      <c r="F316" s="38" t="n">
        <v>1</v>
      </c>
      <c r="G316" s="38" t="n">
        <v>1</v>
      </c>
    </row>
    <row r="317" customFormat="false" ht="15" hidden="false" customHeight="false" outlineLevel="0" collapsed="false">
      <c r="A317" s="8" t="s">
        <v>377</v>
      </c>
      <c r="C317" s="38" t="n">
        <v>1</v>
      </c>
      <c r="D317" s="38" t="n">
        <v>1</v>
      </c>
      <c r="E317" s="38" t="n">
        <v>1</v>
      </c>
      <c r="F317" s="38" t="n">
        <v>1</v>
      </c>
      <c r="G317" s="38" t="n">
        <v>1</v>
      </c>
    </row>
    <row r="318" customFormat="false" ht="15" hidden="false" customHeight="false" outlineLevel="0" collapsed="false">
      <c r="A318" s="37" t="s">
        <v>378</v>
      </c>
      <c r="C318" s="39" t="n">
        <f aca="false">CHOOSE($E$4,C314,C315,C316,C317)</f>
        <v>1</v>
      </c>
      <c r="D318" s="39" t="n">
        <f aca="false">CHOOSE($E$4,D314,D315,D316,D317)</f>
        <v>1</v>
      </c>
      <c r="E318" s="39" t="n">
        <f aca="false">CHOOSE($E$4,E314,E315,E316,E317)</f>
        <v>1</v>
      </c>
      <c r="F318" s="39" t="n">
        <f aca="false">CHOOSE($E$4,F314,F315,F316,F317)</f>
        <v>1</v>
      </c>
      <c r="G318" s="39" t="n">
        <f aca="false">CHOOSE($E$4,G314,G315,G316,G317)</f>
        <v>1</v>
      </c>
    </row>
    <row r="319" customFormat="false" ht="15" hidden="false" customHeight="false" outlineLevel="0" collapsed="false">
      <c r="A319" s="10" t="s">
        <v>414</v>
      </c>
      <c r="B319" s="8" t="s">
        <v>413</v>
      </c>
      <c r="H319" s="8" t="s">
        <v>89</v>
      </c>
    </row>
    <row r="320" customFormat="false" ht="15" hidden="false" customHeight="false" outlineLevel="0" collapsed="false">
      <c r="A320" s="8" t="s">
        <v>374</v>
      </c>
      <c r="C320" s="38" t="n">
        <v>1</v>
      </c>
      <c r="D320" s="38" t="n">
        <v>1</v>
      </c>
      <c r="E320" s="38" t="n">
        <v>1</v>
      </c>
      <c r="F320" s="38" t="n">
        <v>1</v>
      </c>
      <c r="G320" s="38" t="n">
        <v>1</v>
      </c>
    </row>
    <row r="321" customFormat="false" ht="15" hidden="false" customHeight="false" outlineLevel="0" collapsed="false">
      <c r="A321" s="8" t="s">
        <v>375</v>
      </c>
      <c r="C321" s="38" t="n">
        <v>1</v>
      </c>
      <c r="D321" s="38" t="n">
        <v>1</v>
      </c>
      <c r="E321" s="38" t="n">
        <v>1</v>
      </c>
      <c r="F321" s="38" t="n">
        <v>1</v>
      </c>
      <c r="G321" s="38" t="n">
        <v>1</v>
      </c>
    </row>
    <row r="322" customFormat="false" ht="15" hidden="false" customHeight="false" outlineLevel="0" collapsed="false">
      <c r="A322" s="8" t="s">
        <v>376</v>
      </c>
      <c r="C322" s="38" t="n">
        <v>1</v>
      </c>
      <c r="D322" s="38" t="n">
        <v>1</v>
      </c>
      <c r="E322" s="38" t="n">
        <v>1</v>
      </c>
      <c r="F322" s="38" t="n">
        <v>1</v>
      </c>
      <c r="G322" s="38" t="n">
        <v>1</v>
      </c>
    </row>
    <row r="323" customFormat="false" ht="15" hidden="false" customHeight="false" outlineLevel="0" collapsed="false">
      <c r="A323" s="8" t="s">
        <v>377</v>
      </c>
      <c r="C323" s="38" t="n">
        <v>1</v>
      </c>
      <c r="D323" s="38" t="n">
        <v>1</v>
      </c>
      <c r="E323" s="38" t="n">
        <v>1</v>
      </c>
      <c r="F323" s="38" t="n">
        <v>1</v>
      </c>
      <c r="G323" s="38" t="n">
        <v>1</v>
      </c>
    </row>
    <row r="324" customFormat="false" ht="15" hidden="false" customHeight="false" outlineLevel="0" collapsed="false">
      <c r="A324" s="37" t="s">
        <v>378</v>
      </c>
      <c r="C324" s="39" t="n">
        <f aca="false">CHOOSE($E$4,C320,C321,C322,C323)</f>
        <v>1</v>
      </c>
      <c r="D324" s="39" t="n">
        <f aca="false">CHOOSE($E$4,D320,D321,D322,D323)</f>
        <v>1</v>
      </c>
      <c r="E324" s="39" t="n">
        <f aca="false">CHOOSE($E$4,E320,E321,E322,E323)</f>
        <v>1</v>
      </c>
      <c r="F324" s="39" t="n">
        <f aca="false">CHOOSE($E$4,F320,F321,F322,F323)</f>
        <v>1</v>
      </c>
      <c r="G324" s="39" t="n">
        <f aca="false">CHOOSE($E$4,G320,G321,G322,G323)</f>
        <v>1</v>
      </c>
    </row>
    <row r="325" customFormat="false" ht="15" hidden="false" customHeight="false" outlineLevel="0" collapsed="false">
      <c r="A325" s="10" t="s">
        <v>415</v>
      </c>
      <c r="B325" s="8" t="s">
        <v>413</v>
      </c>
      <c r="H325" s="8" t="s">
        <v>416</v>
      </c>
    </row>
    <row r="326" customFormat="false" ht="15" hidden="false" customHeight="false" outlineLevel="0" collapsed="false">
      <c r="A326" s="8" t="s">
        <v>374</v>
      </c>
      <c r="C326" s="38" t="n">
        <v>1</v>
      </c>
      <c r="D326" s="38" t="n">
        <v>1</v>
      </c>
      <c r="E326" s="38" t="n">
        <v>1</v>
      </c>
      <c r="F326" s="38" t="n">
        <v>1</v>
      </c>
      <c r="G326" s="38" t="n">
        <v>1</v>
      </c>
    </row>
    <row r="327" customFormat="false" ht="15" hidden="false" customHeight="false" outlineLevel="0" collapsed="false">
      <c r="A327" s="8" t="s">
        <v>375</v>
      </c>
      <c r="C327" s="38" t="n">
        <v>1</v>
      </c>
      <c r="D327" s="38" t="n">
        <v>1</v>
      </c>
      <c r="E327" s="38" t="n">
        <v>2</v>
      </c>
      <c r="F327" s="38" t="n">
        <v>2</v>
      </c>
      <c r="G327" s="38" t="n">
        <v>2</v>
      </c>
    </row>
    <row r="328" customFormat="false" ht="15" hidden="false" customHeight="false" outlineLevel="0" collapsed="false">
      <c r="A328" s="8" t="s">
        <v>376</v>
      </c>
      <c r="C328" s="38" t="n">
        <v>1</v>
      </c>
      <c r="D328" s="38" t="n">
        <v>2</v>
      </c>
      <c r="E328" s="38" t="n">
        <v>3</v>
      </c>
      <c r="F328" s="38" t="n">
        <v>4</v>
      </c>
      <c r="G328" s="38" t="n">
        <v>4</v>
      </c>
    </row>
    <row r="329" customFormat="false" ht="15" hidden="false" customHeight="false" outlineLevel="0" collapsed="false">
      <c r="A329" s="8" t="s">
        <v>377</v>
      </c>
      <c r="C329" s="38" t="n">
        <v>0</v>
      </c>
      <c r="D329" s="38" t="n">
        <v>1</v>
      </c>
      <c r="E329" s="38" t="n">
        <v>1</v>
      </c>
      <c r="F329" s="38" t="n">
        <v>1</v>
      </c>
      <c r="G329" s="38" t="n">
        <v>1</v>
      </c>
    </row>
    <row r="330" customFormat="false" ht="15" hidden="false" customHeight="false" outlineLevel="0" collapsed="false">
      <c r="A330" s="37" t="s">
        <v>378</v>
      </c>
      <c r="C330" s="39" t="n">
        <f aca="false">CHOOSE($E$4,C326,C327,C328,C329)</f>
        <v>1</v>
      </c>
      <c r="D330" s="39" t="n">
        <f aca="false">CHOOSE($E$4,D326,D327,D328,D329)</f>
        <v>1</v>
      </c>
      <c r="E330" s="39" t="n">
        <f aca="false">CHOOSE($E$4,E326,E327,E328,E329)</f>
        <v>2</v>
      </c>
      <c r="F330" s="39" t="n">
        <f aca="false">CHOOSE($E$4,F326,F327,F328,F329)</f>
        <v>2</v>
      </c>
      <c r="G330" s="39" t="n">
        <f aca="false">CHOOSE($E$4,G326,G327,G328,G329)</f>
        <v>2</v>
      </c>
    </row>
    <row r="331" customFormat="false" ht="15" hidden="false" customHeight="false" outlineLevel="0" collapsed="false">
      <c r="A331" s="10" t="s">
        <v>417</v>
      </c>
      <c r="B331" s="8" t="s">
        <v>413</v>
      </c>
      <c r="H331" s="8" t="s">
        <v>418</v>
      </c>
    </row>
    <row r="332" customFormat="false" ht="15" hidden="false" customHeight="false" outlineLevel="0" collapsed="false">
      <c r="A332" s="8" t="s">
        <v>374</v>
      </c>
      <c r="C332" s="38" t="n">
        <v>1</v>
      </c>
      <c r="D332" s="38" t="n">
        <v>1</v>
      </c>
      <c r="E332" s="38" t="n">
        <v>1</v>
      </c>
      <c r="F332" s="38" t="n">
        <v>1</v>
      </c>
      <c r="G332" s="38" t="n">
        <v>1</v>
      </c>
    </row>
    <row r="333" customFormat="false" ht="15" hidden="false" customHeight="false" outlineLevel="0" collapsed="false">
      <c r="A333" s="8" t="s">
        <v>375</v>
      </c>
      <c r="C333" s="38" t="n">
        <v>1</v>
      </c>
      <c r="D333" s="38" t="n">
        <v>1</v>
      </c>
      <c r="E333" s="38" t="n">
        <v>1</v>
      </c>
      <c r="F333" s="38" t="n">
        <v>1</v>
      </c>
      <c r="G333" s="38" t="n">
        <v>1</v>
      </c>
    </row>
    <row r="334" customFormat="false" ht="15" hidden="false" customHeight="false" outlineLevel="0" collapsed="false">
      <c r="A334" s="8" t="s">
        <v>376</v>
      </c>
      <c r="C334" s="38" t="n">
        <v>1</v>
      </c>
      <c r="D334" s="38" t="n">
        <v>1</v>
      </c>
      <c r="E334" s="38" t="n">
        <v>1</v>
      </c>
      <c r="F334" s="38" t="n">
        <v>1</v>
      </c>
      <c r="G334" s="38" t="n">
        <v>1</v>
      </c>
    </row>
    <row r="335" customFormat="false" ht="15" hidden="false" customHeight="false" outlineLevel="0" collapsed="false">
      <c r="A335" s="8" t="s">
        <v>377</v>
      </c>
      <c r="C335" s="38" t="n">
        <v>0.5</v>
      </c>
      <c r="D335" s="38" t="n">
        <v>1</v>
      </c>
      <c r="E335" s="38" t="n">
        <v>1</v>
      </c>
      <c r="F335" s="38" t="n">
        <v>1</v>
      </c>
      <c r="G335" s="38" t="n">
        <v>1</v>
      </c>
    </row>
    <row r="336" customFormat="false" ht="15" hidden="false" customHeight="false" outlineLevel="0" collapsed="false">
      <c r="A336" s="37" t="s">
        <v>378</v>
      </c>
      <c r="C336" s="39" t="n">
        <f aca="false">CHOOSE($E$4,C332,C333,C334,C335)</f>
        <v>1</v>
      </c>
      <c r="D336" s="39" t="n">
        <f aca="false">CHOOSE($E$4,D332,D333,D334,D335)</f>
        <v>1</v>
      </c>
      <c r="E336" s="39" t="n">
        <f aca="false">CHOOSE($E$4,E332,E333,E334,E335)</f>
        <v>1</v>
      </c>
      <c r="F336" s="39" t="n">
        <f aca="false">CHOOSE($E$4,F332,F333,F334,F335)</f>
        <v>1</v>
      </c>
      <c r="G336" s="39" t="n">
        <f aca="false">CHOOSE($E$4,G332,G333,G334,G335)</f>
        <v>1</v>
      </c>
    </row>
    <row r="337" customFormat="false" ht="15" hidden="false" customHeight="false" outlineLevel="0" collapsed="false">
      <c r="A337" s="10" t="s">
        <v>419</v>
      </c>
      <c r="B337" s="8" t="s">
        <v>413</v>
      </c>
      <c r="H337" s="8" t="s">
        <v>89</v>
      </c>
    </row>
    <row r="338" customFormat="false" ht="15" hidden="false" customHeight="false" outlineLevel="0" collapsed="false">
      <c r="A338" s="8" t="s">
        <v>374</v>
      </c>
      <c r="C338" s="38" t="n">
        <v>0.5</v>
      </c>
      <c r="D338" s="38" t="n">
        <v>0.5</v>
      </c>
      <c r="E338" s="38" t="n">
        <v>0.5</v>
      </c>
      <c r="F338" s="38" t="n">
        <v>1</v>
      </c>
      <c r="G338" s="38" t="n">
        <v>1</v>
      </c>
    </row>
    <row r="339" customFormat="false" ht="15" hidden="false" customHeight="false" outlineLevel="0" collapsed="false">
      <c r="A339" s="8" t="s">
        <v>375</v>
      </c>
      <c r="C339" s="38" t="n">
        <v>0.5</v>
      </c>
      <c r="D339" s="38" t="n">
        <v>1</v>
      </c>
      <c r="E339" s="38" t="n">
        <v>1</v>
      </c>
      <c r="F339" s="38" t="n">
        <v>1</v>
      </c>
      <c r="G339" s="38" t="n">
        <v>1</v>
      </c>
    </row>
    <row r="340" customFormat="false" ht="15" hidden="false" customHeight="false" outlineLevel="0" collapsed="false">
      <c r="A340" s="8" t="s">
        <v>376</v>
      </c>
      <c r="C340" s="38" t="n">
        <v>0.5</v>
      </c>
      <c r="D340" s="38" t="n">
        <v>1</v>
      </c>
      <c r="E340" s="38" t="n">
        <v>1</v>
      </c>
      <c r="F340" s="38" t="n">
        <v>1</v>
      </c>
      <c r="G340" s="38" t="n">
        <v>2</v>
      </c>
    </row>
    <row r="341" customFormat="false" ht="15" hidden="false" customHeight="false" outlineLevel="0" collapsed="false">
      <c r="A341" s="8" t="s">
        <v>377</v>
      </c>
      <c r="C341" s="38" t="n">
        <v>0.5</v>
      </c>
      <c r="D341" s="38" t="n">
        <v>0.5</v>
      </c>
      <c r="E341" s="38" t="n">
        <v>0.5</v>
      </c>
      <c r="F341" s="38" t="n">
        <v>1</v>
      </c>
      <c r="G341" s="38" t="n">
        <v>1</v>
      </c>
    </row>
    <row r="342" customFormat="false" ht="15" hidden="false" customHeight="false" outlineLevel="0" collapsed="false">
      <c r="A342" s="37" t="s">
        <v>378</v>
      </c>
      <c r="C342" s="39" t="n">
        <f aca="false">CHOOSE($E$4,C338,C339,C340,C341)</f>
        <v>0.5</v>
      </c>
      <c r="D342" s="39" t="n">
        <f aca="false">CHOOSE($E$4,D338,D339,D340,D341)</f>
        <v>1</v>
      </c>
      <c r="E342" s="39" t="n">
        <f aca="false">CHOOSE($E$4,E338,E339,E340,E341)</f>
        <v>1</v>
      </c>
      <c r="F342" s="39" t="n">
        <f aca="false">CHOOSE($E$4,F338,F339,F340,F341)</f>
        <v>1</v>
      </c>
      <c r="G342" s="39" t="n">
        <f aca="false">CHOOSE($E$4,G338,G339,G340,G341)</f>
        <v>1</v>
      </c>
    </row>
    <row r="343" customFormat="false" ht="15" hidden="false" customHeight="false" outlineLevel="0" collapsed="false">
      <c r="A343" s="10" t="s">
        <v>420</v>
      </c>
      <c r="B343" s="8" t="s">
        <v>413</v>
      </c>
      <c r="H343" s="8" t="s">
        <v>89</v>
      </c>
    </row>
    <row r="344" customFormat="false" ht="15" hidden="false" customHeight="false" outlineLevel="0" collapsed="false">
      <c r="A344" s="8" t="s">
        <v>374</v>
      </c>
      <c r="C344" s="38" t="n">
        <v>1</v>
      </c>
      <c r="D344" s="38" t="n">
        <v>1</v>
      </c>
      <c r="E344" s="38" t="n">
        <v>1</v>
      </c>
      <c r="F344" s="38" t="n">
        <v>1</v>
      </c>
      <c r="G344" s="38" t="n">
        <v>1</v>
      </c>
    </row>
    <row r="345" customFormat="false" ht="15" hidden="false" customHeight="false" outlineLevel="0" collapsed="false">
      <c r="A345" s="8" t="s">
        <v>375</v>
      </c>
      <c r="C345" s="38" t="n">
        <v>1</v>
      </c>
      <c r="D345" s="38" t="n">
        <v>1</v>
      </c>
      <c r="E345" s="38" t="n">
        <v>1</v>
      </c>
      <c r="F345" s="38" t="n">
        <v>2</v>
      </c>
      <c r="G345" s="38" t="n">
        <v>2</v>
      </c>
    </row>
    <row r="346" customFormat="false" ht="15" hidden="false" customHeight="false" outlineLevel="0" collapsed="false">
      <c r="A346" s="8" t="s">
        <v>376</v>
      </c>
      <c r="C346" s="38" t="n">
        <v>1</v>
      </c>
      <c r="D346" s="38" t="n">
        <v>2</v>
      </c>
      <c r="E346" s="38" t="n">
        <v>2</v>
      </c>
      <c r="F346" s="38" t="n">
        <v>3</v>
      </c>
      <c r="G346" s="38" t="n">
        <v>4</v>
      </c>
    </row>
    <row r="347" customFormat="false" ht="15" hidden="false" customHeight="false" outlineLevel="0" collapsed="false">
      <c r="A347" s="8" t="s">
        <v>377</v>
      </c>
      <c r="C347" s="38" t="n">
        <v>1</v>
      </c>
      <c r="D347" s="38" t="n">
        <v>1</v>
      </c>
      <c r="E347" s="38" t="n">
        <v>1</v>
      </c>
      <c r="F347" s="38" t="n">
        <v>1</v>
      </c>
      <c r="G347" s="38" t="n">
        <v>1</v>
      </c>
    </row>
    <row r="348" customFormat="false" ht="15" hidden="false" customHeight="false" outlineLevel="0" collapsed="false">
      <c r="A348" s="37" t="s">
        <v>378</v>
      </c>
      <c r="C348" s="39" t="n">
        <f aca="false">CHOOSE($E$4,C344,C345,C346,C347)</f>
        <v>1</v>
      </c>
      <c r="D348" s="39" t="n">
        <f aca="false">CHOOSE($E$4,D344,D345,D346,D347)</f>
        <v>1</v>
      </c>
      <c r="E348" s="39" t="n">
        <f aca="false">CHOOSE($E$4,E344,E345,E346,E347)</f>
        <v>1</v>
      </c>
      <c r="F348" s="39" t="n">
        <f aca="false">CHOOSE($E$4,F344,F345,F346,F347)</f>
        <v>2</v>
      </c>
      <c r="G348" s="39" t="n">
        <f aca="false">CHOOSE($E$4,G344,G345,G346,G347)</f>
        <v>2</v>
      </c>
    </row>
    <row r="349" customFormat="false" ht="15" hidden="false" customHeight="false" outlineLevel="0" collapsed="false">
      <c r="A349" s="10" t="s">
        <v>421</v>
      </c>
      <c r="B349" s="8" t="s">
        <v>413</v>
      </c>
      <c r="H349" s="8" t="s">
        <v>89</v>
      </c>
    </row>
    <row r="350" customFormat="false" ht="15" hidden="false" customHeight="false" outlineLevel="0" collapsed="false">
      <c r="A350" s="8" t="s">
        <v>374</v>
      </c>
      <c r="C350" s="38" t="n">
        <v>0.5</v>
      </c>
      <c r="D350" s="38" t="n">
        <v>0.5</v>
      </c>
      <c r="E350" s="38" t="n">
        <v>0.5</v>
      </c>
      <c r="F350" s="38" t="n">
        <v>0.5</v>
      </c>
      <c r="G350" s="38" t="n">
        <v>0.5</v>
      </c>
    </row>
    <row r="351" customFormat="false" ht="15" hidden="false" customHeight="false" outlineLevel="0" collapsed="false">
      <c r="A351" s="8" t="s">
        <v>375</v>
      </c>
      <c r="C351" s="38" t="n">
        <v>0.5</v>
      </c>
      <c r="D351" s="38" t="n">
        <v>1</v>
      </c>
      <c r="E351" s="38" t="n">
        <v>1</v>
      </c>
      <c r="F351" s="38" t="n">
        <v>1</v>
      </c>
      <c r="G351" s="38" t="n">
        <v>1</v>
      </c>
    </row>
    <row r="352" customFormat="false" ht="15" hidden="false" customHeight="false" outlineLevel="0" collapsed="false">
      <c r="A352" s="8" t="s">
        <v>376</v>
      </c>
      <c r="C352" s="38" t="n">
        <v>0.5</v>
      </c>
      <c r="D352" s="38" t="n">
        <v>1</v>
      </c>
      <c r="E352" s="38" t="n">
        <v>1</v>
      </c>
      <c r="F352" s="38" t="n">
        <v>1</v>
      </c>
      <c r="G352" s="38" t="n">
        <v>2</v>
      </c>
    </row>
    <row r="353" customFormat="false" ht="15" hidden="false" customHeight="false" outlineLevel="0" collapsed="false">
      <c r="A353" s="8" t="s">
        <v>377</v>
      </c>
      <c r="C353" s="38" t="n">
        <v>0.5</v>
      </c>
      <c r="D353" s="38" t="n">
        <v>1</v>
      </c>
      <c r="E353" s="38" t="n">
        <v>1</v>
      </c>
      <c r="F353" s="38" t="n">
        <v>1</v>
      </c>
      <c r="G353" s="38" t="n">
        <v>1</v>
      </c>
    </row>
    <row r="354" customFormat="false" ht="15" hidden="false" customHeight="false" outlineLevel="0" collapsed="false">
      <c r="A354" s="37" t="s">
        <v>378</v>
      </c>
      <c r="C354" s="39" t="n">
        <f aca="false">CHOOSE($E$4,C350,C351,C352,C353)</f>
        <v>0.5</v>
      </c>
      <c r="D354" s="39" t="n">
        <f aca="false">CHOOSE($E$4,D350,D351,D352,D353)</f>
        <v>1</v>
      </c>
      <c r="E354" s="39" t="n">
        <f aca="false">CHOOSE($E$4,E350,E351,E352,E353)</f>
        <v>1</v>
      </c>
      <c r="F354" s="39" t="n">
        <f aca="false">CHOOSE($E$4,F350,F351,F352,F353)</f>
        <v>1</v>
      </c>
      <c r="G354" s="39" t="n">
        <f aca="false">CHOOSE($E$4,G350,G351,G352,G353)</f>
        <v>1</v>
      </c>
    </row>
    <row r="355" customFormat="false" ht="15" hidden="false" customHeight="false" outlineLevel="0" collapsed="false">
      <c r="A355" s="10" t="s">
        <v>422</v>
      </c>
      <c r="B355" s="8" t="s">
        <v>413</v>
      </c>
      <c r="H355" s="8" t="s">
        <v>423</v>
      </c>
    </row>
    <row r="356" customFormat="false" ht="15" hidden="false" customHeight="false" outlineLevel="0" collapsed="false">
      <c r="A356" s="8" t="s">
        <v>374</v>
      </c>
      <c r="C356" s="38" t="n">
        <v>1</v>
      </c>
      <c r="D356" s="38" t="n">
        <v>1</v>
      </c>
      <c r="E356" s="38" t="n">
        <v>1</v>
      </c>
      <c r="F356" s="38" t="n">
        <v>1</v>
      </c>
      <c r="G356" s="38" t="n">
        <v>1</v>
      </c>
    </row>
    <row r="357" customFormat="false" ht="15" hidden="false" customHeight="false" outlineLevel="0" collapsed="false">
      <c r="A357" s="8" t="s">
        <v>375</v>
      </c>
      <c r="C357" s="38" t="n">
        <v>1</v>
      </c>
      <c r="D357" s="38" t="n">
        <v>1</v>
      </c>
      <c r="E357" s="38" t="n">
        <v>2</v>
      </c>
      <c r="F357" s="38" t="n">
        <v>3</v>
      </c>
      <c r="G357" s="38" t="n">
        <v>5</v>
      </c>
    </row>
    <row r="358" customFormat="false" ht="15" hidden="false" customHeight="false" outlineLevel="0" collapsed="false">
      <c r="A358" s="8" t="s">
        <v>376</v>
      </c>
      <c r="C358" s="38" t="n">
        <v>1</v>
      </c>
      <c r="D358" s="38" t="n">
        <v>2</v>
      </c>
      <c r="E358" s="38" t="n">
        <v>3</v>
      </c>
      <c r="F358" s="38" t="n">
        <v>5</v>
      </c>
      <c r="G358" s="38" t="n">
        <v>8</v>
      </c>
    </row>
    <row r="359" customFormat="false" ht="15" hidden="false" customHeight="false" outlineLevel="0" collapsed="false">
      <c r="A359" s="8" t="s">
        <v>377</v>
      </c>
      <c r="C359" s="38" t="n">
        <v>1</v>
      </c>
      <c r="D359" s="38" t="n">
        <v>1</v>
      </c>
      <c r="E359" s="38" t="n">
        <v>1</v>
      </c>
      <c r="F359" s="38" t="n">
        <v>2</v>
      </c>
      <c r="G359" s="38" t="n">
        <v>3</v>
      </c>
    </row>
    <row r="360" customFormat="false" ht="15" hidden="false" customHeight="false" outlineLevel="0" collapsed="false">
      <c r="A360" s="37" t="s">
        <v>378</v>
      </c>
      <c r="C360" s="39" t="n">
        <f aca="false">CHOOSE($E$4,C356,C357,C358,C359)</f>
        <v>1</v>
      </c>
      <c r="D360" s="39" t="n">
        <f aca="false">CHOOSE($E$4,D356,D357,D358,D359)</f>
        <v>1</v>
      </c>
      <c r="E360" s="39" t="n">
        <f aca="false">CHOOSE($E$4,E356,E357,E358,E359)</f>
        <v>2</v>
      </c>
      <c r="F360" s="39" t="n">
        <f aca="false">CHOOSE($E$4,F356,F357,F358,F359)</f>
        <v>3</v>
      </c>
      <c r="G360" s="39" t="n">
        <f aca="false">CHOOSE($E$4,G356,G357,G358,G359)</f>
        <v>5</v>
      </c>
    </row>
    <row r="361" customFormat="false" ht="15" hidden="false" customHeight="false" outlineLevel="0" collapsed="false">
      <c r="A361" s="10" t="s">
        <v>424</v>
      </c>
      <c r="B361" s="8" t="s">
        <v>413</v>
      </c>
      <c r="H361" s="8" t="s">
        <v>89</v>
      </c>
    </row>
    <row r="362" customFormat="false" ht="15" hidden="false" customHeight="false" outlineLevel="0" collapsed="false">
      <c r="A362" s="8" t="s">
        <v>374</v>
      </c>
      <c r="C362" s="38" t="n">
        <v>0</v>
      </c>
      <c r="D362" s="38" t="n">
        <v>0</v>
      </c>
      <c r="E362" s="38" t="n">
        <v>0</v>
      </c>
      <c r="F362" s="38" t="n">
        <v>0</v>
      </c>
      <c r="G362" s="38" t="n">
        <v>0</v>
      </c>
    </row>
    <row r="363" customFormat="false" ht="15" hidden="false" customHeight="false" outlineLevel="0" collapsed="false">
      <c r="A363" s="8" t="s">
        <v>375</v>
      </c>
      <c r="C363" s="38" t="n">
        <v>0</v>
      </c>
      <c r="D363" s="38" t="n">
        <v>0</v>
      </c>
      <c r="E363" s="38" t="n">
        <v>0</v>
      </c>
      <c r="F363" s="38" t="n">
        <v>1</v>
      </c>
      <c r="G363" s="38" t="n">
        <v>1</v>
      </c>
    </row>
    <row r="364" customFormat="false" ht="15" hidden="false" customHeight="false" outlineLevel="0" collapsed="false">
      <c r="A364" s="8" t="s">
        <v>376</v>
      </c>
      <c r="C364" s="38" t="n">
        <v>0</v>
      </c>
      <c r="D364" s="38" t="n">
        <v>0</v>
      </c>
      <c r="E364" s="38" t="n">
        <v>1</v>
      </c>
      <c r="F364" s="38" t="n">
        <v>1</v>
      </c>
      <c r="G364" s="38" t="n">
        <v>1</v>
      </c>
    </row>
    <row r="365" customFormat="false" ht="15" hidden="false" customHeight="false" outlineLevel="0" collapsed="false">
      <c r="A365" s="8" t="s">
        <v>377</v>
      </c>
      <c r="C365" s="38" t="n">
        <v>0</v>
      </c>
      <c r="D365" s="38" t="n">
        <v>0</v>
      </c>
      <c r="E365" s="38" t="n">
        <v>0</v>
      </c>
      <c r="F365" s="38" t="n">
        <v>0</v>
      </c>
      <c r="G365" s="38" t="n">
        <v>0</v>
      </c>
    </row>
    <row r="366" customFormat="false" ht="15" hidden="false" customHeight="false" outlineLevel="0" collapsed="false">
      <c r="A366" s="37" t="s">
        <v>378</v>
      </c>
      <c r="C366" s="39" t="n">
        <f aca="false">CHOOSE($E$4,C362,C363,C364,C365)</f>
        <v>0</v>
      </c>
      <c r="D366" s="39" t="n">
        <f aca="false">CHOOSE($E$4,D362,D363,D364,D365)</f>
        <v>0</v>
      </c>
      <c r="E366" s="39" t="n">
        <f aca="false">CHOOSE($E$4,E362,E363,E364,E365)</f>
        <v>0</v>
      </c>
      <c r="F366" s="39" t="n">
        <f aca="false">CHOOSE($E$4,F362,F363,F364,F365)</f>
        <v>1</v>
      </c>
      <c r="G366" s="39" t="n">
        <f aca="false">CHOOSE($E$4,G362,G363,G364,G365)</f>
        <v>1</v>
      </c>
    </row>
    <row r="367" customFormat="false" ht="15" hidden="false" customHeight="false" outlineLevel="0" collapsed="false">
      <c r="A367" s="10" t="s">
        <v>425</v>
      </c>
      <c r="B367" s="8" t="s">
        <v>413</v>
      </c>
      <c r="H367" s="8" t="s">
        <v>89</v>
      </c>
    </row>
    <row r="368" customFormat="false" ht="15" hidden="false" customHeight="false" outlineLevel="0" collapsed="false">
      <c r="A368" s="8" t="s">
        <v>374</v>
      </c>
      <c r="C368" s="38" t="n">
        <v>0</v>
      </c>
      <c r="D368" s="38" t="n">
        <v>0</v>
      </c>
      <c r="E368" s="38" t="n">
        <v>0</v>
      </c>
      <c r="F368" s="38" t="n">
        <v>0</v>
      </c>
      <c r="G368" s="38" t="n">
        <v>0</v>
      </c>
    </row>
    <row r="369" customFormat="false" ht="15" hidden="false" customHeight="false" outlineLevel="0" collapsed="false">
      <c r="A369" s="8" t="s">
        <v>375</v>
      </c>
      <c r="C369" s="38" t="n">
        <v>0</v>
      </c>
      <c r="D369" s="38" t="n">
        <v>0</v>
      </c>
      <c r="E369" s="38" t="n">
        <v>0</v>
      </c>
      <c r="F369" s="38" t="n">
        <v>0</v>
      </c>
      <c r="G369" s="38" t="n">
        <v>1</v>
      </c>
    </row>
    <row r="370" customFormat="false" ht="15" hidden="false" customHeight="false" outlineLevel="0" collapsed="false">
      <c r="A370" s="8" t="s">
        <v>376</v>
      </c>
      <c r="C370" s="38" t="n">
        <v>0</v>
      </c>
      <c r="D370" s="38" t="n">
        <v>0</v>
      </c>
      <c r="E370" s="38" t="n">
        <v>1</v>
      </c>
      <c r="F370" s="38" t="n">
        <v>1</v>
      </c>
      <c r="G370" s="38" t="n">
        <v>1</v>
      </c>
    </row>
    <row r="371" customFormat="false" ht="15" hidden="false" customHeight="false" outlineLevel="0" collapsed="false">
      <c r="A371" s="8" t="s">
        <v>377</v>
      </c>
      <c r="C371" s="38" t="n">
        <v>0</v>
      </c>
      <c r="D371" s="38" t="n">
        <v>0</v>
      </c>
      <c r="E371" s="38" t="n">
        <v>0</v>
      </c>
      <c r="F371" s="38" t="n">
        <v>0</v>
      </c>
      <c r="G371" s="38" t="n">
        <v>0</v>
      </c>
    </row>
    <row r="372" customFormat="false" ht="15" hidden="false" customHeight="false" outlineLevel="0" collapsed="false">
      <c r="A372" s="37" t="s">
        <v>378</v>
      </c>
      <c r="C372" s="39" t="n">
        <f aca="false">CHOOSE($E$4,C368,C369,C370,C371)</f>
        <v>0</v>
      </c>
      <c r="D372" s="39" t="n">
        <f aca="false">CHOOSE($E$4,D368,D369,D370,D371)</f>
        <v>0</v>
      </c>
      <c r="E372" s="39" t="n">
        <f aca="false">CHOOSE($E$4,E368,E369,E370,E371)</f>
        <v>0</v>
      </c>
      <c r="F372" s="39" t="n">
        <f aca="false">CHOOSE($E$4,F368,F369,F370,F371)</f>
        <v>0</v>
      </c>
      <c r="G372" s="39" t="n">
        <f aca="false">CHOOSE($E$4,G368,G369,G370,G371)</f>
        <v>1</v>
      </c>
    </row>
    <row r="373" customFormat="false" ht="15" hidden="false" customHeight="false" outlineLevel="0" collapsed="false">
      <c r="A373" s="10" t="s">
        <v>426</v>
      </c>
      <c r="B373" s="8" t="s">
        <v>413</v>
      </c>
      <c r="H373" s="8" t="s">
        <v>89</v>
      </c>
    </row>
    <row r="374" customFormat="false" ht="15" hidden="false" customHeight="false" outlineLevel="0" collapsed="false">
      <c r="A374" s="8" t="s">
        <v>374</v>
      </c>
      <c r="C374" s="38" t="n">
        <v>0</v>
      </c>
      <c r="D374" s="38" t="n">
        <v>0</v>
      </c>
      <c r="E374" s="38" t="n">
        <v>0</v>
      </c>
      <c r="F374" s="38" t="n">
        <v>0</v>
      </c>
      <c r="G374" s="38" t="n">
        <v>0</v>
      </c>
    </row>
    <row r="375" customFormat="false" ht="15" hidden="false" customHeight="false" outlineLevel="0" collapsed="false">
      <c r="A375" s="8" t="s">
        <v>375</v>
      </c>
      <c r="C375" s="38" t="n">
        <v>0</v>
      </c>
      <c r="D375" s="38" t="n">
        <v>0</v>
      </c>
      <c r="E375" s="38" t="n">
        <v>1</v>
      </c>
      <c r="F375" s="38" t="n">
        <v>1</v>
      </c>
      <c r="G375" s="38" t="n">
        <v>1</v>
      </c>
    </row>
    <row r="376" customFormat="false" ht="15" hidden="false" customHeight="false" outlineLevel="0" collapsed="false">
      <c r="A376" s="8" t="s">
        <v>376</v>
      </c>
      <c r="C376" s="38" t="n">
        <v>0</v>
      </c>
      <c r="D376" s="38" t="n">
        <v>1</v>
      </c>
      <c r="E376" s="38" t="n">
        <v>1</v>
      </c>
      <c r="F376" s="38" t="n">
        <v>2</v>
      </c>
      <c r="G376" s="38" t="n">
        <v>3</v>
      </c>
    </row>
    <row r="377" customFormat="false" ht="15" hidden="false" customHeight="false" outlineLevel="0" collapsed="false">
      <c r="A377" s="8" t="s">
        <v>377</v>
      </c>
      <c r="C377" s="38" t="n">
        <v>0</v>
      </c>
      <c r="D377" s="38" t="n">
        <v>0</v>
      </c>
      <c r="E377" s="38" t="n">
        <v>0</v>
      </c>
      <c r="F377" s="38" t="n">
        <v>1</v>
      </c>
      <c r="G377" s="38" t="n">
        <v>1</v>
      </c>
    </row>
    <row r="378" customFormat="false" ht="15" hidden="false" customHeight="false" outlineLevel="0" collapsed="false">
      <c r="A378" s="37" t="s">
        <v>378</v>
      </c>
      <c r="C378" s="39" t="n">
        <f aca="false">CHOOSE($E$4,C374,C375,C376,C377)</f>
        <v>0</v>
      </c>
      <c r="D378" s="39" t="n">
        <f aca="false">CHOOSE($E$4,D374,D375,D376,D377)</f>
        <v>0</v>
      </c>
      <c r="E378" s="39" t="n">
        <f aca="false">CHOOSE($E$4,E374,E375,E376,E377)</f>
        <v>1</v>
      </c>
      <c r="F378" s="39" t="n">
        <f aca="false">CHOOSE($E$4,F374,F375,F376,F377)</f>
        <v>1</v>
      </c>
      <c r="G378" s="39" t="n">
        <f aca="false">CHOOSE($E$4,G374,G375,G376,G377)</f>
        <v>1</v>
      </c>
    </row>
    <row r="379" customFormat="false" ht="15" hidden="false" customHeight="false" outlineLevel="0" collapsed="false">
      <c r="A379" s="10" t="s">
        <v>427</v>
      </c>
      <c r="B379" s="8" t="s">
        <v>413</v>
      </c>
      <c r="H379" s="8" t="s">
        <v>428</v>
      </c>
    </row>
    <row r="380" customFormat="false" ht="15" hidden="false" customHeight="false" outlineLevel="0" collapsed="false">
      <c r="A380" s="8" t="s">
        <v>374</v>
      </c>
      <c r="C380" s="38" t="n">
        <v>0</v>
      </c>
      <c r="D380" s="38" t="n">
        <v>0</v>
      </c>
      <c r="E380" s="38" t="n">
        <v>0</v>
      </c>
      <c r="F380" s="38" t="n">
        <v>0</v>
      </c>
      <c r="G380" s="38" t="n">
        <v>0</v>
      </c>
    </row>
    <row r="381" customFormat="false" ht="15" hidden="false" customHeight="false" outlineLevel="0" collapsed="false">
      <c r="A381" s="8" t="s">
        <v>375</v>
      </c>
      <c r="C381" s="38" t="n">
        <v>0</v>
      </c>
      <c r="D381" s="38" t="n">
        <v>0</v>
      </c>
      <c r="E381" s="38" t="n">
        <v>0</v>
      </c>
      <c r="F381" s="38" t="n">
        <v>0</v>
      </c>
      <c r="G381" s="38" t="n">
        <v>0</v>
      </c>
    </row>
    <row r="382" customFormat="false" ht="15" hidden="false" customHeight="false" outlineLevel="0" collapsed="false">
      <c r="A382" s="8" t="s">
        <v>376</v>
      </c>
      <c r="C382" s="38" t="n">
        <v>0</v>
      </c>
      <c r="D382" s="38" t="n">
        <v>0</v>
      </c>
      <c r="E382" s="38" t="n">
        <v>0</v>
      </c>
      <c r="F382" s="38" t="n">
        <v>0</v>
      </c>
      <c r="G382" s="38" t="n">
        <v>0</v>
      </c>
    </row>
    <row r="383" customFormat="false" ht="15" hidden="false" customHeight="false" outlineLevel="0" collapsed="false">
      <c r="A383" s="8" t="s">
        <v>377</v>
      </c>
      <c r="C383" s="38" t="n">
        <v>0</v>
      </c>
      <c r="D383" s="38" t="n">
        <v>0</v>
      </c>
      <c r="E383" s="38" t="n">
        <v>1</v>
      </c>
      <c r="F383" s="38" t="n">
        <v>1</v>
      </c>
      <c r="G383" s="38" t="n">
        <v>1</v>
      </c>
    </row>
    <row r="384" customFormat="false" ht="15" hidden="false" customHeight="false" outlineLevel="0" collapsed="false">
      <c r="A384" s="37" t="s">
        <v>378</v>
      </c>
      <c r="C384" s="39" t="n">
        <f aca="false">CHOOSE($E$4,C380,C381,C382,C383)</f>
        <v>0</v>
      </c>
      <c r="D384" s="39" t="n">
        <f aca="false">CHOOSE($E$4,D380,D381,D382,D383)</f>
        <v>0</v>
      </c>
      <c r="E384" s="39" t="n">
        <f aca="false">CHOOSE($E$4,E380,E381,E382,E383)</f>
        <v>0</v>
      </c>
      <c r="F384" s="39" t="n">
        <f aca="false">CHOOSE($E$4,F380,F381,F382,F383)</f>
        <v>0</v>
      </c>
      <c r="G384" s="39" t="n">
        <f aca="false">CHOOSE($E$4,G380,G381,G382,G383)</f>
        <v>0</v>
      </c>
    </row>
    <row r="385" customFormat="false" ht="15" hidden="false" customHeight="false" outlineLevel="0" collapsed="false">
      <c r="A385" s="19" t="s">
        <v>429</v>
      </c>
    </row>
    <row r="386" customFormat="false" ht="15" hidden="false" customHeight="false" outlineLevel="0" collapsed="false">
      <c r="A386" s="10" t="s">
        <v>430</v>
      </c>
      <c r="B386" s="8" t="s">
        <v>10</v>
      </c>
      <c r="H386" s="8" t="s">
        <v>431</v>
      </c>
    </row>
    <row r="387" customFormat="false" ht="15" hidden="false" customHeight="false" outlineLevel="0" collapsed="false">
      <c r="A387" s="8" t="s">
        <v>374</v>
      </c>
      <c r="C387" s="29" t="n">
        <v>90000</v>
      </c>
      <c r="D387" s="29" t="n">
        <v>40000</v>
      </c>
      <c r="E387" s="29" t="n">
        <v>35000</v>
      </c>
      <c r="F387" s="29" t="n">
        <v>35000</v>
      </c>
      <c r="G387" s="29" t="n">
        <v>35000</v>
      </c>
    </row>
    <row r="388" customFormat="false" ht="15" hidden="false" customHeight="false" outlineLevel="0" collapsed="false">
      <c r="A388" s="8" t="s">
        <v>375</v>
      </c>
      <c r="C388" s="29" t="n">
        <v>90000</v>
      </c>
      <c r="D388" s="29" t="n">
        <v>50000</v>
      </c>
      <c r="E388" s="29" t="n">
        <v>45000</v>
      </c>
      <c r="F388" s="29" t="n">
        <v>45000</v>
      </c>
      <c r="G388" s="29" t="n">
        <v>45000</v>
      </c>
    </row>
    <row r="389" customFormat="false" ht="15" hidden="false" customHeight="false" outlineLevel="0" collapsed="false">
      <c r="A389" s="8" t="s">
        <v>376</v>
      </c>
      <c r="C389" s="29" t="n">
        <v>90000</v>
      </c>
      <c r="D389" s="29" t="n">
        <v>55000</v>
      </c>
      <c r="E389" s="29" t="n">
        <v>50000</v>
      </c>
      <c r="F389" s="29" t="n">
        <v>50000</v>
      </c>
      <c r="G389" s="29" t="n">
        <v>55000</v>
      </c>
    </row>
    <row r="390" customFormat="false" ht="15" hidden="false" customHeight="false" outlineLevel="0" collapsed="false">
      <c r="A390" s="8" t="s">
        <v>377</v>
      </c>
      <c r="C390" s="29" t="n">
        <v>90000</v>
      </c>
      <c r="D390" s="29" t="n">
        <v>50000</v>
      </c>
      <c r="E390" s="29" t="n">
        <v>45000</v>
      </c>
      <c r="F390" s="29" t="n">
        <v>45000</v>
      </c>
      <c r="G390" s="29" t="n">
        <v>45000</v>
      </c>
    </row>
    <row r="391" customFormat="false" ht="15" hidden="false" customHeight="false" outlineLevel="0" collapsed="false">
      <c r="A391" s="37" t="s">
        <v>378</v>
      </c>
      <c r="C391" s="30" t="n">
        <f aca="false">CHOOSE($E$4,C387,C388,C389,C390)</f>
        <v>90000</v>
      </c>
      <c r="D391" s="30" t="n">
        <f aca="false">CHOOSE($E$4,D387,D388,D389,D390)</f>
        <v>50000</v>
      </c>
      <c r="E391" s="30" t="n">
        <f aca="false">CHOOSE($E$4,E387,E388,E389,E390)</f>
        <v>45000</v>
      </c>
      <c r="F391" s="30" t="n">
        <f aca="false">CHOOSE($E$4,F387,F388,F389,F390)</f>
        <v>45000</v>
      </c>
      <c r="G391" s="30" t="n">
        <f aca="false">CHOOSE($E$4,G387,G388,G389,G390)</f>
        <v>45000</v>
      </c>
    </row>
    <row r="392" customFormat="false" ht="15" hidden="false" customHeight="false" outlineLevel="0" collapsed="false">
      <c r="A392" s="10" t="s">
        <v>432</v>
      </c>
      <c r="B392" s="8" t="s">
        <v>10</v>
      </c>
      <c r="H392" s="8" t="s">
        <v>89</v>
      </c>
    </row>
    <row r="393" customFormat="false" ht="15" hidden="false" customHeight="false" outlineLevel="0" collapsed="false">
      <c r="A393" s="8" t="s">
        <v>374</v>
      </c>
      <c r="C393" s="29" t="n">
        <v>10000</v>
      </c>
      <c r="D393" s="29" t="n">
        <v>10000</v>
      </c>
      <c r="E393" s="29" t="n">
        <v>10000</v>
      </c>
      <c r="F393" s="29" t="n">
        <v>10000</v>
      </c>
      <c r="G393" s="29" t="n">
        <v>10000</v>
      </c>
    </row>
    <row r="394" customFormat="false" ht="15" hidden="false" customHeight="false" outlineLevel="0" collapsed="false">
      <c r="A394" s="8" t="s">
        <v>375</v>
      </c>
      <c r="C394" s="29" t="n">
        <v>10000</v>
      </c>
      <c r="D394" s="29" t="n">
        <v>10000</v>
      </c>
      <c r="E394" s="29" t="n">
        <v>10000</v>
      </c>
      <c r="F394" s="29" t="n">
        <v>10000</v>
      </c>
      <c r="G394" s="29" t="n">
        <v>10000</v>
      </c>
    </row>
    <row r="395" customFormat="false" ht="15" hidden="false" customHeight="false" outlineLevel="0" collapsed="false">
      <c r="A395" s="8" t="s">
        <v>376</v>
      </c>
      <c r="C395" s="29" t="n">
        <v>10000</v>
      </c>
      <c r="D395" s="29" t="n">
        <v>10000</v>
      </c>
      <c r="E395" s="29" t="n">
        <v>12000</v>
      </c>
      <c r="F395" s="29" t="n">
        <v>12000</v>
      </c>
      <c r="G395" s="29" t="n">
        <v>15000</v>
      </c>
    </row>
    <row r="396" customFormat="false" ht="15" hidden="false" customHeight="false" outlineLevel="0" collapsed="false">
      <c r="A396" s="8" t="s">
        <v>377</v>
      </c>
      <c r="C396" s="29" t="n">
        <v>10000</v>
      </c>
      <c r="D396" s="29" t="n">
        <v>10000</v>
      </c>
      <c r="E396" s="29" t="n">
        <v>10000</v>
      </c>
      <c r="F396" s="29" t="n">
        <v>10000</v>
      </c>
      <c r="G396" s="29" t="n">
        <v>10000</v>
      </c>
    </row>
    <row r="397" customFormat="false" ht="15" hidden="false" customHeight="false" outlineLevel="0" collapsed="false">
      <c r="A397" s="37" t="s">
        <v>378</v>
      </c>
      <c r="C397" s="30" t="n">
        <f aca="false">CHOOSE($E$4,C393,C394,C395,C396)</f>
        <v>10000</v>
      </c>
      <c r="D397" s="30" t="n">
        <f aca="false">CHOOSE($E$4,D393,D394,D395,D396)</f>
        <v>10000</v>
      </c>
      <c r="E397" s="30" t="n">
        <f aca="false">CHOOSE($E$4,E393,E394,E395,E396)</f>
        <v>10000</v>
      </c>
      <c r="F397" s="30" t="n">
        <f aca="false">CHOOSE($E$4,F393,F394,F395,F396)</f>
        <v>10000</v>
      </c>
      <c r="G397" s="30" t="n">
        <f aca="false">CHOOSE($E$4,G393,G394,G395,G396)</f>
        <v>10000</v>
      </c>
    </row>
    <row r="398" customFormat="false" ht="15" hidden="false" customHeight="false" outlineLevel="0" collapsed="false">
      <c r="A398" s="10" t="s">
        <v>433</v>
      </c>
      <c r="B398" s="8" t="s">
        <v>10</v>
      </c>
      <c r="H398" s="8" t="s">
        <v>434</v>
      </c>
    </row>
    <row r="399" customFormat="false" ht="15" hidden="false" customHeight="false" outlineLevel="0" collapsed="false">
      <c r="A399" s="8" t="s">
        <v>374</v>
      </c>
      <c r="C399" s="29" t="n">
        <v>12000</v>
      </c>
      <c r="D399" s="29" t="n">
        <v>12000</v>
      </c>
      <c r="E399" s="29" t="n">
        <v>12000</v>
      </c>
      <c r="F399" s="29" t="n">
        <v>12000</v>
      </c>
      <c r="G399" s="29" t="n">
        <v>12000</v>
      </c>
    </row>
    <row r="400" customFormat="false" ht="15" hidden="false" customHeight="false" outlineLevel="0" collapsed="false">
      <c r="A400" s="8" t="s">
        <v>375</v>
      </c>
      <c r="C400" s="29" t="n">
        <v>12000</v>
      </c>
      <c r="D400" s="29" t="n">
        <v>12000</v>
      </c>
      <c r="E400" s="29" t="n">
        <v>12000</v>
      </c>
      <c r="F400" s="29" t="n">
        <v>0</v>
      </c>
      <c r="G400" s="29" t="n">
        <v>0</v>
      </c>
    </row>
    <row r="401" customFormat="false" ht="15" hidden="false" customHeight="false" outlineLevel="0" collapsed="false">
      <c r="A401" s="8" t="s">
        <v>376</v>
      </c>
      <c r="C401" s="29" t="n">
        <v>12000</v>
      </c>
      <c r="D401" s="29" t="n">
        <v>12000</v>
      </c>
      <c r="E401" s="29" t="n">
        <v>0</v>
      </c>
      <c r="F401" s="29" t="n">
        <v>0</v>
      </c>
      <c r="G401" s="29" t="n">
        <v>0</v>
      </c>
    </row>
    <row r="402" customFormat="false" ht="15" hidden="false" customHeight="false" outlineLevel="0" collapsed="false">
      <c r="A402" s="8" t="s">
        <v>377</v>
      </c>
      <c r="C402" s="29" t="n">
        <v>12000</v>
      </c>
      <c r="D402" s="29" t="n">
        <v>12000</v>
      </c>
      <c r="E402" s="29" t="n">
        <v>12000</v>
      </c>
      <c r="F402" s="29" t="n">
        <v>12000</v>
      </c>
      <c r="G402" s="29" t="n">
        <v>12000</v>
      </c>
    </row>
    <row r="403" customFormat="false" ht="15" hidden="false" customHeight="false" outlineLevel="0" collapsed="false">
      <c r="A403" s="37" t="s">
        <v>378</v>
      </c>
      <c r="C403" s="30" t="n">
        <f aca="false">CHOOSE($E$4,C399,C400,C401,C402)</f>
        <v>12000</v>
      </c>
      <c r="D403" s="30" t="n">
        <f aca="false">CHOOSE($E$4,D399,D400,D401,D402)</f>
        <v>12000</v>
      </c>
      <c r="E403" s="30" t="n">
        <f aca="false">CHOOSE($E$4,E399,E400,E401,E402)</f>
        <v>12000</v>
      </c>
      <c r="F403" s="30" t="n">
        <f aca="false">CHOOSE($E$4,F399,F400,F401,F402)</f>
        <v>0</v>
      </c>
      <c r="G403" s="30" t="n">
        <f aca="false">CHOOSE($E$4,G399,G400,G401,G402)</f>
        <v>0</v>
      </c>
    </row>
    <row r="404" customFormat="false" ht="15" hidden="false" customHeight="false" outlineLevel="0" collapsed="false">
      <c r="A404" s="10" t="s">
        <v>435</v>
      </c>
      <c r="B404" s="8" t="s">
        <v>10</v>
      </c>
      <c r="H404" s="8" t="s">
        <v>436</v>
      </c>
    </row>
    <row r="405" customFormat="false" ht="15" hidden="false" customHeight="false" outlineLevel="0" collapsed="false">
      <c r="A405" s="8" t="s">
        <v>374</v>
      </c>
      <c r="C405" s="29" t="n">
        <v>30000</v>
      </c>
      <c r="D405" s="29" t="n">
        <v>32000</v>
      </c>
      <c r="E405" s="29" t="n">
        <v>36000</v>
      </c>
      <c r="F405" s="29" t="n">
        <v>40000</v>
      </c>
      <c r="G405" s="29" t="n">
        <v>44000</v>
      </c>
    </row>
    <row r="406" customFormat="false" ht="15" hidden="false" customHeight="false" outlineLevel="0" collapsed="false">
      <c r="A406" s="8" t="s">
        <v>375</v>
      </c>
      <c r="C406" s="29" t="n">
        <v>30000</v>
      </c>
      <c r="D406" s="29" t="n">
        <v>40000</v>
      </c>
      <c r="E406" s="29" t="n">
        <v>55000</v>
      </c>
      <c r="F406" s="29" t="n">
        <v>70000</v>
      </c>
      <c r="G406" s="29" t="n">
        <v>85000</v>
      </c>
    </row>
    <row r="407" customFormat="false" ht="15" hidden="false" customHeight="false" outlineLevel="0" collapsed="false">
      <c r="A407" s="8" t="s">
        <v>376</v>
      </c>
      <c r="C407" s="29" t="n">
        <v>32000</v>
      </c>
      <c r="D407" s="29" t="n">
        <v>50000</v>
      </c>
      <c r="E407" s="29" t="n">
        <v>70000</v>
      </c>
      <c r="F407" s="29" t="n">
        <v>90000</v>
      </c>
      <c r="G407" s="29" t="n">
        <v>110000</v>
      </c>
    </row>
    <row r="408" customFormat="false" ht="15" hidden="false" customHeight="false" outlineLevel="0" collapsed="false">
      <c r="A408" s="8" t="s">
        <v>377</v>
      </c>
      <c r="C408" s="29" t="n">
        <v>30000</v>
      </c>
      <c r="D408" s="29" t="n">
        <v>35000</v>
      </c>
      <c r="E408" s="29" t="n">
        <v>45000</v>
      </c>
      <c r="F408" s="29" t="n">
        <v>50000</v>
      </c>
      <c r="G408" s="29" t="n">
        <v>55000</v>
      </c>
    </row>
    <row r="409" customFormat="false" ht="15" hidden="false" customHeight="false" outlineLevel="0" collapsed="false">
      <c r="A409" s="37" t="s">
        <v>378</v>
      </c>
      <c r="C409" s="30" t="n">
        <f aca="false">CHOOSE($E$4,C405,C406,C407,C408)</f>
        <v>30000</v>
      </c>
      <c r="D409" s="30" t="n">
        <f aca="false">CHOOSE($E$4,D405,D406,D407,D408)</f>
        <v>40000</v>
      </c>
      <c r="E409" s="30" t="n">
        <f aca="false">CHOOSE($E$4,E405,E406,E407,E408)</f>
        <v>55000</v>
      </c>
      <c r="F409" s="30" t="n">
        <f aca="false">CHOOSE($E$4,F405,F406,F407,F408)</f>
        <v>70000</v>
      </c>
      <c r="G409" s="30" t="n">
        <f aca="false">CHOOSE($E$4,G405,G406,G407,G408)</f>
        <v>85000</v>
      </c>
    </row>
    <row r="410" customFormat="false" ht="15" hidden="false" customHeight="false" outlineLevel="0" collapsed="false">
      <c r="A410" s="10" t="s">
        <v>437</v>
      </c>
      <c r="B410" s="8" t="s">
        <v>10</v>
      </c>
      <c r="H410" s="8" t="s">
        <v>438</v>
      </c>
    </row>
    <row r="411" customFormat="false" ht="15" hidden="false" customHeight="false" outlineLevel="0" collapsed="false">
      <c r="A411" s="8" t="s">
        <v>374</v>
      </c>
      <c r="C411" s="29" t="n">
        <v>15000</v>
      </c>
      <c r="D411" s="29" t="n">
        <v>12000</v>
      </c>
      <c r="E411" s="29" t="n">
        <v>12000</v>
      </c>
      <c r="F411" s="29" t="n">
        <v>15000</v>
      </c>
      <c r="G411" s="29" t="n">
        <v>15000</v>
      </c>
    </row>
    <row r="412" customFormat="false" ht="15" hidden="false" customHeight="false" outlineLevel="0" collapsed="false">
      <c r="A412" s="8" t="s">
        <v>375</v>
      </c>
      <c r="C412" s="29" t="n">
        <v>15000</v>
      </c>
      <c r="D412" s="29" t="n">
        <v>15000</v>
      </c>
      <c r="E412" s="29" t="n">
        <v>35000</v>
      </c>
      <c r="F412" s="29" t="n">
        <v>20000</v>
      </c>
      <c r="G412" s="29" t="n">
        <v>20000</v>
      </c>
    </row>
    <row r="413" customFormat="false" ht="15" hidden="false" customHeight="false" outlineLevel="0" collapsed="false">
      <c r="A413" s="8" t="s">
        <v>376</v>
      </c>
      <c r="C413" s="29" t="n">
        <v>15000</v>
      </c>
      <c r="D413" s="29" t="n">
        <v>35000</v>
      </c>
      <c r="E413" s="29" t="n">
        <v>20000</v>
      </c>
      <c r="F413" s="29" t="n">
        <v>20000</v>
      </c>
      <c r="G413" s="29" t="n">
        <v>25000</v>
      </c>
    </row>
    <row r="414" customFormat="false" ht="15" hidden="false" customHeight="false" outlineLevel="0" collapsed="false">
      <c r="A414" s="8" t="s">
        <v>377</v>
      </c>
      <c r="C414" s="29" t="n">
        <v>15000</v>
      </c>
      <c r="D414" s="29" t="n">
        <v>15000</v>
      </c>
      <c r="E414" s="29" t="n">
        <v>35000</v>
      </c>
      <c r="F414" s="29" t="n">
        <v>20000</v>
      </c>
      <c r="G414" s="29" t="n">
        <v>20000</v>
      </c>
    </row>
    <row r="415" customFormat="false" ht="15" hidden="false" customHeight="false" outlineLevel="0" collapsed="false">
      <c r="A415" s="37" t="s">
        <v>378</v>
      </c>
      <c r="C415" s="30" t="n">
        <f aca="false">CHOOSE($E$4,C411,C412,C413,C414)</f>
        <v>15000</v>
      </c>
      <c r="D415" s="30" t="n">
        <f aca="false">CHOOSE($E$4,D411,D412,D413,D414)</f>
        <v>15000</v>
      </c>
      <c r="E415" s="30" t="n">
        <f aca="false">CHOOSE($E$4,E411,E412,E413,E414)</f>
        <v>35000</v>
      </c>
      <c r="F415" s="30" t="n">
        <f aca="false">CHOOSE($E$4,F411,F412,F413,F414)</f>
        <v>20000</v>
      </c>
      <c r="G415" s="30" t="n">
        <f aca="false">CHOOSE($E$4,G411,G412,G413,G414)</f>
        <v>20000</v>
      </c>
    </row>
    <row r="416" customFormat="false" ht="15" hidden="false" customHeight="false" outlineLevel="0" collapsed="false">
      <c r="A416" s="10" t="s">
        <v>439</v>
      </c>
      <c r="B416" s="8" t="s">
        <v>10</v>
      </c>
      <c r="H416" s="8" t="s">
        <v>89</v>
      </c>
    </row>
    <row r="417" customFormat="false" ht="15" hidden="false" customHeight="false" outlineLevel="0" collapsed="false">
      <c r="A417" s="8" t="s">
        <v>374</v>
      </c>
      <c r="C417" s="29" t="n">
        <v>10000</v>
      </c>
      <c r="D417" s="29" t="n">
        <v>10000</v>
      </c>
      <c r="E417" s="29" t="n">
        <v>11000</v>
      </c>
      <c r="F417" s="29" t="n">
        <v>12000</v>
      </c>
      <c r="G417" s="29" t="n">
        <v>12000</v>
      </c>
    </row>
    <row r="418" customFormat="false" ht="15" hidden="false" customHeight="false" outlineLevel="0" collapsed="false">
      <c r="A418" s="8" t="s">
        <v>375</v>
      </c>
      <c r="C418" s="29" t="n">
        <v>10000</v>
      </c>
      <c r="D418" s="29" t="n">
        <v>12000</v>
      </c>
      <c r="E418" s="29" t="n">
        <v>15000</v>
      </c>
      <c r="F418" s="29" t="n">
        <v>18000</v>
      </c>
      <c r="G418" s="29" t="n">
        <v>20000</v>
      </c>
    </row>
    <row r="419" customFormat="false" ht="15" hidden="false" customHeight="false" outlineLevel="0" collapsed="false">
      <c r="A419" s="8" t="s">
        <v>376</v>
      </c>
      <c r="C419" s="29" t="n">
        <v>10000</v>
      </c>
      <c r="D419" s="29" t="n">
        <v>14000</v>
      </c>
      <c r="E419" s="29" t="n">
        <v>18000</v>
      </c>
      <c r="F419" s="29" t="n">
        <v>22000</v>
      </c>
      <c r="G419" s="29" t="n">
        <v>26000</v>
      </c>
    </row>
    <row r="420" customFormat="false" ht="15" hidden="false" customHeight="false" outlineLevel="0" collapsed="false">
      <c r="A420" s="8" t="s">
        <v>377</v>
      </c>
      <c r="C420" s="29" t="n">
        <v>10000</v>
      </c>
      <c r="D420" s="29" t="n">
        <v>12000</v>
      </c>
      <c r="E420" s="29" t="n">
        <v>15000</v>
      </c>
      <c r="F420" s="29" t="n">
        <v>18000</v>
      </c>
      <c r="G420" s="29" t="n">
        <v>20000</v>
      </c>
    </row>
    <row r="421" customFormat="false" ht="15" hidden="false" customHeight="false" outlineLevel="0" collapsed="false">
      <c r="A421" s="37" t="s">
        <v>378</v>
      </c>
      <c r="C421" s="30" t="n">
        <f aca="false">CHOOSE($E$4,C417,C418,C419,C420)</f>
        <v>10000</v>
      </c>
      <c r="D421" s="30" t="n">
        <f aca="false">CHOOSE($E$4,D417,D418,D419,D420)</f>
        <v>12000</v>
      </c>
      <c r="E421" s="30" t="n">
        <f aca="false">CHOOSE($E$4,E417,E418,E419,E420)</f>
        <v>15000</v>
      </c>
      <c r="F421" s="30" t="n">
        <f aca="false">CHOOSE($E$4,F417,F418,F419,F420)</f>
        <v>18000</v>
      </c>
      <c r="G421" s="30" t="n">
        <f aca="false">CHOOSE($E$4,G417,G418,G419,G420)</f>
        <v>20000</v>
      </c>
    </row>
    <row r="422" customFormat="false" ht="15" hidden="false" customHeight="false" outlineLevel="0" collapsed="false">
      <c r="A422" s="10" t="s">
        <v>440</v>
      </c>
      <c r="B422" s="8" t="s">
        <v>10</v>
      </c>
      <c r="H422" s="8" t="s">
        <v>441</v>
      </c>
    </row>
    <row r="423" customFormat="false" ht="15" hidden="false" customHeight="false" outlineLevel="0" collapsed="false">
      <c r="A423" s="8" t="s">
        <v>374</v>
      </c>
      <c r="C423" s="29" t="n">
        <v>30000</v>
      </c>
      <c r="D423" s="29" t="n">
        <v>30000</v>
      </c>
      <c r="E423" s="29" t="n">
        <v>35000</v>
      </c>
      <c r="F423" s="29" t="n">
        <v>40000</v>
      </c>
      <c r="G423" s="29" t="n">
        <v>45000</v>
      </c>
    </row>
    <row r="424" customFormat="false" ht="15" hidden="false" customHeight="false" outlineLevel="0" collapsed="false">
      <c r="A424" s="8" t="s">
        <v>375</v>
      </c>
      <c r="C424" s="29" t="n">
        <v>40000</v>
      </c>
      <c r="D424" s="29" t="n">
        <v>50000</v>
      </c>
      <c r="E424" s="29" t="n">
        <v>70000</v>
      </c>
      <c r="F424" s="29" t="n">
        <v>90000</v>
      </c>
      <c r="G424" s="29" t="n">
        <v>110000</v>
      </c>
    </row>
    <row r="425" customFormat="false" ht="15" hidden="false" customHeight="false" outlineLevel="0" collapsed="false">
      <c r="A425" s="8" t="s">
        <v>376</v>
      </c>
      <c r="C425" s="29" t="n">
        <v>50000</v>
      </c>
      <c r="D425" s="29" t="n">
        <v>70000</v>
      </c>
      <c r="E425" s="29" t="n">
        <v>100000</v>
      </c>
      <c r="F425" s="29" t="n">
        <v>130000</v>
      </c>
      <c r="G425" s="29" t="n">
        <v>160000</v>
      </c>
    </row>
    <row r="426" customFormat="false" ht="15" hidden="false" customHeight="false" outlineLevel="0" collapsed="false">
      <c r="A426" s="8" t="s">
        <v>377</v>
      </c>
      <c r="C426" s="29" t="n">
        <v>30000</v>
      </c>
      <c r="D426" s="29" t="n">
        <v>35000</v>
      </c>
      <c r="E426" s="29" t="n">
        <v>45000</v>
      </c>
      <c r="F426" s="29" t="n">
        <v>50000</v>
      </c>
      <c r="G426" s="29" t="n">
        <v>55000</v>
      </c>
    </row>
    <row r="427" customFormat="false" ht="15" hidden="false" customHeight="false" outlineLevel="0" collapsed="false">
      <c r="A427" s="37" t="s">
        <v>378</v>
      </c>
      <c r="C427" s="30" t="n">
        <f aca="false">CHOOSE($E$4,C423,C424,C425,C426)</f>
        <v>40000</v>
      </c>
      <c r="D427" s="30" t="n">
        <f aca="false">CHOOSE($E$4,D423,D424,D425,D426)</f>
        <v>50000</v>
      </c>
      <c r="E427" s="30" t="n">
        <f aca="false">CHOOSE($E$4,E423,E424,E425,E426)</f>
        <v>70000</v>
      </c>
      <c r="F427" s="30" t="n">
        <f aca="false">CHOOSE($E$4,F423,F424,F425,F426)</f>
        <v>90000</v>
      </c>
      <c r="G427" s="30" t="n">
        <f aca="false">CHOOSE($E$4,G423,G424,G425,G426)</f>
        <v>110000</v>
      </c>
    </row>
    <row r="428" customFormat="false" ht="15" hidden="false" customHeight="false" outlineLevel="0" collapsed="false">
      <c r="A428" s="10" t="s">
        <v>442</v>
      </c>
      <c r="B428" s="8" t="s">
        <v>10</v>
      </c>
      <c r="H428" s="8" t="s">
        <v>443</v>
      </c>
    </row>
    <row r="429" customFormat="false" ht="15" hidden="false" customHeight="false" outlineLevel="0" collapsed="false">
      <c r="A429" s="8" t="s">
        <v>374</v>
      </c>
      <c r="C429" s="29" t="n">
        <v>12000</v>
      </c>
      <c r="D429" s="29" t="n">
        <v>12000</v>
      </c>
      <c r="E429" s="29" t="n">
        <v>12000</v>
      </c>
      <c r="F429" s="29" t="n">
        <v>15000</v>
      </c>
      <c r="G429" s="29" t="n">
        <v>15000</v>
      </c>
    </row>
    <row r="430" customFormat="false" ht="15" hidden="false" customHeight="false" outlineLevel="0" collapsed="false">
      <c r="A430" s="8" t="s">
        <v>375</v>
      </c>
      <c r="C430" s="29" t="n">
        <v>12000</v>
      </c>
      <c r="D430" s="29" t="n">
        <v>15000</v>
      </c>
      <c r="E430" s="29" t="n">
        <v>24000</v>
      </c>
      <c r="F430" s="29" t="n">
        <v>30000</v>
      </c>
      <c r="G430" s="29" t="n">
        <v>36000</v>
      </c>
    </row>
    <row r="431" customFormat="false" ht="15" hidden="false" customHeight="false" outlineLevel="0" collapsed="false">
      <c r="A431" s="8" t="s">
        <v>376</v>
      </c>
      <c r="C431" s="29" t="n">
        <v>12000</v>
      </c>
      <c r="D431" s="29" t="n">
        <v>20000</v>
      </c>
      <c r="E431" s="29" t="n">
        <v>30000</v>
      </c>
      <c r="F431" s="29" t="n">
        <v>40000</v>
      </c>
      <c r="G431" s="29" t="n">
        <v>48000</v>
      </c>
    </row>
    <row r="432" customFormat="false" ht="15" hidden="false" customHeight="false" outlineLevel="0" collapsed="false">
      <c r="A432" s="8" t="s">
        <v>377</v>
      </c>
      <c r="C432" s="29" t="n">
        <v>6000</v>
      </c>
      <c r="D432" s="29" t="n">
        <v>8000</v>
      </c>
      <c r="E432" s="29" t="n">
        <v>12000</v>
      </c>
      <c r="F432" s="29" t="n">
        <v>15000</v>
      </c>
      <c r="G432" s="29" t="n">
        <v>18000</v>
      </c>
    </row>
    <row r="433" customFormat="false" ht="15" hidden="false" customHeight="false" outlineLevel="0" collapsed="false">
      <c r="A433" s="37" t="s">
        <v>378</v>
      </c>
      <c r="C433" s="30" t="n">
        <f aca="false">CHOOSE($E$4,C429,C430,C431,C432)</f>
        <v>12000</v>
      </c>
      <c r="D433" s="30" t="n">
        <f aca="false">CHOOSE($E$4,D429,D430,D431,D432)</f>
        <v>15000</v>
      </c>
      <c r="E433" s="30" t="n">
        <f aca="false">CHOOSE($E$4,E429,E430,E431,E432)</f>
        <v>24000</v>
      </c>
      <c r="F433" s="30" t="n">
        <f aca="false">CHOOSE($E$4,F429,F430,F431,F432)</f>
        <v>30000</v>
      </c>
      <c r="G433" s="30" t="n">
        <f aca="false">CHOOSE($E$4,G429,G430,G431,G432)</f>
        <v>36000</v>
      </c>
    </row>
    <row r="434" customFormat="false" ht="15" hidden="false" customHeight="false" outlineLevel="0" collapsed="false">
      <c r="A434" s="10" t="s">
        <v>444</v>
      </c>
      <c r="B434" s="8" t="s">
        <v>10</v>
      </c>
      <c r="H434" s="8" t="s">
        <v>89</v>
      </c>
    </row>
    <row r="435" customFormat="false" ht="15" hidden="false" customHeight="false" outlineLevel="0" collapsed="false">
      <c r="A435" s="8" t="s">
        <v>374</v>
      </c>
      <c r="C435" s="29" t="n">
        <v>15000</v>
      </c>
      <c r="D435" s="29" t="n">
        <v>15000</v>
      </c>
      <c r="E435" s="29" t="n">
        <v>18000</v>
      </c>
      <c r="F435" s="29" t="n">
        <v>20000</v>
      </c>
      <c r="G435" s="29" t="n">
        <v>22000</v>
      </c>
    </row>
    <row r="436" customFormat="false" ht="15" hidden="false" customHeight="false" outlineLevel="0" collapsed="false">
      <c r="A436" s="8" t="s">
        <v>375</v>
      </c>
      <c r="C436" s="29" t="n">
        <v>18000</v>
      </c>
      <c r="D436" s="29" t="n">
        <v>22000</v>
      </c>
      <c r="E436" s="29" t="n">
        <v>30000</v>
      </c>
      <c r="F436" s="29" t="n">
        <v>38000</v>
      </c>
      <c r="G436" s="29" t="n">
        <v>45000</v>
      </c>
    </row>
    <row r="437" customFormat="false" ht="15" hidden="false" customHeight="false" outlineLevel="0" collapsed="false">
      <c r="A437" s="8" t="s">
        <v>376</v>
      </c>
      <c r="C437" s="29" t="n">
        <v>20000</v>
      </c>
      <c r="D437" s="29" t="n">
        <v>28000</v>
      </c>
      <c r="E437" s="29" t="n">
        <v>38000</v>
      </c>
      <c r="F437" s="29" t="n">
        <v>48000</v>
      </c>
      <c r="G437" s="29" t="n">
        <v>58000</v>
      </c>
    </row>
    <row r="438" customFormat="false" ht="15" hidden="false" customHeight="false" outlineLevel="0" collapsed="false">
      <c r="A438" s="8" t="s">
        <v>377</v>
      </c>
      <c r="C438" s="29" t="n">
        <v>15000</v>
      </c>
      <c r="D438" s="29" t="n">
        <v>20000</v>
      </c>
      <c r="E438" s="29" t="n">
        <v>28000</v>
      </c>
      <c r="F438" s="29" t="n">
        <v>32000</v>
      </c>
      <c r="G438" s="29" t="n">
        <v>36000</v>
      </c>
    </row>
    <row r="439" customFormat="false" ht="15" hidden="false" customHeight="false" outlineLevel="0" collapsed="false">
      <c r="A439" s="37" t="s">
        <v>378</v>
      </c>
      <c r="C439" s="30" t="n">
        <f aca="false">CHOOSE($E$4,C435,C436,C437,C438)</f>
        <v>18000</v>
      </c>
      <c r="D439" s="30" t="n">
        <f aca="false">CHOOSE($E$4,D435,D436,D437,D438)</f>
        <v>22000</v>
      </c>
      <c r="E439" s="30" t="n">
        <f aca="false">CHOOSE($E$4,E435,E436,E437,E438)</f>
        <v>30000</v>
      </c>
      <c r="F439" s="30" t="n">
        <f aca="false">CHOOSE($E$4,F435,F436,F437,F438)</f>
        <v>38000</v>
      </c>
      <c r="G439" s="30" t="n">
        <f aca="false">CHOOSE($E$4,G435,G436,G437,G438)</f>
        <v>45000</v>
      </c>
    </row>
    <row r="440" customFormat="false" ht="15" hidden="false" customHeight="false" outlineLevel="0" collapsed="false">
      <c r="A440" s="10" t="s">
        <v>445</v>
      </c>
      <c r="B440" s="8" t="s">
        <v>10</v>
      </c>
      <c r="H440" s="8" t="s">
        <v>89</v>
      </c>
    </row>
    <row r="441" customFormat="false" ht="15" hidden="false" customHeight="false" outlineLevel="0" collapsed="false">
      <c r="A441" s="8" t="s">
        <v>374</v>
      </c>
      <c r="C441" s="29" t="n">
        <v>4000</v>
      </c>
      <c r="D441" s="29" t="n">
        <v>4000</v>
      </c>
      <c r="E441" s="29" t="n">
        <v>5000</v>
      </c>
      <c r="F441" s="29" t="n">
        <v>6000</v>
      </c>
      <c r="G441" s="29" t="n">
        <v>6000</v>
      </c>
    </row>
    <row r="442" customFormat="false" ht="15" hidden="false" customHeight="false" outlineLevel="0" collapsed="false">
      <c r="A442" s="8" t="s">
        <v>375</v>
      </c>
      <c r="C442" s="29" t="n">
        <v>5000</v>
      </c>
      <c r="D442" s="29" t="n">
        <v>8000</v>
      </c>
      <c r="E442" s="29" t="n">
        <v>12000</v>
      </c>
      <c r="F442" s="29" t="n">
        <v>15000</v>
      </c>
      <c r="G442" s="29" t="n">
        <v>15000</v>
      </c>
    </row>
    <row r="443" customFormat="false" ht="15" hidden="false" customHeight="false" outlineLevel="0" collapsed="false">
      <c r="A443" s="8" t="s">
        <v>376</v>
      </c>
      <c r="C443" s="29" t="n">
        <v>6000</v>
      </c>
      <c r="D443" s="29" t="n">
        <v>12000</v>
      </c>
      <c r="E443" s="29" t="n">
        <v>16000</v>
      </c>
      <c r="F443" s="29" t="n">
        <v>20000</v>
      </c>
      <c r="G443" s="29" t="n">
        <v>24000</v>
      </c>
    </row>
    <row r="444" customFormat="false" ht="15" hidden="false" customHeight="false" outlineLevel="0" collapsed="false">
      <c r="A444" s="8" t="s">
        <v>377</v>
      </c>
      <c r="C444" s="29" t="n">
        <v>4000</v>
      </c>
      <c r="D444" s="29" t="n">
        <v>6000</v>
      </c>
      <c r="E444" s="29" t="n">
        <v>8000</v>
      </c>
      <c r="F444" s="29" t="n">
        <v>8000</v>
      </c>
      <c r="G444" s="29" t="n">
        <v>8000</v>
      </c>
    </row>
    <row r="445" customFormat="false" ht="15" hidden="false" customHeight="false" outlineLevel="0" collapsed="false">
      <c r="A445" s="37" t="s">
        <v>378</v>
      </c>
      <c r="C445" s="30" t="n">
        <f aca="false">CHOOSE($E$4,C441,C442,C443,C444)</f>
        <v>5000</v>
      </c>
      <c r="D445" s="30" t="n">
        <f aca="false">CHOOSE($E$4,D441,D442,D443,D444)</f>
        <v>8000</v>
      </c>
      <c r="E445" s="30" t="n">
        <f aca="false">CHOOSE($E$4,E441,E442,E443,E444)</f>
        <v>12000</v>
      </c>
      <c r="F445" s="30" t="n">
        <f aca="false">CHOOSE($E$4,F441,F442,F443,F444)</f>
        <v>15000</v>
      </c>
      <c r="G445" s="30" t="n">
        <f aca="false">CHOOSE($E$4,G441,G442,G443,G444)</f>
        <v>15000</v>
      </c>
    </row>
    <row r="447" customFormat="false" ht="15" hidden="false" customHeight="false" outlineLevel="0" collapsed="false">
      <c r="A447" s="3" t="s">
        <v>446</v>
      </c>
      <c r="B447" s="4"/>
      <c r="C447" s="4"/>
      <c r="D447" s="4"/>
      <c r="E447" s="4"/>
      <c r="F447" s="4"/>
      <c r="G447" s="4"/>
      <c r="H447" s="4"/>
    </row>
    <row r="448" customFormat="false" ht="15" hidden="false" customHeight="false" outlineLevel="0" collapsed="false">
      <c r="A448" s="5" t="s">
        <v>54</v>
      </c>
      <c r="B448" s="5" t="s">
        <v>4</v>
      </c>
      <c r="C448" s="6" t="s">
        <v>366</v>
      </c>
      <c r="D448" s="6" t="s">
        <v>367</v>
      </c>
      <c r="E448" s="6" t="s">
        <v>368</v>
      </c>
      <c r="F448" s="6" t="s">
        <v>369</v>
      </c>
      <c r="G448" s="6" t="s">
        <v>370</v>
      </c>
      <c r="H448" s="6" t="s">
        <v>56</v>
      </c>
    </row>
    <row r="449" customFormat="false" ht="15" hidden="false" customHeight="false" outlineLevel="0" collapsed="false">
      <c r="A449" s="7" t="s">
        <v>447</v>
      </c>
      <c r="B449" s="8" t="s">
        <v>10</v>
      </c>
      <c r="C449" s="29" t="n">
        <v>15000</v>
      </c>
      <c r="D449" s="29" t="n">
        <v>30000</v>
      </c>
      <c r="E449" s="29" t="n">
        <v>30000</v>
      </c>
      <c r="F449" s="29" t="n">
        <v>30000</v>
      </c>
      <c r="G449" s="29" t="n">
        <v>30000</v>
      </c>
      <c r="H449" s="8" t="s">
        <v>448</v>
      </c>
    </row>
    <row r="450" customFormat="false" ht="15" hidden="false" customHeight="false" outlineLevel="0" collapsed="false">
      <c r="A450" s="7" t="s">
        <v>449</v>
      </c>
      <c r="B450" s="8" t="s">
        <v>71</v>
      </c>
      <c r="C450" s="22" t="n">
        <v>0.18</v>
      </c>
      <c r="D450" s="22" t="n">
        <v>0.17</v>
      </c>
      <c r="E450" s="22" t="n">
        <v>0.17</v>
      </c>
      <c r="F450" s="22" t="n">
        <v>0.17</v>
      </c>
      <c r="G450" s="22" t="n">
        <v>0.17</v>
      </c>
      <c r="H450" s="8" t="s">
        <v>450</v>
      </c>
    </row>
  </sheetData>
  <dataValidations count="1">
    <dataValidation allowBlank="false" errorStyle="stop" operator="between" showDropDown="false" showErrorMessage="false" showInputMessage="false" sqref="C4" type="list">
      <formula1>"Pessimista,Base,Otimista,Recomendado"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9"/>
    <col collapsed="false" customWidth="true" hidden="false" outlineLevel="0" max="10" min="3" style="0" width="13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451</v>
      </c>
    </row>
    <row r="2" customFormat="false" ht="15" hidden="false" customHeight="false" outlineLevel="0" collapsed="false">
      <c r="A2" s="2" t="s">
        <v>452</v>
      </c>
    </row>
    <row r="3" customFormat="false" ht="15" hidden="false" customHeight="false" outlineLevel="0" collapsed="false">
      <c r="A3" s="10" t="s">
        <v>340</v>
      </c>
      <c r="C3" s="40" t="n">
        <f aca="false">Pressupostos!$C$187</f>
        <v>2029</v>
      </c>
      <c r="D3" s="18" t="n">
        <f aca="false">C3-2026</f>
        <v>3</v>
      </c>
      <c r="E3" s="2" t="s">
        <v>453</v>
      </c>
    </row>
    <row r="5" customFormat="false" ht="15" hidden="false" customHeight="false" outlineLevel="0" collapsed="false">
      <c r="A5" s="10" t="s">
        <v>454</v>
      </c>
    </row>
    <row r="6" customFormat="false" ht="15" hidden="false" customHeight="false" outlineLevel="0" collapsed="false">
      <c r="A6" s="3" t="s">
        <v>455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23.85" hidden="false" customHeight="false" outlineLevel="0" collapsed="false">
      <c r="A7" s="5" t="s">
        <v>456</v>
      </c>
      <c r="B7" s="5" t="s">
        <v>4</v>
      </c>
      <c r="C7" s="6" t="s">
        <v>457</v>
      </c>
      <c r="D7" s="6" t="s">
        <v>458</v>
      </c>
      <c r="E7" s="6" t="s">
        <v>459</v>
      </c>
      <c r="F7" s="6" t="s">
        <v>460</v>
      </c>
      <c r="G7" s="6" t="s">
        <v>461</v>
      </c>
      <c r="H7" s="6" t="s">
        <v>462</v>
      </c>
      <c r="I7" s="6" t="s">
        <v>463</v>
      </c>
      <c r="J7" s="6" t="s">
        <v>464</v>
      </c>
      <c r="K7" s="6" t="s">
        <v>465</v>
      </c>
    </row>
    <row r="8" customFormat="false" ht="15" hidden="false" customHeight="false" outlineLevel="0" collapsed="false">
      <c r="A8" s="7" t="s">
        <v>144</v>
      </c>
      <c r="B8" s="8" t="s">
        <v>466</v>
      </c>
      <c r="C8" s="30" t="n">
        <f aca="false">Pressupostos!$C$39*1000</f>
        <v>20000</v>
      </c>
      <c r="E8" s="30" t="n">
        <f aca="false">Pressupostos!$C$39*1000</f>
        <v>20000</v>
      </c>
      <c r="G8" s="30" t="n">
        <f aca="false">Pressupostos!$C$39*1000</f>
        <v>20000</v>
      </c>
      <c r="I8" s="30" t="n">
        <f aca="false">Pressupostos!$C$39*1000</f>
        <v>20000</v>
      </c>
    </row>
    <row r="9" customFormat="false" ht="15" hidden="false" customHeight="false" outlineLevel="0" collapsed="false">
      <c r="A9" s="7" t="s">
        <v>467</v>
      </c>
      <c r="B9" s="8" t="s">
        <v>10</v>
      </c>
      <c r="C9" s="30" t="n">
        <f aca="false">D9*$C$8</f>
        <v>108000</v>
      </c>
      <c r="D9" s="34" t="n">
        <f aca="false">INDEX(Motor!$C$28:$G$28,1,$D$3)</f>
        <v>5.4</v>
      </c>
      <c r="E9" s="30" t="n">
        <f aca="false">F9*$E$8</f>
        <v>113000</v>
      </c>
      <c r="F9" s="34" t="n">
        <f aca="false">INDEX(Motor!$C$338:$G$338,1,$D$3)</f>
        <v>5.65</v>
      </c>
      <c r="G9" s="30" t="n">
        <f aca="false">H9*$G$8</f>
        <v>120000</v>
      </c>
      <c r="H9" s="34" t="n">
        <f aca="false">INDEX(Motor!$C$648:$G$648,1,$D$3)</f>
        <v>6</v>
      </c>
      <c r="I9" s="30" t="n">
        <f aca="false">J9*$I$8</f>
        <v>120000</v>
      </c>
      <c r="J9" s="34" t="n">
        <f aca="false">INDEX(Motor!$C$958:$G$958,1,$D$3)</f>
        <v>6</v>
      </c>
    </row>
    <row r="10" customFormat="false" ht="15" hidden="false" customHeight="false" outlineLevel="0" collapsed="false">
      <c r="A10" s="7" t="s">
        <v>84</v>
      </c>
      <c r="B10" s="8" t="s">
        <v>10</v>
      </c>
      <c r="C10" s="30" t="n">
        <f aca="false">D10*$C$8</f>
        <v>-10800</v>
      </c>
      <c r="D10" s="34" t="n">
        <f aca="false">-(INDEX(Motor!$C$28:$G$28,1,$D$3)-INDEX(Motor!$C$29:$G$29,1,$D$3))</f>
        <v>-0.54</v>
      </c>
      <c r="E10" s="30" t="n">
        <f aca="false">F10*$E$8</f>
        <v>-11300</v>
      </c>
      <c r="F10" s="34" t="n">
        <f aca="false">-(INDEX(Motor!$C$338:$G$338,1,$D$3)-INDEX(Motor!$C$339:$G$339,1,$D$3))</f>
        <v>-0.565</v>
      </c>
      <c r="G10" s="30" t="n">
        <f aca="false">H10*$G$8</f>
        <v>-12000</v>
      </c>
      <c r="H10" s="34" t="n">
        <f aca="false">-(INDEX(Motor!$C$648:$G$648,1,$D$3)-INDEX(Motor!$C$649:$G$649,1,$D$3))</f>
        <v>-0.6</v>
      </c>
      <c r="I10" s="30" t="n">
        <f aca="false">J10*$I$8</f>
        <v>-12000</v>
      </c>
      <c r="J10" s="34" t="n">
        <f aca="false">-(INDEX(Motor!$C$958:$G$958,1,$D$3)-INDEX(Motor!$C$959:$G$959,1,$D$3))</f>
        <v>-0.6</v>
      </c>
    </row>
    <row r="11" customFormat="false" ht="15" hidden="false" customHeight="false" outlineLevel="0" collapsed="false">
      <c r="A11" s="10" t="s">
        <v>468</v>
      </c>
      <c r="B11" s="8" t="s">
        <v>10</v>
      </c>
      <c r="C11" s="41" t="n">
        <f aca="false">D11*$C$8</f>
        <v>97200</v>
      </c>
      <c r="D11" s="42" t="n">
        <f aca="false">INDEX(Motor!$C$29:$G$29,1,$D$3)</f>
        <v>4.86</v>
      </c>
      <c r="E11" s="41" t="n">
        <f aca="false">F11*$E$8</f>
        <v>101700</v>
      </c>
      <c r="F11" s="42" t="n">
        <f aca="false">INDEX(Motor!$C$339:$G$339,1,$D$3)</f>
        <v>5.085</v>
      </c>
      <c r="G11" s="41" t="n">
        <f aca="false">H11*$G$8</f>
        <v>108000</v>
      </c>
      <c r="H11" s="42" t="n">
        <f aca="false">INDEX(Motor!$C$649:$G$649,1,$D$3)</f>
        <v>5.4</v>
      </c>
      <c r="I11" s="41" t="n">
        <f aca="false">J11*$I$8</f>
        <v>108000</v>
      </c>
      <c r="J11" s="42" t="n">
        <f aca="false">INDEX(Motor!$C$959:$G$959,1,$D$3)</f>
        <v>5.4</v>
      </c>
    </row>
    <row r="12" customFormat="false" ht="15" hidden="false" customHeight="false" outlineLevel="0" collapsed="false">
      <c r="A12" s="7" t="s">
        <v>469</v>
      </c>
      <c r="B12" s="8" t="s">
        <v>10</v>
      </c>
      <c r="C12" s="30" t="n">
        <f aca="false">D12*$C$8</f>
        <v>-73000</v>
      </c>
      <c r="D12" s="34" t="n">
        <f aca="false">-INDEX(Motor!$C$27:$G$27,1,$D$3)</f>
        <v>-3.65</v>
      </c>
      <c r="E12" s="30" t="n">
        <f aca="false">F12*$E$8</f>
        <v>-72000</v>
      </c>
      <c r="F12" s="34" t="n">
        <f aca="false">-INDEX(Motor!$C$337:$G$337,1,$D$3)</f>
        <v>-3.6</v>
      </c>
      <c r="G12" s="30" t="n">
        <f aca="false">H12*$G$8</f>
        <v>-71000</v>
      </c>
      <c r="H12" s="34" t="n">
        <f aca="false">-INDEX(Motor!$C$647:$G$647,1,$D$3)</f>
        <v>-3.55</v>
      </c>
      <c r="I12" s="30" t="n">
        <f aca="false">J12*$I$8</f>
        <v>-73000</v>
      </c>
      <c r="J12" s="34" t="n">
        <f aca="false">-INDEX(Motor!$C$957:$G$957,1,$D$3)</f>
        <v>-3.65</v>
      </c>
    </row>
    <row r="13" customFormat="false" ht="15" hidden="false" customHeight="false" outlineLevel="0" collapsed="false">
      <c r="A13" s="7" t="s">
        <v>470</v>
      </c>
      <c r="B13" s="8" t="s">
        <v>10</v>
      </c>
      <c r="C13" s="30" t="n">
        <f aca="false">D13*$C$8</f>
        <v>-11000</v>
      </c>
      <c r="D13" s="34" t="n">
        <f aca="false">-INDEX(Motor!$C$30:$G$30,1,$D$3)</f>
        <v>-0.55</v>
      </c>
      <c r="E13" s="30" t="n">
        <f aca="false">F13*$E$8</f>
        <v>-11000</v>
      </c>
      <c r="F13" s="34" t="n">
        <f aca="false">-INDEX(Motor!$C$340:$G$340,1,$D$3)</f>
        <v>-0.55</v>
      </c>
      <c r="G13" s="30" t="n">
        <f aca="false">H13*$G$8</f>
        <v>-11000</v>
      </c>
      <c r="H13" s="34" t="n">
        <f aca="false">-INDEX(Motor!$C$650:$G$650,1,$D$3)</f>
        <v>-0.55</v>
      </c>
      <c r="I13" s="30" t="n">
        <f aca="false">J13*$I$8</f>
        <v>-11000</v>
      </c>
      <c r="J13" s="34" t="n">
        <f aca="false">-INDEX(Motor!$C$960:$G$960,1,$D$3)</f>
        <v>-0.55</v>
      </c>
    </row>
    <row r="14" customFormat="false" ht="15" hidden="false" customHeight="false" outlineLevel="0" collapsed="false">
      <c r="A14" s="7" t="s">
        <v>205</v>
      </c>
      <c r="B14" s="8" t="s">
        <v>10</v>
      </c>
      <c r="C14" s="30" t="n">
        <f aca="false">D14*$C$8</f>
        <v>-6200</v>
      </c>
      <c r="D14" s="34" t="n">
        <f aca="false">-INDEX(Motor!$C$31:$G$31,1,$D$3)</f>
        <v>-0.31</v>
      </c>
      <c r="E14" s="30" t="n">
        <f aca="false">F14*$E$8</f>
        <v>-5600</v>
      </c>
      <c r="F14" s="34" t="n">
        <f aca="false">-INDEX(Motor!$C$341:$G$341,1,$D$3)</f>
        <v>-0.28</v>
      </c>
      <c r="G14" s="30" t="n">
        <f aca="false">H14*$G$8</f>
        <v>-5200</v>
      </c>
      <c r="H14" s="34" t="n">
        <f aca="false">-INDEX(Motor!$C$651:$G$651,1,$D$3)</f>
        <v>-0.26</v>
      </c>
      <c r="I14" s="30" t="n">
        <f aca="false">J14*$I$8</f>
        <v>-5600</v>
      </c>
      <c r="J14" s="34" t="n">
        <f aca="false">-INDEX(Motor!$C$961:$G$961,1,$D$3)</f>
        <v>-0.28</v>
      </c>
    </row>
    <row r="15" customFormat="false" ht="15" hidden="false" customHeight="false" outlineLevel="0" collapsed="false">
      <c r="A15" s="7" t="s">
        <v>109</v>
      </c>
      <c r="B15" s="8" t="s">
        <v>10</v>
      </c>
      <c r="C15" s="30" t="n">
        <f aca="false">D15*$C$8</f>
        <v>-1200</v>
      </c>
      <c r="D15" s="34" t="n">
        <f aca="false">-INDEX(Motor!$C$32:$G$32,1,$D$3)</f>
        <v>-0.06</v>
      </c>
      <c r="E15" s="30" t="n">
        <f aca="false">F15*$E$8</f>
        <v>-1200</v>
      </c>
      <c r="F15" s="34" t="n">
        <f aca="false">-INDEX(Motor!$C$342:$G$342,1,$D$3)</f>
        <v>-0.06</v>
      </c>
      <c r="G15" s="30" t="n">
        <f aca="false">H15*$G$8</f>
        <v>-1200</v>
      </c>
      <c r="H15" s="34" t="n">
        <f aca="false">-INDEX(Motor!$C$652:$G$652,1,$D$3)</f>
        <v>-0.06</v>
      </c>
      <c r="I15" s="30" t="n">
        <f aca="false">J15*$I$8</f>
        <v>-1200</v>
      </c>
      <c r="J15" s="34" t="n">
        <f aca="false">-INDEX(Motor!$C$962:$G$962,1,$D$3)</f>
        <v>-0.06</v>
      </c>
    </row>
    <row r="16" customFormat="false" ht="15" hidden="false" customHeight="false" outlineLevel="0" collapsed="false">
      <c r="A16" s="7" t="s">
        <v>471</v>
      </c>
      <c r="B16" s="8" t="s">
        <v>10</v>
      </c>
      <c r="C16" s="30" t="n">
        <f aca="false">D16*$C$8</f>
        <v>-480</v>
      </c>
      <c r="D16" s="34" t="n">
        <f aca="false">-INDEX(Motor!$C$35:$G$35,1,$D$3)</f>
        <v>-0.024</v>
      </c>
      <c r="E16" s="30" t="n">
        <f aca="false">F16*$E$8</f>
        <v>-120</v>
      </c>
      <c r="F16" s="34" t="n">
        <f aca="false">-INDEX(Motor!$C$345:$G$345,1,$D$3)</f>
        <v>-0.006</v>
      </c>
      <c r="G16" s="30" t="n">
        <f aca="false">H16*$G$8</f>
        <v>-120</v>
      </c>
      <c r="H16" s="34" t="n">
        <f aca="false">-INDEX(Motor!$C$655:$G$655,1,$D$3)</f>
        <v>-0.006</v>
      </c>
      <c r="I16" s="30" t="n">
        <f aca="false">J16*$I$8</f>
        <v>-120</v>
      </c>
      <c r="J16" s="34" t="n">
        <f aca="false">-INDEX(Motor!$C$965:$G$965,1,$D$3)</f>
        <v>-0.006</v>
      </c>
    </row>
    <row r="17" customFormat="false" ht="15" hidden="false" customHeight="false" outlineLevel="0" collapsed="false">
      <c r="A17" s="7" t="s">
        <v>154</v>
      </c>
      <c r="B17" s="8" t="s">
        <v>10</v>
      </c>
      <c r="C17" s="30" t="n">
        <f aca="false">D17*$C$8</f>
        <v>-72</v>
      </c>
      <c r="D17" s="34" t="n">
        <f aca="false">-INDEX(Motor!$C$36:$G$36,1,$D$3)</f>
        <v>-0.0036</v>
      </c>
      <c r="E17" s="30" t="n">
        <f aca="false">F17*$E$8</f>
        <v>-17.7534246575342</v>
      </c>
      <c r="F17" s="34" t="n">
        <f aca="false">-INDEX(Motor!$C$346:$G$346,1,$D$3)</f>
        <v>-0.000887671232876712</v>
      </c>
      <c r="G17" s="30" t="n">
        <f aca="false">H17*$G$8</f>
        <v>-17.5068493150685</v>
      </c>
      <c r="H17" s="34" t="n">
        <f aca="false">-INDEX(Motor!$C$656:$G$656,1,$D$3)</f>
        <v>-0.000875342465753425</v>
      </c>
      <c r="I17" s="30" t="n">
        <f aca="false">J17*$I$8</f>
        <v>-18</v>
      </c>
      <c r="J17" s="34" t="n">
        <f aca="false">-INDEX(Motor!$C$966:$G$966,1,$D$3)</f>
        <v>-0.0009</v>
      </c>
    </row>
    <row r="18" customFormat="false" ht="15" hidden="false" customHeight="false" outlineLevel="0" collapsed="false">
      <c r="A18" s="7" t="s">
        <v>472</v>
      </c>
      <c r="B18" s="8" t="s">
        <v>10</v>
      </c>
      <c r="C18" s="30" t="n">
        <f aca="false">D18*$C$8</f>
        <v>-600</v>
      </c>
      <c r="D18" s="34" t="n">
        <f aca="false">-INDEX(Motor!$C$37:$G$37,1,$D$3)</f>
        <v>-0.03</v>
      </c>
      <c r="E18" s="30" t="n">
        <f aca="false">F18*$E$8</f>
        <v>-600</v>
      </c>
      <c r="F18" s="34" t="n">
        <f aca="false">-INDEX(Motor!$C$347:$G$347,1,$D$3)</f>
        <v>-0.03</v>
      </c>
      <c r="G18" s="30" t="n">
        <f aca="false">H18*$G$8</f>
        <v>-600</v>
      </c>
      <c r="H18" s="34" t="n">
        <f aca="false">-INDEX(Motor!$C$657:$G$657,1,$D$3)</f>
        <v>-0.03</v>
      </c>
      <c r="I18" s="30" t="n">
        <f aca="false">J18*$I$8</f>
        <v>-600</v>
      </c>
      <c r="J18" s="34" t="n">
        <f aca="false">-INDEX(Motor!$C$967:$G$967,1,$D$3)</f>
        <v>-0.03</v>
      </c>
    </row>
    <row r="19" customFormat="false" ht="15" hidden="false" customHeight="false" outlineLevel="0" collapsed="false">
      <c r="A19" s="7" t="s">
        <v>473</v>
      </c>
      <c r="B19" s="8" t="s">
        <v>10</v>
      </c>
      <c r="C19" s="30" t="n">
        <f aca="false">D19*$C$8</f>
        <v>-365</v>
      </c>
      <c r="D19" s="34" t="n">
        <f aca="false">-INDEX(Motor!$C$38:$G$38,1,$D$3)</f>
        <v>-0.01825</v>
      </c>
      <c r="E19" s="30" t="n">
        <f aca="false">F19*$E$8</f>
        <v>-360</v>
      </c>
      <c r="F19" s="34" t="n">
        <f aca="false">-INDEX(Motor!$C$348:$G$348,1,$D$3)</f>
        <v>-0.018</v>
      </c>
      <c r="G19" s="30" t="n">
        <f aca="false">H19*$G$8</f>
        <v>-355</v>
      </c>
      <c r="H19" s="34" t="n">
        <f aca="false">-INDEX(Motor!$C$658:$G$658,1,$D$3)</f>
        <v>-0.01775</v>
      </c>
      <c r="I19" s="30" t="n">
        <f aca="false">J19*$I$8</f>
        <v>-365</v>
      </c>
      <c r="J19" s="34" t="n">
        <f aca="false">-INDEX(Motor!$C$968:$G$968,1,$D$3)</f>
        <v>-0.01825</v>
      </c>
    </row>
    <row r="20" customFormat="false" ht="15" hidden="false" customHeight="false" outlineLevel="0" collapsed="false">
      <c r="A20" s="7" t="s">
        <v>474</v>
      </c>
      <c r="B20" s="8" t="s">
        <v>10</v>
      </c>
      <c r="C20" s="30" t="n">
        <f aca="false">D20*$C$8</f>
        <v>-360</v>
      </c>
      <c r="D20" s="34" t="n">
        <f aca="false">-INDEX(Motor!$C$39:$G$39,1,$D$3)</f>
        <v>-0.018</v>
      </c>
      <c r="E20" s="30" t="n">
        <f aca="false">F20*$E$8</f>
        <v>-90</v>
      </c>
      <c r="F20" s="34" t="n">
        <f aca="false">-INDEX(Motor!$C$349:$G$349,1,$D$3)</f>
        <v>-0.0045</v>
      </c>
      <c r="G20" s="30" t="n">
        <f aca="false">H20*$G$8</f>
        <v>-90</v>
      </c>
      <c r="H20" s="34" t="n">
        <f aca="false">-INDEX(Motor!$C$659:$G$659,1,$D$3)</f>
        <v>-0.0045</v>
      </c>
      <c r="I20" s="30" t="n">
        <f aca="false">J20*$I$8</f>
        <v>-90</v>
      </c>
      <c r="J20" s="34" t="n">
        <f aca="false">-INDEX(Motor!$C$969:$G$969,1,$D$3)</f>
        <v>-0.0045</v>
      </c>
    </row>
    <row r="21" customFormat="false" ht="15" hidden="false" customHeight="false" outlineLevel="0" collapsed="false">
      <c r="A21" s="7" t="s">
        <v>475</v>
      </c>
      <c r="B21" s="8" t="s">
        <v>10</v>
      </c>
      <c r="C21" s="30" t="n">
        <f aca="false">D21*$C$8</f>
        <v>-2000</v>
      </c>
      <c r="D21" s="34" t="n">
        <f aca="false">-INDEX(Motor!$C$40:$G$40,1,$D$3)</f>
        <v>-0.1</v>
      </c>
      <c r="E21" s="30" t="n">
        <f aca="false">F21*$E$8</f>
        <v>-2000</v>
      </c>
      <c r="F21" s="34" t="n">
        <f aca="false">-INDEX(Motor!$C$350:$G$350,1,$D$3)</f>
        <v>-0.1</v>
      </c>
      <c r="G21" s="30" t="n">
        <f aca="false">H21*$G$8</f>
        <v>-2000</v>
      </c>
      <c r="H21" s="34" t="n">
        <f aca="false">-INDEX(Motor!$C$660:$G$660,1,$D$3)</f>
        <v>-0.1</v>
      </c>
      <c r="I21" s="30" t="n">
        <f aca="false">J21*$I$8</f>
        <v>-2000</v>
      </c>
      <c r="J21" s="34" t="n">
        <f aca="false">-INDEX(Motor!$C$970:$G$970,1,$D$3)</f>
        <v>-0.1</v>
      </c>
    </row>
    <row r="22" customFormat="false" ht="15" hidden="false" customHeight="false" outlineLevel="0" collapsed="false">
      <c r="A22" s="7" t="s">
        <v>476</v>
      </c>
      <c r="B22" s="8" t="s">
        <v>10</v>
      </c>
      <c r="C22" s="30" t="n">
        <f aca="false">D22*$C$8</f>
        <v>-200</v>
      </c>
      <c r="D22" s="34" t="n">
        <f aca="false">-INDEX(Motor!$C$41:$G$41,1,$D$3)</f>
        <v>-0.01</v>
      </c>
      <c r="E22" s="30" t="n">
        <f aca="false">F22*$E$8</f>
        <v>-200</v>
      </c>
      <c r="F22" s="34" t="n">
        <f aca="false">-INDEX(Motor!$C$351:$G$351,1,$D$3)</f>
        <v>-0.01</v>
      </c>
      <c r="G22" s="30" t="n">
        <f aca="false">H22*$G$8</f>
        <v>-200</v>
      </c>
      <c r="H22" s="34" t="n">
        <f aca="false">-INDEX(Motor!$C$661:$G$661,1,$D$3)</f>
        <v>-0.01</v>
      </c>
      <c r="I22" s="30" t="n">
        <f aca="false">J22*$I$8</f>
        <v>-200</v>
      </c>
      <c r="J22" s="34" t="n">
        <f aca="false">-INDEX(Motor!$C$971:$G$971,1,$D$3)</f>
        <v>-0.01</v>
      </c>
    </row>
    <row r="23" customFormat="false" ht="15" hidden="false" customHeight="false" outlineLevel="0" collapsed="false">
      <c r="A23" s="7" t="s">
        <v>76</v>
      </c>
      <c r="B23" s="8" t="s">
        <v>10</v>
      </c>
      <c r="C23" s="30" t="n">
        <f aca="false">D23*$C$8</f>
        <v>-777.6</v>
      </c>
      <c r="D23" s="34" t="n">
        <f aca="false">-INDEX(Motor!$C$42:$G$42,1,$D$3)</f>
        <v>-0.03888</v>
      </c>
      <c r="E23" s="30" t="n">
        <f aca="false">F23*$E$8</f>
        <v>-610.2</v>
      </c>
      <c r="F23" s="34" t="n">
        <f aca="false">-INDEX(Motor!$C$352:$G$352,1,$D$3)</f>
        <v>-0.03051</v>
      </c>
      <c r="G23" s="30" t="n">
        <f aca="false">H23*$G$8</f>
        <v>-540</v>
      </c>
      <c r="H23" s="34" t="n">
        <f aca="false">-INDEX(Motor!$C$662:$G$662,1,$D$3)</f>
        <v>-0.027</v>
      </c>
      <c r="I23" s="30" t="n">
        <f aca="false">J23*$I$8</f>
        <v>-648</v>
      </c>
      <c r="J23" s="34" t="n">
        <f aca="false">-INDEX(Motor!$C$972:$G$972,1,$D$3)</f>
        <v>-0.0324</v>
      </c>
    </row>
    <row r="24" customFormat="false" ht="15" hidden="false" customHeight="false" outlineLevel="0" collapsed="false">
      <c r="A24" s="7" t="s">
        <v>477</v>
      </c>
      <c r="B24" s="8" t="s">
        <v>10</v>
      </c>
      <c r="C24" s="30" t="n">
        <f aca="false">D24*$C$8</f>
        <v>-0</v>
      </c>
      <c r="D24" s="34" t="n">
        <f aca="false">-INDEX(Motor!$C$43:$G$43,1,$D$3)</f>
        <v>-0</v>
      </c>
      <c r="E24" s="30" t="n">
        <f aca="false">F24*$E$8</f>
        <v>-0</v>
      </c>
      <c r="F24" s="34" t="n">
        <f aca="false">-INDEX(Motor!$C$353:$G$353,1,$D$3)</f>
        <v>-0</v>
      </c>
      <c r="G24" s="30" t="n">
        <f aca="false">H24*$G$8</f>
        <v>-0</v>
      </c>
      <c r="H24" s="34" t="n">
        <f aca="false">-INDEX(Motor!$C$663:$G$663,1,$D$3)</f>
        <v>-0</v>
      </c>
      <c r="I24" s="30" t="n">
        <f aca="false">J24*$I$8</f>
        <v>-0</v>
      </c>
      <c r="J24" s="34" t="n">
        <f aca="false">-INDEX(Motor!$C$973:$G$973,1,$D$3)</f>
        <v>-0</v>
      </c>
    </row>
    <row r="25" customFormat="false" ht="15" hidden="false" customHeight="false" outlineLevel="0" collapsed="false">
      <c r="A25" s="7" t="s">
        <v>478</v>
      </c>
      <c r="B25" s="8" t="s">
        <v>10</v>
      </c>
      <c r="C25" s="30" t="n">
        <f aca="false">D25*$C$8</f>
        <v>-4904.38356164384</v>
      </c>
      <c r="D25" s="34" t="n">
        <f aca="false">-INDEX(Motor!$C$44:$G$44,1,$D$3)</f>
        <v>-0.245219178082192</v>
      </c>
      <c r="E25" s="30" t="n">
        <f aca="false">F25*$E$8</f>
        <v>-959.332191780822</v>
      </c>
      <c r="F25" s="34" t="n">
        <f aca="false">-INDEX(Motor!$C$354:$G$354,1,$D$3)</f>
        <v>-0.0479666095890411</v>
      </c>
      <c r="G25" s="30" t="n">
        <f aca="false">H25*$G$8</f>
        <v>-749.298952457695</v>
      </c>
      <c r="H25" s="34" t="n">
        <f aca="false">-INDEX(Motor!$C$664:$G$664,1,$D$3)</f>
        <v>-0.0374649476228848</v>
      </c>
      <c r="I25" s="30" t="n">
        <f aca="false">J25*$I$8</f>
        <v>-970.890410958904</v>
      </c>
      <c r="J25" s="34" t="n">
        <f aca="false">-INDEX(Motor!$C$974:$G$974,1,$D$3)</f>
        <v>-0.0485445205479452</v>
      </c>
    </row>
    <row r="26" customFormat="false" ht="15" hidden="false" customHeight="false" outlineLevel="0" collapsed="false">
      <c r="A26" s="10" t="s">
        <v>479</v>
      </c>
      <c r="B26" s="8" t="s">
        <v>10</v>
      </c>
      <c r="C26" s="41" t="n">
        <f aca="false">D26*$C$8</f>
        <v>-3958.98356164381</v>
      </c>
      <c r="D26" s="42" t="n">
        <f aca="false">INDEX(Motor!$C$46:$G$46,1,$D$3)</f>
        <v>-0.19794917808219</v>
      </c>
      <c r="E26" s="41" t="n">
        <f aca="false">F26*$E$8</f>
        <v>6942.71438356166</v>
      </c>
      <c r="F26" s="42" t="n">
        <f aca="false">INDEX(Motor!$C$356:$G$356,1,$D$3)</f>
        <v>0.347135719178083</v>
      </c>
      <c r="G26" s="41" t="n">
        <f aca="false">H26*$G$8</f>
        <v>14928.1941982273</v>
      </c>
      <c r="H26" s="42" t="n">
        <f aca="false">INDEX(Motor!$C$666:$G$666,1,$D$3)</f>
        <v>0.746409709911363</v>
      </c>
      <c r="I26" s="41" t="n">
        <f aca="false">J26*$I$8</f>
        <v>12188.1095890411</v>
      </c>
      <c r="J26" s="42" t="n">
        <f aca="false">INDEX(Motor!$C$976:$G$976,1,$D$3)</f>
        <v>0.609405479452056</v>
      </c>
    </row>
    <row r="27" customFormat="false" ht="15" hidden="false" customHeight="false" outlineLevel="0" collapsed="false">
      <c r="A27" s="7" t="s">
        <v>480</v>
      </c>
      <c r="B27" s="8" t="s">
        <v>71</v>
      </c>
      <c r="D27" s="23" t="n">
        <f aca="false">IF(D11&gt;0,D26/D11,0)</f>
        <v>-0.0407302835560062</v>
      </c>
      <c r="F27" s="23" t="n">
        <f aca="false">IF(F11&gt;0,F26/F11,0)</f>
        <v>0.0682666114411176</v>
      </c>
      <c r="H27" s="23" t="n">
        <f aca="false">IF(H11&gt;0,H26/H11,0)</f>
        <v>0.138224020353956</v>
      </c>
      <c r="J27" s="23" t="n">
        <f aca="false">IF(J11&gt;0,J26/J11,0)</f>
        <v>0.112852866565195</v>
      </c>
    </row>
    <row r="28" customFormat="false" ht="15" hidden="false" customHeight="false" outlineLevel="0" collapsed="false">
      <c r="A28" s="19" t="s">
        <v>481</v>
      </c>
    </row>
    <row r="29" customFormat="false" ht="15" hidden="false" customHeight="false" outlineLevel="0" collapsed="false">
      <c r="A29" s="7" t="s">
        <v>482</v>
      </c>
      <c r="B29" s="8" t="s">
        <v>10</v>
      </c>
      <c r="C29" s="30" t="n">
        <f aca="false">(INDEX(Motor!$C$27:$G$27,1,$D$3)+INDEX(Motor!$C$30:$G$30,1,$D$3))*$C$8</f>
        <v>84000</v>
      </c>
      <c r="E29" s="30" t="n">
        <f aca="false">(INDEX(Motor!$C$337:$G$337,1,$D$3)+INDEX(Motor!$C$340:$G$340,1,$D$3))*$E$8</f>
        <v>83000</v>
      </c>
      <c r="G29" s="30" t="n">
        <f aca="false">(INDEX(Motor!$C$647:$G$647,1,$D$3)+INDEX(Motor!$C$650:$G$650,1,$D$3))*$G$8</f>
        <v>82000</v>
      </c>
      <c r="I29" s="30" t="n">
        <f aca="false">(INDEX(Motor!$C$957:$G$957,1,$D$3)+INDEX(Motor!$C$960:$G$960,1,$D$3))*$I$8</f>
        <v>84000</v>
      </c>
    </row>
    <row r="30" customFormat="false" ht="15" hidden="false" customHeight="false" outlineLevel="0" collapsed="false">
      <c r="A30" s="7" t="s">
        <v>483</v>
      </c>
      <c r="B30" s="8" t="s">
        <v>74</v>
      </c>
      <c r="C30" s="25" t="n">
        <f aca="false">INDEX(Motor!$C$33:$G$33,1,$D$3)+INDEX(Motor!$C$34:$G$34,1,$D$3)-Pressupostos!$C$70</f>
        <v>195</v>
      </c>
      <c r="E30" s="25" t="n">
        <f aca="false">INDEX(Motor!$C$343:$G$343,1,$D$3)+INDEX(Motor!$C$344:$G$344,1,$D$3)-Pressupostos!$C$70</f>
        <v>50</v>
      </c>
      <c r="G30" s="25" t="n">
        <f aca="false">INDEX(Motor!$C$653:$G$653,1,$D$3)+INDEX(Motor!$C$654:$G$654,1,$D$3)-Pressupostos!$C$70</f>
        <v>45</v>
      </c>
      <c r="I30" s="25" t="n">
        <f aca="false">INDEX(Motor!$C$963:$G$963,1,$D$3)+INDEX(Motor!$C$964:$G$964,1,$D$3)-Pressupostos!$C$70</f>
        <v>50</v>
      </c>
    </row>
    <row r="31" customFormat="false" ht="15" hidden="false" customHeight="false" outlineLevel="0" collapsed="false">
      <c r="A31" s="7" t="s">
        <v>484</v>
      </c>
      <c r="B31" s="8" t="s">
        <v>71</v>
      </c>
      <c r="C31" s="23" t="n">
        <f aca="false">INDEX(Pressupostos!$C$276:$G$276,1,$D$3)</f>
        <v>0.85</v>
      </c>
      <c r="E31" s="23" t="n">
        <f aca="false">INDEX(Pressupostos!$C$277:$G$277,1,$D$3)</f>
        <v>0.9</v>
      </c>
      <c r="G31" s="23" t="n">
        <f aca="false">INDEX(Pressupostos!$C$278:$G$278,1,$D$3)</f>
        <v>0.9</v>
      </c>
      <c r="I31" s="23" t="n">
        <f aca="false">INDEX(Pressupostos!$C$279:$G$279,1,$D$3)</f>
        <v>0.9</v>
      </c>
    </row>
    <row r="32" customFormat="false" ht="15" hidden="false" customHeight="false" outlineLevel="0" collapsed="false">
      <c r="A32" s="7" t="s">
        <v>485</v>
      </c>
      <c r="B32" s="8" t="s">
        <v>10</v>
      </c>
      <c r="C32" s="30" t="n">
        <f aca="false">INDEX(Pressupostos!$C$276:$G$276,1,$D$3)*(INDEX(Motor!$C$27:$G$27,1,$D$3)+INDEX(Motor!$C$30:$G$30,1,$D$3))*$C$8/Pressupostos!$C$31</f>
        <v>102000</v>
      </c>
      <c r="E32" s="30" t="n">
        <f aca="false">INDEX(Pressupostos!$C$277:$G$277,1,$D$3)*(INDEX(Motor!$C$337:$G$337,1,$D$3)+INDEX(Motor!$C$340:$G$340,1,$D$3))*$E$8/Pressupostos!$D$31</f>
        <v>93375</v>
      </c>
      <c r="G32" s="30" t="n">
        <f aca="false">INDEX(Pressupostos!$C$278:$G$278,1,$D$3)*(INDEX(Motor!$C$647:$G$647,1,$D$3)+INDEX(Motor!$C$650:$G$650,1,$D$3))*$G$8/Pressupostos!$E$31</f>
        <v>86823.5294117647</v>
      </c>
      <c r="I32" s="30" t="n">
        <f aca="false">INDEX(Pressupostos!$C$279:$G$279,1,$D$3)*(INDEX(Motor!$C$957:$G$957,1,$D$3)+INDEX(Motor!$C$960:$G$960,1,$D$3))*$I$8/Pressupostos!$F$31</f>
        <v>94500</v>
      </c>
    </row>
    <row r="33" customFormat="false" ht="15" hidden="false" customHeight="false" outlineLevel="0" collapsed="false">
      <c r="A33" s="7" t="s">
        <v>486</v>
      </c>
      <c r="B33" s="8" t="s">
        <v>10</v>
      </c>
      <c r="C33" s="30" t="n">
        <f aca="false">(1-INDEX(Pressupostos!$C$276:$G$276,1,$D$3))*(INDEX(Motor!$C$27:$G$27,1,$D$3)+INDEX(Motor!$C$30:$G$30,1,$D$3))*$C$8</f>
        <v>12600</v>
      </c>
      <c r="E33" s="30" t="n">
        <f aca="false">(1-INDEX(Pressupostos!$C$277:$G$277,1,$D$3))*(INDEX(Motor!$C$337:$G$337,1,$D$3)+INDEX(Motor!$C$340:$G$340,1,$D$3))*$E$8</f>
        <v>8300</v>
      </c>
      <c r="G33" s="30" t="n">
        <f aca="false">(1-INDEX(Pressupostos!$C$278:$G$278,1,$D$3))*(INDEX(Motor!$C$647:$G$647,1,$D$3)+INDEX(Motor!$C$650:$G$650,1,$D$3))*$G$8</f>
        <v>8200</v>
      </c>
      <c r="I33" s="30" t="n">
        <f aca="false">(1-INDEX(Pressupostos!$C$279:$G$279,1,$D$3))*(INDEX(Motor!$C$957:$G$957,1,$D$3)+INDEX(Motor!$C$960:$G$960,1,$D$3))*$I$8</f>
        <v>8400</v>
      </c>
    </row>
    <row r="34" customFormat="false" ht="15" hidden="false" customHeight="false" outlineLevel="0" collapsed="false">
      <c r="A34" s="7" t="s">
        <v>487</v>
      </c>
      <c r="B34" s="8" t="s">
        <v>71</v>
      </c>
      <c r="C34" s="27" t="n">
        <f aca="false">INDEX(Pressupostos!$C$282:$G$282,1,$D$3)</f>
        <v>0.09</v>
      </c>
      <c r="E34" s="27" t="n">
        <f aca="false">INDEX(Pressupostos!$C$283:$G$283,1,$D$3)</f>
        <v>0.075</v>
      </c>
      <c r="G34" s="27" t="n">
        <f aca="false">INDEX(Pressupostos!$C$284:$G$284,1,$D$3)</f>
        <v>0.07</v>
      </c>
      <c r="I34" s="27" t="n">
        <f aca="false">INDEX(Pressupostos!$C$285:$G$285,1,$D$3)</f>
        <v>0.075</v>
      </c>
    </row>
    <row r="35" customFormat="false" ht="15" hidden="false" customHeight="false" outlineLevel="0" collapsed="false">
      <c r="A35" s="7" t="s">
        <v>488</v>
      </c>
      <c r="B35" s="8" t="s">
        <v>71</v>
      </c>
      <c r="C35" s="27" t="n">
        <f aca="false">INDEX(Pressupostos!$C$282:$G$282,1,$D$3)*(1-Pressupostos!$C$109)</f>
        <v>0.0648</v>
      </c>
      <c r="E35" s="27" t="n">
        <f aca="false">INDEX(Pressupostos!$C$283:$G$283,1,$D$3)*(1-Pressupostos!$C$109)</f>
        <v>0.054</v>
      </c>
      <c r="G35" s="27" t="n">
        <f aca="false">INDEX(Pressupostos!$C$284:$G$284,1,$D$3)*(1-Pressupostos!$C$109)</f>
        <v>0.0504</v>
      </c>
      <c r="I35" s="27" t="n">
        <f aca="false">INDEX(Pressupostos!$C$285:$G$285,1,$D$3)*(1-Pressupostos!$C$109)</f>
        <v>0.054</v>
      </c>
    </row>
    <row r="36" customFormat="false" ht="15" hidden="false" customHeight="false" outlineLevel="0" collapsed="false">
      <c r="A36" s="7" t="s">
        <v>489</v>
      </c>
      <c r="B36" s="8" t="s">
        <v>10</v>
      </c>
      <c r="C36" s="30" t="n">
        <f aca="false">INDEX(Motor!$C$44:$G$44,1,$D$3)*$C$8</f>
        <v>4904.38356164384</v>
      </c>
      <c r="E36" s="30" t="n">
        <f aca="false">INDEX(Motor!$C$354:$G$354,1,$D$3)*$E$8</f>
        <v>959.332191780822</v>
      </c>
      <c r="G36" s="30" t="n">
        <f aca="false">INDEX(Motor!$C$664:$G$664,1,$D$3)*$G$8</f>
        <v>749.298952457695</v>
      </c>
      <c r="I36" s="30" t="n">
        <f aca="false">INDEX(Motor!$C$974:$G$974,1,$D$3)*$I$8</f>
        <v>970.890410958904</v>
      </c>
    </row>
    <row r="37" customFormat="false" ht="15" hidden="false" customHeight="false" outlineLevel="0" collapsed="false">
      <c r="A37" s="7" t="s">
        <v>490</v>
      </c>
      <c r="B37" s="8" t="s">
        <v>71</v>
      </c>
      <c r="C37" s="27" t="n">
        <f aca="false">IF(INDEX(Pressupostos!$C$276:$G$276,1,$D$3)&gt;0,INDEX(Motor!$C$44:$G$44,1,$D$3)*$C$8/(INDEX(Pressupostos!$C$276:$G$276,1,$D$3)*(INDEX(Motor!$C$27:$G$27,1,$D$3)+INDEX(Motor!$C$30:$G$30,1,$D$3))*$C$8/Pressupostos!$C$31),0)</f>
        <v>0.0480821917808219</v>
      </c>
      <c r="E37" s="27" t="n">
        <f aca="false">IF(INDEX(Pressupostos!$C$277:$G$277,1,$D$3)&gt;0,INDEX(Motor!$C$354:$G$354,1,$D$3)*$E$8/(INDEX(Pressupostos!$C$277:$G$277,1,$D$3)*(INDEX(Motor!$C$337:$G$337,1,$D$3)+INDEX(Motor!$C$340:$G$340,1,$D$3))*$E$8/Pressupostos!$D$31),0)</f>
        <v>0.0102739726027397</v>
      </c>
      <c r="G37" s="27" t="n">
        <f aca="false">IF(INDEX(Pressupostos!$C$278:$G$278,1,$D$3)&gt;0,INDEX(Motor!$C$664:$G$664,1,$D$3)*$G$8/(INDEX(Pressupostos!$C$278:$G$278,1,$D$3)*(INDEX(Motor!$C$647:$G$647,1,$D$3)+INDEX(Motor!$C$650:$G$650,1,$D$3))*$G$8/Pressupostos!$E$31),0)</f>
        <v>0.00863013698630137</v>
      </c>
      <c r="I37" s="27" t="n">
        <f aca="false">IF(INDEX(Pressupostos!$C$279:$G$279,1,$D$3)&gt;0,INDEX(Motor!$C$974:$G$974,1,$D$3)*$I$8/(INDEX(Pressupostos!$C$279:$G$279,1,$D$3)*(INDEX(Motor!$C$957:$G$957,1,$D$3)+INDEX(Motor!$C$960:$G$960,1,$D$3))*$I$8/Pressupostos!$F$31),0)</f>
        <v>0.0102739726027397</v>
      </c>
    </row>
    <row r="38" customFormat="false" ht="15" hidden="false" customHeight="false" outlineLevel="0" collapsed="false">
      <c r="A38" s="7" t="s">
        <v>491</v>
      </c>
      <c r="B38" s="8" t="s">
        <v>10</v>
      </c>
      <c r="C38" s="30" t="n">
        <f aca="false">MAX(0,MIN(Pressupostos!$C$108*INDEX(Motor!$C$46:$G$46,1,$D$3)*$C$8,Pressupostos!$C$107*INDEX(Pressupostos!$C$276:$G$276,1,$D$3)*(INDEX(Motor!$C$27:$G$27,1,$D$3)+INDEX(Motor!$C$30:$G$30,1,$D$3))*$C$8/Pressupostos!$C$31))</f>
        <v>0</v>
      </c>
      <c r="E38" s="30" t="n">
        <f aca="false">MAX(0,MIN(Pressupostos!$C$108*INDEX(Motor!$C$356:$G$356,1,$D$3)*$E$8,Pressupostos!$C$107*INDEX(Pressupostos!$C$277:$G$277,1,$D$3)*(INDEX(Motor!$C$337:$G$337,1,$D$3)+INDEX(Motor!$C$340:$G$340,1,$D$3))*$E$8/Pressupostos!$D$31))</f>
        <v>2082.8143150685</v>
      </c>
      <c r="G38" s="30" t="n">
        <f aca="false">MAX(0,MIN(Pressupostos!$C$108*INDEX(Motor!$C$666:$G$666,1,$D$3)*$G$8,Pressupostos!$C$107*INDEX(Pressupostos!$C$278:$G$278,1,$D$3)*(INDEX(Motor!$C$647:$G$647,1,$D$3)+INDEX(Motor!$C$650:$G$650,1,$D$3))*$G$8/Pressupostos!$E$31))</f>
        <v>4341.17647058824</v>
      </c>
      <c r="I38" s="30" t="n">
        <f aca="false">MAX(0,MIN(Pressupostos!$C$108*INDEX(Motor!$C$976:$G$976,1,$D$3)*$I$8,Pressupostos!$C$107*INDEX(Pressupostos!$C$279:$G$279,1,$D$3)*(INDEX(Motor!$C$957:$G$957,1,$D$3)+INDEX(Motor!$C$960:$G$960,1,$D$3))*$I$8/Pressupostos!$F$31))</f>
        <v>3656.43287671233</v>
      </c>
    </row>
    <row r="39" customFormat="false" ht="15" hidden="false" customHeight="false" outlineLevel="0" collapsed="false">
      <c r="A39" s="7" t="s">
        <v>492</v>
      </c>
      <c r="B39" s="8" t="s">
        <v>10</v>
      </c>
      <c r="C39" s="30" t="n">
        <f aca="false">INDEX(Motor!$C$46:$G$46,1,$D$3)*$C$8-C38</f>
        <v>-3958.98356164381</v>
      </c>
      <c r="E39" s="30" t="n">
        <f aca="false">INDEX(Motor!$C$356:$G$356,1,$D$3)*$E$8-E38</f>
        <v>4859.90006849316</v>
      </c>
      <c r="G39" s="30" t="n">
        <f aca="false">INDEX(Motor!$C$666:$G$666,1,$D$3)*$G$8-G38</f>
        <v>10587.017727639</v>
      </c>
      <c r="I39" s="30" t="n">
        <f aca="false">INDEX(Motor!$C$976:$G$976,1,$D$3)*$I$8-I38</f>
        <v>8531.67671232878</v>
      </c>
    </row>
    <row r="40" customFormat="false" ht="15" hidden="false" customHeight="false" outlineLevel="0" collapsed="false">
      <c r="A40" s="7" t="s">
        <v>493</v>
      </c>
      <c r="B40" s="8" t="s">
        <v>10</v>
      </c>
      <c r="C40" s="30" t="n">
        <f aca="false">$C$8/(Pressupostos!$C$73*1000)*(Pressupostos!$C$119+12*Pressupostos!$C$120)</f>
        <v>1268.29268292683</v>
      </c>
      <c r="E40" s="30" t="n">
        <f aca="false">$E$8/(Pressupostos!$C$73*1000)*(Pressupostos!$C$119+12*Pressupostos!$C$120)</f>
        <v>1268.29268292683</v>
      </c>
      <c r="G40" s="30" t="n">
        <f aca="false">$G$8/(Pressupostos!$C$73*1000)*(Pressupostos!$C$119+12*Pressupostos!$C$120)</f>
        <v>1268.29268292683</v>
      </c>
      <c r="I40" s="30" t="n">
        <f aca="false">$I$8/(Pressupostos!$C$73*1000)*(Pressupostos!$C$119+12*Pressupostos!$C$120)</f>
        <v>1268.29268292683</v>
      </c>
    </row>
    <row r="41" customFormat="false" ht="15" hidden="false" customHeight="false" outlineLevel="0" collapsed="false">
      <c r="A41" s="7" t="s">
        <v>494</v>
      </c>
      <c r="B41" s="8" t="s">
        <v>10</v>
      </c>
      <c r="C41" s="30" t="n">
        <f aca="false">Pressupostos!$C$111*(1-INDEX(Pressupostos!$C$276:$G$276,1,$D$3))*(INDEX(Motor!$C$27:$G$27,1,$D$3)+INDEX(Motor!$C$30:$G$30,1,$D$3))*(INDEX(Motor!$C$33:$G$33,1,$D$3)+INDEX(Motor!$C$34:$G$34,1,$D$3)-Pressupostos!$C$70)/365*$C$8</f>
        <v>538.520547945206</v>
      </c>
      <c r="E41" s="30" t="n">
        <f aca="false">Pressupostos!$C$111*(1-INDEX(Pressupostos!$C$277:$G$277,1,$D$3))*(INDEX(Motor!$C$337:$G$337,1,$D$3)+INDEX(Motor!$C$340:$G$340,1,$D$3))*(INDEX(Motor!$C$343:$G$343,1,$D$3)+INDEX(Motor!$C$344:$G$344,1,$D$3)-Pressupostos!$C$70)/365*$E$8</f>
        <v>90.958904109589</v>
      </c>
      <c r="G41" s="30" t="n">
        <f aca="false">Pressupostos!$C$111*(1-INDEX(Pressupostos!$C$278:$G$278,1,$D$3))*(INDEX(Motor!$C$647:$G$647,1,$D$3)+INDEX(Motor!$C$650:$G$650,1,$D$3))*(INDEX(Motor!$C$653:$G$653,1,$D$3)+INDEX(Motor!$C$654:$G$654,1,$D$3)-Pressupostos!$C$70)/365*$G$8</f>
        <v>80.8767123287671</v>
      </c>
      <c r="I41" s="30" t="n">
        <f aca="false">Pressupostos!$C$111*(1-INDEX(Pressupostos!$C$279:$G$279,1,$D$3))*(INDEX(Motor!$C$957:$G$957,1,$D$3)+INDEX(Motor!$C$960:$G$960,1,$D$3))*(INDEX(Motor!$C$963:$G$963,1,$D$3)+INDEX(Motor!$C$964:$G$964,1,$D$3)-Pressupostos!$C$70)/365*$I$8</f>
        <v>92.0547945205479</v>
      </c>
    </row>
    <row r="43" customFormat="false" ht="15" hidden="false" customHeight="false" outlineLevel="0" collapsed="false">
      <c r="A43" s="3" t="s">
        <v>495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customFormat="false" ht="15" hidden="false" customHeight="false" outlineLevel="0" collapsed="false">
      <c r="A44" s="5" t="s">
        <v>456</v>
      </c>
      <c r="B44" s="5" t="s">
        <v>4</v>
      </c>
      <c r="C44" s="6" t="s">
        <v>5</v>
      </c>
      <c r="D44" s="6" t="s">
        <v>6</v>
      </c>
      <c r="E44" s="6" t="s">
        <v>7</v>
      </c>
      <c r="F44" s="6" t="s">
        <v>8</v>
      </c>
      <c r="G44" s="6"/>
      <c r="H44" s="6"/>
      <c r="I44" s="6"/>
      <c r="J44" s="6"/>
      <c r="K44" s="6" t="s">
        <v>465</v>
      </c>
    </row>
    <row r="45" customFormat="false" ht="15" hidden="false" customHeight="false" outlineLevel="0" collapsed="false">
      <c r="A45" s="7" t="s">
        <v>496</v>
      </c>
      <c r="B45" s="8" t="s">
        <v>59</v>
      </c>
      <c r="C45" s="34" t="n">
        <f aca="false">D9+D12+D13+D14</f>
        <v>0.89</v>
      </c>
      <c r="D45" s="34" t="n">
        <f aca="false">F9+F12+F13+F14</f>
        <v>1.22</v>
      </c>
      <c r="E45" s="34" t="n">
        <f aca="false">H9+H12+H13+H14</f>
        <v>1.64</v>
      </c>
      <c r="F45" s="34" t="n">
        <f aca="false">J9+J12+J13+J14</f>
        <v>1.52</v>
      </c>
    </row>
    <row r="46" customFormat="false" ht="15" hidden="false" customHeight="false" outlineLevel="0" collapsed="false">
      <c r="A46" s="7" t="s">
        <v>497</v>
      </c>
      <c r="B46" s="8" t="s">
        <v>498</v>
      </c>
      <c r="C46" s="23" t="n">
        <f aca="false">IF(C45&gt;0,-D10/C45,0)</f>
        <v>0.606741573033708</v>
      </c>
      <c r="D46" s="23" t="n">
        <f aca="false">IF(D45&gt;0,-F10/D45,0)</f>
        <v>0.46311475409836</v>
      </c>
      <c r="E46" s="23" t="n">
        <f aca="false">IF(E45&gt;0,-H10/E45,0)</f>
        <v>0.365853658536585</v>
      </c>
      <c r="F46" s="23" t="n">
        <f aca="false">IF(F45&gt;0,-J10/F45,0)</f>
        <v>0.394736842105263</v>
      </c>
    </row>
    <row r="47" customFormat="false" ht="15" hidden="false" customHeight="false" outlineLevel="0" collapsed="false">
      <c r="A47" s="7" t="s">
        <v>499</v>
      </c>
      <c r="B47" s="8" t="s">
        <v>498</v>
      </c>
      <c r="C47" s="23" t="n">
        <f aca="false">IF(C45&gt;0,-D25/C45,0)</f>
        <v>0.275527166384485</v>
      </c>
      <c r="D47" s="23" t="n">
        <f aca="false">IF(D45&gt;0,-F25/D45,0)</f>
        <v>0.0393168931057714</v>
      </c>
      <c r="E47" s="23" t="n">
        <f aca="false">IF(E45&gt;0,-H25/E45,0)</f>
        <v>0.0228444802578566</v>
      </c>
      <c r="F47" s="23" t="n">
        <f aca="false">IF(F45&gt;0,-J25/F45,0)</f>
        <v>0.0319371845710166</v>
      </c>
    </row>
    <row r="48" customFormat="false" ht="15" hidden="false" customHeight="false" outlineLevel="0" collapsed="false">
      <c r="A48" s="7" t="s">
        <v>500</v>
      </c>
      <c r="B48" s="8" t="s">
        <v>498</v>
      </c>
      <c r="C48" s="23" t="n">
        <f aca="false">IF(C45&gt;0,-(D15+D16+D17+D18+D19+D20+D21+D22+D23+D24)/C45,0)</f>
        <v>0.34014606741573</v>
      </c>
      <c r="D48" s="23" t="n">
        <f aca="false">IF(D45&gt;0,-(F15+F16+F17+F18+F19+F20+F21+F22+F23+F24)/D45,0)</f>
        <v>0.213030878059735</v>
      </c>
      <c r="E48" s="23" t="n">
        <f aca="false">IF(E45&gt;0,-(H15+H16+H17+H18+H19+H20+H21+H22+H23+H24)/E45,0)</f>
        <v>0.156173989308386</v>
      </c>
      <c r="F48" s="23" t="n">
        <f aca="false">IF(F45&gt;0,-(J15+J16+J17+J18+J19+J20+J21+J22+J23+J24)/F45,0)</f>
        <v>0.172401315789474</v>
      </c>
    </row>
    <row r="49" customFormat="false" ht="15" hidden="false" customHeight="false" outlineLevel="0" collapsed="false">
      <c r="A49" s="7" t="s">
        <v>501</v>
      </c>
      <c r="B49" s="8" t="s">
        <v>498</v>
      </c>
      <c r="C49" s="23" t="n">
        <f aca="false">IF(C45&gt;0,D26/C45,0)</f>
        <v>-0.222414806833922</v>
      </c>
      <c r="D49" s="23" t="n">
        <f aca="false">IF(D45&gt;0,F26/D45,0)</f>
        <v>0.284537474736134</v>
      </c>
      <c r="E49" s="23" t="n">
        <f aca="false">IF(E45&gt;0,H26/E45,0)</f>
        <v>0.455127871897172</v>
      </c>
      <c r="F49" s="23" t="n">
        <f aca="false">IF(F45&gt;0,J26/F45,0)</f>
        <v>0.400924657534247</v>
      </c>
    </row>
    <row r="51" customFormat="false" ht="15" hidden="false" customHeight="false" outlineLevel="0" collapsed="false">
      <c r="A51" s="3" t="s">
        <v>502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customFormat="false" ht="15" hidden="false" customHeight="false" outlineLevel="0" collapsed="false">
      <c r="A52" s="5" t="s">
        <v>456</v>
      </c>
      <c r="B52" s="5" t="s">
        <v>4</v>
      </c>
      <c r="C52" s="6" t="s">
        <v>5</v>
      </c>
      <c r="D52" s="6" t="s">
        <v>6</v>
      </c>
      <c r="E52" s="6" t="s">
        <v>7</v>
      </c>
      <c r="F52" s="6" t="s">
        <v>8</v>
      </c>
      <c r="G52" s="6"/>
      <c r="H52" s="6"/>
      <c r="I52" s="6"/>
      <c r="J52" s="6"/>
      <c r="K52" s="6" t="s">
        <v>465</v>
      </c>
    </row>
    <row r="53" customFormat="false" ht="15" hidden="false" customHeight="false" outlineLevel="0" collapsed="false">
      <c r="A53" s="7" t="s">
        <v>503</v>
      </c>
      <c r="B53" s="8" t="s">
        <v>59</v>
      </c>
      <c r="C53" s="43" t="n">
        <f aca="false">Pressupostos!$C$197</f>
        <v>0.297</v>
      </c>
      <c r="D53" s="43" t="n">
        <f aca="false">Pressupostos!$C$197</f>
        <v>0.297</v>
      </c>
      <c r="E53" s="43" t="n">
        <f aca="false">Pressupostos!$C$197</f>
        <v>0.297</v>
      </c>
      <c r="F53" s="43" t="n">
        <f aca="false">Pressupostos!$C$197</f>
        <v>0.297</v>
      </c>
    </row>
    <row r="54" customFormat="false" ht="15" hidden="false" customHeight="false" outlineLevel="0" collapsed="false">
      <c r="A54" s="7" t="s">
        <v>504</v>
      </c>
      <c r="B54" s="8" t="s">
        <v>59</v>
      </c>
      <c r="C54" s="34" t="n">
        <f aca="false">Pressupostos!$C$200*C53</f>
        <v>0.25245</v>
      </c>
      <c r="D54" s="34" t="n">
        <f aca="false">Pressupostos!$C$200*D53</f>
        <v>0.25245</v>
      </c>
      <c r="E54" s="34" t="n">
        <f aca="false">Pressupostos!$C$200*E53</f>
        <v>0.25245</v>
      </c>
      <c r="F54" s="34" t="n">
        <f aca="false">Pressupostos!$C$200*F53</f>
        <v>0.25245</v>
      </c>
    </row>
    <row r="55" customFormat="false" ht="15" hidden="false" customHeight="false" outlineLevel="0" collapsed="false">
      <c r="A55" s="7" t="s">
        <v>505</v>
      </c>
      <c r="B55" s="8" t="s">
        <v>59</v>
      </c>
      <c r="C55" s="34" t="n">
        <f aca="false">D10</f>
        <v>-0.54</v>
      </c>
      <c r="D55" s="34" t="n">
        <f aca="false">F10</f>
        <v>-0.565</v>
      </c>
      <c r="E55" s="34" t="n">
        <f aca="false">H10</f>
        <v>-0.6</v>
      </c>
      <c r="F55" s="34" t="n">
        <f aca="false">J10</f>
        <v>-0.6</v>
      </c>
    </row>
    <row r="56" customFormat="false" ht="15" hidden="false" customHeight="false" outlineLevel="0" collapsed="false">
      <c r="A56" s="7" t="s">
        <v>506</v>
      </c>
      <c r="B56" s="8" t="s">
        <v>59</v>
      </c>
      <c r="C56" s="34" t="n">
        <f aca="false">D25</f>
        <v>-0.245219178082192</v>
      </c>
      <c r="D56" s="34" t="n">
        <f aca="false">F25</f>
        <v>-0.0479666095890411</v>
      </c>
      <c r="E56" s="34" t="n">
        <f aca="false">H25</f>
        <v>-0.0374649476228848</v>
      </c>
      <c r="F56" s="34" t="n">
        <f aca="false">J25</f>
        <v>-0.0485445205479452</v>
      </c>
    </row>
    <row r="57" customFormat="false" ht="15" hidden="false" customHeight="false" outlineLevel="0" collapsed="false">
      <c r="A57" s="7" t="s">
        <v>507</v>
      </c>
      <c r="B57" s="8" t="s">
        <v>59</v>
      </c>
      <c r="C57" s="34" t="n">
        <f aca="false">D15+D16+D17+D18+D19+D20+D21+D22+D23+D24</f>
        <v>-0.30273</v>
      </c>
      <c r="D57" s="34" t="n">
        <f aca="false">F15+F16+F17+F18+F19+F20+F21+F22+F23+F24</f>
        <v>-0.259897671232877</v>
      </c>
      <c r="E57" s="34" t="n">
        <f aca="false">H15+H16+H17+H18+H19+H20+H21+H22+H23+H24</f>
        <v>-0.256125342465753</v>
      </c>
      <c r="F57" s="34" t="n">
        <f aca="false">J15+J16+J17+J18+J19+J20+J21+J22+J23+J24</f>
        <v>-0.26205</v>
      </c>
    </row>
    <row r="58" customFormat="false" ht="15" hidden="false" customHeight="false" outlineLevel="0" collapsed="false">
      <c r="A58" s="10" t="s">
        <v>508</v>
      </c>
      <c r="B58" s="8" t="s">
        <v>59</v>
      </c>
      <c r="C58" s="44" t="n">
        <f aca="false">C54+C55+C56+C57</f>
        <v>-0.835499178082192</v>
      </c>
      <c r="D58" s="44" t="n">
        <f aca="false">D54+D55+D56+D57</f>
        <v>-0.620414280821917</v>
      </c>
      <c r="E58" s="44" t="n">
        <f aca="false">E54+E55+E56+E57</f>
        <v>-0.641140290088638</v>
      </c>
      <c r="F58" s="44" t="n">
        <f aca="false">F54+F55+F56+F57</f>
        <v>-0.658144520547945</v>
      </c>
      <c r="K58" s="2" t="s">
        <v>509</v>
      </c>
    </row>
    <row r="59" customFormat="false" ht="15" hidden="false" customHeight="false" outlineLevel="0" collapsed="false">
      <c r="A59" s="7" t="s">
        <v>510</v>
      </c>
      <c r="B59" s="8" t="s">
        <v>259</v>
      </c>
      <c r="C59" s="36" t="n">
        <f aca="false">IF(C54&gt;0,-C55/C54,0)</f>
        <v>2.13903743315508</v>
      </c>
      <c r="D59" s="36" t="n">
        <f aca="false">IF(D54&gt;0,-D55/D54,0)</f>
        <v>2.2380669439493</v>
      </c>
      <c r="E59" s="36" t="n">
        <f aca="false">IF(E54&gt;0,-E55/E54,0)</f>
        <v>2.3767082590612</v>
      </c>
      <c r="F59" s="36" t="n">
        <f aca="false">IF(F54&gt;0,-F55/F54,0)</f>
        <v>2.3767082590612</v>
      </c>
    </row>
    <row r="60" customFormat="false" ht="15" hidden="false" customHeight="false" outlineLevel="0" collapsed="false">
      <c r="A60" s="10" t="s">
        <v>511</v>
      </c>
      <c r="B60" s="8"/>
      <c r="C60" s="44" t="str">
        <f aca="false">IF(C58&lt;0,"não fecha","fecha")</f>
        <v>não fecha</v>
      </c>
      <c r="D60" s="44" t="str">
        <f aca="false">IF(D58&lt;0,"não fecha","fecha")</f>
        <v>não fecha</v>
      </c>
      <c r="E60" s="44" t="str">
        <f aca="false">IF(E58&lt;0,"não fecha","fecha")</f>
        <v>não fecha</v>
      </c>
      <c r="F60" s="44" t="str">
        <f aca="false">IF(F58&lt;0,"não fecha","fecha")</f>
        <v>não fecha</v>
      </c>
    </row>
    <row r="62" customFormat="false" ht="15" hidden="false" customHeight="false" outlineLevel="0" collapsed="false">
      <c r="A62" s="3" t="s">
        <v>512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customFormat="false" ht="15" hidden="false" customHeight="false" outlineLevel="0" collapsed="false">
      <c r="A63" s="5" t="s">
        <v>456</v>
      </c>
      <c r="B63" s="5" t="s">
        <v>4</v>
      </c>
      <c r="C63" s="6" t="s">
        <v>5</v>
      </c>
      <c r="D63" s="6" t="s">
        <v>6</v>
      </c>
      <c r="E63" s="6" t="s">
        <v>7</v>
      </c>
      <c r="F63" s="6" t="s">
        <v>8</v>
      </c>
      <c r="G63" s="6"/>
      <c r="H63" s="6"/>
      <c r="I63" s="6"/>
      <c r="J63" s="6"/>
      <c r="K63" s="6" t="s">
        <v>465</v>
      </c>
    </row>
    <row r="64" customFormat="false" ht="15" hidden="false" customHeight="false" outlineLevel="0" collapsed="false">
      <c r="A64" s="7" t="s">
        <v>513</v>
      </c>
      <c r="B64" s="8" t="s">
        <v>10</v>
      </c>
      <c r="C64" s="30" t="n">
        <f aca="false">C29</f>
        <v>84000</v>
      </c>
      <c r="D64" s="30" t="n">
        <f aca="false">E29</f>
        <v>83000</v>
      </c>
      <c r="E64" s="30" t="n">
        <f aca="false">G29</f>
        <v>82000</v>
      </c>
      <c r="F64" s="30" t="n">
        <f aca="false">I29</f>
        <v>84000</v>
      </c>
    </row>
    <row r="65" customFormat="false" ht="15" hidden="false" customHeight="false" outlineLevel="0" collapsed="false">
      <c r="A65" s="7" t="s">
        <v>514</v>
      </c>
      <c r="B65" s="8" t="s">
        <v>10</v>
      </c>
      <c r="C65" s="30" t="n">
        <f aca="false">Pressupostos!$C$195*C64</f>
        <v>-25200</v>
      </c>
      <c r="D65" s="30" t="n">
        <f aca="false">Pressupostos!$C$195*D64</f>
        <v>-24900</v>
      </c>
      <c r="E65" s="30" t="n">
        <f aca="false">Pressupostos!$C$195*E64</f>
        <v>-24600</v>
      </c>
      <c r="F65" s="30" t="n">
        <f aca="false">Pressupostos!$C$195*F64</f>
        <v>-25200</v>
      </c>
    </row>
    <row r="66" customFormat="false" ht="15" hidden="false" customHeight="false" outlineLevel="0" collapsed="false">
      <c r="A66" s="7" t="s">
        <v>515</v>
      </c>
      <c r="B66" s="8" t="s">
        <v>10</v>
      </c>
      <c r="C66" s="30" t="n">
        <f aca="false">Pressupostos!$C$186*C65</f>
        <v>-3780</v>
      </c>
      <c r="D66" s="30" t="n">
        <f aca="false">Pressupostos!$C$186*D65</f>
        <v>-3735</v>
      </c>
      <c r="E66" s="30" t="n">
        <f aca="false">Pressupostos!$C$186*E65</f>
        <v>-3690</v>
      </c>
      <c r="F66" s="30" t="n">
        <f aca="false">Pressupostos!$C$186*F65</f>
        <v>-3780</v>
      </c>
    </row>
    <row r="67" customFormat="false" ht="15" hidden="false" customHeight="false" outlineLevel="0" collapsed="false">
      <c r="A67" s="7" t="s">
        <v>516</v>
      </c>
      <c r="B67" s="8" t="s">
        <v>259</v>
      </c>
      <c r="C67" s="36" t="n">
        <f aca="false">IF(C26&gt;0,-C65/C26,0)</f>
        <v>0</v>
      </c>
      <c r="D67" s="36" t="n">
        <f aca="false">IF(E26&gt;0,-D65/E26,0)</f>
        <v>3.58649349870362</v>
      </c>
      <c r="E67" s="36" t="n">
        <f aca="false">IF(G26&gt;0,-E65/G26,0)</f>
        <v>1.64788853047754</v>
      </c>
      <c r="F67" s="36" t="n">
        <f aca="false">IF(I26&gt;0,-F65/I26,0)</f>
        <v>2.067588891936</v>
      </c>
    </row>
    <row r="68" customFormat="false" ht="15" hidden="false" customHeight="false" outlineLevel="0" collapsed="false">
      <c r="A68" s="7" t="s">
        <v>517</v>
      </c>
      <c r="B68" s="8" t="s">
        <v>518</v>
      </c>
      <c r="C68" s="23" t="n">
        <f aca="false">Pressupostos!$C$183+Pressupostos!$C$184-D27</f>
        <v>0.608730283556006</v>
      </c>
      <c r="D68" s="23" t="n">
        <f aca="false">Pressupostos!$C$183+Pressupostos!$C$184-F27</f>
        <v>0.499733388558882</v>
      </c>
      <c r="E68" s="23" t="n">
        <f aca="false">Pressupostos!$C$183+Pressupostos!$C$184-H27</f>
        <v>0.429775979646044</v>
      </c>
      <c r="F68" s="23" t="n">
        <f aca="false">Pressupostos!$C$183+Pressupostos!$C$184-J27</f>
        <v>0.455147133434805</v>
      </c>
      <c r="K68" s="2" t="s">
        <v>519</v>
      </c>
    </row>
    <row r="69" customFormat="false" ht="15" hidden="false" customHeight="false" outlineLevel="0" collapsed="false">
      <c r="A69" s="7" t="s">
        <v>520</v>
      </c>
      <c r="B69" s="8" t="s">
        <v>518</v>
      </c>
      <c r="C69" s="23" t="n">
        <f aca="false">Pressupostos!$C$183+Pressupostos!$C$185-D27</f>
        <v>0.808730283556006</v>
      </c>
      <c r="D69" s="23" t="n">
        <f aca="false">Pressupostos!$C$183+Pressupostos!$C$185-F27</f>
        <v>0.699733388558883</v>
      </c>
      <c r="E69" s="23" t="n">
        <f aca="false">Pressupostos!$C$183+Pressupostos!$C$185-H27</f>
        <v>0.629775979646044</v>
      </c>
      <c r="F69" s="23" t="n">
        <f aca="false">Pressupostos!$C$183+Pressupostos!$C$185-J27</f>
        <v>0.655147133434805</v>
      </c>
    </row>
    <row r="71" customFormat="false" ht="15" hidden="false" customHeight="false" outlineLevel="0" collapsed="false">
      <c r="A71" s="3" t="s">
        <v>521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customFormat="false" ht="15" hidden="false" customHeight="false" outlineLevel="0" collapsed="false">
      <c r="A72" s="5" t="s">
        <v>456</v>
      </c>
      <c r="B72" s="5" t="s">
        <v>4</v>
      </c>
      <c r="C72" s="6" t="s">
        <v>5</v>
      </c>
      <c r="D72" s="6" t="s">
        <v>6</v>
      </c>
      <c r="E72" s="6" t="s">
        <v>7</v>
      </c>
      <c r="F72" s="6" t="s">
        <v>8</v>
      </c>
      <c r="G72" s="6"/>
      <c r="H72" s="6"/>
      <c r="I72" s="6"/>
      <c r="J72" s="6"/>
      <c r="K72" s="6" t="s">
        <v>465</v>
      </c>
    </row>
    <row r="73" customFormat="false" ht="15" hidden="false" customHeight="false" outlineLevel="0" collapsed="false">
      <c r="A73" s="7" t="s">
        <v>522</v>
      </c>
      <c r="B73" s="8" t="s">
        <v>59</v>
      </c>
      <c r="C73" s="43" t="n">
        <f aca="false">Motor!$C$29</f>
        <v>4.86</v>
      </c>
      <c r="D73" s="43" t="n">
        <f aca="false">Motor!$C$339</f>
        <v>5.085</v>
      </c>
      <c r="E73" s="43" t="n">
        <f aca="false">Motor!$C$649</f>
        <v>5.4</v>
      </c>
      <c r="F73" s="43" t="n">
        <f aca="false">Motor!$C$959</f>
        <v>5.4</v>
      </c>
    </row>
    <row r="74" customFormat="false" ht="15" hidden="false" customHeight="false" outlineLevel="0" collapsed="false">
      <c r="A74" s="7" t="s">
        <v>523</v>
      </c>
      <c r="B74" s="8" t="s">
        <v>59</v>
      </c>
      <c r="C74" s="43" t="n">
        <f aca="false">Motor!$C$45</f>
        <v>4.82273</v>
      </c>
      <c r="D74" s="43" t="n">
        <f aca="false">Motor!$C$355</f>
        <v>4.74406068493151</v>
      </c>
      <c r="E74" s="43" t="n">
        <f aca="false">Motor!$C$665</f>
        <v>4.69025136986301</v>
      </c>
      <c r="F74" s="43" t="n">
        <f aca="false">Motor!$C$975</f>
        <v>4.79625</v>
      </c>
    </row>
    <row r="75" customFormat="false" ht="15" hidden="false" customHeight="false" outlineLevel="0" collapsed="false">
      <c r="A75" s="7" t="s">
        <v>524</v>
      </c>
      <c r="B75" s="8" t="s">
        <v>59</v>
      </c>
      <c r="C75" s="43" t="n">
        <f aca="false">Motor!$C$46</f>
        <v>0.0372700000000013</v>
      </c>
      <c r="D75" s="43" t="n">
        <f aca="false">Motor!$C$356</f>
        <v>0.340939315068495</v>
      </c>
      <c r="E75" s="43" t="n">
        <f aca="false">Motor!$C$666</f>
        <v>0.709748630136987</v>
      </c>
      <c r="F75" s="43" t="n">
        <f aca="false">Motor!$C$976</f>
        <v>0.603750000000002</v>
      </c>
    </row>
    <row r="76" customFormat="false" ht="15" hidden="false" customHeight="false" outlineLevel="0" collapsed="false">
      <c r="A76" s="7" t="s">
        <v>525</v>
      </c>
      <c r="B76" s="8" t="s">
        <v>71</v>
      </c>
      <c r="C76" s="45" t="n">
        <f aca="false">Motor!$C$47</f>
        <v>0.00766872427983565</v>
      </c>
      <c r="D76" s="45" t="n">
        <f aca="false">Motor!$C$357</f>
        <v>0.067048046227826</v>
      </c>
      <c r="E76" s="45" t="n">
        <f aca="false">Motor!$C$667</f>
        <v>0.131434931506849</v>
      </c>
      <c r="F76" s="45" t="n">
        <f aca="false">Motor!$C$977</f>
        <v>0.111805555555556</v>
      </c>
    </row>
    <row r="77" customFormat="false" ht="15" hidden="false" customHeight="false" outlineLevel="0" collapsed="false">
      <c r="A77" s="7" t="s">
        <v>526</v>
      </c>
      <c r="B77" s="8" t="s">
        <v>59</v>
      </c>
      <c r="C77" s="43" t="n">
        <f aca="false">Motor!$C$52</f>
        <v>4.2</v>
      </c>
      <c r="D77" s="43" t="n">
        <f aca="false">Motor!$C$362</f>
        <v>4.35</v>
      </c>
      <c r="E77" s="43" t="n">
        <f aca="false">Motor!$C$672</f>
        <v>4.5</v>
      </c>
      <c r="F77" s="43" t="n">
        <f aca="false">Motor!$C$982</f>
        <v>4.45</v>
      </c>
    </row>
    <row r="78" customFormat="false" ht="15" hidden="false" customHeight="false" outlineLevel="0" collapsed="false">
      <c r="A78" s="7" t="s">
        <v>527</v>
      </c>
      <c r="B78" s="8" t="s">
        <v>59</v>
      </c>
      <c r="C78" s="43" t="n">
        <f aca="false">Motor!$C$68</f>
        <v>4.32311666666667</v>
      </c>
      <c r="D78" s="43" t="n">
        <f aca="false">Motor!$C$378</f>
        <v>4.25364178082192</v>
      </c>
      <c r="E78" s="43" t="n">
        <f aca="false">Motor!$C$688</f>
        <v>4.2025696347032</v>
      </c>
      <c r="F78" s="43" t="n">
        <f aca="false">Motor!$C$998</f>
        <v>4.25394178082192</v>
      </c>
    </row>
    <row r="79" customFormat="false" ht="15" hidden="false" customHeight="false" outlineLevel="0" collapsed="false">
      <c r="A79" s="7" t="s">
        <v>528</v>
      </c>
      <c r="B79" s="8" t="s">
        <v>59</v>
      </c>
      <c r="C79" s="43" t="n">
        <f aca="false">Motor!$C$69</f>
        <v>-0.123116666666666</v>
      </c>
      <c r="D79" s="43" t="n">
        <f aca="false">Motor!$C$379</f>
        <v>0.0963582191780832</v>
      </c>
      <c r="E79" s="43" t="n">
        <f aca="false">Motor!$C$689</f>
        <v>0.297430365296805</v>
      </c>
      <c r="F79" s="43" t="n">
        <f aca="false">Motor!$C$999</f>
        <v>0.196058219178083</v>
      </c>
    </row>
    <row r="80" customFormat="false" ht="15" hidden="false" customHeight="false" outlineLevel="0" collapsed="false">
      <c r="A80" s="7" t="s">
        <v>529</v>
      </c>
      <c r="B80" s="8" t="s">
        <v>71</v>
      </c>
      <c r="C80" s="45" t="n">
        <f aca="false">Motor!$C$70</f>
        <v>-0.029313492063492</v>
      </c>
      <c r="D80" s="45" t="n">
        <f aca="false">Motor!$C$380</f>
        <v>0.0221513147535823</v>
      </c>
      <c r="E80" s="45" t="n">
        <f aca="false">Motor!$C$690</f>
        <v>0.0660956367326233</v>
      </c>
      <c r="F80" s="45" t="n">
        <f aca="false">Motor!$C$1000</f>
        <v>0.0440580267815916</v>
      </c>
    </row>
    <row r="82" customFormat="false" ht="15" hidden="false" customHeight="false" outlineLevel="0" collapsed="false">
      <c r="A82" s="10" t="s">
        <v>530</v>
      </c>
    </row>
    <row r="83" customFormat="false" ht="15" hidden="false" customHeight="false" outlineLevel="0" collapsed="false">
      <c r="A83" s="3" t="s">
        <v>455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customFormat="false" ht="23.85" hidden="false" customHeight="false" outlineLevel="0" collapsed="false">
      <c r="A84" s="5" t="s">
        <v>456</v>
      </c>
      <c r="B84" s="5" t="s">
        <v>4</v>
      </c>
      <c r="C84" s="6" t="s">
        <v>457</v>
      </c>
      <c r="D84" s="6" t="s">
        <v>458</v>
      </c>
      <c r="E84" s="6" t="s">
        <v>459</v>
      </c>
      <c r="F84" s="6" t="s">
        <v>460</v>
      </c>
      <c r="G84" s="6" t="s">
        <v>461</v>
      </c>
      <c r="H84" s="6" t="s">
        <v>462</v>
      </c>
      <c r="I84" s="6" t="s">
        <v>463</v>
      </c>
      <c r="J84" s="6" t="s">
        <v>464</v>
      </c>
      <c r="K84" s="6" t="s">
        <v>465</v>
      </c>
    </row>
    <row r="85" customFormat="false" ht="15" hidden="false" customHeight="false" outlineLevel="0" collapsed="false">
      <c r="A85" s="7" t="s">
        <v>144</v>
      </c>
      <c r="B85" s="8" t="s">
        <v>466</v>
      </c>
      <c r="C85" s="30" t="n">
        <f aca="false">Pressupostos!$C$46*1000</f>
        <v>30000</v>
      </c>
      <c r="E85" s="30" t="n">
        <f aca="false">Pressupostos!$C$46*1000</f>
        <v>30000</v>
      </c>
      <c r="G85" s="30" t="n">
        <f aca="false">Pressupostos!$C$46*1000</f>
        <v>30000</v>
      </c>
      <c r="I85" s="30" t="n">
        <f aca="false">Pressupostos!$C$46*1000</f>
        <v>30000</v>
      </c>
    </row>
    <row r="86" customFormat="false" ht="15" hidden="false" customHeight="false" outlineLevel="0" collapsed="false">
      <c r="A86" s="7" t="s">
        <v>467</v>
      </c>
      <c r="B86" s="8" t="s">
        <v>10</v>
      </c>
      <c r="C86" s="30" t="n">
        <f aca="false">D86*$C$85</f>
        <v>126000</v>
      </c>
      <c r="D86" s="34" t="n">
        <f aca="false">INDEX(Motor!$C$51:$G$51,1,$D$3)</f>
        <v>4.2</v>
      </c>
      <c r="E86" s="30" t="n">
        <f aca="false">F86*$E$85</f>
        <v>130500</v>
      </c>
      <c r="F86" s="34" t="n">
        <f aca="false">INDEX(Motor!$C$361:$G$361,1,$D$3)</f>
        <v>4.35</v>
      </c>
      <c r="G86" s="30" t="n">
        <f aca="false">H86*$G$85</f>
        <v>135000</v>
      </c>
      <c r="H86" s="34" t="n">
        <f aca="false">INDEX(Motor!$C$671:$G$671,1,$D$3)</f>
        <v>4.5</v>
      </c>
      <c r="I86" s="30" t="n">
        <f aca="false">J86*$I$85</f>
        <v>133500</v>
      </c>
      <c r="J86" s="34" t="n">
        <f aca="false">INDEX(Motor!$C$981:$G$981,1,$D$3)</f>
        <v>4.45</v>
      </c>
    </row>
    <row r="87" customFormat="false" ht="15" hidden="false" customHeight="false" outlineLevel="0" collapsed="false">
      <c r="A87" s="7" t="s">
        <v>84</v>
      </c>
      <c r="B87" s="8" t="s">
        <v>10</v>
      </c>
      <c r="C87" s="30" t="n">
        <f aca="false">D87*$C$85</f>
        <v>-0</v>
      </c>
      <c r="D87" s="34" t="n">
        <f aca="false">-(INDEX(Motor!$C$51:$G$51,1,$D$3)-INDEX(Motor!$C$52:$G$52,1,$D$3))</f>
        <v>-0</v>
      </c>
      <c r="E87" s="30" t="n">
        <f aca="false">F87*$E$85</f>
        <v>-0</v>
      </c>
      <c r="F87" s="34" t="n">
        <f aca="false">-(INDEX(Motor!$C$361:$G$361,1,$D$3)-INDEX(Motor!$C$362:$G$362,1,$D$3))</f>
        <v>-0</v>
      </c>
      <c r="G87" s="30" t="n">
        <f aca="false">H87*$G$85</f>
        <v>-0</v>
      </c>
      <c r="H87" s="34" t="n">
        <f aca="false">-(INDEX(Motor!$C$671:$G$671,1,$D$3)-INDEX(Motor!$C$672:$G$672,1,$D$3))</f>
        <v>-0</v>
      </c>
      <c r="I87" s="30" t="n">
        <f aca="false">J87*$I$85</f>
        <v>-0</v>
      </c>
      <c r="J87" s="34" t="n">
        <f aca="false">-(INDEX(Motor!$C$981:$G$981,1,$D$3)-INDEX(Motor!$C$982:$G$982,1,$D$3))</f>
        <v>-0</v>
      </c>
    </row>
    <row r="88" customFormat="false" ht="15" hidden="false" customHeight="false" outlineLevel="0" collapsed="false">
      <c r="A88" s="10" t="s">
        <v>468</v>
      </c>
      <c r="B88" s="8" t="s">
        <v>10</v>
      </c>
      <c r="C88" s="41" t="n">
        <f aca="false">D88*$C$85</f>
        <v>126000</v>
      </c>
      <c r="D88" s="42" t="n">
        <f aca="false">INDEX(Motor!$C$52:$G$52,1,$D$3)</f>
        <v>4.2</v>
      </c>
      <c r="E88" s="41" t="n">
        <f aca="false">F88*$E$85</f>
        <v>130500</v>
      </c>
      <c r="F88" s="42" t="n">
        <f aca="false">INDEX(Motor!$C$362:$G$362,1,$D$3)</f>
        <v>4.35</v>
      </c>
      <c r="G88" s="41" t="n">
        <f aca="false">H88*$G$85</f>
        <v>135000</v>
      </c>
      <c r="H88" s="42" t="n">
        <f aca="false">INDEX(Motor!$C$672:$G$672,1,$D$3)</f>
        <v>4.5</v>
      </c>
      <c r="I88" s="41" t="n">
        <f aca="false">J88*$I$85</f>
        <v>133500</v>
      </c>
      <c r="J88" s="42" t="n">
        <f aca="false">INDEX(Motor!$C$982:$G$982,1,$D$3)</f>
        <v>4.45</v>
      </c>
    </row>
    <row r="89" customFormat="false" ht="15" hidden="false" customHeight="false" outlineLevel="0" collapsed="false">
      <c r="A89" s="7" t="s">
        <v>469</v>
      </c>
      <c r="B89" s="8" t="s">
        <v>10</v>
      </c>
      <c r="C89" s="30" t="n">
        <f aca="false">D89*$C$85</f>
        <v>-109500</v>
      </c>
      <c r="D89" s="34" t="n">
        <f aca="false">-INDEX(Motor!$C$50:$G$50,1,$D$3)</f>
        <v>-3.65</v>
      </c>
      <c r="E89" s="30" t="n">
        <f aca="false">F89*$E$85</f>
        <v>-108000</v>
      </c>
      <c r="F89" s="34" t="n">
        <f aca="false">-INDEX(Motor!$C$360:$G$360,1,$D$3)</f>
        <v>-3.6</v>
      </c>
      <c r="G89" s="30" t="n">
        <f aca="false">H89*$G$85</f>
        <v>-106500</v>
      </c>
      <c r="H89" s="34" t="n">
        <f aca="false">-INDEX(Motor!$C$670:$G$670,1,$D$3)</f>
        <v>-3.55</v>
      </c>
      <c r="I89" s="30" t="n">
        <f aca="false">J89*$I$85</f>
        <v>-108000</v>
      </c>
      <c r="J89" s="34" t="n">
        <f aca="false">-INDEX(Motor!$C$980:$G$980,1,$D$3)</f>
        <v>-3.6</v>
      </c>
    </row>
    <row r="90" customFormat="false" ht="15" hidden="false" customHeight="false" outlineLevel="0" collapsed="false">
      <c r="A90" s="7" t="s">
        <v>470</v>
      </c>
      <c r="B90" s="8" t="s">
        <v>10</v>
      </c>
      <c r="C90" s="30" t="n">
        <f aca="false">D90*$C$85</f>
        <v>-13500</v>
      </c>
      <c r="D90" s="34" t="n">
        <f aca="false">-INDEX(Motor!$C$53:$G$53,1,$D$3)</f>
        <v>-0.45</v>
      </c>
      <c r="E90" s="30" t="n">
        <f aca="false">F90*$E$85</f>
        <v>-13500</v>
      </c>
      <c r="F90" s="34" t="n">
        <f aca="false">-INDEX(Motor!$C$363:$G$363,1,$D$3)</f>
        <v>-0.45</v>
      </c>
      <c r="G90" s="30" t="n">
        <f aca="false">H90*$G$85</f>
        <v>-13500</v>
      </c>
      <c r="H90" s="34" t="n">
        <f aca="false">-INDEX(Motor!$C$673:$G$673,1,$D$3)</f>
        <v>-0.45</v>
      </c>
      <c r="I90" s="30" t="n">
        <f aca="false">J90*$I$85</f>
        <v>-13500</v>
      </c>
      <c r="J90" s="34" t="n">
        <f aca="false">-INDEX(Motor!$C$983:$G$983,1,$D$3)</f>
        <v>-0.45</v>
      </c>
    </row>
    <row r="91" customFormat="false" ht="15" hidden="false" customHeight="false" outlineLevel="0" collapsed="false">
      <c r="A91" s="7" t="s">
        <v>205</v>
      </c>
      <c r="B91" s="8" t="s">
        <v>10</v>
      </c>
      <c r="C91" s="30" t="n">
        <f aca="false">D91*$C$85</f>
        <v>-3300</v>
      </c>
      <c r="D91" s="34" t="n">
        <f aca="false">-INDEX(Motor!$C$54:$G$54,1,$D$3)</f>
        <v>-0.11</v>
      </c>
      <c r="E91" s="30" t="n">
        <f aca="false">F91*$E$85</f>
        <v>-2700</v>
      </c>
      <c r="F91" s="34" t="n">
        <f aca="false">-INDEX(Motor!$C$364:$G$364,1,$D$3)</f>
        <v>-0.09</v>
      </c>
      <c r="G91" s="30" t="n">
        <f aca="false">H91*$G$85</f>
        <v>-2400</v>
      </c>
      <c r="H91" s="34" t="n">
        <f aca="false">-INDEX(Motor!$C$674:$G$674,1,$D$3)</f>
        <v>-0.08</v>
      </c>
      <c r="I91" s="30" t="n">
        <f aca="false">J91*$I$85</f>
        <v>-2700</v>
      </c>
      <c r="J91" s="34" t="n">
        <f aca="false">-INDEX(Motor!$C$984:$G$984,1,$D$3)</f>
        <v>-0.09</v>
      </c>
    </row>
    <row r="92" customFormat="false" ht="15" hidden="false" customHeight="false" outlineLevel="0" collapsed="false">
      <c r="A92" s="7" t="s">
        <v>109</v>
      </c>
      <c r="B92" s="8" t="s">
        <v>10</v>
      </c>
      <c r="C92" s="30" t="n">
        <f aca="false">D92*$C$85</f>
        <v>-0</v>
      </c>
      <c r="D92" s="34" t="n">
        <f aca="false">-INDEX(Motor!$C$55:$G$55,1,$D$3)</f>
        <v>-0</v>
      </c>
      <c r="E92" s="30" t="n">
        <f aca="false">F92*$E$85</f>
        <v>-0</v>
      </c>
      <c r="F92" s="34" t="n">
        <f aca="false">-INDEX(Motor!$C$365:$G$365,1,$D$3)</f>
        <v>-0</v>
      </c>
      <c r="G92" s="30" t="n">
        <f aca="false">H92*$G$85</f>
        <v>-0</v>
      </c>
      <c r="H92" s="34" t="n">
        <f aca="false">-INDEX(Motor!$C$675:$G$675,1,$D$3)</f>
        <v>-0</v>
      </c>
      <c r="I92" s="30" t="n">
        <f aca="false">J92*$I$85</f>
        <v>-0</v>
      </c>
      <c r="J92" s="34" t="n">
        <f aca="false">-INDEX(Motor!$C$985:$G$985,1,$D$3)</f>
        <v>-0</v>
      </c>
    </row>
    <row r="93" customFormat="false" ht="15" hidden="false" customHeight="false" outlineLevel="0" collapsed="false">
      <c r="A93" s="7" t="s">
        <v>471</v>
      </c>
      <c r="B93" s="8" t="s">
        <v>10</v>
      </c>
      <c r="C93" s="30" t="n">
        <f aca="false">D93*$C$85</f>
        <v>-140</v>
      </c>
      <c r="D93" s="34" t="n">
        <f aca="false">-INDEX(Motor!$C$58:$G$58,1,$D$3)</f>
        <v>-0.00466666666666667</v>
      </c>
      <c r="E93" s="30" t="n">
        <f aca="false">F93*$E$85</f>
        <v>-120</v>
      </c>
      <c r="F93" s="34" t="n">
        <f aca="false">-INDEX(Motor!$C$368:$G$368,1,$D$3)</f>
        <v>-0.004</v>
      </c>
      <c r="G93" s="30" t="n">
        <f aca="false">H93*$G$85</f>
        <v>-100</v>
      </c>
      <c r="H93" s="34" t="n">
        <f aca="false">-INDEX(Motor!$C$678:$G$678,1,$D$3)</f>
        <v>-0.00333333333333333</v>
      </c>
      <c r="I93" s="30" t="n">
        <f aca="false">J93*$I$85</f>
        <v>-120</v>
      </c>
      <c r="J93" s="34" t="n">
        <f aca="false">-INDEX(Motor!$C$988:$G$988,1,$D$3)</f>
        <v>-0.004</v>
      </c>
    </row>
    <row r="94" customFormat="false" ht="15" hidden="false" customHeight="false" outlineLevel="0" collapsed="false">
      <c r="A94" s="7" t="s">
        <v>154</v>
      </c>
      <c r="B94" s="8" t="s">
        <v>10</v>
      </c>
      <c r="C94" s="30" t="n">
        <f aca="false">D94*$C$85</f>
        <v>-21</v>
      </c>
      <c r="D94" s="34" t="n">
        <f aca="false">-INDEX(Motor!$C$59:$G$59,1,$D$3)</f>
        <v>-0.0007</v>
      </c>
      <c r="E94" s="30" t="n">
        <f aca="false">F94*$E$85</f>
        <v>-17.7534246575343</v>
      </c>
      <c r="F94" s="34" t="n">
        <f aca="false">-INDEX(Motor!$C$369:$G$369,1,$D$3)</f>
        <v>-0.000591780821917808</v>
      </c>
      <c r="G94" s="30" t="n">
        <f aca="false">H94*$G$85</f>
        <v>-14.5890410958904</v>
      </c>
      <c r="H94" s="34" t="n">
        <f aca="false">-INDEX(Motor!$C$679:$G$679,1,$D$3)</f>
        <v>-0.000486301369863014</v>
      </c>
      <c r="I94" s="30" t="n">
        <f aca="false">J94*$I$85</f>
        <v>-17.7534246575343</v>
      </c>
      <c r="J94" s="34" t="n">
        <f aca="false">-INDEX(Motor!$C$989:$G$989,1,$D$3)</f>
        <v>-0.000591780821917808</v>
      </c>
    </row>
    <row r="95" customFormat="false" ht="15" hidden="false" customHeight="false" outlineLevel="0" collapsed="false">
      <c r="A95" s="7" t="s">
        <v>472</v>
      </c>
      <c r="B95" s="8" t="s">
        <v>10</v>
      </c>
      <c r="C95" s="30" t="n">
        <f aca="false">D95*$C$85</f>
        <v>-600</v>
      </c>
      <c r="D95" s="34" t="n">
        <f aca="false">-INDEX(Motor!$C$60:$G$60,1,$D$3)</f>
        <v>-0.02</v>
      </c>
      <c r="E95" s="30" t="n">
        <f aca="false">F95*$E$85</f>
        <v>-600</v>
      </c>
      <c r="F95" s="34" t="n">
        <f aca="false">-INDEX(Motor!$C$370:$G$370,1,$D$3)</f>
        <v>-0.02</v>
      </c>
      <c r="G95" s="30" t="n">
        <f aca="false">H95*$G$85</f>
        <v>-600</v>
      </c>
      <c r="H95" s="34" t="n">
        <f aca="false">-INDEX(Motor!$C$680:$G$680,1,$D$3)</f>
        <v>-0.02</v>
      </c>
      <c r="I95" s="30" t="n">
        <f aca="false">J95*$I$85</f>
        <v>-600</v>
      </c>
      <c r="J95" s="34" t="n">
        <f aca="false">-INDEX(Motor!$C$990:$G$990,1,$D$3)</f>
        <v>-0.02</v>
      </c>
    </row>
    <row r="96" customFormat="false" ht="15" hidden="false" customHeight="false" outlineLevel="0" collapsed="false">
      <c r="A96" s="7" t="s">
        <v>473</v>
      </c>
      <c r="B96" s="8" t="s">
        <v>10</v>
      </c>
      <c r="C96" s="30" t="n">
        <f aca="false">D96*$C$85</f>
        <v>-547.5</v>
      </c>
      <c r="D96" s="34" t="n">
        <f aca="false">-INDEX(Motor!$C$61:$G$61,1,$D$3)</f>
        <v>-0.01825</v>
      </c>
      <c r="E96" s="30" t="n">
        <f aca="false">F96*$E$85</f>
        <v>-540</v>
      </c>
      <c r="F96" s="34" t="n">
        <f aca="false">-INDEX(Motor!$C$371:$G$371,1,$D$3)</f>
        <v>-0.018</v>
      </c>
      <c r="G96" s="30" t="n">
        <f aca="false">H96*$G$85</f>
        <v>-532.5</v>
      </c>
      <c r="H96" s="34" t="n">
        <f aca="false">-INDEX(Motor!$C$681:$G$681,1,$D$3)</f>
        <v>-0.01775</v>
      </c>
      <c r="I96" s="30" t="n">
        <f aca="false">J96*$I$85</f>
        <v>-540</v>
      </c>
      <c r="J96" s="34" t="n">
        <f aca="false">-INDEX(Motor!$C$991:$G$991,1,$D$3)</f>
        <v>-0.018</v>
      </c>
    </row>
    <row r="97" customFormat="false" ht="15" hidden="false" customHeight="false" outlineLevel="0" collapsed="false">
      <c r="A97" s="7" t="s">
        <v>474</v>
      </c>
      <c r="B97" s="8" t="s">
        <v>10</v>
      </c>
      <c r="C97" s="30" t="n">
        <f aca="false">D97*$C$85</f>
        <v>-105</v>
      </c>
      <c r="D97" s="34" t="n">
        <f aca="false">-INDEX(Motor!$C$62:$G$62,1,$D$3)</f>
        <v>-0.0035</v>
      </c>
      <c r="E97" s="30" t="n">
        <f aca="false">F97*$E$85</f>
        <v>-90</v>
      </c>
      <c r="F97" s="34" t="n">
        <f aca="false">-INDEX(Motor!$C$372:$G$372,1,$D$3)</f>
        <v>-0.003</v>
      </c>
      <c r="G97" s="30" t="n">
        <f aca="false">H97*$G$85</f>
        <v>-75</v>
      </c>
      <c r="H97" s="34" t="n">
        <f aca="false">-INDEX(Motor!$C$682:$G$682,1,$D$3)</f>
        <v>-0.0025</v>
      </c>
      <c r="I97" s="30" t="n">
        <f aca="false">J97*$I$85</f>
        <v>-90</v>
      </c>
      <c r="J97" s="34" t="n">
        <f aca="false">-INDEX(Motor!$C$992:$G$992,1,$D$3)</f>
        <v>-0.003</v>
      </c>
    </row>
    <row r="98" customFormat="false" ht="15" hidden="false" customHeight="false" outlineLevel="0" collapsed="false">
      <c r="A98" s="7" t="s">
        <v>475</v>
      </c>
      <c r="B98" s="8" t="s">
        <v>10</v>
      </c>
      <c r="C98" s="30" t="n">
        <f aca="false">D98*$C$85</f>
        <v>-1200</v>
      </c>
      <c r="D98" s="34" t="n">
        <f aca="false">-INDEX(Motor!$C$63:$G$63,1,$D$3)</f>
        <v>-0.04</v>
      </c>
      <c r="E98" s="30" t="n">
        <f aca="false">F98*$E$85</f>
        <v>-1200</v>
      </c>
      <c r="F98" s="34" t="n">
        <f aca="false">-INDEX(Motor!$C$373:$G$373,1,$D$3)</f>
        <v>-0.04</v>
      </c>
      <c r="G98" s="30" t="n">
        <f aca="false">H98*$G$85</f>
        <v>-1200</v>
      </c>
      <c r="H98" s="34" t="n">
        <f aca="false">-INDEX(Motor!$C$683:$G$683,1,$D$3)</f>
        <v>-0.04</v>
      </c>
      <c r="I98" s="30" t="n">
        <f aca="false">J98*$I$85</f>
        <v>-1200</v>
      </c>
      <c r="J98" s="34" t="n">
        <f aca="false">-INDEX(Motor!$C$993:$G$993,1,$D$3)</f>
        <v>-0.04</v>
      </c>
    </row>
    <row r="99" customFormat="false" ht="15" hidden="false" customHeight="false" outlineLevel="0" collapsed="false">
      <c r="A99" s="7" t="s">
        <v>476</v>
      </c>
      <c r="B99" s="8" t="s">
        <v>10</v>
      </c>
      <c r="C99" s="30" t="n">
        <f aca="false">D99*$C$85</f>
        <v>-150</v>
      </c>
      <c r="D99" s="34" t="n">
        <f aca="false">-INDEX(Motor!$C$64:$G$64,1,$D$3)</f>
        <v>-0.005</v>
      </c>
      <c r="E99" s="30" t="n">
        <f aca="false">F99*$E$85</f>
        <v>-150</v>
      </c>
      <c r="F99" s="34" t="n">
        <f aca="false">-INDEX(Motor!$C$374:$G$374,1,$D$3)</f>
        <v>-0.005</v>
      </c>
      <c r="G99" s="30" t="n">
        <f aca="false">H99*$G$85</f>
        <v>-150</v>
      </c>
      <c r="H99" s="34" t="n">
        <f aca="false">-INDEX(Motor!$C$684:$G$684,1,$D$3)</f>
        <v>-0.005</v>
      </c>
      <c r="I99" s="30" t="n">
        <f aca="false">J99*$I$85</f>
        <v>-150</v>
      </c>
      <c r="J99" s="34" t="n">
        <f aca="false">-INDEX(Motor!$C$994:$G$994,1,$D$3)</f>
        <v>-0.005</v>
      </c>
    </row>
    <row r="100" customFormat="false" ht="15" hidden="false" customHeight="false" outlineLevel="0" collapsed="false">
      <c r="A100" s="7" t="s">
        <v>76</v>
      </c>
      <c r="B100" s="8" t="s">
        <v>10</v>
      </c>
      <c r="C100" s="30" t="n">
        <f aca="false">D100*$C$85</f>
        <v>-630</v>
      </c>
      <c r="D100" s="34" t="n">
        <f aca="false">-INDEX(Motor!$C$65:$G$65,1,$D$3)</f>
        <v>-0.021</v>
      </c>
      <c r="E100" s="30" t="n">
        <f aca="false">F100*$E$85</f>
        <v>-391.5</v>
      </c>
      <c r="F100" s="34" t="n">
        <f aca="false">-INDEX(Motor!$C$375:$G$375,1,$D$3)</f>
        <v>-0.01305</v>
      </c>
      <c r="G100" s="30" t="n">
        <f aca="false">H100*$G$85</f>
        <v>-405</v>
      </c>
      <c r="H100" s="34" t="n">
        <f aca="false">-INDEX(Motor!$C$685:$G$685,1,$D$3)</f>
        <v>-0.0135</v>
      </c>
      <c r="I100" s="30" t="n">
        <f aca="false">J100*$I$85</f>
        <v>-400.5</v>
      </c>
      <c r="J100" s="34" t="n">
        <f aca="false">-INDEX(Motor!$C$995:$G$995,1,$D$3)</f>
        <v>-0.01335</v>
      </c>
    </row>
    <row r="101" customFormat="false" ht="15" hidden="false" customHeight="false" outlineLevel="0" collapsed="false">
      <c r="A101" s="7" t="s">
        <v>477</v>
      </c>
      <c r="B101" s="8" t="s">
        <v>10</v>
      </c>
      <c r="C101" s="30" t="n">
        <f aca="false">D101*$C$85</f>
        <v>-0</v>
      </c>
      <c r="D101" s="34" t="n">
        <f aca="false">-INDEX(Motor!$C$66:$G$66,1,$D$3)</f>
        <v>-0</v>
      </c>
      <c r="E101" s="30" t="n">
        <f aca="false">F101*$E$85</f>
        <v>-0</v>
      </c>
      <c r="F101" s="34" t="n">
        <f aca="false">-INDEX(Motor!$C$376:$G$376,1,$D$3)</f>
        <v>-0</v>
      </c>
      <c r="G101" s="30" t="n">
        <f aca="false">H101*$G$85</f>
        <v>-0</v>
      </c>
      <c r="H101" s="34" t="n">
        <f aca="false">-INDEX(Motor!$C$686:$G$686,1,$D$3)</f>
        <v>-0</v>
      </c>
      <c r="I101" s="30" t="n">
        <f aca="false">J101*$I$85</f>
        <v>-0</v>
      </c>
      <c r="J101" s="34" t="n">
        <f aca="false">-INDEX(Motor!$C$996:$G$996,1,$D$3)</f>
        <v>-0</v>
      </c>
    </row>
    <row r="102" customFormat="false" ht="15" hidden="false" customHeight="false" outlineLevel="0" collapsed="false">
      <c r="A102" s="7" t="s">
        <v>478</v>
      </c>
      <c r="B102" s="8" t="s">
        <v>10</v>
      </c>
      <c r="C102" s="30" t="n">
        <f aca="false">D102*$C$85</f>
        <v>-2209.66731898239</v>
      </c>
      <c r="D102" s="34" t="n">
        <f aca="false">-INDEX(Motor!$C$67:$G$67,1,$D$3)</f>
        <v>-0.0736555772994129</v>
      </c>
      <c r="E102" s="30" t="n">
        <f aca="false">F102*$E$85</f>
        <v>-1263.89126712329</v>
      </c>
      <c r="F102" s="34" t="n">
        <f aca="false">-INDEX(Motor!$C$377:$G$377,1,$D$3)</f>
        <v>-0.0421297089041096</v>
      </c>
      <c r="G102" s="30" t="n">
        <f aca="false">H102*$G$85</f>
        <v>-852.860596293312</v>
      </c>
      <c r="H102" s="34" t="n">
        <f aca="false">-INDEX(Motor!$C$687:$G$687,1,$D$3)</f>
        <v>-0.0284286865431104</v>
      </c>
      <c r="I102" s="30" t="n">
        <f aca="false">J102*$I$85</f>
        <v>-1544.75599315068</v>
      </c>
      <c r="J102" s="34" t="n">
        <f aca="false">-INDEX(Motor!$C$997:$G$997,1,$D$3)</f>
        <v>-0.0514918664383562</v>
      </c>
    </row>
    <row r="103" customFormat="false" ht="15" hidden="false" customHeight="false" outlineLevel="0" collapsed="false">
      <c r="A103" s="10" t="s">
        <v>479</v>
      </c>
      <c r="B103" s="8" t="s">
        <v>10</v>
      </c>
      <c r="C103" s="41" t="n">
        <f aca="false">D103*$C$85</f>
        <v>-5903.16731898239</v>
      </c>
      <c r="D103" s="42" t="n">
        <f aca="false">INDEX(Motor!$C$69:$G$69,1,$D$3)</f>
        <v>-0.19677224396608</v>
      </c>
      <c r="E103" s="41" t="n">
        <f aca="false">F103*$E$85</f>
        <v>1926.8553082192</v>
      </c>
      <c r="F103" s="42" t="n">
        <f aca="false">INDEX(Motor!$C$379:$G$379,1,$D$3)</f>
        <v>0.0642285102739733</v>
      </c>
      <c r="G103" s="41" t="n">
        <f aca="false">H103*$G$85</f>
        <v>8670.05036261082</v>
      </c>
      <c r="H103" s="42" t="n">
        <f aca="false">INDEX(Motor!$C$689:$G$689,1,$D$3)</f>
        <v>0.289001678753694</v>
      </c>
      <c r="I103" s="41" t="n">
        <f aca="false">J103*$I$85</f>
        <v>4636.99058219179</v>
      </c>
      <c r="J103" s="42" t="n">
        <f aca="false">INDEX(Motor!$C$999:$G$999,1,$D$3)</f>
        <v>0.154566352739726</v>
      </c>
    </row>
    <row r="104" customFormat="false" ht="15" hidden="false" customHeight="false" outlineLevel="0" collapsed="false">
      <c r="A104" s="7" t="s">
        <v>480</v>
      </c>
      <c r="B104" s="8" t="s">
        <v>71</v>
      </c>
      <c r="D104" s="23" t="n">
        <f aca="false">IF(D88&gt;0,D103/D88,0)</f>
        <v>-0.046850534277638</v>
      </c>
      <c r="F104" s="23" t="n">
        <f aca="false">IF(F88&gt;0,F103/F88,0)</f>
        <v>0.014765174775626</v>
      </c>
      <c r="H104" s="23" t="n">
        <f aca="false">IF(H88&gt;0,H103/H88,0)</f>
        <v>0.0642225952785987</v>
      </c>
      <c r="J104" s="23" t="n">
        <f aca="false">IF(J88&gt;0,J103/J88,0)</f>
        <v>0.0347340118516239</v>
      </c>
    </row>
    <row r="105" customFormat="false" ht="15" hidden="false" customHeight="false" outlineLevel="0" collapsed="false">
      <c r="A105" s="19" t="s">
        <v>481</v>
      </c>
    </row>
    <row r="106" customFormat="false" ht="15" hidden="false" customHeight="false" outlineLevel="0" collapsed="false">
      <c r="A106" s="7" t="s">
        <v>482</v>
      </c>
      <c r="B106" s="8" t="s">
        <v>10</v>
      </c>
      <c r="C106" s="30" t="n">
        <f aca="false">(INDEX(Motor!$C$50:$G$50,1,$D$3)+INDEX(Motor!$C$53:$G$53,1,$D$3))*$C$85</f>
        <v>123000</v>
      </c>
      <c r="E106" s="30" t="n">
        <f aca="false">(INDEX(Motor!$C$360:$G$360,1,$D$3)+INDEX(Motor!$C$363:$G$363,1,$D$3))*$E$85</f>
        <v>121500</v>
      </c>
      <c r="G106" s="30" t="n">
        <f aca="false">(INDEX(Motor!$C$670:$G$670,1,$D$3)+INDEX(Motor!$C$673:$G$673,1,$D$3))*$G$85</f>
        <v>120000</v>
      </c>
      <c r="I106" s="30" t="n">
        <f aca="false">(INDEX(Motor!$C$980:$G$980,1,$D$3)+INDEX(Motor!$C$983:$G$983,1,$D$3))*$I$85</f>
        <v>121500</v>
      </c>
    </row>
    <row r="107" customFormat="false" ht="15" hidden="false" customHeight="false" outlineLevel="0" collapsed="false">
      <c r="A107" s="7" t="s">
        <v>483</v>
      </c>
      <c r="B107" s="8" t="s">
        <v>74</v>
      </c>
      <c r="C107" s="25" t="n">
        <f aca="false">INDEX(Motor!$C$56:$G$56,1,$D$3)+INDEX(Motor!$C$57:$G$57,1,$D$3)-Pressupostos!$C$70</f>
        <v>60</v>
      </c>
      <c r="E107" s="25" t="n">
        <f aca="false">INDEX(Motor!$C$366:$G$366,1,$D$3)+INDEX(Motor!$C$367:$G$367,1,$D$3)-Pressupostos!$C$70</f>
        <v>45</v>
      </c>
      <c r="G107" s="25" t="n">
        <f aca="false">INDEX(Motor!$C$676:$G$676,1,$D$3)+INDEX(Motor!$C$677:$G$677,1,$D$3)-Pressupostos!$C$70</f>
        <v>35</v>
      </c>
      <c r="I107" s="25" t="n">
        <f aca="false">INDEX(Motor!$C$986:$G$986,1,$D$3)+INDEX(Motor!$C$987:$G$987,1,$D$3)-Pressupostos!$C$70</f>
        <v>55</v>
      </c>
    </row>
    <row r="108" customFormat="false" ht="15" hidden="false" customHeight="false" outlineLevel="0" collapsed="false">
      <c r="A108" s="7" t="s">
        <v>484</v>
      </c>
      <c r="B108" s="8" t="s">
        <v>71</v>
      </c>
      <c r="C108" s="23" t="n">
        <f aca="false">INDEX(Pressupostos!$C$276:$G$276,1,$D$3)</f>
        <v>0.85</v>
      </c>
      <c r="E108" s="23" t="n">
        <f aca="false">INDEX(Pressupostos!$C$277:$G$277,1,$D$3)</f>
        <v>0.9</v>
      </c>
      <c r="G108" s="23" t="n">
        <f aca="false">INDEX(Pressupostos!$C$278:$G$278,1,$D$3)</f>
        <v>0.9</v>
      </c>
      <c r="I108" s="23" t="n">
        <f aca="false">INDEX(Pressupostos!$C$279:$G$279,1,$D$3)</f>
        <v>0.9</v>
      </c>
    </row>
    <row r="109" customFormat="false" ht="15" hidden="false" customHeight="false" outlineLevel="0" collapsed="false">
      <c r="A109" s="7" t="s">
        <v>485</v>
      </c>
      <c r="B109" s="8" t="s">
        <v>10</v>
      </c>
      <c r="C109" s="30" t="n">
        <f aca="false">INDEX(Pressupostos!$C$276:$G$276,1,$D$3)*(INDEX(Motor!$C$50:$G$50,1,$D$3)+INDEX(Motor!$C$53:$G$53,1,$D$3))*$C$85/Pressupostos!$C$31</f>
        <v>149357.142857143</v>
      </c>
      <c r="E109" s="30" t="n">
        <f aca="false">INDEX(Pressupostos!$C$277:$G$277,1,$D$3)*(INDEX(Motor!$C$360:$G$360,1,$D$3)+INDEX(Motor!$C$363:$G$363,1,$D$3))*$E$85/Pressupostos!$D$31</f>
        <v>136687.5</v>
      </c>
      <c r="G109" s="30" t="n">
        <f aca="false">INDEX(Pressupostos!$C$278:$G$278,1,$D$3)*(INDEX(Motor!$C$670:$G$670,1,$D$3)+INDEX(Motor!$C$673:$G$673,1,$D$3))*$G$85/Pressupostos!$E$31</f>
        <v>127058.823529412</v>
      </c>
      <c r="I109" s="30" t="n">
        <f aca="false">INDEX(Pressupostos!$C$279:$G$279,1,$D$3)*(INDEX(Motor!$C$980:$G$980,1,$D$3)+INDEX(Motor!$C$983:$G$983,1,$D$3))*$I$85/Pressupostos!$F$31</f>
        <v>136687.5</v>
      </c>
    </row>
    <row r="110" customFormat="false" ht="15" hidden="false" customHeight="false" outlineLevel="0" collapsed="false">
      <c r="A110" s="7" t="s">
        <v>486</v>
      </c>
      <c r="B110" s="8" t="s">
        <v>10</v>
      </c>
      <c r="C110" s="30" t="n">
        <f aca="false">(1-INDEX(Pressupostos!$C$276:$G$276,1,$D$3))*(INDEX(Motor!$C$50:$G$50,1,$D$3)+INDEX(Motor!$C$53:$G$53,1,$D$3))*$C$85</f>
        <v>18450</v>
      </c>
      <c r="E110" s="30" t="n">
        <f aca="false">(1-INDEX(Pressupostos!$C$277:$G$277,1,$D$3))*(INDEX(Motor!$C$360:$G$360,1,$D$3)+INDEX(Motor!$C$363:$G$363,1,$D$3))*$E$85</f>
        <v>12150</v>
      </c>
      <c r="G110" s="30" t="n">
        <f aca="false">(1-INDEX(Pressupostos!$C$278:$G$278,1,$D$3))*(INDEX(Motor!$C$670:$G$670,1,$D$3)+INDEX(Motor!$C$673:$G$673,1,$D$3))*$G$85</f>
        <v>12000</v>
      </c>
      <c r="I110" s="30" t="n">
        <f aca="false">(1-INDEX(Pressupostos!$C$279:$G$279,1,$D$3))*(INDEX(Motor!$C$980:$G$980,1,$D$3)+INDEX(Motor!$C$983:$G$983,1,$D$3))*$I$85</f>
        <v>12150</v>
      </c>
    </row>
    <row r="111" customFormat="false" ht="15" hidden="false" customHeight="false" outlineLevel="0" collapsed="false">
      <c r="A111" s="7" t="s">
        <v>487</v>
      </c>
      <c r="B111" s="8" t="s">
        <v>71</v>
      </c>
      <c r="C111" s="27" t="n">
        <f aca="false">INDEX(Pressupostos!$C$282:$G$282,1,$D$3)</f>
        <v>0.09</v>
      </c>
      <c r="E111" s="27" t="n">
        <f aca="false">INDEX(Pressupostos!$C$283:$G$283,1,$D$3)</f>
        <v>0.075</v>
      </c>
      <c r="G111" s="27" t="n">
        <f aca="false">INDEX(Pressupostos!$C$284:$G$284,1,$D$3)</f>
        <v>0.07</v>
      </c>
      <c r="I111" s="27" t="n">
        <f aca="false">INDEX(Pressupostos!$C$285:$G$285,1,$D$3)</f>
        <v>0.075</v>
      </c>
    </row>
    <row r="112" customFormat="false" ht="15" hidden="false" customHeight="false" outlineLevel="0" collapsed="false">
      <c r="A112" s="7" t="s">
        <v>488</v>
      </c>
      <c r="B112" s="8" t="s">
        <v>71</v>
      </c>
      <c r="C112" s="27" t="n">
        <f aca="false">INDEX(Pressupostos!$C$282:$G$282,1,$D$3)*(1-Pressupostos!$C$109)</f>
        <v>0.0648</v>
      </c>
      <c r="E112" s="27" t="n">
        <f aca="false">INDEX(Pressupostos!$C$283:$G$283,1,$D$3)*(1-Pressupostos!$C$109)</f>
        <v>0.054</v>
      </c>
      <c r="G112" s="27" t="n">
        <f aca="false">INDEX(Pressupostos!$C$284:$G$284,1,$D$3)*(1-Pressupostos!$C$109)</f>
        <v>0.0504</v>
      </c>
      <c r="I112" s="27" t="n">
        <f aca="false">INDEX(Pressupostos!$C$285:$G$285,1,$D$3)*(1-Pressupostos!$C$109)</f>
        <v>0.054</v>
      </c>
    </row>
    <row r="113" customFormat="false" ht="15" hidden="false" customHeight="false" outlineLevel="0" collapsed="false">
      <c r="A113" s="7" t="s">
        <v>489</v>
      </c>
      <c r="B113" s="8" t="s">
        <v>10</v>
      </c>
      <c r="C113" s="30" t="n">
        <f aca="false">INDEX(Motor!$C$67:$G$67,1,$D$3)*$C$85</f>
        <v>2209.66731898239</v>
      </c>
      <c r="E113" s="30" t="n">
        <f aca="false">INDEX(Motor!$C$377:$G$377,1,$D$3)*$E$85</f>
        <v>1263.89126712329</v>
      </c>
      <c r="G113" s="30" t="n">
        <f aca="false">INDEX(Motor!$C$687:$G$687,1,$D$3)*$G$85</f>
        <v>852.860596293312</v>
      </c>
      <c r="I113" s="30" t="n">
        <f aca="false">INDEX(Motor!$C$997:$G$997,1,$D$3)*$I$85</f>
        <v>1544.75599315068</v>
      </c>
    </row>
    <row r="114" customFormat="false" ht="15" hidden="false" customHeight="false" outlineLevel="0" collapsed="false">
      <c r="A114" s="7" t="s">
        <v>490</v>
      </c>
      <c r="B114" s="8" t="s">
        <v>71</v>
      </c>
      <c r="C114" s="27" t="n">
        <f aca="false">IF(INDEX(Pressupostos!$C$276:$G$276,1,$D$3)&gt;0,INDEX(Motor!$C$67:$G$67,1,$D$3)*$C$85/(INDEX(Pressupostos!$C$276:$G$276,1,$D$3)*(INDEX(Motor!$C$50:$G$50,1,$D$3)+INDEX(Motor!$C$53:$G$53,1,$D$3))*$C$85/Pressupostos!$C$31),0)</f>
        <v>0.0147945205479452</v>
      </c>
      <c r="E114" s="27" t="n">
        <f aca="false">IF(INDEX(Pressupostos!$C$277:$G$277,1,$D$3)&gt;0,INDEX(Motor!$C$377:$G$377,1,$D$3)*$E$85/(INDEX(Pressupostos!$C$277:$G$277,1,$D$3)*(INDEX(Motor!$C$360:$G$360,1,$D$3)+INDEX(Motor!$C$363:$G$363,1,$D$3))*$E$85/Pressupostos!$D$31),0)</f>
        <v>0.00924657534246575</v>
      </c>
      <c r="G114" s="27" t="n">
        <f aca="false">IF(INDEX(Pressupostos!$C$278:$G$278,1,$D$3)&gt;0,INDEX(Motor!$C$687:$G$687,1,$D$3)*$G$85/(INDEX(Pressupostos!$C$278:$G$278,1,$D$3)*(INDEX(Motor!$C$670:$G$670,1,$D$3)+INDEX(Motor!$C$673:$G$673,1,$D$3))*$G$85/Pressupostos!$E$31),0)</f>
        <v>0.00671232876712329</v>
      </c>
      <c r="I114" s="27" t="n">
        <f aca="false">IF(INDEX(Pressupostos!$C$279:$G$279,1,$D$3)&gt;0,INDEX(Motor!$C$997:$G$997,1,$D$3)*$I$85/(INDEX(Pressupostos!$C$279:$G$279,1,$D$3)*(INDEX(Motor!$C$980:$G$980,1,$D$3)+INDEX(Motor!$C$983:$G$983,1,$D$3))*$I$85/Pressupostos!$F$31),0)</f>
        <v>0.0113013698630137</v>
      </c>
    </row>
    <row r="115" customFormat="false" ht="15" hidden="false" customHeight="false" outlineLevel="0" collapsed="false">
      <c r="A115" s="7" t="s">
        <v>491</v>
      </c>
      <c r="B115" s="8" t="s">
        <v>10</v>
      </c>
      <c r="C115" s="30" t="n">
        <f aca="false">MAX(0,MIN(Pressupostos!$C$108*INDEX(Motor!$C$69:$G$69,1,$D$3)*$C$85,Pressupostos!$C$107*INDEX(Pressupostos!$C$276:$G$276,1,$D$3)*(INDEX(Motor!$C$50:$G$50,1,$D$3)+INDEX(Motor!$C$53:$G$53,1,$D$3))*$C$85/Pressupostos!$C$31))</f>
        <v>0</v>
      </c>
      <c r="E115" s="30" t="n">
        <f aca="false">MAX(0,MIN(Pressupostos!$C$108*INDEX(Motor!$C$379:$G$379,1,$D$3)*$E$85,Pressupostos!$C$107*INDEX(Pressupostos!$C$277:$G$277,1,$D$3)*(INDEX(Motor!$C$360:$G$360,1,$D$3)+INDEX(Motor!$C$363:$G$363,1,$D$3))*$E$85/Pressupostos!$D$31))</f>
        <v>578.056592465759</v>
      </c>
      <c r="G115" s="30" t="n">
        <f aca="false">MAX(0,MIN(Pressupostos!$C$108*INDEX(Motor!$C$689:$G$689,1,$D$3)*$G$85,Pressupostos!$C$107*INDEX(Pressupostos!$C$278:$G$278,1,$D$3)*(INDEX(Motor!$C$670:$G$670,1,$D$3)+INDEX(Motor!$C$673:$G$673,1,$D$3))*$G$85/Pressupostos!$E$31))</f>
        <v>2601.01510878325</v>
      </c>
      <c r="I115" s="30" t="n">
        <f aca="false">MAX(0,MIN(Pressupostos!$C$108*INDEX(Motor!$C$999:$G$999,1,$D$3)*$I$85,Pressupostos!$C$107*INDEX(Pressupostos!$C$279:$G$279,1,$D$3)*(INDEX(Motor!$C$980:$G$980,1,$D$3)+INDEX(Motor!$C$983:$G$983,1,$D$3))*$I$85/Pressupostos!$F$31))</f>
        <v>1391.09717465754</v>
      </c>
    </row>
    <row r="116" customFormat="false" ht="15" hidden="false" customHeight="false" outlineLevel="0" collapsed="false">
      <c r="A116" s="7" t="s">
        <v>492</v>
      </c>
      <c r="B116" s="8" t="s">
        <v>10</v>
      </c>
      <c r="C116" s="30" t="n">
        <f aca="false">INDEX(Motor!$C$69:$G$69,1,$D$3)*$C$85-C115</f>
        <v>-5903.16731898239</v>
      </c>
      <c r="E116" s="30" t="n">
        <f aca="false">INDEX(Motor!$C$379:$G$379,1,$D$3)*$E$85-E115</f>
        <v>1348.79871575344</v>
      </c>
      <c r="G116" s="30" t="n">
        <f aca="false">INDEX(Motor!$C$689:$G$689,1,$D$3)*$G$85-G115</f>
        <v>6069.03525382758</v>
      </c>
      <c r="I116" s="30" t="n">
        <f aca="false">INDEX(Motor!$C$999:$G$999,1,$D$3)*$I$85-I115</f>
        <v>3245.89340753425</v>
      </c>
    </row>
    <row r="117" customFormat="false" ht="15" hidden="false" customHeight="false" outlineLevel="0" collapsed="false">
      <c r="A117" s="7" t="s">
        <v>493</v>
      </c>
      <c r="B117" s="8" t="s">
        <v>10</v>
      </c>
      <c r="C117" s="30" t="n">
        <f aca="false">Pressupostos!$C$119+12*Pressupostos!$C$120</f>
        <v>13</v>
      </c>
      <c r="E117" s="30" t="n">
        <f aca="false">Pressupostos!$C$119+12*Pressupostos!$C$120</f>
        <v>13</v>
      </c>
      <c r="G117" s="30" t="n">
        <f aca="false">Pressupostos!$C$119+12*Pressupostos!$C$120</f>
        <v>13</v>
      </c>
      <c r="I117" s="30" t="n">
        <f aca="false">Pressupostos!$C$119+12*Pressupostos!$C$120</f>
        <v>13</v>
      </c>
    </row>
    <row r="118" customFormat="false" ht="15" hidden="false" customHeight="false" outlineLevel="0" collapsed="false">
      <c r="A118" s="7" t="s">
        <v>494</v>
      </c>
      <c r="B118" s="8" t="s">
        <v>10</v>
      </c>
      <c r="C118" s="30" t="n">
        <f aca="false">Pressupostos!$C$111*(1-INDEX(Pressupostos!$C$276:$G$276,1,$D$3))*(INDEX(Motor!$C$50:$G$50,1,$D$3)+INDEX(Motor!$C$53:$G$53,1,$D$3))*(INDEX(Motor!$C$56:$G$56,1,$D$3)+INDEX(Motor!$C$57:$G$57,1,$D$3)-Pressupostos!$C$70)/365*$C$85</f>
        <v>242.630136986301</v>
      </c>
      <c r="E118" s="30" t="n">
        <f aca="false">Pressupostos!$C$111*(1-INDEX(Pressupostos!$C$277:$G$277,1,$D$3))*(INDEX(Motor!$C$360:$G$360,1,$D$3)+INDEX(Motor!$C$363:$G$363,1,$D$3))*(INDEX(Motor!$C$366:$G$366,1,$D$3)+INDEX(Motor!$C$367:$G$367,1,$D$3)-Pressupostos!$C$70)/365*$E$85</f>
        <v>119.835616438356</v>
      </c>
      <c r="G118" s="30" t="n">
        <f aca="false">Pressupostos!$C$111*(1-INDEX(Pressupostos!$C$278:$G$278,1,$D$3))*(INDEX(Motor!$C$670:$G$670,1,$D$3)+INDEX(Motor!$C$673:$G$673,1,$D$3))*(INDEX(Motor!$C$676:$G$676,1,$D$3)+INDEX(Motor!$C$677:$G$677,1,$D$3)-Pressupostos!$C$70)/365*$G$85</f>
        <v>92.0547945205479</v>
      </c>
      <c r="I118" s="30" t="n">
        <f aca="false">Pressupostos!$C$111*(1-INDEX(Pressupostos!$C$279:$G$279,1,$D$3))*(INDEX(Motor!$C$980:$G$980,1,$D$3)+INDEX(Motor!$C$983:$G$983,1,$D$3))*(INDEX(Motor!$C$986:$G$986,1,$D$3)+INDEX(Motor!$C$987:$G$987,1,$D$3)-Pressupostos!$C$70)/365*$I$85</f>
        <v>146.465753424658</v>
      </c>
    </row>
    <row r="120" customFormat="false" ht="15" hidden="false" customHeight="false" outlineLevel="0" collapsed="false">
      <c r="A120" s="10" t="s">
        <v>531</v>
      </c>
    </row>
    <row r="121" customFormat="false" ht="15" hidden="false" customHeight="false" outlineLevel="0" collapsed="false">
      <c r="A121" s="3" t="s">
        <v>455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customFormat="false" ht="23.85" hidden="false" customHeight="false" outlineLevel="0" collapsed="false">
      <c r="A122" s="5" t="s">
        <v>456</v>
      </c>
      <c r="B122" s="5" t="s">
        <v>4</v>
      </c>
      <c r="C122" s="6" t="s">
        <v>457</v>
      </c>
      <c r="D122" s="6" t="s">
        <v>458</v>
      </c>
      <c r="E122" s="6" t="s">
        <v>459</v>
      </c>
      <c r="F122" s="6" t="s">
        <v>460</v>
      </c>
      <c r="G122" s="6" t="s">
        <v>461</v>
      </c>
      <c r="H122" s="6" t="s">
        <v>462</v>
      </c>
      <c r="I122" s="6" t="s">
        <v>463</v>
      </c>
      <c r="J122" s="6" t="s">
        <v>464</v>
      </c>
      <c r="K122" s="6" t="s">
        <v>465</v>
      </c>
    </row>
    <row r="123" customFormat="false" ht="15" hidden="false" customHeight="false" outlineLevel="0" collapsed="false">
      <c r="A123" s="7" t="s">
        <v>144</v>
      </c>
      <c r="B123" s="8" t="s">
        <v>466</v>
      </c>
      <c r="C123" s="30" t="n">
        <f aca="false">Pressupostos!$C$58*1000</f>
        <v>100000</v>
      </c>
      <c r="E123" s="30" t="n">
        <f aca="false">Pressupostos!$C$58*1000</f>
        <v>100000</v>
      </c>
      <c r="G123" s="30" t="n">
        <f aca="false">Pressupostos!$C$58*1000</f>
        <v>100000</v>
      </c>
      <c r="I123" s="30" t="n">
        <f aca="false">Pressupostos!$C$58*1000</f>
        <v>100000</v>
      </c>
    </row>
    <row r="124" customFormat="false" ht="15" hidden="false" customHeight="false" outlineLevel="0" collapsed="false">
      <c r="A124" s="7" t="s">
        <v>467</v>
      </c>
      <c r="B124" s="8" t="s">
        <v>10</v>
      </c>
      <c r="C124" s="30" t="n">
        <f aca="false">D124*$C$123</f>
        <v>365000</v>
      </c>
      <c r="D124" s="34" t="n">
        <f aca="false">INDEX(Motor!$C$74:$G$74,1,$D$3)</f>
        <v>3.65</v>
      </c>
      <c r="E124" s="30" t="n">
        <f aca="false">F124*$E$123</f>
        <v>365000</v>
      </c>
      <c r="F124" s="34" t="n">
        <f aca="false">INDEX(Motor!$C$384:$G$384,1,$D$3)</f>
        <v>3.65</v>
      </c>
      <c r="G124" s="30" t="n">
        <f aca="false">H124*$G$123</f>
        <v>365000</v>
      </c>
      <c r="H124" s="34" t="n">
        <f aca="false">INDEX(Motor!$C$694:$G$694,1,$D$3)</f>
        <v>3.65</v>
      </c>
      <c r="I124" s="30" t="n">
        <f aca="false">J124*$I$123</f>
        <v>365000</v>
      </c>
      <c r="J124" s="34" t="n">
        <f aca="false">INDEX(Motor!$C$1004:$G$1004,1,$D$3)</f>
        <v>3.65</v>
      </c>
    </row>
    <row r="125" customFormat="false" ht="15" hidden="false" customHeight="false" outlineLevel="0" collapsed="false">
      <c r="A125" s="7" t="s">
        <v>84</v>
      </c>
      <c r="B125" s="8" t="s">
        <v>10</v>
      </c>
      <c r="C125" s="30" t="n">
        <f aca="false">D125*$C$123</f>
        <v>-0</v>
      </c>
      <c r="D125" s="34" t="n">
        <f aca="false">-(INDEX(Motor!$C$74:$G$74,1,$D$3)-INDEX(Motor!$C$75:$G$75,1,$D$3))</f>
        <v>-0</v>
      </c>
      <c r="E125" s="30" t="n">
        <f aca="false">F125*$E$123</f>
        <v>-0</v>
      </c>
      <c r="F125" s="34" t="n">
        <f aca="false">-(INDEX(Motor!$C$384:$G$384,1,$D$3)-INDEX(Motor!$C$385:$G$385,1,$D$3))</f>
        <v>-0</v>
      </c>
      <c r="G125" s="30" t="n">
        <f aca="false">H125*$G$123</f>
        <v>-0</v>
      </c>
      <c r="H125" s="34" t="n">
        <f aca="false">-(INDEX(Motor!$C$694:$G$694,1,$D$3)-INDEX(Motor!$C$695:$G$695,1,$D$3))</f>
        <v>-0</v>
      </c>
      <c r="I125" s="30" t="n">
        <f aca="false">J125*$I$123</f>
        <v>-0</v>
      </c>
      <c r="J125" s="34" t="n">
        <f aca="false">-(INDEX(Motor!$C$1004:$G$1004,1,$D$3)-INDEX(Motor!$C$1005:$G$1005,1,$D$3))</f>
        <v>-0</v>
      </c>
    </row>
    <row r="126" customFormat="false" ht="15" hidden="false" customHeight="false" outlineLevel="0" collapsed="false">
      <c r="A126" s="10" t="s">
        <v>468</v>
      </c>
      <c r="B126" s="8" t="s">
        <v>10</v>
      </c>
      <c r="C126" s="41" t="n">
        <f aca="false">D126*$C$123</f>
        <v>365000</v>
      </c>
      <c r="D126" s="42" t="n">
        <f aca="false">INDEX(Motor!$C$75:$G$75,1,$D$3)</f>
        <v>3.65</v>
      </c>
      <c r="E126" s="41" t="n">
        <f aca="false">F126*$E$123</f>
        <v>365000</v>
      </c>
      <c r="F126" s="42" t="n">
        <f aca="false">INDEX(Motor!$C$385:$G$385,1,$D$3)</f>
        <v>3.65</v>
      </c>
      <c r="G126" s="41" t="n">
        <f aca="false">H126*$G$123</f>
        <v>365000</v>
      </c>
      <c r="H126" s="42" t="n">
        <f aca="false">INDEX(Motor!$C$695:$G$695,1,$D$3)</f>
        <v>3.65</v>
      </c>
      <c r="I126" s="41" t="n">
        <f aca="false">J126*$I$123</f>
        <v>365000</v>
      </c>
      <c r="J126" s="42" t="n">
        <f aca="false">INDEX(Motor!$C$1005:$G$1005,1,$D$3)</f>
        <v>3.65</v>
      </c>
    </row>
    <row r="127" customFormat="false" ht="15" hidden="false" customHeight="false" outlineLevel="0" collapsed="false">
      <c r="A127" s="7" t="s">
        <v>469</v>
      </c>
      <c r="B127" s="8" t="s">
        <v>10</v>
      </c>
      <c r="C127" s="30" t="n">
        <f aca="false">D127*$C$123</f>
        <v>-350000</v>
      </c>
      <c r="D127" s="34" t="n">
        <f aca="false">-INDEX(Motor!$C$73:$G$73,1,$D$3)</f>
        <v>-3.5</v>
      </c>
      <c r="E127" s="30" t="n">
        <f aca="false">F127*$E$123</f>
        <v>-350000</v>
      </c>
      <c r="F127" s="34" t="n">
        <f aca="false">-INDEX(Motor!$C$383:$G$383,1,$D$3)</f>
        <v>-3.5</v>
      </c>
      <c r="G127" s="30" t="n">
        <f aca="false">H127*$G$123</f>
        <v>-350000</v>
      </c>
      <c r="H127" s="34" t="n">
        <f aca="false">-INDEX(Motor!$C$693:$G$693,1,$D$3)</f>
        <v>-3.5</v>
      </c>
      <c r="I127" s="30" t="n">
        <f aca="false">J127*$I$123</f>
        <v>-350000</v>
      </c>
      <c r="J127" s="34" t="n">
        <f aca="false">-INDEX(Motor!$C$1003:$G$1003,1,$D$3)</f>
        <v>-3.5</v>
      </c>
    </row>
    <row r="128" customFormat="false" ht="15" hidden="false" customHeight="false" outlineLevel="0" collapsed="false">
      <c r="A128" s="7" t="s">
        <v>470</v>
      </c>
      <c r="B128" s="8" t="s">
        <v>10</v>
      </c>
      <c r="C128" s="30" t="n">
        <f aca="false">D128*$C$123</f>
        <v>-0</v>
      </c>
      <c r="D128" s="34" t="n">
        <f aca="false">-INDEX(Motor!$C$76:$G$76,1,$D$3)</f>
        <v>-0</v>
      </c>
      <c r="E128" s="30" t="n">
        <f aca="false">F128*$E$123</f>
        <v>-0</v>
      </c>
      <c r="F128" s="34" t="n">
        <f aca="false">-INDEX(Motor!$C$386:$G$386,1,$D$3)</f>
        <v>-0</v>
      </c>
      <c r="G128" s="30" t="n">
        <f aca="false">H128*$G$123</f>
        <v>-0</v>
      </c>
      <c r="H128" s="34" t="n">
        <f aca="false">-INDEX(Motor!$C$696:$G$696,1,$D$3)</f>
        <v>-0</v>
      </c>
      <c r="I128" s="30" t="n">
        <f aca="false">J128*$I$123</f>
        <v>-0</v>
      </c>
      <c r="J128" s="34" t="n">
        <f aca="false">-INDEX(Motor!$C$1006:$G$1006,1,$D$3)</f>
        <v>-0</v>
      </c>
    </row>
    <row r="129" customFormat="false" ht="15" hidden="false" customHeight="false" outlineLevel="0" collapsed="false">
      <c r="A129" s="7" t="s">
        <v>205</v>
      </c>
      <c r="B129" s="8" t="s">
        <v>10</v>
      </c>
      <c r="C129" s="30" t="n">
        <f aca="false">D129*$C$123</f>
        <v>-4000</v>
      </c>
      <c r="D129" s="34" t="n">
        <f aca="false">-INDEX(Motor!$C$77:$G$77,1,$D$3)</f>
        <v>-0.04</v>
      </c>
      <c r="E129" s="30" t="n">
        <f aca="false">F129*$E$123</f>
        <v>-4000</v>
      </c>
      <c r="F129" s="34" t="n">
        <f aca="false">-INDEX(Motor!$C$387:$G$387,1,$D$3)</f>
        <v>-0.04</v>
      </c>
      <c r="G129" s="30" t="n">
        <f aca="false">H129*$G$123</f>
        <v>-4000</v>
      </c>
      <c r="H129" s="34" t="n">
        <f aca="false">-INDEX(Motor!$C$697:$G$697,1,$D$3)</f>
        <v>-0.04</v>
      </c>
      <c r="I129" s="30" t="n">
        <f aca="false">J129*$I$123</f>
        <v>-4000</v>
      </c>
      <c r="J129" s="34" t="n">
        <f aca="false">-INDEX(Motor!$C$1007:$G$1007,1,$D$3)</f>
        <v>-0.04</v>
      </c>
    </row>
    <row r="130" customFormat="false" ht="15" hidden="false" customHeight="false" outlineLevel="0" collapsed="false">
      <c r="A130" s="7" t="s">
        <v>109</v>
      </c>
      <c r="B130" s="8" t="s">
        <v>10</v>
      </c>
      <c r="C130" s="30" t="n">
        <f aca="false">D130*$C$123</f>
        <v>-0</v>
      </c>
      <c r="D130" s="34" t="n">
        <f aca="false">-INDEX(Motor!$C$78:$G$78,1,$D$3)</f>
        <v>-0</v>
      </c>
      <c r="E130" s="30" t="n">
        <f aca="false">F130*$E$123</f>
        <v>-0</v>
      </c>
      <c r="F130" s="34" t="n">
        <f aca="false">-INDEX(Motor!$C$388:$G$388,1,$D$3)</f>
        <v>-0</v>
      </c>
      <c r="G130" s="30" t="n">
        <f aca="false">H130*$G$123</f>
        <v>-0</v>
      </c>
      <c r="H130" s="34" t="n">
        <f aca="false">-INDEX(Motor!$C$698:$G$698,1,$D$3)</f>
        <v>-0</v>
      </c>
      <c r="I130" s="30" t="n">
        <f aca="false">J130*$I$123</f>
        <v>-0</v>
      </c>
      <c r="J130" s="34" t="n">
        <f aca="false">-INDEX(Motor!$C$1008:$G$1008,1,$D$3)</f>
        <v>-0</v>
      </c>
    </row>
    <row r="131" customFormat="false" ht="15" hidden="false" customHeight="false" outlineLevel="0" collapsed="false">
      <c r="A131" s="7" t="s">
        <v>471</v>
      </c>
      <c r="B131" s="8" t="s">
        <v>10</v>
      </c>
      <c r="C131" s="30" t="n">
        <f aca="false">D131*$C$123</f>
        <v>-200</v>
      </c>
      <c r="D131" s="34" t="n">
        <f aca="false">-INDEX(Motor!$C$81:$G$81,1,$D$3)</f>
        <v>-0.002</v>
      </c>
      <c r="E131" s="30" t="n">
        <f aca="false">F131*$E$123</f>
        <v>-200</v>
      </c>
      <c r="F131" s="34" t="n">
        <f aca="false">-INDEX(Motor!$C$391:$G$391,1,$D$3)</f>
        <v>-0.002</v>
      </c>
      <c r="G131" s="30" t="n">
        <f aca="false">H131*$G$123</f>
        <v>-200</v>
      </c>
      <c r="H131" s="34" t="n">
        <f aca="false">-INDEX(Motor!$C$701:$G$701,1,$D$3)</f>
        <v>-0.002</v>
      </c>
      <c r="I131" s="30" t="n">
        <f aca="false">J131*$I$123</f>
        <v>-200</v>
      </c>
      <c r="J131" s="34" t="n">
        <f aca="false">-INDEX(Motor!$C$1011:$G$1011,1,$D$3)</f>
        <v>-0.002</v>
      </c>
    </row>
    <row r="132" customFormat="false" ht="15" hidden="false" customHeight="false" outlineLevel="0" collapsed="false">
      <c r="A132" s="7" t="s">
        <v>154</v>
      </c>
      <c r="B132" s="8" t="s">
        <v>10</v>
      </c>
      <c r="C132" s="30" t="n">
        <f aca="false">D132*$C$123</f>
        <v>-28.7671232876712</v>
      </c>
      <c r="D132" s="34" t="n">
        <f aca="false">-INDEX(Motor!$C$82:$G$82,1,$D$3)</f>
        <v>-0.000287671232876712</v>
      </c>
      <c r="E132" s="30" t="n">
        <f aca="false">F132*$E$123</f>
        <v>-28.7671232876712</v>
      </c>
      <c r="F132" s="34" t="n">
        <f aca="false">-INDEX(Motor!$C$392:$G$392,1,$D$3)</f>
        <v>-0.000287671232876712</v>
      </c>
      <c r="G132" s="30" t="n">
        <f aca="false">H132*$G$123</f>
        <v>-28.7671232876712</v>
      </c>
      <c r="H132" s="34" t="n">
        <f aca="false">-INDEX(Motor!$C$702:$G$702,1,$D$3)</f>
        <v>-0.000287671232876712</v>
      </c>
      <c r="I132" s="30" t="n">
        <f aca="false">J132*$I$123</f>
        <v>-28.7671232876712</v>
      </c>
      <c r="J132" s="34" t="n">
        <f aca="false">-INDEX(Motor!$C$1012:$G$1012,1,$D$3)</f>
        <v>-0.000287671232876712</v>
      </c>
    </row>
    <row r="133" customFormat="false" ht="15" hidden="false" customHeight="false" outlineLevel="0" collapsed="false">
      <c r="A133" s="7" t="s">
        <v>472</v>
      </c>
      <c r="B133" s="8" t="s">
        <v>10</v>
      </c>
      <c r="C133" s="30" t="n">
        <f aca="false">D133*$C$123</f>
        <v>-600</v>
      </c>
      <c r="D133" s="34" t="n">
        <f aca="false">-INDEX(Motor!$C$83:$G$83,1,$D$3)</f>
        <v>-0.006</v>
      </c>
      <c r="E133" s="30" t="n">
        <f aca="false">F133*$E$123</f>
        <v>-600</v>
      </c>
      <c r="F133" s="34" t="n">
        <f aca="false">-INDEX(Motor!$C$393:$G$393,1,$D$3)</f>
        <v>-0.006</v>
      </c>
      <c r="G133" s="30" t="n">
        <f aca="false">H133*$G$123</f>
        <v>-600</v>
      </c>
      <c r="H133" s="34" t="n">
        <f aca="false">-INDEX(Motor!$C$703:$G$703,1,$D$3)</f>
        <v>-0.006</v>
      </c>
      <c r="I133" s="30" t="n">
        <f aca="false">J133*$I$123</f>
        <v>-600</v>
      </c>
      <c r="J133" s="34" t="n">
        <f aca="false">-INDEX(Motor!$C$1013:$G$1013,1,$D$3)</f>
        <v>-0.006</v>
      </c>
    </row>
    <row r="134" customFormat="false" ht="15" hidden="false" customHeight="false" outlineLevel="0" collapsed="false">
      <c r="A134" s="7" t="s">
        <v>473</v>
      </c>
      <c r="B134" s="8" t="s">
        <v>10</v>
      </c>
      <c r="C134" s="30" t="n">
        <f aca="false">D134*$C$123</f>
        <v>-1750</v>
      </c>
      <c r="D134" s="34" t="n">
        <f aca="false">-INDEX(Motor!$C$84:$G$84,1,$D$3)</f>
        <v>-0.0175</v>
      </c>
      <c r="E134" s="30" t="n">
        <f aca="false">F134*$E$123</f>
        <v>-1750</v>
      </c>
      <c r="F134" s="34" t="n">
        <f aca="false">-INDEX(Motor!$C$394:$G$394,1,$D$3)</f>
        <v>-0.0175</v>
      </c>
      <c r="G134" s="30" t="n">
        <f aca="false">H134*$G$123</f>
        <v>-1750</v>
      </c>
      <c r="H134" s="34" t="n">
        <f aca="false">-INDEX(Motor!$C$704:$G$704,1,$D$3)</f>
        <v>-0.0175</v>
      </c>
      <c r="I134" s="30" t="n">
        <f aca="false">J134*$I$123</f>
        <v>-1750</v>
      </c>
      <c r="J134" s="34" t="n">
        <f aca="false">-INDEX(Motor!$C$1014:$G$1014,1,$D$3)</f>
        <v>-0.0175</v>
      </c>
    </row>
    <row r="135" customFormat="false" ht="15" hidden="false" customHeight="false" outlineLevel="0" collapsed="false">
      <c r="A135" s="7" t="s">
        <v>474</v>
      </c>
      <c r="B135" s="8" t="s">
        <v>10</v>
      </c>
      <c r="C135" s="30" t="n">
        <f aca="false">D135*$C$123</f>
        <v>-150</v>
      </c>
      <c r="D135" s="34" t="n">
        <f aca="false">-INDEX(Motor!$C$85:$G$85,1,$D$3)</f>
        <v>-0.0015</v>
      </c>
      <c r="E135" s="30" t="n">
        <f aca="false">F135*$E$123</f>
        <v>-150</v>
      </c>
      <c r="F135" s="34" t="n">
        <f aca="false">-INDEX(Motor!$C$395:$G$395,1,$D$3)</f>
        <v>-0.0015</v>
      </c>
      <c r="G135" s="30" t="n">
        <f aca="false">H135*$G$123</f>
        <v>-150</v>
      </c>
      <c r="H135" s="34" t="n">
        <f aca="false">-INDEX(Motor!$C$705:$G$705,1,$D$3)</f>
        <v>-0.0015</v>
      </c>
      <c r="I135" s="30" t="n">
        <f aca="false">J135*$I$123</f>
        <v>-150</v>
      </c>
      <c r="J135" s="34" t="n">
        <f aca="false">-INDEX(Motor!$C$1015:$G$1015,1,$D$3)</f>
        <v>-0.0015</v>
      </c>
    </row>
    <row r="136" customFormat="false" ht="15" hidden="false" customHeight="false" outlineLevel="0" collapsed="false">
      <c r="A136" s="7" t="s">
        <v>475</v>
      </c>
      <c r="B136" s="8" t="s">
        <v>10</v>
      </c>
      <c r="C136" s="30" t="n">
        <f aca="false">D136*$C$123</f>
        <v>-1200</v>
      </c>
      <c r="D136" s="34" t="n">
        <f aca="false">-INDEX(Motor!$C$86:$G$86,1,$D$3)</f>
        <v>-0.012</v>
      </c>
      <c r="E136" s="30" t="n">
        <f aca="false">F136*$E$123</f>
        <v>-1200</v>
      </c>
      <c r="F136" s="34" t="n">
        <f aca="false">-INDEX(Motor!$C$396:$G$396,1,$D$3)</f>
        <v>-0.012</v>
      </c>
      <c r="G136" s="30" t="n">
        <f aca="false">H136*$G$123</f>
        <v>-1200</v>
      </c>
      <c r="H136" s="34" t="n">
        <f aca="false">-INDEX(Motor!$C$706:$G$706,1,$D$3)</f>
        <v>-0.012</v>
      </c>
      <c r="I136" s="30" t="n">
        <f aca="false">J136*$I$123</f>
        <v>-1200</v>
      </c>
      <c r="J136" s="34" t="n">
        <f aca="false">-INDEX(Motor!$C$1016:$G$1016,1,$D$3)</f>
        <v>-0.012</v>
      </c>
    </row>
    <row r="137" customFormat="false" ht="15" hidden="false" customHeight="false" outlineLevel="0" collapsed="false">
      <c r="A137" s="7" t="s">
        <v>476</v>
      </c>
      <c r="B137" s="8" t="s">
        <v>10</v>
      </c>
      <c r="C137" s="30" t="n">
        <f aca="false">D137*$C$123</f>
        <v>-100</v>
      </c>
      <c r="D137" s="34" t="n">
        <f aca="false">-INDEX(Motor!$C$87:$G$87,1,$D$3)</f>
        <v>-0.001</v>
      </c>
      <c r="E137" s="30" t="n">
        <f aca="false">F137*$E$123</f>
        <v>-100</v>
      </c>
      <c r="F137" s="34" t="n">
        <f aca="false">-INDEX(Motor!$C$397:$G$397,1,$D$3)</f>
        <v>-0.001</v>
      </c>
      <c r="G137" s="30" t="n">
        <f aca="false">H137*$G$123</f>
        <v>-100</v>
      </c>
      <c r="H137" s="34" t="n">
        <f aca="false">-INDEX(Motor!$C$707:$G$707,1,$D$3)</f>
        <v>-0.001</v>
      </c>
      <c r="I137" s="30" t="n">
        <f aca="false">J137*$I$123</f>
        <v>-100</v>
      </c>
      <c r="J137" s="34" t="n">
        <f aca="false">-INDEX(Motor!$C$1017:$G$1017,1,$D$3)</f>
        <v>-0.001</v>
      </c>
    </row>
    <row r="138" customFormat="false" ht="15" hidden="false" customHeight="false" outlineLevel="0" collapsed="false">
      <c r="A138" s="7" t="s">
        <v>76</v>
      </c>
      <c r="B138" s="8" t="s">
        <v>10</v>
      </c>
      <c r="C138" s="30" t="n">
        <f aca="false">D138*$C$123</f>
        <v>-1095</v>
      </c>
      <c r="D138" s="34" t="n">
        <f aca="false">-INDEX(Motor!$C$88:$G$88,1,$D$3)</f>
        <v>-0.01095</v>
      </c>
      <c r="E138" s="30" t="n">
        <f aca="false">F138*$E$123</f>
        <v>-1095</v>
      </c>
      <c r="F138" s="34" t="n">
        <f aca="false">-INDEX(Motor!$C$398:$G$398,1,$D$3)</f>
        <v>-0.01095</v>
      </c>
      <c r="G138" s="30" t="n">
        <f aca="false">H138*$G$123</f>
        <v>-1095</v>
      </c>
      <c r="H138" s="34" t="n">
        <f aca="false">-INDEX(Motor!$C$708:$G$708,1,$D$3)</f>
        <v>-0.01095</v>
      </c>
      <c r="I138" s="30" t="n">
        <f aca="false">J138*$I$123</f>
        <v>-1095</v>
      </c>
      <c r="J138" s="34" t="n">
        <f aca="false">-INDEX(Motor!$C$1018:$G$1018,1,$D$3)</f>
        <v>-0.01095</v>
      </c>
    </row>
    <row r="139" customFormat="false" ht="15" hidden="false" customHeight="false" outlineLevel="0" collapsed="false">
      <c r="A139" s="7" t="s">
        <v>477</v>
      </c>
      <c r="B139" s="8" t="s">
        <v>10</v>
      </c>
      <c r="C139" s="30" t="n">
        <f aca="false">D139*$C$123</f>
        <v>-0</v>
      </c>
      <c r="D139" s="34" t="n">
        <f aca="false">-INDEX(Motor!$C$89:$G$89,1,$D$3)</f>
        <v>-0</v>
      </c>
      <c r="E139" s="30" t="n">
        <f aca="false">F139*$E$123</f>
        <v>-0</v>
      </c>
      <c r="F139" s="34" t="n">
        <f aca="false">-INDEX(Motor!$C$399:$G$399,1,$D$3)</f>
        <v>-0</v>
      </c>
      <c r="G139" s="30" t="n">
        <f aca="false">H139*$G$123</f>
        <v>-0</v>
      </c>
      <c r="H139" s="34" t="n">
        <f aca="false">-INDEX(Motor!$C$709:$G$709,1,$D$3)</f>
        <v>-0</v>
      </c>
      <c r="I139" s="30" t="n">
        <f aca="false">J139*$I$123</f>
        <v>-0</v>
      </c>
      <c r="J139" s="34" t="n">
        <f aca="false">-INDEX(Motor!$C$1019:$G$1019,1,$D$3)</f>
        <v>-0</v>
      </c>
    </row>
    <row r="140" customFormat="false" ht="15" hidden="false" customHeight="false" outlineLevel="0" collapsed="false">
      <c r="A140" s="7" t="s">
        <v>478</v>
      </c>
      <c r="B140" s="8" t="s">
        <v>10</v>
      </c>
      <c r="C140" s="30" t="n">
        <f aca="false">D140*$C$123</f>
        <v>-3143.83561643836</v>
      </c>
      <c r="D140" s="34" t="n">
        <f aca="false">-INDEX(Motor!$C$90:$G$90,1,$D$3)</f>
        <v>-0.0314383561643836</v>
      </c>
      <c r="E140" s="30" t="n">
        <f aca="false">F140*$E$123</f>
        <v>-2427.22602739726</v>
      </c>
      <c r="F140" s="34" t="n">
        <f aca="false">-INDEX(Motor!$C$400:$G$400,1,$D$3)</f>
        <v>-0.0242722602739726</v>
      </c>
      <c r="G140" s="30" t="n">
        <f aca="false">H140*$G$123</f>
        <v>-2132.15149073328</v>
      </c>
      <c r="H140" s="34" t="n">
        <f aca="false">-INDEX(Motor!$C$710:$G$710,1,$D$3)</f>
        <v>-0.0213215149073328</v>
      </c>
      <c r="I140" s="30" t="n">
        <f aca="false">J140*$I$123</f>
        <v>-2427.22602739726</v>
      </c>
      <c r="J140" s="34" t="n">
        <f aca="false">-INDEX(Motor!$C$1020:$G$1020,1,$D$3)</f>
        <v>-0.0242722602739726</v>
      </c>
    </row>
    <row r="141" customFormat="false" ht="15" hidden="false" customHeight="false" outlineLevel="0" collapsed="false">
      <c r="A141" s="10" t="s">
        <v>479</v>
      </c>
      <c r="B141" s="8" t="s">
        <v>10</v>
      </c>
      <c r="C141" s="41" t="n">
        <f aca="false">D141*$C$123</f>
        <v>2732.39726027406</v>
      </c>
      <c r="D141" s="42" t="n">
        <f aca="false">INDEX(Motor!$C$92:$G$92,1,$D$3)</f>
        <v>0.0273239726027406</v>
      </c>
      <c r="E141" s="41" t="n">
        <f aca="false">F141*$E$123</f>
        <v>3449.00684931515</v>
      </c>
      <c r="F141" s="42" t="n">
        <f aca="false">INDEX(Motor!$C$402:$G$402,1,$D$3)</f>
        <v>0.0344900684931515</v>
      </c>
      <c r="G141" s="41" t="n">
        <f aca="false">H141*$G$123</f>
        <v>3744.08138597913</v>
      </c>
      <c r="H141" s="42" t="n">
        <f aca="false">INDEX(Motor!$C$712:$G$712,1,$D$3)</f>
        <v>0.0374408138597913</v>
      </c>
      <c r="I141" s="41" t="n">
        <f aca="false">J141*$I$123</f>
        <v>3449.00684931515</v>
      </c>
      <c r="J141" s="42" t="n">
        <f aca="false">INDEX(Motor!$C$1022:$G$1022,1,$D$3)</f>
        <v>0.0344900684931515</v>
      </c>
    </row>
    <row r="142" customFormat="false" ht="15" hidden="false" customHeight="false" outlineLevel="0" collapsed="false">
      <c r="A142" s="7" t="s">
        <v>480</v>
      </c>
      <c r="B142" s="8" t="s">
        <v>71</v>
      </c>
      <c r="D142" s="23" t="n">
        <f aca="false">IF(D126&gt;0,D141/D126,0)</f>
        <v>0.0074860198911618</v>
      </c>
      <c r="F142" s="23" t="n">
        <f aca="false">IF(F126&gt;0,F141/F126,0)</f>
        <v>0.00944933383374014</v>
      </c>
      <c r="H142" s="23" t="n">
        <f aca="false">IF(H126&gt;0,H141/H126,0)</f>
        <v>0.0102577572218606</v>
      </c>
      <c r="J142" s="23" t="n">
        <f aca="false">IF(J126&gt;0,J141/J126,0)</f>
        <v>0.00944933383374014</v>
      </c>
    </row>
    <row r="143" customFormat="false" ht="15" hidden="false" customHeight="false" outlineLevel="0" collapsed="false">
      <c r="A143" s="19" t="s">
        <v>481</v>
      </c>
    </row>
    <row r="144" customFormat="false" ht="15" hidden="false" customHeight="false" outlineLevel="0" collapsed="false">
      <c r="A144" s="7" t="s">
        <v>482</v>
      </c>
      <c r="B144" s="8" t="s">
        <v>10</v>
      </c>
      <c r="C144" s="30" t="n">
        <f aca="false">(INDEX(Motor!$C$73:$G$73,1,$D$3)+INDEX(Motor!$C$76:$G$76,1,$D$3))*$C$123</f>
        <v>350000</v>
      </c>
      <c r="E144" s="30" t="n">
        <f aca="false">(INDEX(Motor!$C$383:$G$383,1,$D$3)+INDEX(Motor!$C$386:$G$386,1,$D$3))*$E$123</f>
        <v>350000</v>
      </c>
      <c r="G144" s="30" t="n">
        <f aca="false">(INDEX(Motor!$C$693:$G$693,1,$D$3)+INDEX(Motor!$C$696:$G$696,1,$D$3))*$G$123</f>
        <v>350000</v>
      </c>
      <c r="I144" s="30" t="n">
        <f aca="false">(INDEX(Motor!$C$1003:$G$1003,1,$D$3)+INDEX(Motor!$C$1006:$G$1006,1,$D$3))*$I$123</f>
        <v>350000</v>
      </c>
    </row>
    <row r="145" customFormat="false" ht="15" hidden="false" customHeight="false" outlineLevel="0" collapsed="false">
      <c r="A145" s="7" t="s">
        <v>483</v>
      </c>
      <c r="B145" s="8" t="s">
        <v>74</v>
      </c>
      <c r="C145" s="25" t="n">
        <f aca="false">INDEX(Motor!$C$79:$G$79,1,$D$3)+INDEX(Motor!$C$80:$G$80,1,$D$3)-Pressupostos!$C$70</f>
        <v>30</v>
      </c>
      <c r="E145" s="25" t="n">
        <f aca="false">INDEX(Motor!$C$389:$G$389,1,$D$3)+INDEX(Motor!$C$390:$G$390,1,$D$3)-Pressupostos!$C$70</f>
        <v>30</v>
      </c>
      <c r="G145" s="25" t="n">
        <f aca="false">INDEX(Motor!$C$699:$G$699,1,$D$3)+INDEX(Motor!$C$700:$G$700,1,$D$3)-Pressupostos!$C$70</f>
        <v>30</v>
      </c>
      <c r="I145" s="25" t="n">
        <f aca="false">INDEX(Motor!$C$1009:$G$1009,1,$D$3)+INDEX(Motor!$C$1010:$G$1010,1,$D$3)-Pressupostos!$C$70</f>
        <v>30</v>
      </c>
    </row>
    <row r="146" customFormat="false" ht="15" hidden="false" customHeight="false" outlineLevel="0" collapsed="false">
      <c r="A146" s="7" t="s">
        <v>484</v>
      </c>
      <c r="B146" s="8" t="s">
        <v>71</v>
      </c>
      <c r="C146" s="23" t="n">
        <f aca="false">INDEX(Pressupostos!$C$276:$G$276,1,$D$3)</f>
        <v>0.85</v>
      </c>
      <c r="E146" s="23" t="n">
        <f aca="false">INDEX(Pressupostos!$C$277:$G$277,1,$D$3)</f>
        <v>0.9</v>
      </c>
      <c r="G146" s="23" t="n">
        <f aca="false">INDEX(Pressupostos!$C$278:$G$278,1,$D$3)</f>
        <v>0.9</v>
      </c>
      <c r="I146" s="23" t="n">
        <f aca="false">INDEX(Pressupostos!$C$279:$G$279,1,$D$3)</f>
        <v>0.9</v>
      </c>
    </row>
    <row r="147" customFormat="false" ht="15" hidden="false" customHeight="false" outlineLevel="0" collapsed="false">
      <c r="A147" s="7" t="s">
        <v>485</v>
      </c>
      <c r="B147" s="8" t="s">
        <v>10</v>
      </c>
      <c r="C147" s="30" t="n">
        <f aca="false">INDEX(Pressupostos!$C$276:$G$276,1,$D$3)*(INDEX(Motor!$C$73:$G$73,1,$D$3)+INDEX(Motor!$C$76:$G$76,1,$D$3))*$C$123/Pressupostos!$C$31</f>
        <v>425000</v>
      </c>
      <c r="E147" s="30" t="n">
        <f aca="false">INDEX(Pressupostos!$C$277:$G$277,1,$D$3)*(INDEX(Motor!$C$383:$G$383,1,$D$3)+INDEX(Motor!$C$386:$G$386,1,$D$3))*$E$123/Pressupostos!$D$31</f>
        <v>393750</v>
      </c>
      <c r="G147" s="30" t="n">
        <f aca="false">INDEX(Pressupostos!$C$278:$G$278,1,$D$3)*(INDEX(Motor!$C$693:$G$693,1,$D$3)+INDEX(Motor!$C$696:$G$696,1,$D$3))*$G$123/Pressupostos!$E$31</f>
        <v>370588.235294118</v>
      </c>
      <c r="I147" s="30" t="n">
        <f aca="false">INDEX(Pressupostos!$C$279:$G$279,1,$D$3)*(INDEX(Motor!$C$1003:$G$1003,1,$D$3)+INDEX(Motor!$C$1006:$G$1006,1,$D$3))*$I$123/Pressupostos!$F$31</f>
        <v>393750</v>
      </c>
    </row>
    <row r="148" customFormat="false" ht="15" hidden="false" customHeight="false" outlineLevel="0" collapsed="false">
      <c r="A148" s="7" t="s">
        <v>486</v>
      </c>
      <c r="B148" s="8" t="s">
        <v>10</v>
      </c>
      <c r="C148" s="30" t="n">
        <f aca="false">(1-INDEX(Pressupostos!$C$276:$G$276,1,$D$3))*(INDEX(Motor!$C$73:$G$73,1,$D$3)+INDEX(Motor!$C$76:$G$76,1,$D$3))*$C$123</f>
        <v>52500</v>
      </c>
      <c r="E148" s="30" t="n">
        <f aca="false">(1-INDEX(Pressupostos!$C$277:$G$277,1,$D$3))*(INDEX(Motor!$C$383:$G$383,1,$D$3)+INDEX(Motor!$C$386:$G$386,1,$D$3))*$E$123</f>
        <v>35000</v>
      </c>
      <c r="G148" s="30" t="n">
        <f aca="false">(1-INDEX(Pressupostos!$C$278:$G$278,1,$D$3))*(INDEX(Motor!$C$693:$G$693,1,$D$3)+INDEX(Motor!$C$696:$G$696,1,$D$3))*$G$123</f>
        <v>35000</v>
      </c>
      <c r="I148" s="30" t="n">
        <f aca="false">(1-INDEX(Pressupostos!$C$279:$G$279,1,$D$3))*(INDEX(Motor!$C$1003:$G$1003,1,$D$3)+INDEX(Motor!$C$1006:$G$1006,1,$D$3))*$I$123</f>
        <v>35000</v>
      </c>
    </row>
    <row r="149" customFormat="false" ht="15" hidden="false" customHeight="false" outlineLevel="0" collapsed="false">
      <c r="A149" s="7" t="s">
        <v>487</v>
      </c>
      <c r="B149" s="8" t="s">
        <v>71</v>
      </c>
      <c r="C149" s="27" t="n">
        <f aca="false">INDEX(Pressupostos!$C$282:$G$282,1,$D$3)</f>
        <v>0.09</v>
      </c>
      <c r="E149" s="27" t="n">
        <f aca="false">INDEX(Pressupostos!$C$283:$G$283,1,$D$3)</f>
        <v>0.075</v>
      </c>
      <c r="G149" s="27" t="n">
        <f aca="false">INDEX(Pressupostos!$C$284:$G$284,1,$D$3)</f>
        <v>0.07</v>
      </c>
      <c r="I149" s="27" t="n">
        <f aca="false">INDEX(Pressupostos!$C$285:$G$285,1,$D$3)</f>
        <v>0.075</v>
      </c>
    </row>
    <row r="150" customFormat="false" ht="15" hidden="false" customHeight="false" outlineLevel="0" collapsed="false">
      <c r="A150" s="7" t="s">
        <v>488</v>
      </c>
      <c r="B150" s="8" t="s">
        <v>71</v>
      </c>
      <c r="C150" s="27" t="n">
        <f aca="false">INDEX(Pressupostos!$C$282:$G$282,1,$D$3)*(1-Pressupostos!$C$109)</f>
        <v>0.0648</v>
      </c>
      <c r="E150" s="27" t="n">
        <f aca="false">INDEX(Pressupostos!$C$283:$G$283,1,$D$3)*(1-Pressupostos!$C$109)</f>
        <v>0.054</v>
      </c>
      <c r="G150" s="27" t="n">
        <f aca="false">INDEX(Pressupostos!$C$284:$G$284,1,$D$3)*(1-Pressupostos!$C$109)</f>
        <v>0.0504</v>
      </c>
      <c r="I150" s="27" t="n">
        <f aca="false">INDEX(Pressupostos!$C$285:$G$285,1,$D$3)*(1-Pressupostos!$C$109)</f>
        <v>0.054</v>
      </c>
    </row>
    <row r="151" customFormat="false" ht="15" hidden="false" customHeight="false" outlineLevel="0" collapsed="false">
      <c r="A151" s="7" t="s">
        <v>489</v>
      </c>
      <c r="B151" s="8" t="s">
        <v>10</v>
      </c>
      <c r="C151" s="30" t="n">
        <f aca="false">INDEX(Motor!$C$90:$G$90,1,$D$3)*$C$123</f>
        <v>3143.83561643836</v>
      </c>
      <c r="E151" s="30" t="n">
        <f aca="false">INDEX(Motor!$C$400:$G$400,1,$D$3)*$E$123</f>
        <v>2427.22602739726</v>
      </c>
      <c r="G151" s="30" t="n">
        <f aca="false">INDEX(Motor!$C$710:$G$710,1,$D$3)*$G$123</f>
        <v>2132.15149073328</v>
      </c>
      <c r="I151" s="30" t="n">
        <f aca="false">INDEX(Motor!$C$1020:$G$1020,1,$D$3)*$I$123</f>
        <v>2427.22602739726</v>
      </c>
    </row>
    <row r="152" customFormat="false" ht="15" hidden="false" customHeight="false" outlineLevel="0" collapsed="false">
      <c r="A152" s="7" t="s">
        <v>490</v>
      </c>
      <c r="B152" s="8" t="s">
        <v>71</v>
      </c>
      <c r="C152" s="27" t="n">
        <f aca="false">IF(INDEX(Pressupostos!$C$276:$G$276,1,$D$3)&gt;0,INDEX(Motor!$C$90:$G$90,1,$D$3)*$C$123/(INDEX(Pressupostos!$C$276:$G$276,1,$D$3)*(INDEX(Motor!$C$73:$G$73,1,$D$3)+INDEX(Motor!$C$76:$G$76,1,$D$3))*$C$123/Pressupostos!$C$31),0)</f>
        <v>0.0073972602739726</v>
      </c>
      <c r="E152" s="27" t="n">
        <f aca="false">IF(INDEX(Pressupostos!$C$277:$G$277,1,$D$3)&gt;0,INDEX(Motor!$C$400:$G$400,1,$D$3)*$E$123/(INDEX(Pressupostos!$C$277:$G$277,1,$D$3)*(INDEX(Motor!$C$383:$G$383,1,$D$3)+INDEX(Motor!$C$386:$G$386,1,$D$3))*$E$123/Pressupostos!$D$31),0)</f>
        <v>0.00616438356164384</v>
      </c>
      <c r="G152" s="27" t="n">
        <f aca="false">IF(INDEX(Pressupostos!$C$278:$G$278,1,$D$3)&gt;0,INDEX(Motor!$C$710:$G$710,1,$D$3)*$G$123/(INDEX(Pressupostos!$C$278:$G$278,1,$D$3)*(INDEX(Motor!$C$693:$G$693,1,$D$3)+INDEX(Motor!$C$696:$G$696,1,$D$3))*$G$123/Pressupostos!$E$31),0)</f>
        <v>0.00575342465753425</v>
      </c>
      <c r="I152" s="27" t="n">
        <f aca="false">IF(INDEX(Pressupostos!$C$279:$G$279,1,$D$3)&gt;0,INDEX(Motor!$C$1020:$G$1020,1,$D$3)*$I$123/(INDEX(Pressupostos!$C$279:$G$279,1,$D$3)*(INDEX(Motor!$C$1003:$G$1003,1,$D$3)+INDEX(Motor!$C$1006:$G$1006,1,$D$3))*$I$123/Pressupostos!$F$31),0)</f>
        <v>0.00616438356164384</v>
      </c>
    </row>
    <row r="153" customFormat="false" ht="15" hidden="false" customHeight="false" outlineLevel="0" collapsed="false">
      <c r="A153" s="7" t="s">
        <v>491</v>
      </c>
      <c r="B153" s="8" t="s">
        <v>10</v>
      </c>
      <c r="C153" s="30" t="n">
        <f aca="false">MAX(0,MIN(Pressupostos!$C$108*INDEX(Motor!$C$92:$G$92,1,$D$3)*$C$123,Pressupostos!$C$107*INDEX(Pressupostos!$C$276:$G$276,1,$D$3)*(INDEX(Motor!$C$73:$G$73,1,$D$3)+INDEX(Motor!$C$76:$G$76,1,$D$3))*$C$123/Pressupostos!$C$31))</f>
        <v>819.719178082217</v>
      </c>
      <c r="E153" s="30" t="n">
        <f aca="false">MAX(0,MIN(Pressupostos!$C$108*INDEX(Motor!$C$402:$G$402,1,$D$3)*$E$123,Pressupostos!$C$107*INDEX(Pressupostos!$C$277:$G$277,1,$D$3)*(INDEX(Motor!$C$383:$G$383,1,$D$3)+INDEX(Motor!$C$386:$G$386,1,$D$3))*$E$123/Pressupostos!$D$31))</f>
        <v>1034.70205479455</v>
      </c>
      <c r="G153" s="30" t="n">
        <f aca="false">MAX(0,MIN(Pressupostos!$C$108*INDEX(Motor!$C$712:$G$712,1,$D$3)*$G$123,Pressupostos!$C$107*INDEX(Pressupostos!$C$278:$G$278,1,$D$3)*(INDEX(Motor!$C$693:$G$693,1,$D$3)+INDEX(Motor!$C$696:$G$696,1,$D$3))*$G$123/Pressupostos!$E$31))</f>
        <v>1123.22441579374</v>
      </c>
      <c r="I153" s="30" t="n">
        <f aca="false">MAX(0,MIN(Pressupostos!$C$108*INDEX(Motor!$C$1022:$G$1022,1,$D$3)*$I$123,Pressupostos!$C$107*INDEX(Pressupostos!$C$279:$G$279,1,$D$3)*(INDEX(Motor!$C$1003:$G$1003,1,$D$3)+INDEX(Motor!$C$1006:$G$1006,1,$D$3))*$I$123/Pressupostos!$F$31))</f>
        <v>1034.70205479455</v>
      </c>
    </row>
    <row r="154" customFormat="false" ht="15" hidden="false" customHeight="false" outlineLevel="0" collapsed="false">
      <c r="A154" s="7" t="s">
        <v>492</v>
      </c>
      <c r="B154" s="8" t="s">
        <v>10</v>
      </c>
      <c r="C154" s="30" t="n">
        <f aca="false">INDEX(Motor!$C$92:$G$92,1,$D$3)*$C$123-C153</f>
        <v>1912.67808219184</v>
      </c>
      <c r="E154" s="30" t="n">
        <f aca="false">INDEX(Motor!$C$402:$G$402,1,$D$3)*$E$123-E153</f>
        <v>2414.30479452061</v>
      </c>
      <c r="G154" s="30" t="n">
        <f aca="false">INDEX(Motor!$C$712:$G$712,1,$D$3)*$G$123-G153</f>
        <v>2620.85697018539</v>
      </c>
      <c r="I154" s="30" t="n">
        <f aca="false">INDEX(Motor!$C$1022:$G$1022,1,$D$3)*$I$123-I153</f>
        <v>2414.30479452061</v>
      </c>
    </row>
    <row r="155" customFormat="false" ht="15" hidden="false" customHeight="false" outlineLevel="0" collapsed="false">
      <c r="A155" s="7" t="s">
        <v>493</v>
      </c>
      <c r="B155" s="8" t="s">
        <v>10</v>
      </c>
      <c r="C155" s="30" t="n">
        <f aca="false">Pressupostos!$C$119+12*Pressupostos!$C$120</f>
        <v>13</v>
      </c>
      <c r="E155" s="30" t="n">
        <f aca="false">Pressupostos!$C$119+12*Pressupostos!$C$120</f>
        <v>13</v>
      </c>
      <c r="G155" s="30" t="n">
        <f aca="false">Pressupostos!$C$119+12*Pressupostos!$C$120</f>
        <v>13</v>
      </c>
      <c r="I155" s="30" t="n">
        <f aca="false">Pressupostos!$C$119+12*Pressupostos!$C$120</f>
        <v>13</v>
      </c>
    </row>
    <row r="156" customFormat="false" ht="15" hidden="false" customHeight="false" outlineLevel="0" collapsed="false">
      <c r="A156" s="7" t="s">
        <v>494</v>
      </c>
      <c r="B156" s="8" t="s">
        <v>10</v>
      </c>
      <c r="C156" s="30" t="n">
        <f aca="false">Pressupostos!$C$111*(1-INDEX(Pressupostos!$C$276:$G$276,1,$D$3))*(INDEX(Motor!$C$73:$G$73,1,$D$3)+INDEX(Motor!$C$76:$G$76,1,$D$3))*(INDEX(Motor!$C$79:$G$79,1,$D$3)+INDEX(Motor!$C$80:$G$80,1,$D$3)-Pressupostos!$C$70)/365*$C$123</f>
        <v>345.205479452055</v>
      </c>
      <c r="E156" s="30" t="n">
        <f aca="false">Pressupostos!$C$111*(1-INDEX(Pressupostos!$C$277:$G$277,1,$D$3))*(INDEX(Motor!$C$383:$G$383,1,$D$3)+INDEX(Motor!$C$386:$G$386,1,$D$3))*(INDEX(Motor!$C$389:$G$389,1,$D$3)+INDEX(Motor!$C$390:$G$390,1,$D$3)-Pressupostos!$C$70)/365*$E$123</f>
        <v>230.13698630137</v>
      </c>
      <c r="G156" s="30" t="n">
        <f aca="false">Pressupostos!$C$111*(1-INDEX(Pressupostos!$C$278:$G$278,1,$D$3))*(INDEX(Motor!$C$693:$G$693,1,$D$3)+INDEX(Motor!$C$696:$G$696,1,$D$3))*(INDEX(Motor!$C$699:$G$699,1,$D$3)+INDEX(Motor!$C$700:$G$700,1,$D$3)-Pressupostos!$C$70)/365*$G$123</f>
        <v>230.13698630137</v>
      </c>
      <c r="I156" s="30" t="n">
        <f aca="false">Pressupostos!$C$111*(1-INDEX(Pressupostos!$C$279:$G$279,1,$D$3))*(INDEX(Motor!$C$1003:$G$1003,1,$D$3)+INDEX(Motor!$C$1006:$G$1006,1,$D$3))*(INDEX(Motor!$C$1009:$G$1009,1,$D$3)+INDEX(Motor!$C$1010:$G$1010,1,$D$3)-Pressupostos!$C$70)/365*$I$123</f>
        <v>230.13698630137</v>
      </c>
    </row>
    <row r="158" customFormat="false" ht="15" hidden="false" customHeight="false" outlineLevel="0" collapsed="false">
      <c r="A158" s="10" t="s">
        <v>532</v>
      </c>
    </row>
    <row r="159" customFormat="false" ht="23.85" hidden="false" customHeight="false" outlineLevel="0" collapsed="false">
      <c r="A159" s="5" t="s">
        <v>456</v>
      </c>
      <c r="B159" s="5" t="s">
        <v>4</v>
      </c>
      <c r="C159" s="6" t="s">
        <v>533</v>
      </c>
      <c r="D159" s="6" t="s">
        <v>534</v>
      </c>
      <c r="E159" s="6" t="s">
        <v>535</v>
      </c>
      <c r="F159" s="6" t="s">
        <v>536</v>
      </c>
      <c r="G159" s="6" t="s">
        <v>537</v>
      </c>
      <c r="H159" s="6" t="s">
        <v>538</v>
      </c>
      <c r="I159" s="6"/>
      <c r="J159" s="6" t="s">
        <v>465</v>
      </c>
    </row>
    <row r="160" customFormat="false" ht="15" hidden="false" customHeight="false" outlineLevel="0" collapsed="false">
      <c r="A160" s="7" t="s">
        <v>539</v>
      </c>
      <c r="B160" s="8" t="s">
        <v>179</v>
      </c>
      <c r="C160" s="30" t="n">
        <f aca="false">Pressupostos!$C$83*Pressupostos!$C$76</f>
        <v>15000</v>
      </c>
      <c r="D160" s="30" t="n">
        <f aca="false">Pressupostos!$C$83*Pressupostos!$C$76</f>
        <v>15000</v>
      </c>
      <c r="E160" s="30" t="n">
        <f aca="false">Pressupostos!$C$83*Pressupostos!$C$76</f>
        <v>15000</v>
      </c>
      <c r="F160" s="30" t="n">
        <f aca="false">Pressupostos!$C$83*Pressupostos!$C$76</f>
        <v>15000</v>
      </c>
      <c r="G160" s="30" t="n">
        <f aca="false">Pressupostos!$C$83*Pressupostos!$C$76</f>
        <v>15000</v>
      </c>
      <c r="H160" s="30" t="n">
        <f aca="false">Pressupostos!$C$83*Pressupostos!$C$76</f>
        <v>15000</v>
      </c>
    </row>
    <row r="161" customFormat="false" ht="15" hidden="false" customHeight="false" outlineLevel="0" collapsed="false">
      <c r="A161" s="7" t="s">
        <v>540</v>
      </c>
      <c r="B161" s="8" t="s">
        <v>10</v>
      </c>
      <c r="C161" s="30" t="n">
        <f aca="false">C160*Pressupostos!$C$78</f>
        <v>6000</v>
      </c>
      <c r="D161" s="30" t="n">
        <f aca="false">D160*Pressupostos!$C$78</f>
        <v>6000</v>
      </c>
      <c r="E161" s="30" t="n">
        <f aca="false">E160*Pressupostos!$C$78</f>
        <v>6000</v>
      </c>
      <c r="F161" s="30" t="n">
        <f aca="false">F160*Pressupostos!$C$78</f>
        <v>6000</v>
      </c>
      <c r="G161" s="30" t="n">
        <f aca="false">G160*Pressupostos!$C$78</f>
        <v>6000</v>
      </c>
      <c r="H161" s="30" t="n">
        <f aca="false">H160*Pressupostos!$C$78</f>
        <v>6000</v>
      </c>
    </row>
    <row r="162" customFormat="false" ht="15" hidden="false" customHeight="false" outlineLevel="0" collapsed="false">
      <c r="A162" s="7" t="s">
        <v>541</v>
      </c>
      <c r="B162" s="8" t="s">
        <v>10</v>
      </c>
      <c r="C162" s="30" t="n">
        <f aca="false">C161*(1-Pressupostos!$C$79)</f>
        <v>5400</v>
      </c>
      <c r="D162" s="30" t="n">
        <f aca="false">D161*(1-Pressupostos!$C$84)</f>
        <v>5100</v>
      </c>
      <c r="E162" s="30" t="n">
        <f aca="false">E161*(1-Pressupostos!$C$79)</f>
        <v>5400</v>
      </c>
      <c r="F162" s="30" t="n">
        <f aca="false">F161*(1-Pressupostos!$C$79)</f>
        <v>5400</v>
      </c>
      <c r="G162" s="30" t="n">
        <f aca="false">G161*(1-Pressupostos!$C$79)</f>
        <v>5400</v>
      </c>
      <c r="H162" s="30" t="n">
        <f aca="false">H161*(1-Pressupostos!$C$79)</f>
        <v>5400</v>
      </c>
    </row>
    <row r="163" customFormat="false" ht="15" hidden="false" customHeight="false" outlineLevel="0" collapsed="false">
      <c r="A163" s="7" t="s">
        <v>542</v>
      </c>
      <c r="B163" s="8" t="s">
        <v>10</v>
      </c>
      <c r="C163" s="30" t="n">
        <f aca="false">-C160*Pressupostos!$C$81</f>
        <v>-3600</v>
      </c>
      <c r="D163" s="30" t="n">
        <f aca="false">-D160*Pressupostos!$C$81</f>
        <v>-3600</v>
      </c>
      <c r="E163" s="46" t="s">
        <v>140</v>
      </c>
      <c r="F163" s="46" t="s">
        <v>140</v>
      </c>
      <c r="G163" s="46" t="s">
        <v>140</v>
      </c>
      <c r="H163" s="46" t="s">
        <v>140</v>
      </c>
    </row>
    <row r="164" customFormat="false" ht="15" hidden="false" customHeight="false" outlineLevel="0" collapsed="false">
      <c r="A164" s="7" t="s">
        <v>543</v>
      </c>
      <c r="B164" s="8" t="s">
        <v>10</v>
      </c>
      <c r="C164" s="30" t="n">
        <f aca="false">-(Pressupostos!$C$85+Pressupostos!$C$86*C160)</f>
        <v>-950</v>
      </c>
      <c r="D164" s="30" t="n">
        <f aca="false">-(Pressupostos!$C$85+Pressupostos!$C$86*D160)</f>
        <v>-950</v>
      </c>
      <c r="E164" s="46" t="s">
        <v>140</v>
      </c>
      <c r="F164" s="46" t="s">
        <v>140</v>
      </c>
      <c r="G164" s="46" t="s">
        <v>140</v>
      </c>
      <c r="H164" s="46" t="s">
        <v>140</v>
      </c>
    </row>
    <row r="165" customFormat="false" ht="15" hidden="false" customHeight="false" outlineLevel="0" collapsed="false">
      <c r="A165" s="7" t="s">
        <v>544</v>
      </c>
      <c r="B165" s="8" t="s">
        <v>10</v>
      </c>
      <c r="C165" s="30" t="n">
        <f aca="false">-Pressupostos!$C$87</f>
        <v>-150</v>
      </c>
      <c r="D165" s="30" t="n">
        <f aca="false">-Pressupostos!$C$87</f>
        <v>-150</v>
      </c>
      <c r="E165" s="46" t="s">
        <v>140</v>
      </c>
      <c r="F165" s="46" t="s">
        <v>140</v>
      </c>
      <c r="G165" s="46" t="s">
        <v>140</v>
      </c>
      <c r="H165" s="46" t="s">
        <v>140</v>
      </c>
    </row>
    <row r="166" customFormat="false" ht="15" hidden="false" customHeight="false" outlineLevel="0" collapsed="false">
      <c r="A166" s="7" t="s">
        <v>545</v>
      </c>
      <c r="B166" s="8" t="s">
        <v>10</v>
      </c>
      <c r="C166" s="30" t="n">
        <f aca="false">Pressupostos!$C$83*Pressupostos!$C$77*Pressupostos!$C$82</f>
        <v>1000</v>
      </c>
      <c r="D166" s="30" t="n">
        <f aca="false">Pressupostos!$C$83*Pressupostos!$C$77*Pressupostos!$C$82</f>
        <v>1000</v>
      </c>
      <c r="E166" s="30" t="n">
        <f aca="false">0</f>
        <v>0</v>
      </c>
      <c r="F166" s="30" t="n">
        <f aca="false">0</f>
        <v>0</v>
      </c>
      <c r="G166" s="30" t="n">
        <f aca="false">0</f>
        <v>0</v>
      </c>
      <c r="H166" s="30" t="n">
        <f aca="false">0</f>
        <v>0</v>
      </c>
    </row>
    <row r="167" customFormat="false" ht="15" hidden="false" customHeight="false" outlineLevel="0" collapsed="false">
      <c r="A167" s="7" t="s">
        <v>546</v>
      </c>
      <c r="B167" s="8" t="s">
        <v>10</v>
      </c>
      <c r="C167" s="30" t="n">
        <f aca="false">-INDEX(Pressupostos!$C$283:$G$283,1,1)*(-C163+C166)*Pressupostos!$C$88/365</f>
        <v>-30.2465753424658</v>
      </c>
      <c r="D167" s="30" t="n">
        <f aca="false">-INDEX(Pressupostos!$C$283:$G$283,1,1)*(-D163+D166)*Pressupostos!$C$88/365</f>
        <v>-30.2465753424658</v>
      </c>
      <c r="E167" s="46" t="s">
        <v>140</v>
      </c>
      <c r="F167" s="46" t="s">
        <v>140</v>
      </c>
      <c r="G167" s="46" t="s">
        <v>140</v>
      </c>
      <c r="H167" s="46" t="s">
        <v>140</v>
      </c>
      <c r="K167" s="2" t="s">
        <v>547</v>
      </c>
    </row>
    <row r="168" customFormat="false" ht="15" hidden="false" customHeight="false" outlineLevel="0" collapsed="false">
      <c r="A168" s="7" t="s">
        <v>548</v>
      </c>
      <c r="B168" s="8" t="s">
        <v>10</v>
      </c>
      <c r="C168" s="30" t="n">
        <f aca="false">-Pressupostos!$D$18*C162</f>
        <v>-32.4</v>
      </c>
      <c r="D168" s="30" t="n">
        <f aca="false">-Pressupostos!$D$18*D162</f>
        <v>-30.6</v>
      </c>
      <c r="E168" s="46" t="s">
        <v>140</v>
      </c>
      <c r="F168" s="46" t="s">
        <v>140</v>
      </c>
      <c r="G168" s="46" t="s">
        <v>140</v>
      </c>
      <c r="H168" s="46" t="s">
        <v>140</v>
      </c>
    </row>
    <row r="169" customFormat="false" ht="15" hidden="false" customHeight="false" outlineLevel="0" collapsed="false">
      <c r="A169" s="10" t="s">
        <v>549</v>
      </c>
      <c r="B169" s="8" t="s">
        <v>10</v>
      </c>
      <c r="C169" s="47" t="n">
        <f aca="false">C162+C163+C164+C165+C167+C168</f>
        <v>637.353424657534</v>
      </c>
      <c r="D169" s="47" t="n">
        <f aca="false">D162+D163+D164+D165+D167+D168</f>
        <v>339.153424657534</v>
      </c>
      <c r="E169" s="47" t="n">
        <f aca="false">E162*Pressupostos!$C$27</f>
        <v>54</v>
      </c>
      <c r="F169" s="47" t="n">
        <f aca="false">F162*Pressupostos!$D$27</f>
        <v>108</v>
      </c>
      <c r="G169" s="47" t="n">
        <f aca="false">G162*Pressupostos!$E$27</f>
        <v>162</v>
      </c>
      <c r="H169" s="47" t="n">
        <f aca="false">H162*Pressupostos!$F$27</f>
        <v>108</v>
      </c>
    </row>
    <row r="170" customFormat="false" ht="15" hidden="false" customHeight="false" outlineLevel="0" collapsed="false">
      <c r="A170" s="7" t="s">
        <v>550</v>
      </c>
      <c r="B170" s="8" t="s">
        <v>71</v>
      </c>
      <c r="C170" s="23" t="n">
        <f aca="false">IF(C162&gt;0,C169/C162,0)</f>
        <v>0.118028411973617</v>
      </c>
      <c r="D170" s="23" t="n">
        <f aca="false">IF(D162&gt;0,D169/D162,0)</f>
        <v>0.0665006715014773</v>
      </c>
      <c r="E170" s="23" t="n">
        <f aca="false">IF(E162&gt;0,E169/E162,0)</f>
        <v>0.01</v>
      </c>
      <c r="F170" s="23" t="n">
        <f aca="false">IF(F162&gt;0,F169/F162,0)</f>
        <v>0.02</v>
      </c>
      <c r="G170" s="23" t="n">
        <f aca="false">IF(G162&gt;0,G169/G162,0)</f>
        <v>0.03</v>
      </c>
      <c r="H170" s="23" t="n">
        <f aca="false">IF(H162&gt;0,H169/H162,0)</f>
        <v>0.02</v>
      </c>
    </row>
    <row r="171" customFormat="false" ht="15" hidden="false" customHeight="false" outlineLevel="0" collapsed="false">
      <c r="A171" s="7" t="s">
        <v>551</v>
      </c>
      <c r="B171" s="8" t="s">
        <v>552</v>
      </c>
      <c r="C171" s="21" t="n">
        <f aca="false">C169/Pressupostos!$C$83</f>
        <v>31.8676712328767</v>
      </c>
      <c r="D171" s="21" t="n">
        <f aca="false">D169/Pressupostos!$C$83</f>
        <v>16.9576712328767</v>
      </c>
      <c r="E171" s="21" t="n">
        <f aca="false">E169/Pressupostos!$C$83</f>
        <v>2.7</v>
      </c>
      <c r="F171" s="21" t="n">
        <f aca="false">F169/Pressupostos!$C$83</f>
        <v>5.4</v>
      </c>
      <c r="G171" s="21" t="n">
        <f aca="false">G169/Pressupostos!$C$83</f>
        <v>8.1</v>
      </c>
      <c r="H171" s="21" t="n">
        <f aca="false">H169/Pressupostos!$C$83</f>
        <v>5.4</v>
      </c>
    </row>
    <row r="172" customFormat="false" ht="15" hidden="false" customHeight="false" outlineLevel="0" collapsed="false">
      <c r="A172" s="7" t="s">
        <v>553</v>
      </c>
      <c r="B172" s="8" t="s">
        <v>10</v>
      </c>
      <c r="C172" s="30" t="n">
        <f aca="false">0</f>
        <v>0</v>
      </c>
      <c r="D172" s="30" t="n">
        <f aca="false">0</f>
        <v>0</v>
      </c>
      <c r="E172" s="30" t="n">
        <f aca="false">0</f>
        <v>0</v>
      </c>
      <c r="F172" s="30" t="n">
        <f aca="false">0</f>
        <v>0</v>
      </c>
      <c r="G172" s="30" t="n">
        <f aca="false">0</f>
        <v>0</v>
      </c>
      <c r="H172" s="30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554</v>
      </c>
    </row>
    <row r="2" customFormat="false" ht="15" hidden="false" customHeight="false" outlineLevel="0" collapsed="false">
      <c r="A2" s="2" t="s">
        <v>555</v>
      </c>
    </row>
    <row r="3" customFormat="false" ht="15" hidden="false" customHeight="false" outlineLevel="0" collapsed="false">
      <c r="A3" s="48" t="str">
        <f aca="false">"Cenário ativo: "&amp;Pressupostos!$C$4&amp;"  ·  euros correntes, sem IVA"</f>
        <v>Cenário ativo: Base  ·  euros correntes, sem IVA</v>
      </c>
    </row>
    <row r="4" customFormat="false" ht="15" hidden="false" customHeight="false" outlineLevel="0" collapsed="false">
      <c r="A4" s="5" t="s">
        <v>456</v>
      </c>
      <c r="B4" s="5" t="s">
        <v>4</v>
      </c>
      <c r="C4" s="6" t="s">
        <v>366</v>
      </c>
      <c r="D4" s="6" t="s">
        <v>367</v>
      </c>
      <c r="E4" s="6" t="s">
        <v>368</v>
      </c>
      <c r="F4" s="6" t="s">
        <v>369</v>
      </c>
      <c r="G4" s="6" t="s">
        <v>370</v>
      </c>
      <c r="H4" s="6" t="s">
        <v>465</v>
      </c>
    </row>
    <row r="5" customFormat="false" ht="15" hidden="false" customHeight="false" outlineLevel="0" collapsed="false">
      <c r="A5" s="3" t="s">
        <v>556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7" t="s">
        <v>557</v>
      </c>
      <c r="B6" s="8"/>
      <c r="C6" s="49" t="n">
        <v>2027</v>
      </c>
      <c r="D6" s="49" t="n">
        <v>2028</v>
      </c>
      <c r="E6" s="49" t="n">
        <v>2029</v>
      </c>
      <c r="F6" s="49" t="n">
        <v>2030</v>
      </c>
      <c r="G6" s="49" t="n">
        <v>2031</v>
      </c>
    </row>
    <row r="8" customFormat="false" ht="15" hidden="false" customHeight="false" outlineLevel="0" collapsed="false">
      <c r="A8" s="3" t="s">
        <v>558</v>
      </c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7" t="s">
        <v>372</v>
      </c>
      <c r="B9" s="8" t="s">
        <v>115</v>
      </c>
      <c r="C9" s="50" t="n">
        <f aca="false">Pressupostos!$C$211</f>
        <v>40</v>
      </c>
      <c r="D9" s="50" t="n">
        <f aca="false">Pressupostos!$D$211</f>
        <v>180</v>
      </c>
      <c r="E9" s="50" t="n">
        <f aca="false">Pressupostos!$E$211</f>
        <v>650</v>
      </c>
      <c r="F9" s="50" t="n">
        <f aca="false">Pressupostos!$F$211</f>
        <v>1300</v>
      </c>
      <c r="G9" s="50" t="n">
        <f aca="false">Pressupostos!$G$211</f>
        <v>2000</v>
      </c>
    </row>
    <row r="10" customFormat="false" ht="15" hidden="false" customHeight="false" outlineLevel="0" collapsed="false">
      <c r="A10" s="7" t="s">
        <v>559</v>
      </c>
      <c r="B10" s="8" t="s">
        <v>112</v>
      </c>
      <c r="C10" s="51" t="n">
        <f aca="false">Pressupostos!$C$217</f>
        <v>8</v>
      </c>
      <c r="D10" s="51" t="n">
        <f aca="false">Pressupostos!$D$217</f>
        <v>37</v>
      </c>
      <c r="E10" s="51" t="n">
        <f aca="false">Pressupostos!$E$217</f>
        <v>133</v>
      </c>
      <c r="F10" s="51" t="n">
        <f aca="false">Pressupostos!$F$217</f>
        <v>267</v>
      </c>
      <c r="G10" s="51" t="n">
        <f aca="false">Pressupostos!$G$217</f>
        <v>410</v>
      </c>
    </row>
    <row r="11" customFormat="false" ht="15" hidden="false" customHeight="false" outlineLevel="0" collapsed="false">
      <c r="A11" s="7" t="s">
        <v>560</v>
      </c>
      <c r="B11" s="8" t="s">
        <v>112</v>
      </c>
      <c r="C11" s="51" t="n">
        <f aca="false">Pressupostos!$C$223</f>
        <v>52</v>
      </c>
      <c r="D11" s="51" t="n">
        <f aca="false">Pressupostos!$D$223</f>
        <v>363</v>
      </c>
      <c r="E11" s="51" t="n">
        <f aca="false">Pressupostos!$E$223</f>
        <v>717</v>
      </c>
      <c r="F11" s="51" t="n">
        <f aca="false">Pressupostos!$F$223</f>
        <v>1183</v>
      </c>
      <c r="G11" s="51" t="n">
        <f aca="false">Pressupostos!$G$223</f>
        <v>1790</v>
      </c>
    </row>
    <row r="12" customFormat="false" ht="15" hidden="false" customHeight="false" outlineLevel="0" collapsed="false">
      <c r="A12" s="7" t="s">
        <v>383</v>
      </c>
      <c r="B12" s="8" t="s">
        <v>112</v>
      </c>
      <c r="C12" s="51" t="n">
        <f aca="false">Pressupostos!$C$229</f>
        <v>0</v>
      </c>
      <c r="D12" s="51" t="n">
        <f aca="false">Pressupostos!$D$229</f>
        <v>0</v>
      </c>
      <c r="E12" s="51" t="n">
        <f aca="false">Pressupostos!$E$229</f>
        <v>0</v>
      </c>
      <c r="F12" s="51" t="n">
        <f aca="false">Pressupostos!$F$229</f>
        <v>0</v>
      </c>
      <c r="G12" s="51" t="n">
        <f aca="false">Pressupostos!$G$229</f>
        <v>0</v>
      </c>
    </row>
    <row r="13" customFormat="false" ht="15" hidden="false" customHeight="false" outlineLevel="0" collapsed="false">
      <c r="A13" s="52" t="s">
        <v>561</v>
      </c>
      <c r="B13" s="53" t="s">
        <v>112</v>
      </c>
      <c r="C13" s="54" t="n">
        <f aca="false">C10+C11+C12</f>
        <v>60</v>
      </c>
      <c r="D13" s="54" t="n">
        <f aca="false">D10+D11+D12</f>
        <v>400</v>
      </c>
      <c r="E13" s="54" t="n">
        <f aca="false">E10+E11+E12</f>
        <v>850</v>
      </c>
      <c r="F13" s="54" t="n">
        <f aca="false">F10+F11+F12</f>
        <v>1450</v>
      </c>
      <c r="G13" s="54" t="n">
        <f aca="false">G10+G11+G12</f>
        <v>2200</v>
      </c>
    </row>
    <row r="14" customFormat="false" ht="15" hidden="false" customHeight="false" outlineLevel="0" collapsed="false">
      <c r="A14" s="7" t="s">
        <v>562</v>
      </c>
      <c r="B14" s="8" t="s">
        <v>71</v>
      </c>
      <c r="C14" s="55" t="n">
        <f aca="false">IF(C13&gt;0,C10/C13,0)</f>
        <v>0.133333333333333</v>
      </c>
      <c r="D14" s="55" t="n">
        <f aca="false">IF(D13&gt;0,D10/D13,0)</f>
        <v>0.0925</v>
      </c>
      <c r="E14" s="55" t="n">
        <f aca="false">IF(E13&gt;0,E10/E13,0)</f>
        <v>0.156470588235294</v>
      </c>
      <c r="F14" s="55" t="n">
        <f aca="false">IF(F13&gt;0,F10/F13,0)</f>
        <v>0.184137931034483</v>
      </c>
      <c r="G14" s="55" t="n">
        <f aca="false">IF(G13&gt;0,G10/G13,0)</f>
        <v>0.186363636363636</v>
      </c>
    </row>
    <row r="15" customFormat="false" ht="15" hidden="false" customHeight="false" outlineLevel="0" collapsed="false">
      <c r="A15" s="7" t="s">
        <v>563</v>
      </c>
      <c r="B15" s="8" t="s">
        <v>71</v>
      </c>
      <c r="C15" s="56" t="n">
        <f aca="false">C13/(Pressupostos!$C$74*1000)</f>
        <v>0.000342857142857143</v>
      </c>
      <c r="D15" s="56" t="n">
        <f aca="false">D13/(Pressupostos!$C$74*1000)</f>
        <v>0.00228571428571429</v>
      </c>
      <c r="E15" s="56" t="n">
        <f aca="false">E13/(Pressupostos!$C$74*1000)</f>
        <v>0.00485714285714286</v>
      </c>
      <c r="F15" s="56" t="n">
        <f aca="false">F13/(Pressupostos!$C$74*1000)</f>
        <v>0.00828571428571429</v>
      </c>
      <c r="G15" s="56" t="n">
        <f aca="false">G13/(Pressupostos!$C$74*1000)</f>
        <v>0.0125714285714286</v>
      </c>
    </row>
    <row r="16" customFormat="false" ht="15" hidden="false" customHeight="false" outlineLevel="0" collapsed="false">
      <c r="A16" s="7" t="s">
        <v>564</v>
      </c>
      <c r="B16" s="8" t="s">
        <v>115</v>
      </c>
      <c r="C16" s="57" t="n">
        <f aca="false">C10/Pressupostos!$C$39+C11/Pressupostos!$C$46+C12/Pressupostos!$C$58</f>
        <v>2.13333333333333</v>
      </c>
      <c r="D16" s="57" t="n">
        <f aca="false">D10/Pressupostos!$C$39+D11/Pressupostos!$C$46+D12/Pressupostos!$C$58</f>
        <v>13.95</v>
      </c>
      <c r="E16" s="57" t="n">
        <f aca="false">E10/Pressupostos!$C$39+E11/Pressupostos!$C$46+E12/Pressupostos!$C$58</f>
        <v>30.55</v>
      </c>
      <c r="F16" s="57" t="n">
        <f aca="false">F10/Pressupostos!$C$39+F11/Pressupostos!$C$46+F12/Pressupostos!$C$58</f>
        <v>52.7833333333333</v>
      </c>
      <c r="G16" s="57" t="n">
        <f aca="false">G10/Pressupostos!$C$39+G11/Pressupostos!$C$46+G12/Pressupostos!$C$58</f>
        <v>80.1666666666667</v>
      </c>
    </row>
    <row r="18" customFormat="false" ht="15" hidden="false" customHeight="false" outlineLevel="0" collapsed="false">
      <c r="A18" s="3" t="s">
        <v>565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7" t="s">
        <v>566</v>
      </c>
      <c r="B19" s="8" t="s">
        <v>192</v>
      </c>
      <c r="C19" s="50" t="n">
        <f aca="false">Pressupostos!$C$255</f>
        <v>150</v>
      </c>
      <c r="D19" s="50" t="n">
        <f aca="false">Pressupostos!$D$255</f>
        <v>600</v>
      </c>
      <c r="E19" s="50" t="n">
        <f aca="false">Pressupostos!$E$255</f>
        <v>1000</v>
      </c>
      <c r="F19" s="50" t="n">
        <f aca="false">Pressupostos!$F$255</f>
        <v>1400</v>
      </c>
      <c r="G19" s="50" t="n">
        <f aca="false">Pressupostos!$G$255</f>
        <v>1800</v>
      </c>
    </row>
    <row r="20" customFormat="false" ht="15" hidden="false" customHeight="false" outlineLevel="0" collapsed="false">
      <c r="A20" s="7" t="s">
        <v>566</v>
      </c>
      <c r="B20" s="8" t="s">
        <v>179</v>
      </c>
      <c r="C20" s="58" t="n">
        <f aca="false">C19*Pressupostos!$C$76</f>
        <v>112500</v>
      </c>
      <c r="D20" s="58" t="n">
        <f aca="false">D19*Pressupostos!$C$76</f>
        <v>450000</v>
      </c>
      <c r="E20" s="58" t="n">
        <f aca="false">E19*Pressupostos!$C$76</f>
        <v>750000</v>
      </c>
      <c r="F20" s="58" t="n">
        <f aca="false">F19*Pressupostos!$C$76</f>
        <v>1050000</v>
      </c>
      <c r="G20" s="58" t="n">
        <f aca="false">G19*Pressupostos!$C$76</f>
        <v>1350000</v>
      </c>
    </row>
    <row r="22" customFormat="false" ht="15" hidden="false" customHeight="false" outlineLevel="0" collapsed="false">
      <c r="A22" s="3" t="s">
        <v>567</v>
      </c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7" t="s">
        <v>568</v>
      </c>
      <c r="B23" s="8" t="s">
        <v>112</v>
      </c>
      <c r="C23" s="57" t="n">
        <f aca="false">IF(C6&lt;Pressupostos!$G$28,0,Pressupostos!$C$261)</f>
        <v>0</v>
      </c>
      <c r="D23" s="57" t="n">
        <f aca="false">IF(D6&lt;Pressupostos!$G$28,0,Pressupostos!$D$261)</f>
        <v>0</v>
      </c>
      <c r="E23" s="57" t="n">
        <f aca="false">IF(E6&lt;Pressupostos!$G$28,0,Pressupostos!$E$261)</f>
        <v>30</v>
      </c>
      <c r="F23" s="57" t="n">
        <f aca="false">IF(F6&lt;Pressupostos!$G$28,0,Pressupostos!$F$261)</f>
        <v>60</v>
      </c>
      <c r="G23" s="57" t="n">
        <f aca="false">IF(G6&lt;Pressupostos!$G$28,0,Pressupostos!$G$261)</f>
        <v>100</v>
      </c>
    </row>
    <row r="25" customFormat="false" ht="15" hidden="false" customHeight="false" outlineLevel="0" collapsed="false">
      <c r="A25" s="3" t="s">
        <v>569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7" t="s">
        <v>570</v>
      </c>
      <c r="B26" s="8" t="s">
        <v>10</v>
      </c>
      <c r="C26" s="50" t="n">
        <f aca="false">Pressupostos!$C$267</f>
        <v>0</v>
      </c>
      <c r="D26" s="50" t="n">
        <f aca="false">Pressupostos!$D$267</f>
        <v>500000</v>
      </c>
      <c r="E26" s="50" t="n">
        <f aca="false">Pressupostos!$E$267</f>
        <v>1500000</v>
      </c>
      <c r="F26" s="50" t="n">
        <f aca="false">Pressupostos!$F$267</f>
        <v>3000000</v>
      </c>
      <c r="G26" s="50" t="n">
        <f aca="false">Pressupostos!$G$267</f>
        <v>5000000</v>
      </c>
    </row>
    <row r="27" customFormat="false" ht="15" hidden="false" customHeight="false" outlineLevel="0" collapsed="false">
      <c r="A27" s="7" t="s">
        <v>571</v>
      </c>
      <c r="B27" s="8" t="s">
        <v>112</v>
      </c>
      <c r="C27" s="57" t="n">
        <f aca="false">C26/(Pressupostos!$C$103*Pressupostos!$C$104)*Pressupostos!$C$100/1000</f>
        <v>0</v>
      </c>
      <c r="D27" s="57" t="n">
        <f aca="false">D26/(Pressupostos!$C$103*Pressupostos!$C$104)*Pressupostos!$C$100/1000</f>
        <v>457.142857142857</v>
      </c>
      <c r="E27" s="57" t="n">
        <f aca="false">E26/(Pressupostos!$C$103*Pressupostos!$C$104)*Pressupostos!$C$100/1000</f>
        <v>1371.42857142857</v>
      </c>
      <c r="F27" s="57" t="n">
        <f aca="false">F26/(Pressupostos!$C$103*Pressupostos!$C$104)*Pressupostos!$C$100/1000</f>
        <v>2742.85714285714</v>
      </c>
      <c r="G27" s="57" t="n">
        <f aca="false">G26/(Pressupostos!$C$103*Pressupostos!$C$104)*Pressupostos!$C$100/1000</f>
        <v>4571.42857142857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572</v>
      </c>
    </row>
    <row r="2" customFormat="false" ht="15" hidden="false" customHeight="false" outlineLevel="0" collapsed="false">
      <c r="A2" s="2" t="s">
        <v>573</v>
      </c>
    </row>
    <row r="3" customFormat="false" ht="15" hidden="false" customHeight="false" outlineLevel="0" collapsed="false">
      <c r="A3" s="48" t="str">
        <f aca="false">"Cenário ativo: "&amp;Pressupostos!$C$4&amp;"  ·  euros correntes, sem IVA"</f>
        <v>Cenário ativo: Base  ·  euros correntes, sem IVA</v>
      </c>
    </row>
    <row r="4" customFormat="false" ht="15" hidden="false" customHeight="false" outlineLevel="0" collapsed="false">
      <c r="A4" s="5" t="s">
        <v>456</v>
      </c>
      <c r="B4" s="5" t="s">
        <v>4</v>
      </c>
      <c r="C4" s="6" t="s">
        <v>366</v>
      </c>
      <c r="D4" s="6" t="s">
        <v>367</v>
      </c>
      <c r="E4" s="6" t="s">
        <v>368</v>
      </c>
      <c r="F4" s="6" t="s">
        <v>369</v>
      </c>
      <c r="G4" s="6" t="s">
        <v>370</v>
      </c>
      <c r="H4" s="6" t="s">
        <v>465</v>
      </c>
    </row>
    <row r="5" customFormat="false" ht="15" hidden="false" customHeight="false" outlineLevel="0" collapsed="false">
      <c r="A5" s="3" t="s">
        <v>574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7" t="s">
        <v>575</v>
      </c>
      <c r="B6" s="8" t="s">
        <v>10</v>
      </c>
      <c r="C6" s="58" t="n">
        <f aca="false">Volumes!C10*1000*Custos!C8</f>
        <v>40680</v>
      </c>
      <c r="D6" s="58" t="n">
        <f aca="false">Volumes!D10*1000*Custos!D8</f>
        <v>188145</v>
      </c>
      <c r="E6" s="58" t="n">
        <f aca="false">Volumes!E10*1000*Custos!E8</f>
        <v>676305</v>
      </c>
      <c r="F6" s="58" t="n">
        <f aca="false">Volumes!F10*1000*Custos!F8</f>
        <v>1357695</v>
      </c>
      <c r="G6" s="58" t="n">
        <f aca="false">Volumes!G10*1000*Custos!G8</f>
        <v>2084850</v>
      </c>
    </row>
    <row r="7" customFormat="false" ht="15" hidden="false" customHeight="false" outlineLevel="0" collapsed="false">
      <c r="A7" s="7" t="s">
        <v>576</v>
      </c>
      <c r="B7" s="8" t="s">
        <v>10</v>
      </c>
      <c r="C7" s="58" t="n">
        <f aca="false">Volumes!C11*1000*Custos!C32</f>
        <v>226200</v>
      </c>
      <c r="D7" s="58" t="n">
        <f aca="false">Volumes!D11*1000*Custos!D32</f>
        <v>1579050</v>
      </c>
      <c r="E7" s="58" t="n">
        <f aca="false">Volumes!E11*1000*Custos!E32</f>
        <v>3118950</v>
      </c>
      <c r="F7" s="58" t="n">
        <f aca="false">Volumes!F11*1000*Custos!F32</f>
        <v>5146050</v>
      </c>
      <c r="G7" s="58" t="n">
        <f aca="false">Volumes!G11*1000*Custos!G32</f>
        <v>7786500</v>
      </c>
    </row>
    <row r="8" customFormat="false" ht="15" hidden="false" customHeight="false" outlineLevel="0" collapsed="false">
      <c r="A8" s="7" t="s">
        <v>577</v>
      </c>
      <c r="B8" s="8" t="s">
        <v>10</v>
      </c>
      <c r="C8" s="58" t="n">
        <f aca="false">Volumes!C12*1000*Custos!C56</f>
        <v>0</v>
      </c>
      <c r="D8" s="58" t="n">
        <f aca="false">Volumes!D12*1000*Custos!D56</f>
        <v>0</v>
      </c>
      <c r="E8" s="58" t="n">
        <f aca="false">Volumes!E12*1000*Custos!E56</f>
        <v>0</v>
      </c>
      <c r="F8" s="58" t="n">
        <f aca="false">Volumes!F12*1000*Custos!F56</f>
        <v>0</v>
      </c>
      <c r="G8" s="58" t="n">
        <f aca="false">Volumes!G12*1000*Custos!G56</f>
        <v>0</v>
      </c>
    </row>
    <row r="9" customFormat="false" ht="15" hidden="false" customHeight="false" outlineLevel="0" collapsed="false">
      <c r="A9" s="7" t="s">
        <v>578</v>
      </c>
      <c r="B9" s="8" t="s">
        <v>10</v>
      </c>
      <c r="C9" s="58" t="n">
        <f aca="false">C6+C7+C8</f>
        <v>266880</v>
      </c>
      <c r="D9" s="58" t="n">
        <f aca="false">D6+D7+D8</f>
        <v>1767195</v>
      </c>
      <c r="E9" s="58" t="n">
        <f aca="false">E6+E7+E8</f>
        <v>3795255</v>
      </c>
      <c r="F9" s="58" t="n">
        <f aca="false">F6+F7+F8</f>
        <v>6503745</v>
      </c>
      <c r="G9" s="58" t="n">
        <f aca="false">G6+G7+G8</f>
        <v>9871350</v>
      </c>
    </row>
    <row r="10" customFormat="false" ht="15" hidden="false" customHeight="false" outlineLevel="0" collapsed="false">
      <c r="A10" s="7" t="s">
        <v>579</v>
      </c>
      <c r="B10" s="8" t="s">
        <v>10</v>
      </c>
      <c r="C10" s="58" t="n">
        <f aca="false">Volumes!C23*1000*Pressupostos!$C$91</f>
        <v>0</v>
      </c>
      <c r="D10" s="58" t="n">
        <f aca="false">Volumes!D23*1000*Pressupostos!$C$91</f>
        <v>0</v>
      </c>
      <c r="E10" s="58" t="n">
        <f aca="false">Volumes!E23*1000*Pressupostos!$C$91</f>
        <v>235500</v>
      </c>
      <c r="F10" s="58" t="n">
        <f aca="false">Volumes!F23*1000*Pressupostos!$C$91</f>
        <v>471000</v>
      </c>
      <c r="G10" s="58" t="n">
        <f aca="false">Volumes!G23*1000*Pressupostos!$C$91</f>
        <v>785000</v>
      </c>
    </row>
    <row r="11" customFormat="false" ht="15" hidden="false" customHeight="false" outlineLevel="0" collapsed="false">
      <c r="A11" s="2" t="s">
        <v>580</v>
      </c>
      <c r="B11" s="8" t="s">
        <v>10</v>
      </c>
      <c r="C11" s="58" t="n">
        <f aca="false">Volumes!C20*Pressupostos!$C$78*(1-Pressupostos!$C$79)</f>
        <v>40500</v>
      </c>
      <c r="D11" s="58" t="n">
        <f aca="false">Volumes!D20*Pressupostos!$C$78*(1-Pressupostos!$C$79)</f>
        <v>162000</v>
      </c>
      <c r="E11" s="58" t="n">
        <f aca="false">Volumes!E20*Pressupostos!$C$78*(1-Pressupostos!$C$79)</f>
        <v>270000</v>
      </c>
      <c r="F11" s="58" t="n">
        <f aca="false">Volumes!F20*Pressupostos!$C$78*(1-Pressupostos!$C$79)</f>
        <v>378000</v>
      </c>
      <c r="G11" s="58" t="n">
        <f aca="false">Volumes!G20*Pressupostos!$C$78*(1-Pressupostos!$C$79)</f>
        <v>486000</v>
      </c>
    </row>
    <row r="12" customFormat="false" ht="15" hidden="false" customHeight="false" outlineLevel="0" collapsed="false">
      <c r="A12" s="7" t="s">
        <v>581</v>
      </c>
      <c r="B12" s="8" t="s">
        <v>10</v>
      </c>
      <c r="C12" s="58" t="n">
        <f aca="false">C11*Pressupostos!$G$27</f>
        <v>810</v>
      </c>
      <c r="D12" s="58" t="n">
        <f aca="false">D11*Pressupostos!$G$27</f>
        <v>3240</v>
      </c>
      <c r="E12" s="58" t="n">
        <f aca="false">E11*Pressupostos!$G$27</f>
        <v>5400</v>
      </c>
      <c r="F12" s="58" t="n">
        <f aca="false">F11*Pressupostos!$G$27</f>
        <v>7560</v>
      </c>
      <c r="G12" s="58" t="n">
        <f aca="false">G11*Pressupostos!$G$27</f>
        <v>9720</v>
      </c>
    </row>
    <row r="13" customFormat="false" ht="15" hidden="false" customHeight="false" outlineLevel="0" collapsed="false">
      <c r="A13" s="7" t="s">
        <v>582</v>
      </c>
      <c r="B13" s="8" t="s">
        <v>10</v>
      </c>
      <c r="C13" s="58" t="n">
        <f aca="false">Volumes!C26*(Pressupostos!$C$99*Pressupostos!$C$100+Pressupostos!$C$101)</f>
        <v>0</v>
      </c>
      <c r="D13" s="58" t="n">
        <f aca="false">Volumes!D26*(Pressupostos!$C$99*Pressupostos!$C$100+Pressupostos!$C$101)</f>
        <v>10000</v>
      </c>
      <c r="E13" s="58" t="n">
        <f aca="false">Volumes!E26*(Pressupostos!$C$99*Pressupostos!$C$100+Pressupostos!$C$101)</f>
        <v>30000</v>
      </c>
      <c r="F13" s="58" t="n">
        <f aca="false">Volumes!F26*(Pressupostos!$C$99*Pressupostos!$C$100+Pressupostos!$C$101)</f>
        <v>60000</v>
      </c>
      <c r="G13" s="58" t="n">
        <f aca="false">Volumes!G26*(Pressupostos!$C$99*Pressupostos!$C$100+Pressupostos!$C$101)</f>
        <v>100000</v>
      </c>
    </row>
    <row r="14" customFormat="false" ht="15" hidden="false" customHeight="false" outlineLevel="0" collapsed="false">
      <c r="A14" s="7" t="s">
        <v>583</v>
      </c>
      <c r="B14" s="8" t="s">
        <v>10</v>
      </c>
      <c r="C14" s="50" t="n">
        <f aca="false">Pressupostos!$C$273</f>
        <v>0</v>
      </c>
      <c r="D14" s="50" t="n">
        <f aca="false">Pressupostos!$D$273</f>
        <v>0</v>
      </c>
      <c r="E14" s="50" t="n">
        <f aca="false">Pressupostos!$E$273</f>
        <v>0</v>
      </c>
      <c r="F14" s="50" t="n">
        <f aca="false">Pressupostos!$F$273</f>
        <v>10000</v>
      </c>
      <c r="G14" s="50" t="n">
        <f aca="false">Pressupostos!$G$273</f>
        <v>30000</v>
      </c>
    </row>
    <row r="15" customFormat="false" ht="15" hidden="false" customHeight="false" outlineLevel="0" collapsed="false">
      <c r="A15" s="52" t="s">
        <v>584</v>
      </c>
      <c r="B15" s="53" t="s">
        <v>10</v>
      </c>
      <c r="C15" s="59" t="n">
        <f aca="false">C9+C10+C12+C13+C14</f>
        <v>267690</v>
      </c>
      <c r="D15" s="59" t="n">
        <f aca="false">D9+D10+D12+D13+D14</f>
        <v>1780435</v>
      </c>
      <c r="E15" s="59" t="n">
        <f aca="false">E9+E10+E12+E13+E14</f>
        <v>4066155</v>
      </c>
      <c r="F15" s="59" t="n">
        <f aca="false">F9+F10+F12+F13+F14</f>
        <v>7052305</v>
      </c>
      <c r="G15" s="59" t="n">
        <f aca="false">G9+G10+G12+G13+G14</f>
        <v>10796070</v>
      </c>
    </row>
    <row r="17" customFormat="false" ht="15" hidden="false" customHeight="false" outlineLevel="0" collapsed="false">
      <c r="A17" s="3" t="s">
        <v>585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52" t="s">
        <v>586</v>
      </c>
      <c r="B18" s="53" t="s">
        <v>10</v>
      </c>
      <c r="C18" s="59" t="n">
        <f aca="false">C9+C10+C11</f>
        <v>307380</v>
      </c>
      <c r="D18" s="59" t="n">
        <f aca="false">D9+D10+D11</f>
        <v>1929195</v>
      </c>
      <c r="E18" s="59" t="n">
        <f aca="false">E9+E10+E11</f>
        <v>4300755</v>
      </c>
      <c r="F18" s="59" t="n">
        <f aca="false">F9+F10+F11</f>
        <v>7352745</v>
      </c>
      <c r="G18" s="59" t="n">
        <f aca="false">G9+G10+G11</f>
        <v>11142350</v>
      </c>
    </row>
    <row r="19" customFormat="false" ht="15" hidden="false" customHeight="false" outlineLevel="0" collapsed="false">
      <c r="A19" s="7" t="s">
        <v>587</v>
      </c>
      <c r="B19" s="8" t="s">
        <v>10</v>
      </c>
      <c r="C19" s="58" t="n">
        <f aca="false">Volumes!C10*1000*(Custos!C6+Custos!C9)+Volumes!C11*1000*(Custos!C30+Custos!C33)+Volumes!C12*1000*(Custos!C54+Custos!C57)+Volumes!C23*1000*Pressupostos!$C$90</f>
        <v>243800</v>
      </c>
      <c r="D19" s="58" t="n">
        <f aca="false">Volumes!D10*1000*(Custos!D6+Custos!D9)+Volumes!D11*1000*(Custos!D30+Custos!D33)+Volumes!D12*1000*(Custos!D54+Custos!D57)+Volumes!D23*1000*Pressupostos!$C$90</f>
        <v>1623700</v>
      </c>
      <c r="E19" s="58" t="n">
        <f aca="false">Volumes!E10*1000*(Custos!E6+Custos!E9)+Volumes!E11*1000*(Custos!E30+Custos!E33)+Volumes!E12*1000*(Custos!E54+Custos!E57)+Volumes!E23*1000*Pressupostos!$C$90</f>
        <v>3665800</v>
      </c>
      <c r="F19" s="58" t="n">
        <f aca="false">Volumes!F10*1000*(Custos!F6+Custos!F9)+Volumes!F11*1000*(Custos!F30+Custos!F33)+Volumes!F12*1000*(Custos!F54+Custos!F57)+Volumes!F23*1000*Pressupostos!$C$90</f>
        <v>6319200</v>
      </c>
      <c r="G19" s="58" t="n">
        <f aca="false">Volumes!G10*1000*(Custos!G6+Custos!G9)+Volumes!G11*1000*(Custos!G30+Custos!G33)+Volumes!G12*1000*(Custos!G54+Custos!G57)+Volumes!G23*1000*Pressupostos!$C$90</f>
        <v>9651000</v>
      </c>
    </row>
    <row r="20" customFormat="false" ht="15" hidden="false" customHeight="false" outlineLevel="0" collapsed="false">
      <c r="A20" s="7" t="s">
        <v>588</v>
      </c>
      <c r="B20" s="8" t="s">
        <v>10</v>
      </c>
      <c r="C20" s="58" t="n">
        <f aca="false">C19*Pressupostos!$C$280</f>
        <v>0</v>
      </c>
      <c r="D20" s="58" t="n">
        <f aca="false">D19*Pressupostos!$D$280</f>
        <v>1461330</v>
      </c>
      <c r="E20" s="58" t="n">
        <f aca="false">E19*Pressupostos!$E$280</f>
        <v>3299220</v>
      </c>
      <c r="F20" s="58" t="n">
        <f aca="false">F19*Pressupostos!$F$280</f>
        <v>5687280</v>
      </c>
      <c r="G20" s="58" t="n">
        <f aca="false">G19*Pressupostos!$G$280</f>
        <v>8685900</v>
      </c>
    </row>
    <row r="22" customFormat="false" ht="15" hidden="false" customHeight="false" outlineLevel="0" collapsed="false">
      <c r="A22" s="3" t="s">
        <v>589</v>
      </c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7" t="s">
        <v>590</v>
      </c>
      <c r="B23" s="8" t="s">
        <v>10</v>
      </c>
      <c r="C23" s="58" t="n">
        <f aca="false">Volumes!C10*1000*Custos!C25</f>
        <v>2727.51452054796</v>
      </c>
      <c r="D23" s="58" t="n">
        <f aca="false">Volumes!D10*1000*Custos!D25</f>
        <v>5610.35054794528</v>
      </c>
      <c r="E23" s="58" t="n">
        <f aca="false">Volumes!E10*1000*Custos!E25</f>
        <v>46169.050650685</v>
      </c>
      <c r="F23" s="58" t="n">
        <f aca="false">Volumes!F10*1000*Custos!F25</f>
        <v>96209.0426712332</v>
      </c>
      <c r="G23" s="58" t="n">
        <f aca="false">Volumes!G10*1000*Custos!G25</f>
        <v>147736.732191781</v>
      </c>
    </row>
    <row r="24" customFormat="false" ht="15" hidden="false" customHeight="false" outlineLevel="0" collapsed="false">
      <c r="A24" s="7" t="s">
        <v>591</v>
      </c>
      <c r="B24" s="8" t="s">
        <v>10</v>
      </c>
      <c r="C24" s="58" t="n">
        <f aca="false">Volumes!C11*1000*Custos!C49</f>
        <v>5010.62739726033</v>
      </c>
      <c r="D24" s="58" t="n">
        <f aca="false">Volumes!D11*1000*Custos!D49</f>
        <v>18665.410273973</v>
      </c>
      <c r="E24" s="58" t="n">
        <f aca="false">Volumes!E11*1000*Custos!E49</f>
        <v>46051.8418664388</v>
      </c>
      <c r="F24" s="58" t="n">
        <f aca="false">Volumes!F11*1000*Custos!F49</f>
        <v>79304.9573630142</v>
      </c>
      <c r="G24" s="58" t="n">
        <f aca="false">Volumes!G11*1000*Custos!G49</f>
        <v>119996.511986302</v>
      </c>
    </row>
    <row r="25" customFormat="false" ht="15" hidden="false" customHeight="false" outlineLevel="0" collapsed="false">
      <c r="A25" s="7" t="s">
        <v>592</v>
      </c>
      <c r="B25" s="8" t="s">
        <v>10</v>
      </c>
      <c r="C25" s="58" t="n">
        <f aca="false">Volumes!C12*1000*Custos!C73</f>
        <v>0</v>
      </c>
      <c r="D25" s="58" t="n">
        <f aca="false">Volumes!D12*1000*Custos!D73</f>
        <v>0</v>
      </c>
      <c r="E25" s="58" t="n">
        <f aca="false">Volumes!E12*1000*Custos!E73</f>
        <v>0</v>
      </c>
      <c r="F25" s="58" t="n">
        <f aca="false">Volumes!F12*1000*Custos!F73</f>
        <v>0</v>
      </c>
      <c r="G25" s="58" t="n">
        <f aca="false">Volumes!G12*1000*Custos!G73</f>
        <v>0</v>
      </c>
    </row>
    <row r="26" customFormat="false" ht="15" hidden="false" customHeight="false" outlineLevel="0" collapsed="false">
      <c r="A26" s="7" t="s">
        <v>593</v>
      </c>
      <c r="B26" s="8" t="s">
        <v>10</v>
      </c>
      <c r="C26" s="58" t="n">
        <f aca="false">C23+C24+C25</f>
        <v>7738.14191780829</v>
      </c>
      <c r="D26" s="58" t="n">
        <f aca="false">D23+D24+D25</f>
        <v>24275.7608219183</v>
      </c>
      <c r="E26" s="58" t="n">
        <f aca="false">E23+E24+E25</f>
        <v>92220.8925171239</v>
      </c>
      <c r="F26" s="58" t="n">
        <f aca="false">F23+F24+F25</f>
        <v>175514.000034247</v>
      </c>
      <c r="G26" s="58" t="n">
        <f aca="false">G23+G24+G25</f>
        <v>267733.244178084</v>
      </c>
    </row>
    <row r="27" customFormat="false" ht="15" hidden="false" customHeight="false" outlineLevel="0" collapsed="false">
      <c r="A27" s="7" t="s">
        <v>594</v>
      </c>
      <c r="B27" s="8" t="s">
        <v>59</v>
      </c>
      <c r="C27" s="60" t="n">
        <f aca="false">IF(Volumes!C13&gt;0,C26/(Volumes!C13*1000),0)</f>
        <v>0.128969031963471</v>
      </c>
      <c r="D27" s="60" t="n">
        <f aca="false">IF(Volumes!D13&gt;0,D26/(Volumes!D13*1000),0)</f>
        <v>0.0606894020547957</v>
      </c>
      <c r="E27" s="60" t="n">
        <f aca="false">IF(Volumes!E13&gt;0,E26/(Volumes!E13*1000),0)</f>
        <v>0.108495167667205</v>
      </c>
      <c r="F27" s="60" t="n">
        <f aca="false">IF(Volumes!F13&gt;0,F26/(Volumes!F13*1000),0)</f>
        <v>0.121044137954653</v>
      </c>
      <c r="G27" s="60" t="n">
        <f aca="false">IF(Volumes!G13&gt;0,G26/(Volumes!G13*1000),0)</f>
        <v>0.121696929171856</v>
      </c>
    </row>
    <row r="28" customFormat="false" ht="15" hidden="false" customHeight="false" outlineLevel="0" collapsed="false">
      <c r="A28" s="7" t="s">
        <v>595</v>
      </c>
      <c r="B28" s="8" t="s">
        <v>71</v>
      </c>
      <c r="C28" s="55" t="n">
        <f aca="false">IF(C9&gt;0,C26/C9,0)</f>
        <v>0.0289948363227229</v>
      </c>
      <c r="D28" s="55" t="n">
        <f aca="false">IF(D9&gt;0,D26/D9,0)</f>
        <v>0.0137368885844054</v>
      </c>
      <c r="E28" s="55" t="n">
        <f aca="false">IF(E9&gt;0,E26/E9,0)</f>
        <v>0.0242989977003189</v>
      </c>
      <c r="F28" s="55" t="n">
        <f aca="false">IF(F9&gt;0,F26/F9,0)</f>
        <v>0.0269866054149182</v>
      </c>
      <c r="G28" s="55" t="n">
        <f aca="false">IF(G9&gt;0,G26/G9,0)</f>
        <v>0.0271222521922618</v>
      </c>
    </row>
    <row r="29" customFormat="false" ht="15" hidden="false" customHeight="false" outlineLevel="0" collapsed="false">
      <c r="A29" s="2" t="s">
        <v>596</v>
      </c>
      <c r="B29" s="8" t="s">
        <v>59</v>
      </c>
      <c r="C29" s="60" t="n">
        <f aca="false">Pressupostos!$C$286*Pressupostos!$C$90*(Pressupostos!$C$93+Pressupostos!$C$94-Pressupostos!$C$95)/365*Pressupostos!$C$280/Pressupostos!$G$31</f>
        <v>0</v>
      </c>
      <c r="D29" s="60" t="n">
        <f aca="false">Pressupostos!$D$286*Pressupostos!$C$90*(Pressupostos!$C$93+Pressupostos!$C$94-Pressupostos!$C$95)/365*Pressupostos!$D$280/Pressupostos!$G$31</f>
        <v>0.0776712328767123</v>
      </c>
      <c r="E29" s="60" t="n">
        <f aca="false">Pressupostos!$E$286*Pressupostos!$C$90*(Pressupostos!$C$93+Pressupostos!$C$94-Pressupostos!$C$95)/365*Pressupostos!$E$280/Pressupostos!$G$31</f>
        <v>0.0728167808219178</v>
      </c>
      <c r="F29" s="60" t="n">
        <f aca="false">Pressupostos!$F$286*Pressupostos!$C$90*(Pressupostos!$C$93+Pressupostos!$C$94-Pressupostos!$C$95)/365*Pressupostos!$F$280/Pressupostos!$G$31</f>
        <v>0.0679623287671233</v>
      </c>
      <c r="G29" s="60" t="n">
        <f aca="false">Pressupostos!$G$286*Pressupostos!$C$90*(Pressupostos!$C$93+Pressupostos!$C$94-Pressupostos!$C$95)/365*Pressupostos!$G$280/Pressupostos!$G$31</f>
        <v>0.0679623287671233</v>
      </c>
    </row>
    <row r="30" customFormat="false" ht="15" hidden="false" customHeight="false" outlineLevel="0" collapsed="false">
      <c r="A30" s="7" t="s">
        <v>567</v>
      </c>
      <c r="B30" s="8" t="s">
        <v>10</v>
      </c>
      <c r="C30" s="58" t="n">
        <f aca="false">Volumes!C23*1000*(Pressupostos!$C$91-Pressupostos!$C$90-Pressupostos!$C$92-C29-Pressupostos!$C$96*Pressupostos!$C$91-Pressupostos!$C$97-Pressupostos!$G$29*Pressupostos!$C$90)</f>
        <v>0</v>
      </c>
      <c r="D30" s="58" t="n">
        <f aca="false">Volumes!D23*1000*(Pressupostos!$C$91-Pressupostos!$C$90-Pressupostos!$C$92-D29-Pressupostos!$C$96*Pressupostos!$C$91-Pressupostos!$C$97-Pressupostos!$G$29*Pressupostos!$C$90)</f>
        <v>0</v>
      </c>
      <c r="E30" s="58" t="n">
        <f aca="false">Volumes!E23*1000*(Pressupostos!$C$91-Pressupostos!$C$90-Pressupostos!$C$92-E29-Pressupostos!$C$96*Pressupostos!$C$91-Pressupostos!$C$97-Pressupostos!$G$29*Pressupostos!$C$90)</f>
        <v>16502.4965753425</v>
      </c>
      <c r="F30" s="58" t="n">
        <f aca="false">Volumes!F23*1000*(Pressupostos!$C$91-Pressupostos!$C$90-Pressupostos!$C$92-F29-Pressupostos!$C$96*Pressupostos!$C$91-Pressupostos!$C$97-Pressupostos!$G$29*Pressupostos!$C$90)</f>
        <v>33296.2602739726</v>
      </c>
      <c r="G30" s="58" t="n">
        <f aca="false">Volumes!G23*1000*(Pressupostos!$C$91-Pressupostos!$C$90-Pressupostos!$C$92-G29-Pressupostos!$C$96*Pressupostos!$C$91-Pressupostos!$C$97-Pressupostos!$G$29*Pressupostos!$C$90)</f>
        <v>55493.7671232876</v>
      </c>
    </row>
    <row r="31" customFormat="false" ht="15" hidden="false" customHeight="false" outlineLevel="0" collapsed="false">
      <c r="A31" s="7" t="s">
        <v>597</v>
      </c>
      <c r="B31" s="8" t="s">
        <v>10</v>
      </c>
      <c r="C31" s="58" t="n">
        <f aca="false">C12</f>
        <v>810</v>
      </c>
      <c r="D31" s="58" t="n">
        <f aca="false">D12</f>
        <v>3240</v>
      </c>
      <c r="E31" s="58" t="n">
        <f aca="false">E12</f>
        <v>5400</v>
      </c>
      <c r="F31" s="58" t="n">
        <f aca="false">F12</f>
        <v>7560</v>
      </c>
      <c r="G31" s="58" t="n">
        <f aca="false">G12</f>
        <v>9720</v>
      </c>
    </row>
    <row r="32" customFormat="false" ht="15" hidden="false" customHeight="false" outlineLevel="0" collapsed="false">
      <c r="A32" s="7" t="s">
        <v>598</v>
      </c>
      <c r="B32" s="8" t="s">
        <v>10</v>
      </c>
      <c r="C32" s="58" t="n">
        <f aca="false">C13-Custos!C89</f>
        <v>0</v>
      </c>
      <c r="D32" s="58" t="n">
        <f aca="false">D13-Custos!D89</f>
        <v>1771.42857142857</v>
      </c>
      <c r="E32" s="58" t="n">
        <f aca="false">E13-Custos!E89</f>
        <v>5314.28571428572</v>
      </c>
      <c r="F32" s="58" t="n">
        <f aca="false">F13-Custos!F89</f>
        <v>10628.5714285714</v>
      </c>
      <c r="G32" s="58" t="n">
        <f aca="false">G13-Custos!G89</f>
        <v>17714.2857142857</v>
      </c>
    </row>
    <row r="33" customFormat="false" ht="15" hidden="false" customHeight="false" outlineLevel="0" collapsed="false">
      <c r="A33" s="7" t="s">
        <v>583</v>
      </c>
      <c r="B33" s="8" t="s">
        <v>10</v>
      </c>
      <c r="C33" s="58" t="n">
        <f aca="false">C14</f>
        <v>0</v>
      </c>
      <c r="D33" s="58" t="n">
        <f aca="false">D14</f>
        <v>0</v>
      </c>
      <c r="E33" s="58" t="n">
        <f aca="false">E14</f>
        <v>0</v>
      </c>
      <c r="F33" s="58" t="n">
        <f aca="false">F14</f>
        <v>10000</v>
      </c>
      <c r="G33" s="58" t="n">
        <f aca="false">G14</f>
        <v>30000</v>
      </c>
    </row>
    <row r="34" customFormat="false" ht="15" hidden="false" customHeight="false" outlineLevel="0" collapsed="false">
      <c r="A34" s="52" t="s">
        <v>599</v>
      </c>
      <c r="B34" s="53" t="s">
        <v>10</v>
      </c>
      <c r="C34" s="59" t="n">
        <f aca="false">C26+C30+C31+C32+C33</f>
        <v>8548.14191780829</v>
      </c>
      <c r="D34" s="59" t="n">
        <f aca="false">D26+D30+D31+D32+D33</f>
        <v>29287.1893933469</v>
      </c>
      <c r="E34" s="59" t="n">
        <f aca="false">E26+E30+E31+E32+E33</f>
        <v>119437.674806752</v>
      </c>
      <c r="F34" s="59" t="n">
        <f aca="false">F26+F30+F31+F32+F33</f>
        <v>236998.831736791</v>
      </c>
      <c r="G34" s="59" t="n">
        <f aca="false">G26+G30+G31+G32+G33</f>
        <v>380661.297015657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600</v>
      </c>
    </row>
    <row r="3" customFormat="false" ht="15" hidden="false" customHeight="false" outlineLevel="0" collapsed="false">
      <c r="A3" s="48" t="str">
        <f aca="false">"Cenário ativo: "&amp;Pressupostos!$C$4&amp;"  ·  euros correntes, sem IVA"</f>
        <v>Cenário ativo: Base  ·  euros correntes, sem IVA</v>
      </c>
    </row>
    <row r="4" customFormat="false" ht="15" hidden="false" customHeight="false" outlineLevel="0" collapsed="false">
      <c r="A4" s="5" t="s">
        <v>456</v>
      </c>
      <c r="B4" s="5" t="s">
        <v>4</v>
      </c>
      <c r="C4" s="6" t="s">
        <v>366</v>
      </c>
      <c r="D4" s="6" t="s">
        <v>367</v>
      </c>
      <c r="E4" s="6" t="s">
        <v>368</v>
      </c>
      <c r="F4" s="6" t="s">
        <v>369</v>
      </c>
      <c r="G4" s="6" t="s">
        <v>370</v>
      </c>
      <c r="H4" s="6" t="s">
        <v>465</v>
      </c>
    </row>
    <row r="5" customFormat="false" ht="15" hidden="false" customHeight="false" outlineLevel="0" collapsed="false">
      <c r="A5" s="3" t="s">
        <v>601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7" t="s">
        <v>602</v>
      </c>
      <c r="B6" s="8" t="s">
        <v>413</v>
      </c>
      <c r="C6" s="61" t="n">
        <f aca="false">Pressupostos!$C$318</f>
        <v>1</v>
      </c>
      <c r="D6" s="61" t="n">
        <f aca="false">Pressupostos!$D$318</f>
        <v>1</v>
      </c>
      <c r="E6" s="61" t="n">
        <f aca="false">Pressupostos!$E$318</f>
        <v>1</v>
      </c>
      <c r="F6" s="61" t="n">
        <f aca="false">Pressupostos!$F$318</f>
        <v>1</v>
      </c>
      <c r="G6" s="61" t="n">
        <f aca="false">Pressupostos!$G$318</f>
        <v>1</v>
      </c>
    </row>
    <row r="7" customFormat="false" ht="15" hidden="false" customHeight="false" outlineLevel="0" collapsed="false">
      <c r="A7" s="7" t="s">
        <v>603</v>
      </c>
      <c r="B7" s="8" t="s">
        <v>413</v>
      </c>
      <c r="C7" s="61" t="n">
        <f aca="false">Pressupostos!$C$324</f>
        <v>1</v>
      </c>
      <c r="D7" s="61" t="n">
        <f aca="false">Pressupostos!$D$324</f>
        <v>1</v>
      </c>
      <c r="E7" s="61" t="n">
        <f aca="false">Pressupostos!$E$324</f>
        <v>1</v>
      </c>
      <c r="F7" s="61" t="n">
        <f aca="false">Pressupostos!$F$324</f>
        <v>1</v>
      </c>
      <c r="G7" s="61" t="n">
        <f aca="false">Pressupostos!$G$324</f>
        <v>1</v>
      </c>
    </row>
    <row r="8" customFormat="false" ht="15" hidden="false" customHeight="false" outlineLevel="0" collapsed="false">
      <c r="A8" s="7" t="s">
        <v>604</v>
      </c>
      <c r="B8" s="8" t="s">
        <v>413</v>
      </c>
      <c r="C8" s="61" t="n">
        <f aca="false">Pressupostos!$C$330</f>
        <v>1</v>
      </c>
      <c r="D8" s="61" t="n">
        <f aca="false">Pressupostos!$D$330</f>
        <v>1</v>
      </c>
      <c r="E8" s="61" t="n">
        <f aca="false">Pressupostos!$E$330</f>
        <v>2</v>
      </c>
      <c r="F8" s="61" t="n">
        <f aca="false">Pressupostos!$F$330</f>
        <v>2</v>
      </c>
      <c r="G8" s="61" t="n">
        <f aca="false">Pressupostos!$G$330</f>
        <v>2</v>
      </c>
    </row>
    <row r="9" customFormat="false" ht="15" hidden="false" customHeight="false" outlineLevel="0" collapsed="false">
      <c r="A9" s="7" t="s">
        <v>605</v>
      </c>
      <c r="B9" s="8" t="s">
        <v>413</v>
      </c>
      <c r="C9" s="61" t="n">
        <f aca="false">Pressupostos!$C$336</f>
        <v>1</v>
      </c>
      <c r="D9" s="61" t="n">
        <f aca="false">Pressupostos!$D$336</f>
        <v>1</v>
      </c>
      <c r="E9" s="61" t="n">
        <f aca="false">Pressupostos!$E$336</f>
        <v>1</v>
      </c>
      <c r="F9" s="61" t="n">
        <f aca="false">Pressupostos!$F$336</f>
        <v>1</v>
      </c>
      <c r="G9" s="61" t="n">
        <f aca="false">Pressupostos!$G$336</f>
        <v>1</v>
      </c>
    </row>
    <row r="10" customFormat="false" ht="15" hidden="false" customHeight="false" outlineLevel="0" collapsed="false">
      <c r="A10" s="7" t="s">
        <v>606</v>
      </c>
      <c r="B10" s="8" t="s">
        <v>413</v>
      </c>
      <c r="C10" s="61" t="n">
        <f aca="false">Pressupostos!$C$342</f>
        <v>0.5</v>
      </c>
      <c r="D10" s="61" t="n">
        <f aca="false">Pressupostos!$D$342</f>
        <v>1</v>
      </c>
      <c r="E10" s="61" t="n">
        <f aca="false">Pressupostos!$E$342</f>
        <v>1</v>
      </c>
      <c r="F10" s="61" t="n">
        <f aca="false">Pressupostos!$F$342</f>
        <v>1</v>
      </c>
      <c r="G10" s="61" t="n">
        <f aca="false">Pressupostos!$G$342</f>
        <v>1</v>
      </c>
    </row>
    <row r="11" customFormat="false" ht="15" hidden="false" customHeight="false" outlineLevel="0" collapsed="false">
      <c r="A11" s="7" t="s">
        <v>607</v>
      </c>
      <c r="B11" s="8" t="s">
        <v>413</v>
      </c>
      <c r="C11" s="61" t="n">
        <f aca="false">Pressupostos!$C$348</f>
        <v>1</v>
      </c>
      <c r="D11" s="61" t="n">
        <f aca="false">Pressupostos!$D$348</f>
        <v>1</v>
      </c>
      <c r="E11" s="61" t="n">
        <f aca="false">Pressupostos!$E$348</f>
        <v>1</v>
      </c>
      <c r="F11" s="61" t="n">
        <f aca="false">Pressupostos!$F$348</f>
        <v>2</v>
      </c>
      <c r="G11" s="61" t="n">
        <f aca="false">Pressupostos!$G$348</f>
        <v>2</v>
      </c>
    </row>
    <row r="12" customFormat="false" ht="15" hidden="false" customHeight="false" outlineLevel="0" collapsed="false">
      <c r="A12" s="7" t="s">
        <v>608</v>
      </c>
      <c r="B12" s="8" t="s">
        <v>413</v>
      </c>
      <c r="C12" s="61" t="n">
        <f aca="false">Pressupostos!$C$354</f>
        <v>0.5</v>
      </c>
      <c r="D12" s="61" t="n">
        <f aca="false">Pressupostos!$D$354</f>
        <v>1</v>
      </c>
      <c r="E12" s="61" t="n">
        <f aca="false">Pressupostos!$E$354</f>
        <v>1</v>
      </c>
      <c r="F12" s="61" t="n">
        <f aca="false">Pressupostos!$F$354</f>
        <v>1</v>
      </c>
      <c r="G12" s="61" t="n">
        <f aca="false">Pressupostos!$G$354</f>
        <v>1</v>
      </c>
    </row>
    <row r="13" customFormat="false" ht="15" hidden="false" customHeight="false" outlineLevel="0" collapsed="false">
      <c r="A13" s="7" t="s">
        <v>609</v>
      </c>
      <c r="B13" s="8" t="s">
        <v>413</v>
      </c>
      <c r="C13" s="61" t="n">
        <f aca="false">Pressupostos!$C$360</f>
        <v>1</v>
      </c>
      <c r="D13" s="61" t="n">
        <f aca="false">Pressupostos!$D$360</f>
        <v>1</v>
      </c>
      <c r="E13" s="61" t="n">
        <f aca="false">Pressupostos!$E$360</f>
        <v>2</v>
      </c>
      <c r="F13" s="61" t="n">
        <f aca="false">Pressupostos!$F$360</f>
        <v>3</v>
      </c>
      <c r="G13" s="61" t="n">
        <f aca="false">Pressupostos!$G$360</f>
        <v>5</v>
      </c>
    </row>
    <row r="14" customFormat="false" ht="15" hidden="false" customHeight="false" outlineLevel="0" collapsed="false">
      <c r="A14" s="7" t="s">
        <v>610</v>
      </c>
      <c r="B14" s="8" t="s">
        <v>413</v>
      </c>
      <c r="C14" s="61" t="n">
        <f aca="false">Pressupostos!$C$366</f>
        <v>0</v>
      </c>
      <c r="D14" s="61" t="n">
        <f aca="false">Pressupostos!$D$366</f>
        <v>0</v>
      </c>
      <c r="E14" s="61" t="n">
        <f aca="false">Pressupostos!$E$366</f>
        <v>0</v>
      </c>
      <c r="F14" s="61" t="n">
        <f aca="false">Pressupostos!$F$366</f>
        <v>1</v>
      </c>
      <c r="G14" s="61" t="n">
        <f aca="false">Pressupostos!$G$366</f>
        <v>1</v>
      </c>
    </row>
    <row r="15" customFormat="false" ht="15" hidden="false" customHeight="false" outlineLevel="0" collapsed="false">
      <c r="A15" s="7" t="s">
        <v>611</v>
      </c>
      <c r="B15" s="8" t="s">
        <v>413</v>
      </c>
      <c r="C15" s="61" t="n">
        <f aca="false">Pressupostos!$C$372</f>
        <v>0</v>
      </c>
      <c r="D15" s="61" t="n">
        <f aca="false">Pressupostos!$D$372</f>
        <v>0</v>
      </c>
      <c r="E15" s="61" t="n">
        <f aca="false">Pressupostos!$E$372</f>
        <v>0</v>
      </c>
      <c r="F15" s="61" t="n">
        <f aca="false">Pressupostos!$F$372</f>
        <v>0</v>
      </c>
      <c r="G15" s="61" t="n">
        <f aca="false">Pressupostos!$G$372</f>
        <v>1</v>
      </c>
    </row>
    <row r="16" customFormat="false" ht="15" hidden="false" customHeight="false" outlineLevel="0" collapsed="false">
      <c r="A16" s="7" t="s">
        <v>612</v>
      </c>
      <c r="B16" s="8" t="s">
        <v>413</v>
      </c>
      <c r="C16" s="61" t="n">
        <f aca="false">Pressupostos!$C$378</f>
        <v>0</v>
      </c>
      <c r="D16" s="61" t="n">
        <f aca="false">Pressupostos!$D$378</f>
        <v>0</v>
      </c>
      <c r="E16" s="61" t="n">
        <f aca="false">Pressupostos!$E$378</f>
        <v>1</v>
      </c>
      <c r="F16" s="61" t="n">
        <f aca="false">Pressupostos!$F$378</f>
        <v>1</v>
      </c>
      <c r="G16" s="61" t="n">
        <f aca="false">Pressupostos!$G$378</f>
        <v>1</v>
      </c>
    </row>
    <row r="17" customFormat="false" ht="15" hidden="false" customHeight="false" outlineLevel="0" collapsed="false">
      <c r="A17" s="7" t="s">
        <v>613</v>
      </c>
      <c r="B17" s="8" t="s">
        <v>413</v>
      </c>
      <c r="C17" s="61" t="n">
        <f aca="false">Pressupostos!$C$384</f>
        <v>0</v>
      </c>
      <c r="D17" s="61" t="n">
        <f aca="false">Pressupostos!$D$384</f>
        <v>0</v>
      </c>
      <c r="E17" s="61" t="n">
        <f aca="false">Pressupostos!$E$384</f>
        <v>0</v>
      </c>
      <c r="F17" s="61" t="n">
        <f aca="false">Pressupostos!$F$384</f>
        <v>0</v>
      </c>
      <c r="G17" s="61" t="n">
        <f aca="false">Pressupostos!$G$384</f>
        <v>0</v>
      </c>
    </row>
    <row r="18" customFormat="false" ht="15" hidden="false" customHeight="false" outlineLevel="0" collapsed="false">
      <c r="A18" s="52" t="s">
        <v>614</v>
      </c>
      <c r="B18" s="53" t="s">
        <v>413</v>
      </c>
      <c r="C18" s="62" t="n">
        <f aca="false">C6+C7+C8+C9+C10+C11+C12+C13+C14+C15+C16+C17</f>
        <v>7</v>
      </c>
      <c r="D18" s="62" t="n">
        <f aca="false">D6+D7+D8+D9+D10+D11+D12+D13+D14+D15+D16+D17</f>
        <v>8</v>
      </c>
      <c r="E18" s="62" t="n">
        <f aca="false">E6+E7+E8+E9+E10+E11+E12+E13+E14+E15+E16+E17</f>
        <v>11</v>
      </c>
      <c r="F18" s="62" t="n">
        <f aca="false">F6+F7+F8+F9+F10+F11+F12+F13+F14+F15+F16+F17</f>
        <v>14</v>
      </c>
      <c r="G18" s="62" t="n">
        <f aca="false">G6+G7+G8+G9+G10+G11+G12+G13+G14+G15+G16+G17</f>
        <v>17</v>
      </c>
    </row>
    <row r="20" customFormat="false" ht="15" hidden="false" customHeight="false" outlineLevel="0" collapsed="false">
      <c r="A20" s="3" t="s">
        <v>615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7" t="s">
        <v>602</v>
      </c>
      <c r="B21" s="8" t="s">
        <v>10</v>
      </c>
      <c r="C21" s="58" t="n">
        <f aca="false">C6*Pressupostos!$C$129*(1+Pressupostos!$C$125)^0*(1+Pressupostos!$C$130)*Pressupostos!$C$126</f>
        <v>43998</v>
      </c>
      <c r="D21" s="58" t="n">
        <f aca="false">D6*Pressupostos!$C$129*(1+Pressupostos!$C$125)^1*(1+Pressupostos!$C$130)</f>
        <v>61800</v>
      </c>
      <c r="E21" s="58" t="n">
        <f aca="false">E6*Pressupostos!$C$129*(1+Pressupostos!$C$125)^2*(1+Pressupostos!$C$130)</f>
        <v>63654</v>
      </c>
      <c r="F21" s="58" t="n">
        <f aca="false">F6*Pressupostos!$C$129*(1+Pressupostos!$C$125)^3*(1+Pressupostos!$C$130)</f>
        <v>65563.62</v>
      </c>
      <c r="G21" s="58" t="n">
        <f aca="false">G6*Pressupostos!$C$129*(1+Pressupostos!$C$125)^4*(1+Pressupostos!$C$130)</f>
        <v>67530.5286</v>
      </c>
    </row>
    <row r="22" customFormat="false" ht="15" hidden="false" customHeight="false" outlineLevel="0" collapsed="false">
      <c r="A22" s="7" t="s">
        <v>603</v>
      </c>
      <c r="B22" s="8" t="s">
        <v>10</v>
      </c>
      <c r="C22" s="58" t="n">
        <f aca="false">C7*Pressupostos!$C$131*(1+Pressupostos!$C$125)^0*(1+Pressupostos!$C$132)*Pressupostos!$C$126</f>
        <v>47664.5</v>
      </c>
      <c r="D22" s="58" t="n">
        <f aca="false">D7*Pressupostos!$C$131*(1+Pressupostos!$C$125)^1*(1+Pressupostos!$C$132)</f>
        <v>66950</v>
      </c>
      <c r="E22" s="58" t="n">
        <f aca="false">E7*Pressupostos!$C$131*(1+Pressupostos!$C$125)^2*(1+Pressupostos!$C$132)</f>
        <v>68958.5</v>
      </c>
      <c r="F22" s="58" t="n">
        <f aca="false">F7*Pressupostos!$C$131*(1+Pressupostos!$C$125)^3*(1+Pressupostos!$C$132)</f>
        <v>71027.255</v>
      </c>
      <c r="G22" s="58" t="n">
        <f aca="false">G7*Pressupostos!$C$131*(1+Pressupostos!$C$125)^4*(1+Pressupostos!$C$132)</f>
        <v>73158.07265</v>
      </c>
    </row>
    <row r="23" customFormat="false" ht="15" hidden="false" customHeight="false" outlineLevel="0" collapsed="false">
      <c r="A23" s="7" t="s">
        <v>604</v>
      </c>
      <c r="B23" s="8" t="s">
        <v>10</v>
      </c>
      <c r="C23" s="58" t="n">
        <f aca="false">C8*Pressupostos!$C$133*(1+Pressupostos!$C$125)^0*(1+Pressupostos!$C$134)</f>
        <v>45000</v>
      </c>
      <c r="D23" s="58" t="n">
        <f aca="false">D8*Pressupostos!$C$133*(1+Pressupostos!$C$125)^1*(1+Pressupostos!$C$134)</f>
        <v>46350</v>
      </c>
      <c r="E23" s="58" t="n">
        <f aca="false">E8*Pressupostos!$C$133*(1+Pressupostos!$C$125)^2*(1+Pressupostos!$C$134)</f>
        <v>95481</v>
      </c>
      <c r="F23" s="58" t="n">
        <f aca="false">F8*Pressupostos!$C$133*(1+Pressupostos!$C$125)^3*(1+Pressupostos!$C$134)</f>
        <v>98345.43</v>
      </c>
      <c r="G23" s="58" t="n">
        <f aca="false">G8*Pressupostos!$C$133*(1+Pressupostos!$C$125)^4*(1+Pressupostos!$C$134)</f>
        <v>101295.7929</v>
      </c>
    </row>
    <row r="24" customFormat="false" ht="15" hidden="false" customHeight="false" outlineLevel="0" collapsed="false">
      <c r="A24" s="7" t="s">
        <v>605</v>
      </c>
      <c r="B24" s="8" t="s">
        <v>10</v>
      </c>
      <c r="C24" s="58" t="n">
        <f aca="false">C9*Pressupostos!$C$135*(1+Pressupostos!$C$125)^0*(1+Pressupostos!$C$136)</f>
        <v>60000</v>
      </c>
      <c r="D24" s="58" t="n">
        <f aca="false">D9*Pressupostos!$C$135*(1+Pressupostos!$C$125)^1*(1+Pressupostos!$C$136)</f>
        <v>61800</v>
      </c>
      <c r="E24" s="58" t="n">
        <f aca="false">E9*Pressupostos!$C$135*(1+Pressupostos!$C$125)^2*(1+Pressupostos!$C$136)</f>
        <v>63654</v>
      </c>
      <c r="F24" s="58" t="n">
        <f aca="false">F9*Pressupostos!$C$135*(1+Pressupostos!$C$125)^3*(1+Pressupostos!$C$136)</f>
        <v>65563.62</v>
      </c>
      <c r="G24" s="58" t="n">
        <f aca="false">G9*Pressupostos!$C$135*(1+Pressupostos!$C$125)^4*(1+Pressupostos!$C$136)</f>
        <v>67530.5286</v>
      </c>
    </row>
    <row r="25" customFormat="false" ht="15" hidden="false" customHeight="false" outlineLevel="0" collapsed="false">
      <c r="A25" s="7" t="s">
        <v>606</v>
      </c>
      <c r="B25" s="8" t="s">
        <v>10</v>
      </c>
      <c r="C25" s="58" t="n">
        <f aca="false">C10*Pressupostos!$C$137*(1+Pressupostos!$C$125)^0*(1+Pressupostos!$C$138)</f>
        <v>22500</v>
      </c>
      <c r="D25" s="58" t="n">
        <f aca="false">D10*Pressupostos!$C$137*(1+Pressupostos!$C$125)^1*(1+Pressupostos!$C$138)</f>
        <v>46350</v>
      </c>
      <c r="E25" s="58" t="n">
        <f aca="false">E10*Pressupostos!$C$137*(1+Pressupostos!$C$125)^2*(1+Pressupostos!$C$138)</f>
        <v>47740.5</v>
      </c>
      <c r="F25" s="58" t="n">
        <f aca="false">F10*Pressupostos!$C$137*(1+Pressupostos!$C$125)^3*(1+Pressupostos!$C$138)</f>
        <v>49172.715</v>
      </c>
      <c r="G25" s="58" t="n">
        <f aca="false">G10*Pressupostos!$C$137*(1+Pressupostos!$C$125)^4*(1+Pressupostos!$C$138)</f>
        <v>50647.89645</v>
      </c>
    </row>
    <row r="26" customFormat="false" ht="15" hidden="false" customHeight="false" outlineLevel="0" collapsed="false">
      <c r="A26" s="7" t="s">
        <v>607</v>
      </c>
      <c r="B26" s="8" t="s">
        <v>10</v>
      </c>
      <c r="C26" s="58" t="n">
        <f aca="false">C11*Pressupostos!$C$139*(1+Pressupostos!$C$125)^0*(1+Pressupostos!$C$140)</f>
        <v>38000</v>
      </c>
      <c r="D26" s="58" t="n">
        <f aca="false">D11*Pressupostos!$C$139*(1+Pressupostos!$C$125)^1*(1+Pressupostos!$C$140)</f>
        <v>39140</v>
      </c>
      <c r="E26" s="58" t="n">
        <f aca="false">E11*Pressupostos!$C$139*(1+Pressupostos!$C$125)^2*(1+Pressupostos!$C$140)</f>
        <v>40314.2</v>
      </c>
      <c r="F26" s="58" t="n">
        <f aca="false">F11*Pressupostos!$C$139*(1+Pressupostos!$C$125)^3*(1+Pressupostos!$C$140)</f>
        <v>83047.252</v>
      </c>
      <c r="G26" s="58" t="n">
        <f aca="false">G11*Pressupostos!$C$139*(1+Pressupostos!$C$125)^4*(1+Pressupostos!$C$140)</f>
        <v>85538.66956</v>
      </c>
    </row>
    <row r="27" customFormat="false" ht="15" hidden="false" customHeight="false" outlineLevel="0" collapsed="false">
      <c r="A27" s="7" t="s">
        <v>608</v>
      </c>
      <c r="B27" s="8" t="s">
        <v>10</v>
      </c>
      <c r="C27" s="58" t="n">
        <f aca="false">C12*Pressupostos!$C$141*(1+Pressupostos!$C$125)^0*(1+Pressupostos!$C$142)</f>
        <v>16000</v>
      </c>
      <c r="D27" s="58" t="n">
        <f aca="false">D12*Pressupostos!$C$141*(1+Pressupostos!$C$125)^1*(1+Pressupostos!$C$142)</f>
        <v>32960</v>
      </c>
      <c r="E27" s="58" t="n">
        <f aca="false">E12*Pressupostos!$C$141*(1+Pressupostos!$C$125)^2*(1+Pressupostos!$C$142)</f>
        <v>33948.8</v>
      </c>
      <c r="F27" s="58" t="n">
        <f aca="false">F12*Pressupostos!$C$141*(1+Pressupostos!$C$125)^3*(1+Pressupostos!$C$142)</f>
        <v>34967.264</v>
      </c>
      <c r="G27" s="58" t="n">
        <f aca="false">G12*Pressupostos!$C$141*(1+Pressupostos!$C$125)^4*(1+Pressupostos!$C$142)</f>
        <v>36016.28192</v>
      </c>
    </row>
    <row r="28" customFormat="false" ht="15" hidden="false" customHeight="false" outlineLevel="0" collapsed="false">
      <c r="A28" s="7" t="s">
        <v>609</v>
      </c>
      <c r="B28" s="8" t="s">
        <v>10</v>
      </c>
      <c r="C28" s="58" t="n">
        <f aca="false">C13*Pressupostos!$C$143*(1+Pressupostos!$C$125)^0*(1+Pressupostos!$C$144)</f>
        <v>34500</v>
      </c>
      <c r="D28" s="58" t="n">
        <f aca="false">D13*Pressupostos!$C$143*(1+Pressupostos!$C$125)^1*(1+Pressupostos!$C$144)</f>
        <v>35535</v>
      </c>
      <c r="E28" s="58" t="n">
        <f aca="false">E13*Pressupostos!$C$143*(1+Pressupostos!$C$125)^2*(1+Pressupostos!$C$144)</f>
        <v>73202.1</v>
      </c>
      <c r="F28" s="58" t="n">
        <f aca="false">F13*Pressupostos!$C$143*(1+Pressupostos!$C$125)^3*(1+Pressupostos!$C$144)</f>
        <v>113097.2445</v>
      </c>
      <c r="G28" s="58" t="n">
        <f aca="false">G13*Pressupostos!$C$143*(1+Pressupostos!$C$125)^4*(1+Pressupostos!$C$144)</f>
        <v>194150.269725</v>
      </c>
    </row>
    <row r="29" customFormat="false" ht="15" hidden="false" customHeight="false" outlineLevel="0" collapsed="false">
      <c r="A29" s="7" t="s">
        <v>610</v>
      </c>
      <c r="B29" s="8" t="s">
        <v>10</v>
      </c>
      <c r="C29" s="58" t="n">
        <f aca="false">C14*Pressupostos!$C$145*(1+Pressupostos!$C$125)^0*(1+Pressupostos!$C$146)</f>
        <v>0</v>
      </c>
      <c r="D29" s="58" t="n">
        <f aca="false">D14*Pressupostos!$C$145*(1+Pressupostos!$C$125)^1*(1+Pressupostos!$C$146)</f>
        <v>0</v>
      </c>
      <c r="E29" s="58" t="n">
        <f aca="false">E14*Pressupostos!$C$145*(1+Pressupostos!$C$125)^2*(1+Pressupostos!$C$146)</f>
        <v>0</v>
      </c>
      <c r="F29" s="58" t="n">
        <f aca="false">F14*Pressupostos!$C$145*(1+Pressupostos!$C$125)^3*(1+Pressupostos!$C$146)</f>
        <v>49172.715</v>
      </c>
      <c r="G29" s="58" t="n">
        <f aca="false">G14*Pressupostos!$C$145*(1+Pressupostos!$C$125)^4*(1+Pressupostos!$C$146)</f>
        <v>50647.89645</v>
      </c>
    </row>
    <row r="30" customFormat="false" ht="15" hidden="false" customHeight="false" outlineLevel="0" collapsed="false">
      <c r="A30" s="7" t="s">
        <v>611</v>
      </c>
      <c r="B30" s="8" t="s">
        <v>10</v>
      </c>
      <c r="C30" s="58" t="n">
        <f aca="false">C15*Pressupostos!$C$147*(1+Pressupostos!$C$125)^0*(1+Pressupostos!$C$148)</f>
        <v>0</v>
      </c>
      <c r="D30" s="58" t="n">
        <f aca="false">D15*Pressupostos!$C$147*(1+Pressupostos!$C$125)^1*(1+Pressupostos!$C$148)</f>
        <v>0</v>
      </c>
      <c r="E30" s="58" t="n">
        <f aca="false">E15*Pressupostos!$C$147*(1+Pressupostos!$C$125)^2*(1+Pressupostos!$C$148)</f>
        <v>0</v>
      </c>
      <c r="F30" s="58" t="n">
        <f aca="false">F15*Pressupostos!$C$147*(1+Pressupostos!$C$125)^3*(1+Pressupostos!$C$148)</f>
        <v>0</v>
      </c>
      <c r="G30" s="58" t="n">
        <f aca="false">G15*Pressupostos!$C$147*(1+Pressupostos!$C$125)^4*(1+Pressupostos!$C$148)</f>
        <v>45020.3524</v>
      </c>
    </row>
    <row r="31" customFormat="false" ht="15" hidden="false" customHeight="false" outlineLevel="0" collapsed="false">
      <c r="A31" s="7" t="s">
        <v>612</v>
      </c>
      <c r="B31" s="8" t="s">
        <v>10</v>
      </c>
      <c r="C31" s="58" t="n">
        <f aca="false">C16*Pressupostos!$C$149*(1+Pressupostos!$C$125)^0*(1+Pressupostos!$C$150)</f>
        <v>0</v>
      </c>
      <c r="D31" s="58" t="n">
        <f aca="false">D16*Pressupostos!$C$149*(1+Pressupostos!$C$125)^1*(1+Pressupostos!$C$150)</f>
        <v>0</v>
      </c>
      <c r="E31" s="58" t="n">
        <f aca="false">E16*Pressupostos!$C$149*(1+Pressupostos!$C$125)^2*(1+Pressupostos!$C$150)</f>
        <v>25461.6</v>
      </c>
      <c r="F31" s="58" t="n">
        <f aca="false">F16*Pressupostos!$C$149*(1+Pressupostos!$C$125)^3*(1+Pressupostos!$C$150)</f>
        <v>26225.448</v>
      </c>
      <c r="G31" s="58" t="n">
        <f aca="false">G16*Pressupostos!$C$149*(1+Pressupostos!$C$125)^4*(1+Pressupostos!$C$150)</f>
        <v>27012.21144</v>
      </c>
    </row>
    <row r="32" customFormat="false" ht="15" hidden="false" customHeight="false" outlineLevel="0" collapsed="false">
      <c r="A32" s="7" t="s">
        <v>613</v>
      </c>
      <c r="B32" s="8" t="s">
        <v>10</v>
      </c>
      <c r="C32" s="58" t="n">
        <f aca="false">C17*Pressupostos!$C$151*(1+Pressupostos!$C$125)^0*(1+Pressupostos!$C$152)</f>
        <v>0</v>
      </c>
      <c r="D32" s="58" t="n">
        <f aca="false">D17*Pressupostos!$C$151*(1+Pressupostos!$C$125)^1*(1+Pressupostos!$C$152)</f>
        <v>0</v>
      </c>
      <c r="E32" s="58" t="n">
        <f aca="false">E17*Pressupostos!$C$151*(1+Pressupostos!$C$125)^2*(1+Pressupostos!$C$152)</f>
        <v>0</v>
      </c>
      <c r="F32" s="58" t="n">
        <f aca="false">F17*Pressupostos!$C$151*(1+Pressupostos!$C$125)^3*(1+Pressupostos!$C$152)</f>
        <v>0</v>
      </c>
      <c r="G32" s="58" t="n">
        <f aca="false">G17*Pressupostos!$C$151*(1+Pressupostos!$C$125)^4*(1+Pressupostos!$C$152)</f>
        <v>0</v>
      </c>
    </row>
    <row r="33" customFormat="false" ht="15" hidden="false" customHeight="false" outlineLevel="0" collapsed="false">
      <c r="A33" s="7" t="s">
        <v>616</v>
      </c>
      <c r="B33" s="8" t="s">
        <v>10</v>
      </c>
      <c r="C33" s="58" t="n">
        <f aca="false">C21+C22+C23+C24+C25+C26+C27+C28+C29+C30+C31+C32</f>
        <v>307662.5</v>
      </c>
      <c r="D33" s="58" t="n">
        <f aca="false">D21+D22+D23+D24+D25+D26+D27+D28+D29+D30+D31+D32</f>
        <v>390885</v>
      </c>
      <c r="E33" s="58" t="n">
        <f aca="false">E21+E22+E23+E24+E25+E26+E27+E28+E29+E30+E31+E32</f>
        <v>512414.7</v>
      </c>
      <c r="F33" s="58" t="n">
        <f aca="false">F21+F22+F23+F24+F25+F26+F27+F28+F29+F30+F31+F32</f>
        <v>656182.5635</v>
      </c>
      <c r="G33" s="58" t="n">
        <f aca="false">G21+G22+G23+G24+G25+G26+G27+G28+G29+G30+G31+G32</f>
        <v>798548.500695</v>
      </c>
    </row>
    <row r="34" customFormat="false" ht="15" hidden="false" customHeight="false" outlineLevel="0" collapsed="false">
      <c r="A34" s="7" t="s">
        <v>617</v>
      </c>
      <c r="B34" s="8" t="s">
        <v>10</v>
      </c>
      <c r="C34" s="58" t="n">
        <f aca="false">C33*(Pressupostos!$C$122+Pressupostos!$C$123)</f>
        <v>79223.09375</v>
      </c>
      <c r="D34" s="58" t="n">
        <f aca="false">D33*(Pressupostos!$C$122+Pressupostos!$C$123)</f>
        <v>100652.8875</v>
      </c>
      <c r="E34" s="58" t="n">
        <f aca="false">E33*(Pressupostos!$C$122+Pressupostos!$C$123)</f>
        <v>131946.78525</v>
      </c>
      <c r="F34" s="58" t="n">
        <f aca="false">F33*(Pressupostos!$C$122+Pressupostos!$C$123)</f>
        <v>168967.01010125</v>
      </c>
      <c r="G34" s="58" t="n">
        <f aca="false">G33*(Pressupostos!$C$122+Pressupostos!$C$123)</f>
        <v>205626.238928963</v>
      </c>
    </row>
    <row r="35" customFormat="false" ht="15" hidden="false" customHeight="false" outlineLevel="0" collapsed="false">
      <c r="A35" s="7" t="s">
        <v>618</v>
      </c>
      <c r="B35" s="8" t="s">
        <v>10</v>
      </c>
      <c r="C35" s="58" t="n">
        <f aca="false">C18*Pressupostos!$C$124*(1+Pressupostos!$C$125)^0</f>
        <v>14000</v>
      </c>
      <c r="D35" s="58" t="n">
        <f aca="false">D18*Pressupostos!$C$124*(1+Pressupostos!$C$125)^1</f>
        <v>16480</v>
      </c>
      <c r="E35" s="58" t="n">
        <f aca="false">E18*Pressupostos!$C$124*(1+Pressupostos!$C$125)^2</f>
        <v>23339.8</v>
      </c>
      <c r="F35" s="58" t="n">
        <f aca="false">F18*Pressupostos!$C$124*(1+Pressupostos!$C$125)^3</f>
        <v>30596.356</v>
      </c>
      <c r="G35" s="58" t="n">
        <f aca="false">G18*Pressupostos!$C$124*(1+Pressupostos!$C$125)^4</f>
        <v>38267.29954</v>
      </c>
    </row>
    <row r="36" customFormat="false" ht="15" hidden="false" customHeight="false" outlineLevel="0" collapsed="false">
      <c r="A36" s="52" t="s">
        <v>619</v>
      </c>
      <c r="B36" s="53" t="s">
        <v>10</v>
      </c>
      <c r="C36" s="59" t="n">
        <f aca="false">C33+C34+C35</f>
        <v>400885.59375</v>
      </c>
      <c r="D36" s="59" t="n">
        <f aca="false">D33+D34+D35</f>
        <v>508017.8875</v>
      </c>
      <c r="E36" s="59" t="n">
        <f aca="false">E33+E34+E35</f>
        <v>667701.28525</v>
      </c>
      <c r="F36" s="59" t="n">
        <f aca="false">F33+F34+F35</f>
        <v>855745.92960125</v>
      </c>
      <c r="G36" s="59" t="n">
        <f aca="false">G33+G34+G35</f>
        <v>1042442.03916396</v>
      </c>
    </row>
    <row r="37" customFormat="false" ht="15" hidden="false" customHeight="false" outlineLevel="0" collapsed="false">
      <c r="A37" s="2" t="s">
        <v>620</v>
      </c>
      <c r="B37" s="8" t="s">
        <v>10</v>
      </c>
      <c r="C37" s="58" t="n">
        <f aca="false">IF(C18&gt;0,C36/C18,0)</f>
        <v>57269.3705357143</v>
      </c>
      <c r="D37" s="58" t="n">
        <f aca="false">IF(D18&gt;0,D36/D18,0)</f>
        <v>63502.2359375</v>
      </c>
      <c r="E37" s="58" t="n">
        <f aca="false">IF(E18&gt;0,E36/E18,0)</f>
        <v>60700.1168409091</v>
      </c>
      <c r="F37" s="58" t="n">
        <f aca="false">IF(F18&gt;0,F36/F18,0)</f>
        <v>61124.7092572321</v>
      </c>
      <c r="G37" s="58" t="n">
        <f aca="false">IF(G18&gt;0,G36/G18,0)</f>
        <v>61320.1199508213</v>
      </c>
    </row>
    <row r="39" customFormat="false" ht="15" hidden="false" customHeight="false" outlineLevel="0" collapsed="false">
      <c r="A39" s="3" t="s">
        <v>621</v>
      </c>
      <c r="B39" s="4"/>
      <c r="C39" s="4"/>
      <c r="D39" s="4"/>
      <c r="E39" s="4"/>
      <c r="F39" s="4"/>
      <c r="G39" s="4"/>
      <c r="H39" s="4"/>
    </row>
    <row r="40" customFormat="false" ht="35.05" hidden="false" customHeight="false" outlineLevel="0" collapsed="false">
      <c r="A40" s="5" t="s">
        <v>622</v>
      </c>
      <c r="B40" s="5" t="s">
        <v>623</v>
      </c>
      <c r="C40" s="6" t="s">
        <v>624</v>
      </c>
      <c r="D40" s="6" t="s">
        <v>625</v>
      </c>
      <c r="E40" s="6" t="s">
        <v>626</v>
      </c>
      <c r="F40" s="6" t="s">
        <v>627</v>
      </c>
    </row>
    <row r="41" customFormat="false" ht="15" hidden="false" customHeight="false" outlineLevel="0" collapsed="false">
      <c r="A41" s="7" t="s">
        <v>602</v>
      </c>
      <c r="B41" s="8" t="s">
        <v>628</v>
      </c>
      <c r="C41" s="9" t="n">
        <f aca="false">Pressupostos!$C$129</f>
        <v>60000</v>
      </c>
      <c r="D41" s="30" t="n">
        <f aca="false">C41/14</f>
        <v>4285.71428571429</v>
      </c>
      <c r="E41" s="45" t="n">
        <f aca="false">Pressupostos!$C$130</f>
        <v>0</v>
      </c>
      <c r="F41" s="30" t="n">
        <f aca="false">C41*(1+E41)*(1+Pressupostos!$C$122+Pressupostos!$C$123)+Pressupostos!$C$124</f>
        <v>77450</v>
      </c>
    </row>
    <row r="42" customFormat="false" ht="15" hidden="false" customHeight="false" outlineLevel="0" collapsed="false">
      <c r="A42" s="7" t="s">
        <v>603</v>
      </c>
      <c r="B42" s="8" t="s">
        <v>628</v>
      </c>
      <c r="C42" s="9" t="n">
        <f aca="false">Pressupostos!$C$131</f>
        <v>65000</v>
      </c>
      <c r="D42" s="30" t="n">
        <f aca="false">C42/14</f>
        <v>4642.85714285714</v>
      </c>
      <c r="E42" s="45" t="n">
        <f aca="false">Pressupostos!$C$132</f>
        <v>0</v>
      </c>
      <c r="F42" s="30" t="n">
        <f aca="false">C42*(1+E42)*(1+Pressupostos!$C$122+Pressupostos!$C$123)+Pressupostos!$C$124</f>
        <v>83737.5</v>
      </c>
    </row>
    <row r="43" customFormat="false" ht="15" hidden="false" customHeight="false" outlineLevel="0" collapsed="false">
      <c r="A43" s="7" t="s">
        <v>604</v>
      </c>
      <c r="B43" s="8" t="s">
        <v>629</v>
      </c>
      <c r="C43" s="9" t="n">
        <f aca="false">Pressupostos!$C$133</f>
        <v>45000</v>
      </c>
      <c r="D43" s="30" t="n">
        <f aca="false">C43/14</f>
        <v>3214.28571428571</v>
      </c>
      <c r="E43" s="45" t="n">
        <f aca="false">Pressupostos!$C$134</f>
        <v>0</v>
      </c>
      <c r="F43" s="30" t="n">
        <f aca="false">C43*(1+E43)*(1+Pressupostos!$C$122+Pressupostos!$C$123)+Pressupostos!$C$124</f>
        <v>58587.5</v>
      </c>
    </row>
    <row r="44" customFormat="false" ht="15" hidden="false" customHeight="false" outlineLevel="0" collapsed="false">
      <c r="A44" s="7" t="s">
        <v>605</v>
      </c>
      <c r="B44" s="8" t="s">
        <v>629</v>
      </c>
      <c r="C44" s="9" t="n">
        <f aca="false">Pressupostos!$C$135</f>
        <v>60000</v>
      </c>
      <c r="D44" s="30" t="n">
        <f aca="false">C44/14</f>
        <v>4285.71428571429</v>
      </c>
      <c r="E44" s="45" t="n">
        <f aca="false">Pressupostos!$C$136</f>
        <v>0</v>
      </c>
      <c r="F44" s="30" t="n">
        <f aca="false">C44*(1+E44)*(1+Pressupostos!$C$122+Pressupostos!$C$123)+Pressupostos!$C$124</f>
        <v>77450</v>
      </c>
    </row>
    <row r="45" customFormat="false" ht="15" hidden="false" customHeight="false" outlineLevel="0" collapsed="false">
      <c r="A45" s="7" t="s">
        <v>606</v>
      </c>
      <c r="B45" s="8" t="s">
        <v>629</v>
      </c>
      <c r="C45" s="9" t="n">
        <f aca="false">Pressupostos!$C$137</f>
        <v>45000</v>
      </c>
      <c r="D45" s="30" t="n">
        <f aca="false">C45/14</f>
        <v>3214.28571428571</v>
      </c>
      <c r="E45" s="45" t="n">
        <f aca="false">Pressupostos!$C$138</f>
        <v>0</v>
      </c>
      <c r="F45" s="30" t="n">
        <f aca="false">C45*(1+E45)*(1+Pressupostos!$C$122+Pressupostos!$C$123)+Pressupostos!$C$124</f>
        <v>58587.5</v>
      </c>
    </row>
    <row r="46" customFormat="false" ht="15" hidden="false" customHeight="false" outlineLevel="0" collapsed="false">
      <c r="A46" s="7" t="s">
        <v>607</v>
      </c>
      <c r="B46" s="8" t="s">
        <v>629</v>
      </c>
      <c r="C46" s="9" t="n">
        <f aca="false">Pressupostos!$C$139</f>
        <v>38000</v>
      </c>
      <c r="D46" s="30" t="n">
        <f aca="false">C46/14</f>
        <v>2714.28571428571</v>
      </c>
      <c r="E46" s="45" t="n">
        <f aca="false">Pressupostos!$C$140</f>
        <v>0</v>
      </c>
      <c r="F46" s="30" t="n">
        <f aca="false">C46*(1+E46)*(1+Pressupostos!$C$122+Pressupostos!$C$123)+Pressupostos!$C$124</f>
        <v>49785</v>
      </c>
    </row>
    <row r="47" customFormat="false" ht="15" hidden="false" customHeight="false" outlineLevel="0" collapsed="false">
      <c r="A47" s="7" t="s">
        <v>608</v>
      </c>
      <c r="B47" s="8" t="s">
        <v>629</v>
      </c>
      <c r="C47" s="9" t="n">
        <f aca="false">Pressupostos!$C$141</f>
        <v>32000</v>
      </c>
      <c r="D47" s="30" t="n">
        <f aca="false">C47/14</f>
        <v>2285.71428571429</v>
      </c>
      <c r="E47" s="45" t="n">
        <f aca="false">Pressupostos!$C$142</f>
        <v>0</v>
      </c>
      <c r="F47" s="30" t="n">
        <f aca="false">C47*(1+E47)*(1+Pressupostos!$C$122+Pressupostos!$C$123)+Pressupostos!$C$124</f>
        <v>42240</v>
      </c>
    </row>
    <row r="48" customFormat="false" ht="15" hidden="false" customHeight="false" outlineLevel="0" collapsed="false">
      <c r="A48" s="7" t="s">
        <v>609</v>
      </c>
      <c r="B48" s="8" t="s">
        <v>629</v>
      </c>
      <c r="C48" s="9" t="n">
        <f aca="false">Pressupostos!$C$143</f>
        <v>30000</v>
      </c>
      <c r="D48" s="30" t="n">
        <f aca="false">C48/14</f>
        <v>2142.85714285714</v>
      </c>
      <c r="E48" s="45" t="n">
        <f aca="false">Pressupostos!$C$144</f>
        <v>0.15</v>
      </c>
      <c r="F48" s="30" t="n">
        <f aca="false">C48*(1+E48)*(1+Pressupostos!$C$122+Pressupostos!$C$123)+Pressupostos!$C$124</f>
        <v>45383.75</v>
      </c>
    </row>
    <row r="49" customFormat="false" ht="15" hidden="false" customHeight="false" outlineLevel="0" collapsed="false">
      <c r="A49" s="7" t="s">
        <v>610</v>
      </c>
      <c r="B49" s="8" t="s">
        <v>629</v>
      </c>
      <c r="C49" s="9" t="n">
        <f aca="false">Pressupostos!$C$145</f>
        <v>45000</v>
      </c>
      <c r="D49" s="30" t="n">
        <f aca="false">C49/14</f>
        <v>3214.28571428571</v>
      </c>
      <c r="E49" s="45" t="n">
        <f aca="false">Pressupostos!$C$146</f>
        <v>0</v>
      </c>
      <c r="F49" s="30" t="n">
        <f aca="false">C49*(1+E49)*(1+Pressupostos!$C$122+Pressupostos!$C$123)+Pressupostos!$C$124</f>
        <v>58587.5</v>
      </c>
    </row>
    <row r="50" customFormat="false" ht="15" hidden="false" customHeight="false" outlineLevel="0" collapsed="false">
      <c r="A50" s="7" t="s">
        <v>611</v>
      </c>
      <c r="B50" s="8" t="s">
        <v>629</v>
      </c>
      <c r="C50" s="9" t="n">
        <f aca="false">Pressupostos!$C$147</f>
        <v>40000</v>
      </c>
      <c r="D50" s="30" t="n">
        <f aca="false">C50/14</f>
        <v>2857.14285714286</v>
      </c>
      <c r="E50" s="45" t="n">
        <f aca="false">Pressupostos!$C$148</f>
        <v>0</v>
      </c>
      <c r="F50" s="30" t="n">
        <f aca="false">C50*(1+E50)*(1+Pressupostos!$C$122+Pressupostos!$C$123)+Pressupostos!$C$124</f>
        <v>52300</v>
      </c>
    </row>
    <row r="51" customFormat="false" ht="15" hidden="false" customHeight="false" outlineLevel="0" collapsed="false">
      <c r="A51" s="7" t="s">
        <v>612</v>
      </c>
      <c r="B51" s="8" t="s">
        <v>629</v>
      </c>
      <c r="C51" s="9" t="n">
        <f aca="false">Pressupostos!$C$149</f>
        <v>24000</v>
      </c>
      <c r="D51" s="30" t="n">
        <f aca="false">C51/14</f>
        <v>1714.28571428571</v>
      </c>
      <c r="E51" s="45" t="n">
        <f aca="false">Pressupostos!$C$150</f>
        <v>0</v>
      </c>
      <c r="F51" s="30" t="n">
        <f aca="false">C51*(1+E51)*(1+Pressupostos!$C$122+Pressupostos!$C$123)+Pressupostos!$C$124</f>
        <v>32180</v>
      </c>
    </row>
    <row r="52" customFormat="false" ht="15" hidden="false" customHeight="false" outlineLevel="0" collapsed="false">
      <c r="A52" s="7" t="s">
        <v>613</v>
      </c>
      <c r="B52" s="8" t="s">
        <v>629</v>
      </c>
      <c r="C52" s="9" t="n">
        <f aca="false">Pressupostos!$C$151</f>
        <v>45000</v>
      </c>
      <c r="D52" s="30" t="n">
        <f aca="false">C52/14</f>
        <v>3214.28571428571</v>
      </c>
      <c r="E52" s="45" t="n">
        <f aca="false">Pressupostos!$C$152</f>
        <v>0.15</v>
      </c>
      <c r="F52" s="30" t="n">
        <f aca="false">C52*(1+E52)*(1+Pressupostos!$C$122+Pressupostos!$C$123)+Pressupostos!$C$124</f>
        <v>67075.625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630</v>
      </c>
    </row>
    <row r="2" customFormat="false" ht="15" hidden="false" customHeight="false" outlineLevel="0" collapsed="false">
      <c r="A2" s="2" t="s">
        <v>631</v>
      </c>
    </row>
    <row r="3" customFormat="false" ht="15" hidden="false" customHeight="false" outlineLevel="0" collapsed="false">
      <c r="A3" s="48" t="str">
        <f aca="false">"Cenário ativo: "&amp;Pressupostos!$C$4&amp;"  ·  euros correntes, sem IVA"</f>
        <v>Cenário ativo: Base  ·  euros correntes, sem IVA</v>
      </c>
    </row>
    <row r="4" customFormat="false" ht="15" hidden="false" customHeight="false" outlineLevel="0" collapsed="false">
      <c r="A4" s="5" t="s">
        <v>456</v>
      </c>
      <c r="B4" s="5" t="s">
        <v>4</v>
      </c>
      <c r="C4" s="6" t="s">
        <v>366</v>
      </c>
      <c r="D4" s="6" t="s">
        <v>367</v>
      </c>
      <c r="E4" s="6" t="s">
        <v>368</v>
      </c>
      <c r="F4" s="6" t="s">
        <v>369</v>
      </c>
      <c r="G4" s="6" t="s">
        <v>370</v>
      </c>
      <c r="H4" s="6" t="s">
        <v>465</v>
      </c>
    </row>
    <row r="5" customFormat="false" ht="15" hidden="false" customHeight="false" outlineLevel="0" collapsed="false">
      <c r="A5" s="3" t="s">
        <v>632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7" t="s">
        <v>633</v>
      </c>
      <c r="B6" s="8" t="s">
        <v>59</v>
      </c>
      <c r="C6" s="60" t="n">
        <f aca="false">Pressupostos!$G$10+Pressupostos!$G$11</f>
        <v>3.6</v>
      </c>
      <c r="D6" s="60" t="n">
        <f aca="false">Pressupostos!$G$10+Pressupostos!$G$11</f>
        <v>3.6</v>
      </c>
      <c r="E6" s="60" t="n">
        <f aca="false">Pressupostos!$G$10+Pressupostos!$G$11</f>
        <v>3.6</v>
      </c>
      <c r="F6" s="60" t="n">
        <f aca="false">Pressupostos!$G$10+Pressupostos!$G$11</f>
        <v>3.6</v>
      </c>
      <c r="G6" s="60" t="n">
        <f aca="false">Pressupostos!$G$10+Pressupostos!$G$11</f>
        <v>3.6</v>
      </c>
    </row>
    <row r="7" customFormat="false" ht="15" hidden="false" customHeight="false" outlineLevel="0" collapsed="false">
      <c r="A7" s="7" t="s">
        <v>634</v>
      </c>
      <c r="B7" s="8" t="s">
        <v>59</v>
      </c>
      <c r="C7" s="63" t="n">
        <f aca="false">Pressupostos!$G$15</f>
        <v>5.65</v>
      </c>
      <c r="D7" s="63" t="n">
        <f aca="false">Pressupostos!$G$15</f>
        <v>5.65</v>
      </c>
      <c r="E7" s="63" t="n">
        <f aca="false">Pressupostos!$G$15</f>
        <v>5.65</v>
      </c>
      <c r="F7" s="63" t="n">
        <f aca="false">Pressupostos!$G$15</f>
        <v>5.65</v>
      </c>
      <c r="G7" s="63" t="n">
        <f aca="false">Pressupostos!$G$15</f>
        <v>5.65</v>
      </c>
    </row>
    <row r="8" customFormat="false" ht="15" hidden="false" customHeight="false" outlineLevel="0" collapsed="false">
      <c r="A8" s="52" t="s">
        <v>635</v>
      </c>
      <c r="B8" s="53" t="s">
        <v>59</v>
      </c>
      <c r="C8" s="64" t="n">
        <f aca="false">C7*(1-Pressupostos!$G$16)</f>
        <v>5.085</v>
      </c>
      <c r="D8" s="64" t="n">
        <f aca="false">D7*(1-Pressupostos!$G$16)</f>
        <v>5.085</v>
      </c>
      <c r="E8" s="64" t="n">
        <f aca="false">E7*(1-Pressupostos!$G$16)</f>
        <v>5.085</v>
      </c>
      <c r="F8" s="64" t="n">
        <f aca="false">F7*(1-Pressupostos!$G$16)</f>
        <v>5.085</v>
      </c>
      <c r="G8" s="64" t="n">
        <f aca="false">G7*(1-Pressupostos!$G$16)</f>
        <v>5.085</v>
      </c>
    </row>
    <row r="9" customFormat="false" ht="15" hidden="false" customHeight="false" outlineLevel="0" collapsed="false">
      <c r="A9" s="7" t="s">
        <v>136</v>
      </c>
      <c r="B9" s="8" t="s">
        <v>59</v>
      </c>
      <c r="C9" s="63" t="n">
        <f aca="false">Pressupostos!$C$37</f>
        <v>0.55</v>
      </c>
      <c r="D9" s="63" t="n">
        <f aca="false">Pressupostos!$C$37</f>
        <v>0.55</v>
      </c>
      <c r="E9" s="63" t="n">
        <f aca="false">Pressupostos!$C$37</f>
        <v>0.55</v>
      </c>
      <c r="F9" s="63" t="n">
        <f aca="false">Pressupostos!$C$37</f>
        <v>0.55</v>
      </c>
      <c r="G9" s="63" t="n">
        <f aca="false">Pressupostos!$C$37</f>
        <v>0.55</v>
      </c>
    </row>
    <row r="10" customFormat="false" ht="15" hidden="false" customHeight="false" outlineLevel="0" collapsed="false">
      <c r="A10" s="7" t="s">
        <v>205</v>
      </c>
      <c r="B10" s="8" t="s">
        <v>59</v>
      </c>
      <c r="C10" s="63" t="n">
        <f aca="false">Pressupostos!$C$236</f>
        <v>0.3</v>
      </c>
      <c r="D10" s="63" t="n">
        <f aca="false">Pressupostos!$D$236</f>
        <v>0.3</v>
      </c>
      <c r="E10" s="63" t="n">
        <f aca="false">Pressupostos!$E$236</f>
        <v>0.28</v>
      </c>
      <c r="F10" s="63" t="n">
        <f aca="false">Pressupostos!$F$236</f>
        <v>0.27</v>
      </c>
      <c r="G10" s="63" t="n">
        <f aca="false">Pressupostos!$G$236</f>
        <v>0.27</v>
      </c>
    </row>
    <row r="11" customFormat="false" ht="15" hidden="false" customHeight="false" outlineLevel="0" collapsed="false">
      <c r="A11" s="7" t="s">
        <v>109</v>
      </c>
      <c r="B11" s="8" t="s">
        <v>59</v>
      </c>
      <c r="C11" s="63" t="n">
        <f aca="false">Pressupostos!$C$38</f>
        <v>0.06</v>
      </c>
      <c r="D11" s="63" t="n">
        <f aca="false">Pressupostos!$C$38</f>
        <v>0.06</v>
      </c>
      <c r="E11" s="63" t="n">
        <f aca="false">Pressupostos!$C$38</f>
        <v>0.06</v>
      </c>
      <c r="F11" s="63" t="n">
        <f aca="false">Pressupostos!$C$38</f>
        <v>0.06</v>
      </c>
      <c r="G11" s="63" t="n">
        <f aca="false">Pressupostos!$C$38</f>
        <v>0.06</v>
      </c>
    </row>
    <row r="12" customFormat="false" ht="15" hidden="false" customHeight="false" outlineLevel="0" collapsed="false">
      <c r="A12" s="7" t="s">
        <v>86</v>
      </c>
      <c r="B12" s="8" t="s">
        <v>74</v>
      </c>
      <c r="C12" s="65" t="n">
        <f aca="false">Pressupostos!$C$242</f>
        <v>180</v>
      </c>
      <c r="D12" s="65" t="n">
        <f aca="false">Pressupostos!$D$242</f>
        <v>180</v>
      </c>
      <c r="E12" s="65" t="n">
        <f aca="false">Pressupostos!$E$242</f>
        <v>45</v>
      </c>
      <c r="F12" s="65" t="n">
        <f aca="false">Pressupostos!$F$242</f>
        <v>45</v>
      </c>
      <c r="G12" s="65" t="n">
        <f aca="false">Pressupostos!$G$242</f>
        <v>45</v>
      </c>
    </row>
    <row r="13" customFormat="false" ht="15" hidden="false" customHeight="false" outlineLevel="0" collapsed="false">
      <c r="A13" s="7" t="s">
        <v>73</v>
      </c>
      <c r="B13" s="8" t="s">
        <v>74</v>
      </c>
      <c r="C13" s="65" t="n">
        <f aca="false">Pressupostos!$G$17</f>
        <v>35</v>
      </c>
      <c r="D13" s="65" t="n">
        <f aca="false">Pressupostos!$G$17</f>
        <v>35</v>
      </c>
      <c r="E13" s="65" t="n">
        <f aca="false">Pressupostos!$G$17</f>
        <v>35</v>
      </c>
      <c r="F13" s="65" t="n">
        <f aca="false">Pressupostos!$G$17</f>
        <v>35</v>
      </c>
      <c r="G13" s="65" t="n">
        <f aca="false">Pressupostos!$G$17</f>
        <v>35</v>
      </c>
    </row>
    <row r="14" customFormat="false" ht="15" hidden="false" customHeight="false" outlineLevel="0" collapsed="false">
      <c r="A14" s="7" t="s">
        <v>471</v>
      </c>
      <c r="B14" s="8" t="s">
        <v>59</v>
      </c>
      <c r="C14" s="60" t="n">
        <f aca="false">Pressupostos!$C$64*C12/30/1000</f>
        <v>0.024</v>
      </c>
      <c r="D14" s="60" t="n">
        <f aca="false">Pressupostos!$C$64*D12/30/1000</f>
        <v>0.024</v>
      </c>
      <c r="E14" s="60" t="n">
        <f aca="false">Pressupostos!$C$64*E12/30/1000</f>
        <v>0.006</v>
      </c>
      <c r="F14" s="60" t="n">
        <f aca="false">Pressupostos!$C$64*F12/30/1000</f>
        <v>0.006</v>
      </c>
      <c r="G14" s="60" t="n">
        <f aca="false">Pressupostos!$C$64*G12/30/1000</f>
        <v>0.006</v>
      </c>
    </row>
    <row r="15" customFormat="false" ht="15" hidden="false" customHeight="false" outlineLevel="0" collapsed="false">
      <c r="A15" s="7" t="s">
        <v>154</v>
      </c>
      <c r="B15" s="8" t="s">
        <v>59</v>
      </c>
      <c r="C15" s="60" t="n">
        <f aca="false">C6*Pressupostos!$C$65*C12/365</f>
        <v>0.00355068493150685</v>
      </c>
      <c r="D15" s="60" t="n">
        <f aca="false">D6*Pressupostos!$C$65*D12/365</f>
        <v>0.00355068493150685</v>
      </c>
      <c r="E15" s="60" t="n">
        <f aca="false">E6*Pressupostos!$C$65*E12/365</f>
        <v>0.000887671232876712</v>
      </c>
      <c r="F15" s="60" t="n">
        <f aca="false">F6*Pressupostos!$C$65*F12/365</f>
        <v>0.000887671232876712</v>
      </c>
      <c r="G15" s="60" t="n">
        <f aca="false">G6*Pressupostos!$C$65*G12/365</f>
        <v>0.000887671232876712</v>
      </c>
    </row>
    <row r="16" customFormat="false" ht="15" hidden="false" customHeight="false" outlineLevel="0" collapsed="false">
      <c r="A16" s="7" t="s">
        <v>636</v>
      </c>
      <c r="B16" s="8" t="s">
        <v>59</v>
      </c>
      <c r="C16" s="60" t="n">
        <f aca="false">Pressupostos!$C$40*Pressupostos!$C$66/(Pressupostos!$C$39*1000)</f>
        <v>0.03</v>
      </c>
      <c r="D16" s="60" t="n">
        <f aca="false">Pressupostos!$C$40*Pressupostos!$C$66/(Pressupostos!$C$39*1000)</f>
        <v>0.03</v>
      </c>
      <c r="E16" s="60" t="n">
        <f aca="false">Pressupostos!$C$40*Pressupostos!$C$66/(Pressupostos!$C$39*1000)</f>
        <v>0.03</v>
      </c>
      <c r="F16" s="60" t="n">
        <f aca="false">Pressupostos!$C$40*Pressupostos!$C$66/(Pressupostos!$C$39*1000)</f>
        <v>0.03</v>
      </c>
      <c r="G16" s="60" t="n">
        <f aca="false">Pressupostos!$C$40*Pressupostos!$C$66/(Pressupostos!$C$39*1000)</f>
        <v>0.03</v>
      </c>
    </row>
    <row r="17" customFormat="false" ht="15" hidden="false" customHeight="false" outlineLevel="0" collapsed="false">
      <c r="A17" s="7" t="s">
        <v>473</v>
      </c>
      <c r="B17" s="8" t="s">
        <v>59</v>
      </c>
      <c r="C17" s="60" t="n">
        <f aca="false">Pressupostos!$C$67*C6</f>
        <v>0.018</v>
      </c>
      <c r="D17" s="60" t="n">
        <f aca="false">Pressupostos!$C$67*D6</f>
        <v>0.018</v>
      </c>
      <c r="E17" s="60" t="n">
        <f aca="false">Pressupostos!$C$67*E6</f>
        <v>0.018</v>
      </c>
      <c r="F17" s="60" t="n">
        <f aca="false">Pressupostos!$C$67*F6</f>
        <v>0.018</v>
      </c>
      <c r="G17" s="60" t="n">
        <f aca="false">Pressupostos!$C$67*G6</f>
        <v>0.018</v>
      </c>
    </row>
    <row r="18" customFormat="false" ht="15" hidden="false" customHeight="false" outlineLevel="0" collapsed="false">
      <c r="A18" s="7" t="s">
        <v>474</v>
      </c>
      <c r="B18" s="8" t="s">
        <v>59</v>
      </c>
      <c r="C18" s="60" t="n">
        <f aca="false">Pressupostos!$C$68*Pressupostos!$C$69*C12/90</f>
        <v>0.018</v>
      </c>
      <c r="D18" s="60" t="n">
        <f aca="false">Pressupostos!$C$68*Pressupostos!$C$69*D12/90</f>
        <v>0.018</v>
      </c>
      <c r="E18" s="60" t="n">
        <f aca="false">Pressupostos!$C$68*Pressupostos!$C$69*E12/90</f>
        <v>0.0045</v>
      </c>
      <c r="F18" s="60" t="n">
        <f aca="false">Pressupostos!$C$68*Pressupostos!$C$69*F12/90</f>
        <v>0.0045</v>
      </c>
      <c r="G18" s="60" t="n">
        <f aca="false">Pressupostos!$C$68*Pressupostos!$C$69*G12/90</f>
        <v>0.0045</v>
      </c>
    </row>
    <row r="19" customFormat="false" ht="15" hidden="false" customHeight="false" outlineLevel="0" collapsed="false">
      <c r="A19" s="7" t="s">
        <v>637</v>
      </c>
      <c r="B19" s="8" t="s">
        <v>59</v>
      </c>
      <c r="C19" s="60" t="n">
        <f aca="false">Pressupostos!$C$41/(Pressupostos!$C$39*1000)</f>
        <v>0.1</v>
      </c>
      <c r="D19" s="60" t="n">
        <f aca="false">Pressupostos!$C$41/(Pressupostos!$C$39*1000)</f>
        <v>0.1</v>
      </c>
      <c r="E19" s="60" t="n">
        <f aca="false">Pressupostos!$C$41/(Pressupostos!$C$39*1000)</f>
        <v>0.1</v>
      </c>
      <c r="F19" s="60" t="n">
        <f aca="false">Pressupostos!$C$41/(Pressupostos!$C$39*1000)</f>
        <v>0.1</v>
      </c>
      <c r="G19" s="60" t="n">
        <f aca="false">Pressupostos!$C$41/(Pressupostos!$C$39*1000)</f>
        <v>0.1</v>
      </c>
    </row>
    <row r="20" customFormat="false" ht="15" hidden="false" customHeight="false" outlineLevel="0" collapsed="false">
      <c r="A20" s="7" t="s">
        <v>131</v>
      </c>
      <c r="B20" s="8" t="s">
        <v>59</v>
      </c>
      <c r="C20" s="63" t="n">
        <f aca="false">Pressupostos!$C$42</f>
        <v>0.01</v>
      </c>
      <c r="D20" s="63" t="n">
        <f aca="false">Pressupostos!$C$42</f>
        <v>0.01</v>
      </c>
      <c r="E20" s="63" t="n">
        <f aca="false">Pressupostos!$C$42</f>
        <v>0.01</v>
      </c>
      <c r="F20" s="63" t="n">
        <f aca="false">Pressupostos!$C$42</f>
        <v>0.01</v>
      </c>
      <c r="G20" s="63" t="n">
        <f aca="false">Pressupostos!$C$42</f>
        <v>0.01</v>
      </c>
    </row>
    <row r="21" customFormat="false" ht="15" hidden="false" customHeight="false" outlineLevel="0" collapsed="false">
      <c r="A21" s="7" t="s">
        <v>76</v>
      </c>
      <c r="B21" s="8" t="s">
        <v>59</v>
      </c>
      <c r="C21" s="60" t="n">
        <f aca="false">Pressupostos!$G$18*C8</f>
        <v>0.03051</v>
      </c>
      <c r="D21" s="60" t="n">
        <f aca="false">Pressupostos!$G$18*D8</f>
        <v>0.03051</v>
      </c>
      <c r="E21" s="60" t="n">
        <f aca="false">Pressupostos!$G$18*E8</f>
        <v>0.03051</v>
      </c>
      <c r="F21" s="60" t="n">
        <f aca="false">Pressupostos!$G$18*F8</f>
        <v>0.03051</v>
      </c>
      <c r="G21" s="60" t="n">
        <f aca="false">Pressupostos!$G$18*G8</f>
        <v>0.03051</v>
      </c>
    </row>
    <row r="22" customFormat="false" ht="15" hidden="false" customHeight="false" outlineLevel="0" collapsed="false">
      <c r="A22" s="7" t="s">
        <v>638</v>
      </c>
      <c r="B22" s="8" t="s">
        <v>59</v>
      </c>
      <c r="C22" s="60" t="n">
        <f aca="false">Pressupostos!$C$71*C8</f>
        <v>0</v>
      </c>
      <c r="D22" s="60" t="n">
        <f aca="false">Pressupostos!$C$71*D8</f>
        <v>0</v>
      </c>
      <c r="E22" s="60" t="n">
        <f aca="false">Pressupostos!$C$71*E8</f>
        <v>0</v>
      </c>
      <c r="F22" s="60" t="n">
        <f aca="false">Pressupostos!$C$71*F8</f>
        <v>0</v>
      </c>
      <c r="G22" s="60" t="n">
        <f aca="false">Pressupostos!$C$71*G8</f>
        <v>0</v>
      </c>
    </row>
    <row r="23" customFormat="false" ht="15" hidden="false" customHeight="false" outlineLevel="0" collapsed="false">
      <c r="A23" s="7" t="s">
        <v>639</v>
      </c>
      <c r="B23" s="8" t="s">
        <v>59</v>
      </c>
      <c r="C23" s="60" t="n">
        <f aca="false">Pressupostos!$C$286*(C6+C9)*(C12+C13-Pressupostos!$C$70)/365*Pressupostos!$C$280/Pressupostos!$G$31</f>
        <v>0</v>
      </c>
      <c r="D23" s="60" t="n">
        <f aca="false">Pressupostos!$D$286*(D6+D9)*(D12+D13-Pressupostos!$C$70)/365*Pressupostos!$D$280/Pressupostos!$G$31</f>
        <v>0.189308219178082</v>
      </c>
      <c r="E23" s="60" t="n">
        <f aca="false">Pressupostos!$E$286*(E6+E9)*(E12+E13-Pressupostos!$C$70)/365*Pressupostos!$E$280/Pressupostos!$G$31</f>
        <v>0.0479666095890411</v>
      </c>
      <c r="F23" s="60" t="n">
        <f aca="false">Pressupostos!$F$286*(F6+F9)*(F12+F13-Pressupostos!$C$70)/365*Pressupostos!$F$280/Pressupostos!$G$31</f>
        <v>0.0447688356164384</v>
      </c>
      <c r="G23" s="60" t="n">
        <f aca="false">Pressupostos!$G$286*(G6+G9)*(G12+G13-Pressupostos!$C$70)/365*Pressupostos!$G$280/Pressupostos!$G$31</f>
        <v>0.0447688356164384</v>
      </c>
    </row>
    <row r="24" customFormat="false" ht="15" hidden="false" customHeight="false" outlineLevel="0" collapsed="false">
      <c r="A24" s="7" t="s">
        <v>640</v>
      </c>
      <c r="B24" s="8" t="s">
        <v>59</v>
      </c>
      <c r="C24" s="60" t="n">
        <f aca="false">C6+C9+C10+C11+C14+C15+C16+C17+C18+C19+C20+C21+C22+C23</f>
        <v>4.74406068493151</v>
      </c>
      <c r="D24" s="60" t="n">
        <f aca="false">D6+D9+D10+D11+D14+D15+D16+D17+D18+D19+D20+D21+D22+D23</f>
        <v>4.93336890410959</v>
      </c>
      <c r="E24" s="60" t="n">
        <f aca="false">E6+E9+E10+E11+E14+E15+E16+E17+E18+E19+E20+E21+E22+E23</f>
        <v>4.73786428082192</v>
      </c>
      <c r="F24" s="60" t="n">
        <f aca="false">F6+F9+F10+F11+F14+F15+F16+F17+F18+F19+F20+F21+F22+F23</f>
        <v>4.72466650684931</v>
      </c>
      <c r="G24" s="60" t="n">
        <f aca="false">G6+G9+G10+G11+G14+G15+G16+G17+G18+G19+G20+G21+G22+G23</f>
        <v>4.72466650684931</v>
      </c>
    </row>
    <row r="25" customFormat="false" ht="15" hidden="false" customHeight="false" outlineLevel="0" collapsed="false">
      <c r="A25" s="52" t="s">
        <v>641</v>
      </c>
      <c r="B25" s="53" t="s">
        <v>59</v>
      </c>
      <c r="C25" s="64" t="n">
        <f aca="false">C8-C24</f>
        <v>0.340939315068495</v>
      </c>
      <c r="D25" s="64" t="n">
        <f aca="false">D8-D24</f>
        <v>0.151631095890413</v>
      </c>
      <c r="E25" s="64" t="n">
        <f aca="false">E8-E24</f>
        <v>0.347135719178083</v>
      </c>
      <c r="F25" s="64" t="n">
        <f aca="false">F8-F24</f>
        <v>0.360333493150686</v>
      </c>
      <c r="G25" s="64" t="n">
        <f aca="false">G8-G24</f>
        <v>0.360333493150686</v>
      </c>
    </row>
    <row r="26" customFormat="false" ht="15" hidden="false" customHeight="false" outlineLevel="0" collapsed="false">
      <c r="A26" s="7" t="s">
        <v>642</v>
      </c>
      <c r="B26" s="8" t="s">
        <v>71</v>
      </c>
      <c r="C26" s="55" t="n">
        <f aca="false">IF(C8&gt;0,C25/C8,0)</f>
        <v>0.067048046227826</v>
      </c>
      <c r="D26" s="55" t="n">
        <f aca="false">IF(D8&gt;0,D25/D8,0)</f>
        <v>0.0298192912272199</v>
      </c>
      <c r="E26" s="55" t="n">
        <f aca="false">IF(E8&gt;0,E25/E8,0)</f>
        <v>0.0682666114411176</v>
      </c>
      <c r="F26" s="55" t="n">
        <f aca="false">IF(F8&gt;0,F25/F8,0)</f>
        <v>0.0708620438841074</v>
      </c>
      <c r="G26" s="55" t="n">
        <f aca="false">IF(G8&gt;0,G25/G8,0)</f>
        <v>0.0708620438841074</v>
      </c>
    </row>
    <row r="27" customFormat="false" ht="15" hidden="false" customHeight="false" outlineLevel="0" collapsed="false">
      <c r="A27" s="7" t="s">
        <v>643</v>
      </c>
      <c r="B27" s="8" t="s">
        <v>59</v>
      </c>
      <c r="C27" s="60" t="n">
        <f aca="false">(C6+C9)*(C12-Pressupostos!$C$70)/365+C8*C13/365</f>
        <v>2.19308219178082</v>
      </c>
      <c r="D27" s="60" t="n">
        <f aca="false">(D6+D9)*(D12-Pressupostos!$C$70)/365+D8*D13/365</f>
        <v>2.19308219178082</v>
      </c>
      <c r="E27" s="60" t="n">
        <f aca="false">(E6+E9)*(E12-Pressupostos!$C$70)/365+E8*E13/365</f>
        <v>0.658150684931507</v>
      </c>
      <c r="F27" s="60" t="n">
        <f aca="false">(F6+F9)*(F12-Pressupostos!$C$70)/365+F8*F13/365</f>
        <v>0.658150684931507</v>
      </c>
      <c r="G27" s="60" t="n">
        <f aca="false">(G6+G9)*(G12-Pressupostos!$C$70)/365+G8*G13/365</f>
        <v>0.658150684931507</v>
      </c>
    </row>
    <row r="29" customFormat="false" ht="15" hidden="false" customHeight="false" outlineLevel="0" collapsed="false">
      <c r="A29" s="3" t="s">
        <v>644</v>
      </c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7" t="s">
        <v>633</v>
      </c>
      <c r="B30" s="8" t="s">
        <v>59</v>
      </c>
      <c r="C30" s="60" t="n">
        <f aca="false">Pressupostos!$G$10+Pressupostos!$G$12</f>
        <v>3.6</v>
      </c>
      <c r="D30" s="60" t="n">
        <f aca="false">Pressupostos!$G$10+Pressupostos!$G$12</f>
        <v>3.6</v>
      </c>
      <c r="E30" s="60" t="n">
        <f aca="false">Pressupostos!$G$10+Pressupostos!$G$12</f>
        <v>3.6</v>
      </c>
      <c r="F30" s="60" t="n">
        <f aca="false">Pressupostos!$G$10+Pressupostos!$G$12</f>
        <v>3.6</v>
      </c>
      <c r="G30" s="60" t="n">
        <f aca="false">Pressupostos!$G$10+Pressupostos!$G$12</f>
        <v>3.6</v>
      </c>
    </row>
    <row r="31" customFormat="false" ht="15" hidden="false" customHeight="false" outlineLevel="0" collapsed="false">
      <c r="A31" s="7" t="s">
        <v>634</v>
      </c>
      <c r="B31" s="8" t="s">
        <v>59</v>
      </c>
      <c r="C31" s="60" t="n">
        <f aca="false">Pressupostos!$G$20+Pressupostos!$G$21</f>
        <v>4.35</v>
      </c>
      <c r="D31" s="60" t="n">
        <f aca="false">Pressupostos!$G$20+Pressupostos!$G$21</f>
        <v>4.35</v>
      </c>
      <c r="E31" s="60" t="n">
        <f aca="false">Pressupostos!$G$20+Pressupostos!$G$21</f>
        <v>4.35</v>
      </c>
      <c r="F31" s="60" t="n">
        <f aca="false">Pressupostos!$G$20+Pressupostos!$G$21</f>
        <v>4.35</v>
      </c>
      <c r="G31" s="60" t="n">
        <f aca="false">Pressupostos!$G$20+Pressupostos!$G$21</f>
        <v>4.35</v>
      </c>
    </row>
    <row r="32" customFormat="false" ht="15" hidden="false" customHeight="false" outlineLevel="0" collapsed="false">
      <c r="A32" s="52" t="s">
        <v>635</v>
      </c>
      <c r="B32" s="53" t="s">
        <v>59</v>
      </c>
      <c r="C32" s="64" t="n">
        <f aca="false">C31*(1-Pressupostos!$G$22)</f>
        <v>4.35</v>
      </c>
      <c r="D32" s="64" t="n">
        <f aca="false">D31*(1-Pressupostos!$G$22)</f>
        <v>4.35</v>
      </c>
      <c r="E32" s="64" t="n">
        <f aca="false">E31*(1-Pressupostos!$G$22)</f>
        <v>4.35</v>
      </c>
      <c r="F32" s="64" t="n">
        <f aca="false">F31*(1-Pressupostos!$G$22)</f>
        <v>4.35</v>
      </c>
      <c r="G32" s="64" t="n">
        <f aca="false">G31*(1-Pressupostos!$G$22)</f>
        <v>4.35</v>
      </c>
    </row>
    <row r="33" customFormat="false" ht="15" hidden="false" customHeight="false" outlineLevel="0" collapsed="false">
      <c r="A33" s="7" t="s">
        <v>136</v>
      </c>
      <c r="B33" s="8" t="s">
        <v>59</v>
      </c>
      <c r="C33" s="63" t="n">
        <f aca="false">Pressupostos!$C$44</f>
        <v>0.45</v>
      </c>
      <c r="D33" s="63" t="n">
        <f aca="false">Pressupostos!$C$44</f>
        <v>0.45</v>
      </c>
      <c r="E33" s="63" t="n">
        <f aca="false">Pressupostos!$C$44</f>
        <v>0.45</v>
      </c>
      <c r="F33" s="63" t="n">
        <f aca="false">Pressupostos!$C$44</f>
        <v>0.45</v>
      </c>
      <c r="G33" s="63" t="n">
        <f aca="false">Pressupostos!$C$44</f>
        <v>0.45</v>
      </c>
    </row>
    <row r="34" customFormat="false" ht="15" hidden="false" customHeight="false" outlineLevel="0" collapsed="false">
      <c r="A34" s="7" t="s">
        <v>205</v>
      </c>
      <c r="B34" s="8" t="s">
        <v>59</v>
      </c>
      <c r="C34" s="63" t="n">
        <f aca="false">Pressupostos!$C$248</f>
        <v>0.1</v>
      </c>
      <c r="D34" s="63" t="n">
        <f aca="false">Pressupostos!$D$248</f>
        <v>0.1</v>
      </c>
      <c r="E34" s="63" t="n">
        <f aca="false">Pressupostos!$E$248</f>
        <v>0.09</v>
      </c>
      <c r="F34" s="63" t="n">
        <f aca="false">Pressupostos!$F$248</f>
        <v>0.09</v>
      </c>
      <c r="G34" s="63" t="n">
        <f aca="false">Pressupostos!$G$248</f>
        <v>0.09</v>
      </c>
    </row>
    <row r="35" customFormat="false" ht="15" hidden="false" customHeight="false" outlineLevel="0" collapsed="false">
      <c r="A35" s="7" t="s">
        <v>109</v>
      </c>
      <c r="B35" s="8" t="s">
        <v>59</v>
      </c>
      <c r="C35" s="63" t="n">
        <f aca="false">Pressupostos!$C$45</f>
        <v>0</v>
      </c>
      <c r="D35" s="63" t="n">
        <f aca="false">Pressupostos!$C$45</f>
        <v>0</v>
      </c>
      <c r="E35" s="63" t="n">
        <f aca="false">Pressupostos!$C$45</f>
        <v>0</v>
      </c>
      <c r="F35" s="63" t="n">
        <f aca="false">Pressupostos!$C$45</f>
        <v>0</v>
      </c>
      <c r="G35" s="63" t="n">
        <f aca="false">Pressupostos!$C$45</f>
        <v>0</v>
      </c>
    </row>
    <row r="36" customFormat="false" ht="15" hidden="false" customHeight="false" outlineLevel="0" collapsed="false">
      <c r="A36" s="7" t="s">
        <v>86</v>
      </c>
      <c r="B36" s="8" t="s">
        <v>74</v>
      </c>
      <c r="C36" s="65" t="n">
        <f aca="false">Pressupostos!$G$23</f>
        <v>30</v>
      </c>
      <c r="D36" s="65" t="n">
        <f aca="false">Pressupostos!$G$23</f>
        <v>30</v>
      </c>
      <c r="E36" s="65" t="n">
        <f aca="false">Pressupostos!$G$23</f>
        <v>30</v>
      </c>
      <c r="F36" s="65" t="n">
        <f aca="false">Pressupostos!$G$23</f>
        <v>30</v>
      </c>
      <c r="G36" s="65" t="n">
        <f aca="false">Pressupostos!$G$23</f>
        <v>30</v>
      </c>
    </row>
    <row r="37" customFormat="false" ht="15" hidden="false" customHeight="false" outlineLevel="0" collapsed="false">
      <c r="A37" s="7" t="s">
        <v>73</v>
      </c>
      <c r="B37" s="8" t="s">
        <v>74</v>
      </c>
      <c r="C37" s="65" t="n">
        <f aca="false">Pressupostos!$G$24</f>
        <v>45</v>
      </c>
      <c r="D37" s="65" t="n">
        <f aca="false">Pressupostos!$G$24</f>
        <v>45</v>
      </c>
      <c r="E37" s="65" t="n">
        <f aca="false">Pressupostos!$G$24</f>
        <v>45</v>
      </c>
      <c r="F37" s="65" t="n">
        <f aca="false">Pressupostos!$G$24</f>
        <v>45</v>
      </c>
      <c r="G37" s="65" t="n">
        <f aca="false">Pressupostos!$G$24</f>
        <v>45</v>
      </c>
    </row>
    <row r="38" customFormat="false" ht="15" hidden="false" customHeight="false" outlineLevel="0" collapsed="false">
      <c r="A38" s="7" t="s">
        <v>471</v>
      </c>
      <c r="B38" s="8" t="s">
        <v>59</v>
      </c>
      <c r="C38" s="60" t="n">
        <f aca="false">Pressupostos!$C$64*C36/30/1000</f>
        <v>0.004</v>
      </c>
      <c r="D38" s="60" t="n">
        <f aca="false">Pressupostos!$C$64*D36/30/1000</f>
        <v>0.004</v>
      </c>
      <c r="E38" s="60" t="n">
        <f aca="false">Pressupostos!$C$64*E36/30/1000</f>
        <v>0.004</v>
      </c>
      <c r="F38" s="60" t="n">
        <f aca="false">Pressupostos!$C$64*F36/30/1000</f>
        <v>0.004</v>
      </c>
      <c r="G38" s="60" t="n">
        <f aca="false">Pressupostos!$C$64*G36/30/1000</f>
        <v>0.004</v>
      </c>
    </row>
    <row r="39" customFormat="false" ht="15" hidden="false" customHeight="false" outlineLevel="0" collapsed="false">
      <c r="A39" s="7" t="s">
        <v>154</v>
      </c>
      <c r="B39" s="8" t="s">
        <v>59</v>
      </c>
      <c r="C39" s="60" t="n">
        <f aca="false">C30*Pressupostos!$C$65*C36/365</f>
        <v>0.000591780821917808</v>
      </c>
      <c r="D39" s="60" t="n">
        <f aca="false">D30*Pressupostos!$C$65*D36/365</f>
        <v>0.000591780821917808</v>
      </c>
      <c r="E39" s="60" t="n">
        <f aca="false">E30*Pressupostos!$C$65*E36/365</f>
        <v>0.000591780821917808</v>
      </c>
      <c r="F39" s="60" t="n">
        <f aca="false">F30*Pressupostos!$C$65*F36/365</f>
        <v>0.000591780821917808</v>
      </c>
      <c r="G39" s="60" t="n">
        <f aca="false">G30*Pressupostos!$C$65*G36/365</f>
        <v>0.000591780821917808</v>
      </c>
    </row>
    <row r="40" customFormat="false" ht="15" hidden="false" customHeight="false" outlineLevel="0" collapsed="false">
      <c r="A40" s="7" t="s">
        <v>636</v>
      </c>
      <c r="B40" s="8" t="s">
        <v>59</v>
      </c>
      <c r="C40" s="60" t="n">
        <f aca="false">Pressupostos!$C$47*Pressupostos!$C$66/(Pressupostos!$C$46*1000)</f>
        <v>0.02</v>
      </c>
      <c r="D40" s="60" t="n">
        <f aca="false">Pressupostos!$C$47*Pressupostos!$C$66/(Pressupostos!$C$46*1000)</f>
        <v>0.02</v>
      </c>
      <c r="E40" s="60" t="n">
        <f aca="false">Pressupostos!$C$47*Pressupostos!$C$66/(Pressupostos!$C$46*1000)</f>
        <v>0.02</v>
      </c>
      <c r="F40" s="60" t="n">
        <f aca="false">Pressupostos!$C$47*Pressupostos!$C$66/(Pressupostos!$C$46*1000)</f>
        <v>0.02</v>
      </c>
      <c r="G40" s="60" t="n">
        <f aca="false">Pressupostos!$C$47*Pressupostos!$C$66/(Pressupostos!$C$46*1000)</f>
        <v>0.02</v>
      </c>
    </row>
    <row r="41" customFormat="false" ht="15" hidden="false" customHeight="false" outlineLevel="0" collapsed="false">
      <c r="A41" s="7" t="s">
        <v>473</v>
      </c>
      <c r="B41" s="8" t="s">
        <v>59</v>
      </c>
      <c r="C41" s="60" t="n">
        <f aca="false">Pressupostos!$C$67*C30</f>
        <v>0.018</v>
      </c>
      <c r="D41" s="60" t="n">
        <f aca="false">Pressupostos!$C$67*D30</f>
        <v>0.018</v>
      </c>
      <c r="E41" s="60" t="n">
        <f aca="false">Pressupostos!$C$67*E30</f>
        <v>0.018</v>
      </c>
      <c r="F41" s="60" t="n">
        <f aca="false">Pressupostos!$C$67*F30</f>
        <v>0.018</v>
      </c>
      <c r="G41" s="60" t="n">
        <f aca="false">Pressupostos!$C$67*G30</f>
        <v>0.018</v>
      </c>
    </row>
    <row r="42" customFormat="false" ht="15" hidden="false" customHeight="false" outlineLevel="0" collapsed="false">
      <c r="A42" s="7" t="s">
        <v>474</v>
      </c>
      <c r="B42" s="8" t="s">
        <v>59</v>
      </c>
      <c r="C42" s="60" t="n">
        <f aca="false">Pressupostos!$C$68*Pressupostos!$C$69*C36/90</f>
        <v>0.003</v>
      </c>
      <c r="D42" s="60" t="n">
        <f aca="false">Pressupostos!$C$68*Pressupostos!$C$69*D36/90</f>
        <v>0.003</v>
      </c>
      <c r="E42" s="60" t="n">
        <f aca="false">Pressupostos!$C$68*Pressupostos!$C$69*E36/90</f>
        <v>0.003</v>
      </c>
      <c r="F42" s="60" t="n">
        <f aca="false">Pressupostos!$C$68*Pressupostos!$C$69*F36/90</f>
        <v>0.003</v>
      </c>
      <c r="G42" s="60" t="n">
        <f aca="false">Pressupostos!$C$68*Pressupostos!$C$69*G36/90</f>
        <v>0.003</v>
      </c>
    </row>
    <row r="43" customFormat="false" ht="15" hidden="false" customHeight="false" outlineLevel="0" collapsed="false">
      <c r="A43" s="7" t="s">
        <v>637</v>
      </c>
      <c r="B43" s="8" t="s">
        <v>59</v>
      </c>
      <c r="C43" s="60" t="n">
        <f aca="false">Pressupostos!$C$48/(Pressupostos!$C$46*1000)</f>
        <v>0.04</v>
      </c>
      <c r="D43" s="60" t="n">
        <f aca="false">Pressupostos!$C$48/(Pressupostos!$C$46*1000)</f>
        <v>0.04</v>
      </c>
      <c r="E43" s="60" t="n">
        <f aca="false">Pressupostos!$C$48/(Pressupostos!$C$46*1000)</f>
        <v>0.04</v>
      </c>
      <c r="F43" s="60" t="n">
        <f aca="false">Pressupostos!$C$48/(Pressupostos!$C$46*1000)</f>
        <v>0.04</v>
      </c>
      <c r="G43" s="60" t="n">
        <f aca="false">Pressupostos!$C$48/(Pressupostos!$C$46*1000)</f>
        <v>0.04</v>
      </c>
    </row>
    <row r="44" customFormat="false" ht="15" hidden="false" customHeight="false" outlineLevel="0" collapsed="false">
      <c r="A44" s="7" t="s">
        <v>131</v>
      </c>
      <c r="B44" s="8" t="s">
        <v>59</v>
      </c>
      <c r="C44" s="63" t="n">
        <f aca="false">Pressupostos!$C$49</f>
        <v>0.005</v>
      </c>
      <c r="D44" s="63" t="n">
        <f aca="false">Pressupostos!$C$49</f>
        <v>0.005</v>
      </c>
      <c r="E44" s="63" t="n">
        <f aca="false">Pressupostos!$C$49</f>
        <v>0.005</v>
      </c>
      <c r="F44" s="63" t="n">
        <f aca="false">Pressupostos!$C$49</f>
        <v>0.005</v>
      </c>
      <c r="G44" s="63" t="n">
        <f aca="false">Pressupostos!$C$49</f>
        <v>0.005</v>
      </c>
    </row>
    <row r="45" customFormat="false" ht="15" hidden="false" customHeight="false" outlineLevel="0" collapsed="false">
      <c r="A45" s="7" t="s">
        <v>76</v>
      </c>
      <c r="B45" s="8" t="s">
        <v>59</v>
      </c>
      <c r="C45" s="60" t="n">
        <f aca="false">Pressupostos!$G$25*C32</f>
        <v>0.01305</v>
      </c>
      <c r="D45" s="60" t="n">
        <f aca="false">Pressupostos!$G$25*D32</f>
        <v>0.01305</v>
      </c>
      <c r="E45" s="60" t="n">
        <f aca="false">Pressupostos!$G$25*E32</f>
        <v>0.01305</v>
      </c>
      <c r="F45" s="60" t="n">
        <f aca="false">Pressupostos!$G$25*F32</f>
        <v>0.01305</v>
      </c>
      <c r="G45" s="60" t="n">
        <f aca="false">Pressupostos!$G$25*G32</f>
        <v>0.01305</v>
      </c>
    </row>
    <row r="46" customFormat="false" ht="15" hidden="false" customHeight="false" outlineLevel="0" collapsed="false">
      <c r="A46" s="7" t="s">
        <v>638</v>
      </c>
      <c r="B46" s="8" t="s">
        <v>59</v>
      </c>
      <c r="C46" s="60" t="n">
        <f aca="false">Pressupostos!$C$71*C32</f>
        <v>0</v>
      </c>
      <c r="D46" s="60" t="n">
        <f aca="false">Pressupostos!$C$71*D32</f>
        <v>0</v>
      </c>
      <c r="E46" s="60" t="n">
        <f aca="false">Pressupostos!$C$71*E32</f>
        <v>0</v>
      </c>
      <c r="F46" s="60" t="n">
        <f aca="false">Pressupostos!$C$71*F32</f>
        <v>0</v>
      </c>
      <c r="G46" s="60" t="n">
        <f aca="false">Pressupostos!$C$71*G32</f>
        <v>0</v>
      </c>
    </row>
    <row r="47" customFormat="false" ht="15" hidden="false" customHeight="false" outlineLevel="0" collapsed="false">
      <c r="A47" s="7" t="s">
        <v>639</v>
      </c>
      <c r="B47" s="8" t="s">
        <v>59</v>
      </c>
      <c r="C47" s="60" t="n">
        <f aca="false">Pressupostos!$C$286*(C30+C33)*(C36+C37-Pressupostos!$C$70)/365*Pressupostos!$C$280/Pressupostos!$G$31</f>
        <v>0</v>
      </c>
      <c r="D47" s="60" t="n">
        <f aca="false">Pressupostos!$D$286*(D30+D33)*(D36+D37-Pressupostos!$C$70)/365*Pressupostos!$D$280/Pressupostos!$G$31</f>
        <v>0.0449383561643836</v>
      </c>
      <c r="E47" s="60" t="n">
        <f aca="false">Pressupostos!$E$286*(E30+E33)*(E36+E37-Pressupostos!$C$70)/365*Pressupostos!$E$280/Pressupostos!$G$31</f>
        <v>0.0421297089041096</v>
      </c>
      <c r="F47" s="60" t="n">
        <f aca="false">Pressupostos!$F$286*(F30+F33)*(F36+F37-Pressupostos!$C$70)/365*Pressupostos!$F$280/Pressupostos!$G$31</f>
        <v>0.0393210616438356</v>
      </c>
      <c r="G47" s="60" t="n">
        <f aca="false">Pressupostos!$G$286*(G30+G33)*(G36+G37-Pressupostos!$C$70)/365*Pressupostos!$G$280/Pressupostos!$G$31</f>
        <v>0.0393210616438356</v>
      </c>
    </row>
    <row r="48" customFormat="false" ht="15" hidden="false" customHeight="false" outlineLevel="0" collapsed="false">
      <c r="A48" s="7" t="s">
        <v>640</v>
      </c>
      <c r="B48" s="8" t="s">
        <v>59</v>
      </c>
      <c r="C48" s="60" t="n">
        <f aca="false">C30+C33+C34+C35+C38+C39+C40+C41+C42+C43+C44+C45+C46+C47</f>
        <v>4.25364178082192</v>
      </c>
      <c r="D48" s="60" t="n">
        <f aca="false">D30+D33+D34+D35+D38+D39+D40+D41+D42+D43+D44+D45+D46+D47</f>
        <v>4.2985801369863</v>
      </c>
      <c r="E48" s="60" t="n">
        <f aca="false">E30+E33+E34+E35+E38+E39+E40+E41+E42+E43+E44+E45+E46+E47</f>
        <v>4.28577148972603</v>
      </c>
      <c r="F48" s="60" t="n">
        <f aca="false">F30+F33+F34+F35+F38+F39+F40+F41+F42+F43+F44+F45+F46+F47</f>
        <v>4.28296284246575</v>
      </c>
      <c r="G48" s="60" t="n">
        <f aca="false">G30+G33+G34+G35+G38+G39+G40+G41+G42+G43+G44+G45+G46+G47</f>
        <v>4.28296284246575</v>
      </c>
    </row>
    <row r="49" customFormat="false" ht="15" hidden="false" customHeight="false" outlineLevel="0" collapsed="false">
      <c r="A49" s="52" t="s">
        <v>641</v>
      </c>
      <c r="B49" s="53" t="s">
        <v>59</v>
      </c>
      <c r="C49" s="64" t="n">
        <f aca="false">C32-C48</f>
        <v>0.0963582191780832</v>
      </c>
      <c r="D49" s="64" t="n">
        <f aca="false">D32-D48</f>
        <v>0.0514198630136997</v>
      </c>
      <c r="E49" s="64" t="n">
        <f aca="false">E32-E48</f>
        <v>0.0642285102739733</v>
      </c>
      <c r="F49" s="64" t="n">
        <f aca="false">F32-F48</f>
        <v>0.067037157534247</v>
      </c>
      <c r="G49" s="64" t="n">
        <f aca="false">G32-G48</f>
        <v>0.067037157534247</v>
      </c>
    </row>
    <row r="50" customFormat="false" ht="15" hidden="false" customHeight="false" outlineLevel="0" collapsed="false">
      <c r="A50" s="7" t="s">
        <v>642</v>
      </c>
      <c r="B50" s="8" t="s">
        <v>71</v>
      </c>
      <c r="C50" s="55" t="n">
        <f aca="false">IF(C32&gt;0,C49/C32,0)</f>
        <v>0.0221513147535823</v>
      </c>
      <c r="D50" s="55" t="n">
        <f aca="false">IF(D32&gt;0,D49/D32,0)</f>
        <v>0.0118206581640689</v>
      </c>
      <c r="E50" s="55" t="n">
        <f aca="false">IF(E32&gt;0,E49/E32,0)</f>
        <v>0.014765174775626</v>
      </c>
      <c r="F50" s="55" t="n">
        <f aca="false">IF(F32&gt;0,F49/F32,0)</f>
        <v>0.0154108408124706</v>
      </c>
      <c r="G50" s="55" t="n">
        <f aca="false">IF(G32&gt;0,G49/G32,0)</f>
        <v>0.0154108408124706</v>
      </c>
    </row>
    <row r="51" customFormat="false" ht="15" hidden="false" customHeight="false" outlineLevel="0" collapsed="false">
      <c r="A51" s="7" t="s">
        <v>643</v>
      </c>
      <c r="B51" s="8" t="s">
        <v>59</v>
      </c>
      <c r="C51" s="60" t="n">
        <f aca="false">(C30+C33)*(C36-Pressupostos!$C$70)/365+C32*C37/365</f>
        <v>0.536301369863014</v>
      </c>
      <c r="D51" s="60" t="n">
        <f aca="false">(D30+D33)*(D36-Pressupostos!$C$70)/365+D32*D37/365</f>
        <v>0.536301369863014</v>
      </c>
      <c r="E51" s="60" t="n">
        <f aca="false">(E30+E33)*(E36-Pressupostos!$C$70)/365+E32*E37/365</f>
        <v>0.536301369863014</v>
      </c>
      <c r="F51" s="60" t="n">
        <f aca="false">(F30+F33)*(F36-Pressupostos!$C$70)/365+F32*F37/365</f>
        <v>0.536301369863014</v>
      </c>
      <c r="G51" s="60" t="n">
        <f aca="false">(G30+G33)*(G36-Pressupostos!$C$70)/365+G32*G37/365</f>
        <v>0.536301369863014</v>
      </c>
    </row>
    <row r="53" customFormat="false" ht="15" hidden="false" customHeight="false" outlineLevel="0" collapsed="false">
      <c r="A53" s="3" t="s">
        <v>645</v>
      </c>
      <c r="B53" s="4"/>
      <c r="C53" s="4"/>
      <c r="D53" s="4"/>
      <c r="E53" s="4"/>
      <c r="F53" s="4"/>
      <c r="G53" s="4"/>
      <c r="H53" s="4"/>
    </row>
    <row r="54" customFormat="false" ht="15" hidden="false" customHeight="false" outlineLevel="0" collapsed="false">
      <c r="A54" s="7" t="s">
        <v>633</v>
      </c>
      <c r="B54" s="8" t="s">
        <v>59</v>
      </c>
      <c r="C54" s="60" t="n">
        <f aca="false">Pressupostos!$G$10+Pressupostos!$G$13</f>
        <v>3.5</v>
      </c>
      <c r="D54" s="60" t="n">
        <f aca="false">Pressupostos!$G$10+Pressupostos!$G$13</f>
        <v>3.5</v>
      </c>
      <c r="E54" s="60" t="n">
        <f aca="false">Pressupostos!$G$10+Pressupostos!$G$13</f>
        <v>3.5</v>
      </c>
      <c r="F54" s="60" t="n">
        <f aca="false">Pressupostos!$G$10+Pressupostos!$G$13</f>
        <v>3.5</v>
      </c>
      <c r="G54" s="60" t="n">
        <f aca="false">Pressupostos!$G$10+Pressupostos!$G$13</f>
        <v>3.5</v>
      </c>
    </row>
    <row r="55" customFormat="false" ht="15" hidden="false" customHeight="false" outlineLevel="0" collapsed="false">
      <c r="A55" s="7" t="s">
        <v>634</v>
      </c>
      <c r="B55" s="8" t="s">
        <v>59</v>
      </c>
      <c r="C55" s="60" t="n">
        <f aca="false">Pressupostos!$G$10+Pressupostos!$C$51</f>
        <v>3.65</v>
      </c>
      <c r="D55" s="60" t="n">
        <f aca="false">Pressupostos!$G$10+Pressupostos!$C$51</f>
        <v>3.65</v>
      </c>
      <c r="E55" s="60" t="n">
        <f aca="false">Pressupostos!$G$10+Pressupostos!$C$51</f>
        <v>3.65</v>
      </c>
      <c r="F55" s="60" t="n">
        <f aca="false">Pressupostos!$G$10+Pressupostos!$C$51</f>
        <v>3.65</v>
      </c>
      <c r="G55" s="60" t="n">
        <f aca="false">Pressupostos!$G$10+Pressupostos!$C$51</f>
        <v>3.65</v>
      </c>
    </row>
    <row r="56" customFormat="false" ht="15" hidden="false" customHeight="false" outlineLevel="0" collapsed="false">
      <c r="A56" s="52" t="s">
        <v>635</v>
      </c>
      <c r="B56" s="53" t="s">
        <v>59</v>
      </c>
      <c r="C56" s="64" t="n">
        <f aca="false">C55*(1-Pressupostos!$C$52)</f>
        <v>3.65</v>
      </c>
      <c r="D56" s="64" t="n">
        <f aca="false">D55*(1-Pressupostos!$C$52)</f>
        <v>3.65</v>
      </c>
      <c r="E56" s="64" t="n">
        <f aca="false">E55*(1-Pressupostos!$C$52)</f>
        <v>3.65</v>
      </c>
      <c r="F56" s="64" t="n">
        <f aca="false">F55*(1-Pressupostos!$C$52)</f>
        <v>3.65</v>
      </c>
      <c r="G56" s="64" t="n">
        <f aca="false">G55*(1-Pressupostos!$C$52)</f>
        <v>3.65</v>
      </c>
    </row>
    <row r="57" customFormat="false" ht="15" hidden="false" customHeight="false" outlineLevel="0" collapsed="false">
      <c r="A57" s="7" t="s">
        <v>136</v>
      </c>
      <c r="B57" s="8" t="s">
        <v>59</v>
      </c>
      <c r="C57" s="63" t="n">
        <f aca="false">Pressupostos!$C$53</f>
        <v>0</v>
      </c>
      <c r="D57" s="63" t="n">
        <f aca="false">Pressupostos!$C$53</f>
        <v>0</v>
      </c>
      <c r="E57" s="63" t="n">
        <f aca="false">Pressupostos!$C$53</f>
        <v>0</v>
      </c>
      <c r="F57" s="63" t="n">
        <f aca="false">Pressupostos!$C$53</f>
        <v>0</v>
      </c>
      <c r="G57" s="63" t="n">
        <f aca="false">Pressupostos!$C$53</f>
        <v>0</v>
      </c>
    </row>
    <row r="58" customFormat="false" ht="15" hidden="false" customHeight="false" outlineLevel="0" collapsed="false">
      <c r="A58" s="7" t="s">
        <v>205</v>
      </c>
      <c r="B58" s="8" t="s">
        <v>59</v>
      </c>
      <c r="C58" s="63" t="n">
        <f aca="false">Pressupostos!$C$54</f>
        <v>0.04</v>
      </c>
      <c r="D58" s="63" t="n">
        <f aca="false">Pressupostos!$C$54</f>
        <v>0.04</v>
      </c>
      <c r="E58" s="63" t="n">
        <f aca="false">Pressupostos!$C$54</f>
        <v>0.04</v>
      </c>
      <c r="F58" s="63" t="n">
        <f aca="false">Pressupostos!$C$54</f>
        <v>0.04</v>
      </c>
      <c r="G58" s="63" t="n">
        <f aca="false">Pressupostos!$C$54</f>
        <v>0.04</v>
      </c>
    </row>
    <row r="59" customFormat="false" ht="15" hidden="false" customHeight="false" outlineLevel="0" collapsed="false">
      <c r="A59" s="7" t="s">
        <v>109</v>
      </c>
      <c r="B59" s="8" t="s">
        <v>59</v>
      </c>
      <c r="C59" s="63" t="n">
        <f aca="false">Pressupostos!$C$55</f>
        <v>0</v>
      </c>
      <c r="D59" s="63" t="n">
        <f aca="false">Pressupostos!$C$55</f>
        <v>0</v>
      </c>
      <c r="E59" s="63" t="n">
        <f aca="false">Pressupostos!$C$55</f>
        <v>0</v>
      </c>
      <c r="F59" s="63" t="n">
        <f aca="false">Pressupostos!$C$55</f>
        <v>0</v>
      </c>
      <c r="G59" s="63" t="n">
        <f aca="false">Pressupostos!$C$55</f>
        <v>0</v>
      </c>
    </row>
    <row r="60" customFormat="false" ht="15" hidden="false" customHeight="false" outlineLevel="0" collapsed="false">
      <c r="A60" s="7" t="s">
        <v>86</v>
      </c>
      <c r="B60" s="8" t="s">
        <v>74</v>
      </c>
      <c r="C60" s="65" t="n">
        <f aca="false">Pressupostos!$C$56</f>
        <v>15</v>
      </c>
      <c r="D60" s="65" t="n">
        <f aca="false">Pressupostos!$C$56</f>
        <v>15</v>
      </c>
      <c r="E60" s="65" t="n">
        <f aca="false">Pressupostos!$C$56</f>
        <v>15</v>
      </c>
      <c r="F60" s="65" t="n">
        <f aca="false">Pressupostos!$C$56</f>
        <v>15</v>
      </c>
      <c r="G60" s="65" t="n">
        <f aca="false">Pressupostos!$C$56</f>
        <v>15</v>
      </c>
    </row>
    <row r="61" customFormat="false" ht="15" hidden="false" customHeight="false" outlineLevel="0" collapsed="false">
      <c r="A61" s="7" t="s">
        <v>73</v>
      </c>
      <c r="B61" s="8" t="s">
        <v>74</v>
      </c>
      <c r="C61" s="65" t="n">
        <f aca="false">Pressupostos!$C$57</f>
        <v>45</v>
      </c>
      <c r="D61" s="65" t="n">
        <f aca="false">Pressupostos!$C$57</f>
        <v>45</v>
      </c>
      <c r="E61" s="65" t="n">
        <f aca="false">Pressupostos!$C$57</f>
        <v>45</v>
      </c>
      <c r="F61" s="65" t="n">
        <f aca="false">Pressupostos!$C$57</f>
        <v>45</v>
      </c>
      <c r="G61" s="65" t="n">
        <f aca="false">Pressupostos!$C$57</f>
        <v>45</v>
      </c>
    </row>
    <row r="62" customFormat="false" ht="15" hidden="false" customHeight="false" outlineLevel="0" collapsed="false">
      <c r="A62" s="7" t="s">
        <v>471</v>
      </c>
      <c r="B62" s="8" t="s">
        <v>59</v>
      </c>
      <c r="C62" s="60" t="n">
        <f aca="false">Pressupostos!$C$64*C60/30/1000</f>
        <v>0.002</v>
      </c>
      <c r="D62" s="60" t="n">
        <f aca="false">Pressupostos!$C$64*D60/30/1000</f>
        <v>0.002</v>
      </c>
      <c r="E62" s="60" t="n">
        <f aca="false">Pressupostos!$C$64*E60/30/1000</f>
        <v>0.002</v>
      </c>
      <c r="F62" s="60" t="n">
        <f aca="false">Pressupostos!$C$64*F60/30/1000</f>
        <v>0.002</v>
      </c>
      <c r="G62" s="60" t="n">
        <f aca="false">Pressupostos!$C$64*G60/30/1000</f>
        <v>0.002</v>
      </c>
    </row>
    <row r="63" customFormat="false" ht="15" hidden="false" customHeight="false" outlineLevel="0" collapsed="false">
      <c r="A63" s="7" t="s">
        <v>154</v>
      </c>
      <c r="B63" s="8" t="s">
        <v>59</v>
      </c>
      <c r="C63" s="60" t="n">
        <f aca="false">C54*Pressupostos!$C$65*C60/365</f>
        <v>0.000287671232876712</v>
      </c>
      <c r="D63" s="60" t="n">
        <f aca="false">D54*Pressupostos!$C$65*D60/365</f>
        <v>0.000287671232876712</v>
      </c>
      <c r="E63" s="60" t="n">
        <f aca="false">E54*Pressupostos!$C$65*E60/365</f>
        <v>0.000287671232876712</v>
      </c>
      <c r="F63" s="60" t="n">
        <f aca="false">F54*Pressupostos!$C$65*F60/365</f>
        <v>0.000287671232876712</v>
      </c>
      <c r="G63" s="60" t="n">
        <f aca="false">G54*Pressupostos!$C$65*G60/365</f>
        <v>0.000287671232876712</v>
      </c>
    </row>
    <row r="64" customFormat="false" ht="15" hidden="false" customHeight="false" outlineLevel="0" collapsed="false">
      <c r="A64" s="7" t="s">
        <v>636</v>
      </c>
      <c r="B64" s="8" t="s">
        <v>59</v>
      </c>
      <c r="C64" s="60" t="n">
        <f aca="false">Pressupostos!$C$59*Pressupostos!$C$66/(Pressupostos!$C$58*1000)</f>
        <v>0.006</v>
      </c>
      <c r="D64" s="60" t="n">
        <f aca="false">Pressupostos!$C$59*Pressupostos!$C$66/(Pressupostos!$C$58*1000)</f>
        <v>0.006</v>
      </c>
      <c r="E64" s="60" t="n">
        <f aca="false">Pressupostos!$C$59*Pressupostos!$C$66/(Pressupostos!$C$58*1000)</f>
        <v>0.006</v>
      </c>
      <c r="F64" s="60" t="n">
        <f aca="false">Pressupostos!$C$59*Pressupostos!$C$66/(Pressupostos!$C$58*1000)</f>
        <v>0.006</v>
      </c>
      <c r="G64" s="60" t="n">
        <f aca="false">Pressupostos!$C$59*Pressupostos!$C$66/(Pressupostos!$C$58*1000)</f>
        <v>0.006</v>
      </c>
    </row>
    <row r="65" customFormat="false" ht="15" hidden="false" customHeight="false" outlineLevel="0" collapsed="false">
      <c r="A65" s="7" t="s">
        <v>473</v>
      </c>
      <c r="B65" s="8" t="s">
        <v>59</v>
      </c>
      <c r="C65" s="60" t="n">
        <f aca="false">Pressupostos!$C$67*C54</f>
        <v>0.0175</v>
      </c>
      <c r="D65" s="60" t="n">
        <f aca="false">Pressupostos!$C$67*D54</f>
        <v>0.0175</v>
      </c>
      <c r="E65" s="60" t="n">
        <f aca="false">Pressupostos!$C$67*E54</f>
        <v>0.0175</v>
      </c>
      <c r="F65" s="60" t="n">
        <f aca="false">Pressupostos!$C$67*F54</f>
        <v>0.0175</v>
      </c>
      <c r="G65" s="60" t="n">
        <f aca="false">Pressupostos!$C$67*G54</f>
        <v>0.0175</v>
      </c>
    </row>
    <row r="66" customFormat="false" ht="15" hidden="false" customHeight="false" outlineLevel="0" collapsed="false">
      <c r="A66" s="7" t="s">
        <v>474</v>
      </c>
      <c r="B66" s="8" t="s">
        <v>59</v>
      </c>
      <c r="C66" s="60" t="n">
        <f aca="false">Pressupostos!$C$68*Pressupostos!$C$69*C60/90</f>
        <v>0.0015</v>
      </c>
      <c r="D66" s="60" t="n">
        <f aca="false">Pressupostos!$C$68*Pressupostos!$C$69*D60/90</f>
        <v>0.0015</v>
      </c>
      <c r="E66" s="60" t="n">
        <f aca="false">Pressupostos!$C$68*Pressupostos!$C$69*E60/90</f>
        <v>0.0015</v>
      </c>
      <c r="F66" s="60" t="n">
        <f aca="false">Pressupostos!$C$68*Pressupostos!$C$69*F60/90</f>
        <v>0.0015</v>
      </c>
      <c r="G66" s="60" t="n">
        <f aca="false">Pressupostos!$C$68*Pressupostos!$C$69*G60/90</f>
        <v>0.0015</v>
      </c>
    </row>
    <row r="67" customFormat="false" ht="15" hidden="false" customHeight="false" outlineLevel="0" collapsed="false">
      <c r="A67" s="7" t="s">
        <v>637</v>
      </c>
      <c r="B67" s="8" t="s">
        <v>59</v>
      </c>
      <c r="C67" s="60" t="n">
        <f aca="false">Pressupostos!$C$60/(Pressupostos!$C$58*1000)</f>
        <v>0.012</v>
      </c>
      <c r="D67" s="60" t="n">
        <f aca="false">Pressupostos!$C$60/(Pressupostos!$C$58*1000)</f>
        <v>0.012</v>
      </c>
      <c r="E67" s="60" t="n">
        <f aca="false">Pressupostos!$C$60/(Pressupostos!$C$58*1000)</f>
        <v>0.012</v>
      </c>
      <c r="F67" s="60" t="n">
        <f aca="false">Pressupostos!$C$60/(Pressupostos!$C$58*1000)</f>
        <v>0.012</v>
      </c>
      <c r="G67" s="60" t="n">
        <f aca="false">Pressupostos!$C$60/(Pressupostos!$C$58*1000)</f>
        <v>0.012</v>
      </c>
    </row>
    <row r="68" customFormat="false" ht="15" hidden="false" customHeight="false" outlineLevel="0" collapsed="false">
      <c r="A68" s="7" t="s">
        <v>131</v>
      </c>
      <c r="B68" s="8" t="s">
        <v>59</v>
      </c>
      <c r="C68" s="63" t="n">
        <f aca="false">Pressupostos!$C$61</f>
        <v>0.001</v>
      </c>
      <c r="D68" s="63" t="n">
        <f aca="false">Pressupostos!$C$61</f>
        <v>0.001</v>
      </c>
      <c r="E68" s="63" t="n">
        <f aca="false">Pressupostos!$C$61</f>
        <v>0.001</v>
      </c>
      <c r="F68" s="63" t="n">
        <f aca="false">Pressupostos!$C$61</f>
        <v>0.001</v>
      </c>
      <c r="G68" s="63" t="n">
        <f aca="false">Pressupostos!$C$61</f>
        <v>0.001</v>
      </c>
    </row>
    <row r="69" customFormat="false" ht="15" hidden="false" customHeight="false" outlineLevel="0" collapsed="false">
      <c r="A69" s="7" t="s">
        <v>76</v>
      </c>
      <c r="B69" s="8" t="s">
        <v>59</v>
      </c>
      <c r="C69" s="60" t="n">
        <f aca="false">Pressupostos!$C$62*C56</f>
        <v>0.01095</v>
      </c>
      <c r="D69" s="60" t="n">
        <f aca="false">Pressupostos!$C$62*D56</f>
        <v>0.01095</v>
      </c>
      <c r="E69" s="60" t="n">
        <f aca="false">Pressupostos!$C$62*E56</f>
        <v>0.01095</v>
      </c>
      <c r="F69" s="60" t="n">
        <f aca="false">Pressupostos!$C$62*F56</f>
        <v>0.01095</v>
      </c>
      <c r="G69" s="60" t="n">
        <f aca="false">Pressupostos!$C$62*G56</f>
        <v>0.01095</v>
      </c>
    </row>
    <row r="70" customFormat="false" ht="15" hidden="false" customHeight="false" outlineLevel="0" collapsed="false">
      <c r="A70" s="7" t="s">
        <v>638</v>
      </c>
      <c r="B70" s="8" t="s">
        <v>59</v>
      </c>
      <c r="C70" s="60" t="n">
        <f aca="false">Pressupostos!$C$71*C56</f>
        <v>0</v>
      </c>
      <c r="D70" s="60" t="n">
        <f aca="false">Pressupostos!$C$71*D56</f>
        <v>0</v>
      </c>
      <c r="E70" s="60" t="n">
        <f aca="false">Pressupostos!$C$71*E56</f>
        <v>0</v>
      </c>
      <c r="F70" s="60" t="n">
        <f aca="false">Pressupostos!$C$71*F56</f>
        <v>0</v>
      </c>
      <c r="G70" s="60" t="n">
        <f aca="false">Pressupostos!$C$71*G56</f>
        <v>0</v>
      </c>
    </row>
    <row r="71" customFormat="false" ht="15" hidden="false" customHeight="false" outlineLevel="0" collapsed="false">
      <c r="A71" s="7" t="s">
        <v>639</v>
      </c>
      <c r="B71" s="8" t="s">
        <v>59</v>
      </c>
      <c r="C71" s="60" t="n">
        <f aca="false">Pressupostos!$C$286*(C54+C57)*(C60+C61-Pressupostos!$C$70)/365*Pressupostos!$C$280/Pressupostos!$G$31</f>
        <v>0</v>
      </c>
      <c r="D71" s="60" t="n">
        <f aca="false">Pressupostos!$D$286*(D54+D57)*(D60+D61-Pressupostos!$C$70)/365*Pressupostos!$D$280/Pressupostos!$G$31</f>
        <v>0.0258904109589041</v>
      </c>
      <c r="E71" s="60" t="n">
        <f aca="false">Pressupostos!$E$286*(E54+E57)*(E60+E61-Pressupostos!$C$70)/365*Pressupostos!$E$280/Pressupostos!$G$31</f>
        <v>0.0242722602739726</v>
      </c>
      <c r="F71" s="60" t="n">
        <f aca="false">Pressupostos!$F$286*(F54+F57)*(F60+F61-Pressupostos!$C$70)/365*Pressupostos!$F$280/Pressupostos!$G$31</f>
        <v>0.0226541095890411</v>
      </c>
      <c r="G71" s="60" t="n">
        <f aca="false">Pressupostos!$G$286*(G54+G57)*(G60+G61-Pressupostos!$C$70)/365*Pressupostos!$G$280/Pressupostos!$G$31</f>
        <v>0.0226541095890411</v>
      </c>
    </row>
    <row r="72" customFormat="false" ht="15" hidden="false" customHeight="false" outlineLevel="0" collapsed="false">
      <c r="A72" s="7" t="s">
        <v>640</v>
      </c>
      <c r="B72" s="8" t="s">
        <v>59</v>
      </c>
      <c r="C72" s="60" t="n">
        <f aca="false">C54+C57+C58+C59+C62+C63+C64+C65+C66+C67+C68+C69+C70+C71</f>
        <v>3.59123767123288</v>
      </c>
      <c r="D72" s="60" t="n">
        <f aca="false">D54+D57+D58+D59+D62+D63+D64+D65+D66+D67+D68+D69+D70+D71</f>
        <v>3.61712808219178</v>
      </c>
      <c r="E72" s="60" t="n">
        <f aca="false">E54+E57+E58+E59+E62+E63+E64+E65+E66+E67+E68+E69+E70+E71</f>
        <v>3.61550993150685</v>
      </c>
      <c r="F72" s="60" t="n">
        <f aca="false">F54+F57+F58+F59+F62+F63+F64+F65+F66+F67+F68+F69+F70+F71</f>
        <v>3.61389178082192</v>
      </c>
      <c r="G72" s="60" t="n">
        <f aca="false">G54+G57+G58+G59+G62+G63+G64+G65+G66+G67+G68+G69+G70+G71</f>
        <v>3.61389178082192</v>
      </c>
    </row>
    <row r="73" customFormat="false" ht="15" hidden="false" customHeight="false" outlineLevel="0" collapsed="false">
      <c r="A73" s="52" t="s">
        <v>641</v>
      </c>
      <c r="B73" s="53" t="s">
        <v>59</v>
      </c>
      <c r="C73" s="64" t="n">
        <f aca="false">C56-C72</f>
        <v>0.058762328767124</v>
      </c>
      <c r="D73" s="64" t="n">
        <f aca="false">D56-D72</f>
        <v>0.0328719178082197</v>
      </c>
      <c r="E73" s="64" t="n">
        <f aca="false">E56-E72</f>
        <v>0.0344900684931515</v>
      </c>
      <c r="F73" s="64" t="n">
        <f aca="false">F56-F72</f>
        <v>0.0361082191780828</v>
      </c>
      <c r="G73" s="64" t="n">
        <f aca="false">G56-G72</f>
        <v>0.0361082191780828</v>
      </c>
    </row>
    <row r="74" customFormat="false" ht="15" hidden="false" customHeight="false" outlineLevel="0" collapsed="false">
      <c r="A74" s="7" t="s">
        <v>642</v>
      </c>
      <c r="B74" s="8" t="s">
        <v>71</v>
      </c>
      <c r="C74" s="55" t="n">
        <f aca="false">IF(C56&gt;0,C73/C56,0)</f>
        <v>0.0160992681553764</v>
      </c>
      <c r="D74" s="55" t="n">
        <f aca="false">IF(D56&gt;0,D73/D56,0)</f>
        <v>0.00900600487896431</v>
      </c>
      <c r="E74" s="55" t="n">
        <f aca="false">IF(E56&gt;0,E73/E56,0)</f>
        <v>0.00944933383374014</v>
      </c>
      <c r="F74" s="55" t="n">
        <f aca="false">IF(F56&gt;0,F73/F56,0)</f>
        <v>0.00989266278851584</v>
      </c>
      <c r="G74" s="55" t="n">
        <f aca="false">IF(G56&gt;0,G73/G56,0)</f>
        <v>0.00989266278851584</v>
      </c>
    </row>
    <row r="75" customFormat="false" ht="15" hidden="false" customHeight="false" outlineLevel="0" collapsed="false">
      <c r="A75" s="7" t="s">
        <v>643</v>
      </c>
      <c r="B75" s="8" t="s">
        <v>59</v>
      </c>
      <c r="C75" s="60" t="n">
        <f aca="false">(C54+C57)*(C60-Pressupostos!$C$70)/365+C56*C61/365</f>
        <v>0.306164383561644</v>
      </c>
      <c r="D75" s="60" t="n">
        <f aca="false">(D54+D57)*(D60-Pressupostos!$C$70)/365+D56*D61/365</f>
        <v>0.306164383561644</v>
      </c>
      <c r="E75" s="60" t="n">
        <f aca="false">(E54+E57)*(E60-Pressupostos!$C$70)/365+E56*E61/365</f>
        <v>0.306164383561644</v>
      </c>
      <c r="F75" s="60" t="n">
        <f aca="false">(F54+F57)*(F60-Pressupostos!$C$70)/365+F56*F61/365</f>
        <v>0.306164383561644</v>
      </c>
      <c r="G75" s="60" t="n">
        <f aca="false">(G54+G57)*(G60-Pressupostos!$C$70)/365+G56*G61/365</f>
        <v>0.306164383561644</v>
      </c>
    </row>
    <row r="77" customFormat="false" ht="15" hidden="false" customHeight="false" outlineLevel="0" collapsed="false">
      <c r="A77" s="3" t="s">
        <v>646</v>
      </c>
      <c r="B77" s="4"/>
      <c r="C77" s="4"/>
      <c r="D77" s="4"/>
      <c r="E77" s="4"/>
      <c r="F77" s="4"/>
      <c r="G77" s="4"/>
      <c r="H77" s="4"/>
    </row>
    <row r="78" customFormat="false" ht="15" hidden="false" customHeight="false" outlineLevel="0" collapsed="false">
      <c r="A78" s="7" t="s">
        <v>647</v>
      </c>
      <c r="B78" s="8" t="s">
        <v>10</v>
      </c>
      <c r="C78" s="58" t="n">
        <f aca="false">Volumes!C10*1000*(C6+C9)+Volumes!C11*1000*(C30+C33)+Volumes!C12*1000*(C54+C57)</f>
        <v>243800</v>
      </c>
      <c r="D78" s="58" t="n">
        <f aca="false">Volumes!D10*1000*(D6+D9)+Volumes!D11*1000*(D30+D33)+Volumes!D12*1000*(D54+D57)</f>
        <v>1623700</v>
      </c>
      <c r="E78" s="58" t="n">
        <f aca="false">Volumes!E10*1000*(E6+E9)+Volumes!E11*1000*(E30+E33)+Volumes!E12*1000*(E54+E57)</f>
        <v>3455800</v>
      </c>
      <c r="F78" s="58" t="n">
        <f aca="false">Volumes!F10*1000*(F6+F9)+Volumes!F11*1000*(F30+F33)+Volumes!F12*1000*(F54+F57)</f>
        <v>5899200</v>
      </c>
      <c r="G78" s="58" t="n">
        <f aca="false">Volumes!G10*1000*(G6+G9)+Volumes!G11*1000*(G30+G33)+Volumes!G12*1000*(G54+G57)</f>
        <v>8951000</v>
      </c>
    </row>
    <row r="79" customFormat="false" ht="15" hidden="false" customHeight="false" outlineLevel="0" collapsed="false">
      <c r="A79" s="7" t="s">
        <v>648</v>
      </c>
      <c r="B79" s="8" t="s">
        <v>10</v>
      </c>
      <c r="C79" s="58" t="n">
        <f aca="false">Volumes!C23*1000*Pressupostos!$C$90</f>
        <v>0</v>
      </c>
      <c r="D79" s="58" t="n">
        <f aca="false">Volumes!D23*1000*Pressupostos!$C$90</f>
        <v>0</v>
      </c>
      <c r="E79" s="58" t="n">
        <f aca="false">Volumes!E23*1000*Pressupostos!$C$90</f>
        <v>210000</v>
      </c>
      <c r="F79" s="58" t="n">
        <f aca="false">Volumes!F23*1000*Pressupostos!$C$90</f>
        <v>420000</v>
      </c>
      <c r="G79" s="58" t="n">
        <f aca="false">Volumes!G23*1000*Pressupostos!$C$90</f>
        <v>700000</v>
      </c>
    </row>
    <row r="80" customFormat="false" ht="15" hidden="false" customHeight="false" outlineLevel="0" collapsed="false">
      <c r="A80" s="7" t="s">
        <v>649</v>
      </c>
      <c r="B80" s="8" t="s">
        <v>10</v>
      </c>
      <c r="C80" s="58" t="n">
        <f aca="false">C78+C79</f>
        <v>243800</v>
      </c>
      <c r="D80" s="58" t="n">
        <f aca="false">D78+D79</f>
        <v>1623700</v>
      </c>
      <c r="E80" s="58" t="n">
        <f aca="false">E78+E79</f>
        <v>3665800</v>
      </c>
      <c r="F80" s="58" t="n">
        <f aca="false">F78+F79</f>
        <v>6319200</v>
      </c>
      <c r="G80" s="58" t="n">
        <f aca="false">G78+G79</f>
        <v>9651000</v>
      </c>
    </row>
    <row r="81" customFormat="false" ht="15" hidden="false" customHeight="false" outlineLevel="0" collapsed="false">
      <c r="A81" s="7" t="s">
        <v>205</v>
      </c>
      <c r="B81" s="8" t="s">
        <v>10</v>
      </c>
      <c r="C81" s="58" t="n">
        <f aca="false">Volumes!C10*1000*(C10)+Volumes!C11*1000*(C34)+Volumes!C12*1000*(C58)+Volumes!C23*1000*Pressupostos!$C$92</f>
        <v>7600</v>
      </c>
      <c r="D81" s="58" t="n">
        <f aca="false">Volumes!D10*1000*(D10)+Volumes!D11*1000*(D34)+Volumes!D12*1000*(D58)+Volumes!D23*1000*Pressupostos!$C$92</f>
        <v>47400</v>
      </c>
      <c r="E81" s="58" t="n">
        <f aca="false">Volumes!E10*1000*(E10)+Volumes!E11*1000*(E34)+Volumes!E12*1000*(E58)+Volumes!E23*1000*Pressupostos!$C$92</f>
        <v>106270</v>
      </c>
      <c r="F81" s="58" t="n">
        <f aca="false">Volumes!F10*1000*(F10)+Volumes!F11*1000*(F34)+Volumes!F12*1000*(F58)+Volumes!F23*1000*Pressupostos!$C$92</f>
        <v>187560</v>
      </c>
      <c r="G81" s="58" t="n">
        <f aca="false">Volumes!G10*1000*(G10)+Volumes!G11*1000*(G34)+Volumes!G12*1000*(G58)+Volumes!G23*1000*Pressupostos!$C$92</f>
        <v>286800</v>
      </c>
    </row>
    <row r="82" customFormat="false" ht="15" hidden="false" customHeight="false" outlineLevel="0" collapsed="false">
      <c r="A82" s="7" t="s">
        <v>109</v>
      </c>
      <c r="B82" s="8" t="s">
        <v>10</v>
      </c>
      <c r="C82" s="58" t="n">
        <f aca="false">Volumes!C10*1000*(C11)+Volumes!C11*1000*(C35)+Volumes!C12*1000*(C59)</f>
        <v>480</v>
      </c>
      <c r="D82" s="58" t="n">
        <f aca="false">Volumes!D10*1000*(D11)+Volumes!D11*1000*(D35)+Volumes!D12*1000*(D59)</f>
        <v>2220</v>
      </c>
      <c r="E82" s="58" t="n">
        <f aca="false">Volumes!E10*1000*(E11)+Volumes!E11*1000*(E35)+Volumes!E12*1000*(E59)</f>
        <v>7980</v>
      </c>
      <c r="F82" s="58" t="n">
        <f aca="false">Volumes!F10*1000*(F11)+Volumes!F11*1000*(F35)+Volumes!F12*1000*(F59)</f>
        <v>16020</v>
      </c>
      <c r="G82" s="58" t="n">
        <f aca="false">Volumes!G10*1000*(G11)+Volumes!G11*1000*(G35)+Volumes!G12*1000*(G59)</f>
        <v>24600</v>
      </c>
    </row>
    <row r="83" customFormat="false" ht="15" hidden="false" customHeight="false" outlineLevel="0" collapsed="false">
      <c r="A83" s="7" t="s">
        <v>650</v>
      </c>
      <c r="B83" s="8" t="s">
        <v>10</v>
      </c>
      <c r="C83" s="58" t="n">
        <f aca="false">Volumes!C10*1000*(C14+C15)+Volumes!C11*1000*(C38+C39)+Volumes!C12*1000*(C62+C63)</f>
        <v>459.178082191781</v>
      </c>
      <c r="D83" s="58" t="n">
        <f aca="false">Volumes!D10*1000*(D14+D15)+Volumes!D11*1000*(D38+D39)+Volumes!D12*1000*(D62+D63)</f>
        <v>2686.19178082192</v>
      </c>
      <c r="E83" s="58" t="n">
        <f aca="false">Volumes!E10*1000*(E14+E15)+Volumes!E11*1000*(E38+E39)+Volumes!E12*1000*(E62+E63)</f>
        <v>4208.36712328767</v>
      </c>
      <c r="F83" s="58" t="n">
        <f aca="false">Volumes!F10*1000*(F14+F15)+Volumes!F11*1000*(F38+F39)+Volumes!F12*1000*(F62+F63)</f>
        <v>7271.08493150685</v>
      </c>
      <c r="G83" s="58" t="n">
        <f aca="false">Volumes!G10*1000*(G14+G15)+Volumes!G11*1000*(G38+G39)+Volumes!G12*1000*(G62+G63)</f>
        <v>11043.2328767123</v>
      </c>
    </row>
    <row r="84" customFormat="false" ht="15" hidden="false" customHeight="false" outlineLevel="0" collapsed="false">
      <c r="A84" s="7" t="s">
        <v>651</v>
      </c>
      <c r="B84" s="8" t="s">
        <v>10</v>
      </c>
      <c r="C84" s="58" t="n">
        <f aca="false">Volumes!C10*1000*(C16+C17+C18)+Volumes!C11*1000*(C40+C41+C42)+Volumes!C12*1000*(C64+C65+C66)</f>
        <v>2660</v>
      </c>
      <c r="D84" s="58" t="n">
        <f aca="false">Volumes!D10*1000*(D16+D17+D18)+Volumes!D11*1000*(D40+D41+D42)+Volumes!D12*1000*(D64+D65+D66)</f>
        <v>17325</v>
      </c>
      <c r="E84" s="58" t="n">
        <f aca="false">Volumes!E10*1000*(E16+E17+E18)+Volumes!E11*1000*(E40+E41+E42)+Volumes!E12*1000*(E64+E65+E66)</f>
        <v>36379.5</v>
      </c>
      <c r="F84" s="58" t="n">
        <f aca="false">Volumes!F10*1000*(F16+F17+F18)+Volumes!F11*1000*(F40+F41+F42)+Volumes!F12*1000*(F64+F65+F66)</f>
        <v>62520.5</v>
      </c>
      <c r="G84" s="58" t="n">
        <f aca="false">Volumes!G10*1000*(G16+G17+G18)+Volumes!G11*1000*(G40+G41+G42)+Volumes!G12*1000*(G64+G65+G66)</f>
        <v>94915</v>
      </c>
    </row>
    <row r="85" customFormat="false" ht="15" hidden="false" customHeight="false" outlineLevel="0" collapsed="false">
      <c r="A85" s="7" t="s">
        <v>637</v>
      </c>
      <c r="B85" s="8" t="s">
        <v>10</v>
      </c>
      <c r="C85" s="58" t="n">
        <f aca="false">Volumes!C10*1000*(C19)+Volumes!C11*1000*(C43)+Volumes!C12*1000*(C67)</f>
        <v>2880</v>
      </c>
      <c r="D85" s="58" t="n">
        <f aca="false">Volumes!D10*1000*(D19)+Volumes!D11*1000*(D43)+Volumes!D12*1000*(D67)</f>
        <v>18220</v>
      </c>
      <c r="E85" s="58" t="n">
        <f aca="false">Volumes!E10*1000*(E19)+Volumes!E11*1000*(E43)+Volumes!E12*1000*(E67)</f>
        <v>41980</v>
      </c>
      <c r="F85" s="58" t="n">
        <f aca="false">Volumes!F10*1000*(F19)+Volumes!F11*1000*(F43)+Volumes!F12*1000*(F67)</f>
        <v>74020</v>
      </c>
      <c r="G85" s="58" t="n">
        <f aca="false">Volumes!G10*1000*(G19)+Volumes!G11*1000*(G43)+Volumes!G12*1000*(G67)</f>
        <v>112600</v>
      </c>
    </row>
    <row r="86" customFormat="false" ht="15" hidden="false" customHeight="false" outlineLevel="0" collapsed="false">
      <c r="A86" s="7" t="s">
        <v>652</v>
      </c>
      <c r="B86" s="8" t="s">
        <v>10</v>
      </c>
      <c r="C86" s="58" t="n">
        <f aca="false">Volumes!C10*1000*(C20)+Volumes!C11*1000*(C44)+Volumes!C12*1000*(C68)+Volumes!C23*1000*Pressupostos!$C$97</f>
        <v>340</v>
      </c>
      <c r="D86" s="58" t="n">
        <f aca="false">Volumes!D10*1000*(D20)+Volumes!D11*1000*(D44)+Volumes!D12*1000*(D68)+Volumes!D23*1000*Pressupostos!$C$97</f>
        <v>2185</v>
      </c>
      <c r="E86" s="58" t="n">
        <f aca="false">Volumes!E10*1000*(E20)+Volumes!E11*1000*(E44)+Volumes!E12*1000*(E68)+Volumes!E23*1000*Pressupostos!$C$97</f>
        <v>5815</v>
      </c>
      <c r="F86" s="58" t="n">
        <f aca="false">Volumes!F10*1000*(F20)+Volumes!F11*1000*(F44)+Volumes!F12*1000*(F68)+Volumes!F23*1000*Pressupostos!$C$97</f>
        <v>10385</v>
      </c>
      <c r="G86" s="58" t="n">
        <f aca="false">Volumes!G10*1000*(G20)+Volumes!G11*1000*(G44)+Volumes!G12*1000*(G68)+Volumes!G23*1000*Pressupostos!$C$97</f>
        <v>16050</v>
      </c>
    </row>
    <row r="87" customFormat="false" ht="15" hidden="false" customHeight="false" outlineLevel="0" collapsed="false">
      <c r="A87" s="7" t="s">
        <v>76</v>
      </c>
      <c r="B87" s="8" t="s">
        <v>10</v>
      </c>
      <c r="C87" s="58" t="n">
        <f aca="false">Volumes!C10*1000*(C21)+Volumes!C11*1000*(C45)+Volumes!C12*1000*(C69)+Volumes!C23*1000*Pressupostos!$C$96*Pressupostos!$C$91</f>
        <v>922.68</v>
      </c>
      <c r="D87" s="58" t="n">
        <f aca="false">Volumes!D10*1000*(D21)+Volumes!D11*1000*(D45)+Volumes!D12*1000*(D69)+Volumes!D23*1000*Pressupostos!$C$96*Pressupostos!$C$91</f>
        <v>5866.02</v>
      </c>
      <c r="E87" s="58" t="n">
        <f aca="false">Volumes!E10*1000*(E21)+Volumes!E11*1000*(E45)+Volumes!E12*1000*(E69)+Volumes!E23*1000*Pressupostos!$C$96*Pressupostos!$C$91</f>
        <v>14827.68</v>
      </c>
      <c r="F87" s="58" t="n">
        <f aca="false">Volumes!F10*1000*(F21)+Volumes!F11*1000*(F45)+Volumes!F12*1000*(F69)+Volumes!F23*1000*Pressupostos!$C$96*Pressupostos!$C$91</f>
        <v>26410.32</v>
      </c>
      <c r="G87" s="58" t="n">
        <f aca="false">Volumes!G10*1000*(G21)+Volumes!G11*1000*(G45)+Volumes!G12*1000*(G69)+Volumes!G23*1000*Pressupostos!$C$96*Pressupostos!$C$91</f>
        <v>40578.6</v>
      </c>
    </row>
    <row r="88" customFormat="false" ht="15" hidden="false" customHeight="false" outlineLevel="0" collapsed="false">
      <c r="A88" s="7" t="s">
        <v>653</v>
      </c>
      <c r="B88" s="8" t="s">
        <v>10</v>
      </c>
      <c r="C88" s="58" t="n">
        <f aca="false">Volumes!C10*1000*(C22)+Volumes!C11*1000*(C46)+Volumes!C12*1000*(C70)+Volumes!C23*1000*Pressupostos!$G$29*Pressupostos!$C$90</f>
        <v>0</v>
      </c>
      <c r="D88" s="58" t="n">
        <f aca="false">Volumes!D10*1000*(D22)+Volumes!D11*1000*(D46)+Volumes!D12*1000*(D70)+Volumes!D23*1000*Pressupostos!$G$29*Pressupostos!$C$90</f>
        <v>0</v>
      </c>
      <c r="E88" s="58" t="n">
        <f aca="false">Volumes!E10*1000*(E22)+Volumes!E11*1000*(E46)+Volumes!E12*1000*(E70)+Volumes!E23*1000*Pressupostos!$G$29*Pressupostos!$C$90</f>
        <v>0</v>
      </c>
      <c r="F88" s="58" t="n">
        <f aca="false">Volumes!F10*1000*(F22)+Volumes!F11*1000*(F46)+Volumes!F12*1000*(F70)+Volumes!F23*1000*Pressupostos!$G$29*Pressupostos!$C$90</f>
        <v>0</v>
      </c>
      <c r="G88" s="58" t="n">
        <f aca="false">Volumes!G10*1000*(G22)+Volumes!G11*1000*(G46)+Volumes!G12*1000*(G70)+Volumes!G23*1000*Pressupostos!$G$29*Pressupostos!$C$90</f>
        <v>0</v>
      </c>
    </row>
    <row r="89" customFormat="false" ht="15" hidden="false" customHeight="false" outlineLevel="0" collapsed="false">
      <c r="A89" s="7" t="s">
        <v>654</v>
      </c>
      <c r="B89" s="8" t="s">
        <v>10</v>
      </c>
      <c r="C89" s="58" t="n">
        <f aca="false">Volumes!C27*1000*Pressupostos!$C$102*Pressupostos!$G$30</f>
        <v>0</v>
      </c>
      <c r="D89" s="58" t="n">
        <f aca="false">Volumes!D27*1000*Pressupostos!$C$102*Pressupostos!$G$30</f>
        <v>8228.57142857143</v>
      </c>
      <c r="E89" s="58" t="n">
        <f aca="false">Volumes!E27*1000*Pressupostos!$C$102*Pressupostos!$G$30</f>
        <v>24685.7142857143</v>
      </c>
      <c r="F89" s="58" t="n">
        <f aca="false">Volumes!F27*1000*Pressupostos!$C$102*Pressupostos!$G$30</f>
        <v>49371.4285714286</v>
      </c>
      <c r="G89" s="58" t="n">
        <f aca="false">Volumes!G27*1000*Pressupostos!$C$102*Pressupostos!$G$30</f>
        <v>82285.7142857143</v>
      </c>
    </row>
    <row r="90" customFormat="false" ht="15" hidden="false" customHeight="false" outlineLevel="0" collapsed="false">
      <c r="A90" s="7" t="s">
        <v>655</v>
      </c>
      <c r="B90" s="8" t="s">
        <v>10</v>
      </c>
      <c r="C90" s="58" t="n">
        <f aca="false">C81+C82+C83+C84+C85+C86+C87+C88+C89</f>
        <v>15341.8580821918</v>
      </c>
      <c r="D90" s="58" t="n">
        <f aca="false">D81+D82+D83+D84+D85+D86+D87+D88+D89</f>
        <v>104130.783209393</v>
      </c>
      <c r="E90" s="58" t="n">
        <f aca="false">E81+E82+E83+E84+E85+E86+E87+E88+E89</f>
        <v>242146.261409002</v>
      </c>
      <c r="F90" s="58" t="n">
        <f aca="false">F81+F82+F83+F84+F85+F86+F87+F88+F89</f>
        <v>433558.333502936</v>
      </c>
      <c r="G90" s="58" t="n">
        <f aca="false">G81+G82+G83+G84+G85+G86+G87+G88+G89</f>
        <v>668872.547162427</v>
      </c>
    </row>
    <row r="91" customFormat="false" ht="15" hidden="false" customHeight="false" outlineLevel="0" collapsed="false">
      <c r="A91" s="7" t="s">
        <v>656</v>
      </c>
      <c r="B91" s="8" t="s">
        <v>10</v>
      </c>
      <c r="C91" s="58" t="n">
        <f aca="false">Volumes!C10*1000*(C23)+Volumes!C11*1000*(C47)+Volumes!C12*1000*(C71)</f>
        <v>0</v>
      </c>
      <c r="D91" s="58" t="n">
        <f aca="false">Volumes!D10*1000*(D23)+Volumes!D11*1000*(D47)+Volumes!D12*1000*(D71)</f>
        <v>23317.0273972603</v>
      </c>
      <c r="E91" s="58" t="n">
        <f aca="false">Volumes!E10*1000*(E23)+Volumes!E11*1000*(E47)+Volumes!E12*1000*(E71)</f>
        <v>36586.560359589</v>
      </c>
      <c r="F91" s="58" t="n">
        <f aca="false">Volumes!F10*1000*(F23)+Volumes!F11*1000*(F47)+Volumes!F12*1000*(F71)</f>
        <v>58470.0950342466</v>
      </c>
      <c r="G91" s="58" t="n">
        <f aca="false">Volumes!G10*1000*(G23)+Volumes!G11*1000*(G47)+Volumes!G12*1000*(G71)</f>
        <v>88739.9229452055</v>
      </c>
    </row>
    <row r="92" customFormat="false" ht="15" hidden="false" customHeight="false" outlineLevel="0" collapsed="false">
      <c r="A92" s="7" t="s">
        <v>657</v>
      </c>
      <c r="B92" s="8" t="s">
        <v>10</v>
      </c>
      <c r="C92" s="58" t="n">
        <f aca="false">Volumes!C23*1000*Receitas!C29</f>
        <v>0</v>
      </c>
      <c r="D92" s="58" t="n">
        <f aca="false">Volumes!D23*1000*Receitas!D29</f>
        <v>0</v>
      </c>
      <c r="E92" s="58" t="n">
        <f aca="false">Volumes!E23*1000*Receitas!E29</f>
        <v>2184.50342465753</v>
      </c>
      <c r="F92" s="58" t="n">
        <f aca="false">Volumes!F23*1000*Receitas!F29</f>
        <v>4077.7397260274</v>
      </c>
      <c r="G92" s="58" t="n">
        <f aca="false">Volumes!G23*1000*Receitas!G29</f>
        <v>6796.23287671233</v>
      </c>
    </row>
    <row r="93" customFormat="false" ht="15" hidden="false" customHeight="false" outlineLevel="0" collapsed="false">
      <c r="A93" s="7" t="s">
        <v>658</v>
      </c>
      <c r="B93" s="8" t="s">
        <v>10</v>
      </c>
      <c r="C93" s="58" t="n">
        <f aca="false">C91+C92</f>
        <v>0</v>
      </c>
      <c r="D93" s="58" t="n">
        <f aca="false">D91+D92</f>
        <v>23317.0273972603</v>
      </c>
      <c r="E93" s="58" t="n">
        <f aca="false">E91+E92</f>
        <v>38771.0637842466</v>
      </c>
      <c r="F93" s="58" t="n">
        <f aca="false">F91+F92</f>
        <v>62547.834760274</v>
      </c>
      <c r="G93" s="58" t="n">
        <f aca="false">G91+G92</f>
        <v>95536.1558219178</v>
      </c>
    </row>
    <row r="94" customFormat="false" ht="15" hidden="false" customHeight="false" outlineLevel="0" collapsed="false">
      <c r="A94" s="8" t="s">
        <v>659</v>
      </c>
      <c r="B94" s="8" t="s">
        <v>10</v>
      </c>
      <c r="C94" s="66" t="n">
        <f aca="false">ROUND(Receitas!C15-C80-C90-C93-Receitas!C34,6)</f>
        <v>-0</v>
      </c>
      <c r="D94" s="66" t="n">
        <f aca="false">ROUND(Receitas!D15-D80-D90-D93-Receitas!D34,6)</f>
        <v>-0</v>
      </c>
      <c r="E94" s="66" t="n">
        <f aca="false">ROUND(Receitas!E15-E80-E90-E93-Receitas!E34,6)</f>
        <v>-0</v>
      </c>
      <c r="F94" s="66" t="n">
        <f aca="false">ROUND(Receitas!F15-F80-F90-F93-Receitas!F34,6)</f>
        <v>-0</v>
      </c>
      <c r="G94" s="66" t="n">
        <f aca="false">ROUND(Receitas!G15-G80-G90-G93-Receitas!G34,6)</f>
        <v>0</v>
      </c>
    </row>
    <row r="96" customFormat="false" ht="15" hidden="false" customHeight="false" outlineLevel="0" collapsed="false">
      <c r="A96" s="3" t="s">
        <v>660</v>
      </c>
      <c r="B96" s="4"/>
      <c r="C96" s="4"/>
      <c r="D96" s="4"/>
      <c r="E96" s="4"/>
      <c r="F96" s="4"/>
      <c r="G96" s="4"/>
      <c r="H96" s="4"/>
    </row>
    <row r="97" customFormat="false" ht="15" hidden="false" customHeight="false" outlineLevel="0" collapsed="false">
      <c r="A97" s="7" t="s">
        <v>430</v>
      </c>
      <c r="B97" s="8" t="s">
        <v>10</v>
      </c>
      <c r="C97" s="58" t="n">
        <f aca="false">Pressupostos!$C$391*(1+Pressupostos!$C$154)*(1+Pressupostos!$C$155)^0</f>
        <v>94500</v>
      </c>
      <c r="D97" s="58" t="n">
        <f aca="false">Pressupostos!$D$391*(1+Pressupostos!$C$154)*(1+Pressupostos!$C$155)^1</f>
        <v>53550</v>
      </c>
      <c r="E97" s="58" t="n">
        <f aca="false">Pressupostos!$E$391*(1+Pressupostos!$C$154)*(1+Pressupostos!$C$155)^2</f>
        <v>49158.9</v>
      </c>
      <c r="F97" s="58" t="n">
        <f aca="false">Pressupostos!$F$391*(1+Pressupostos!$C$154)*(1+Pressupostos!$C$155)^3</f>
        <v>50142.078</v>
      </c>
      <c r="G97" s="58" t="n">
        <f aca="false">Pressupostos!$G$391*(1+Pressupostos!$C$154)*(1+Pressupostos!$C$155)^4</f>
        <v>51144.91956</v>
      </c>
    </row>
    <row r="98" customFormat="false" ht="15" hidden="false" customHeight="false" outlineLevel="0" collapsed="false">
      <c r="A98" s="7" t="s">
        <v>432</v>
      </c>
      <c r="B98" s="8" t="s">
        <v>10</v>
      </c>
      <c r="C98" s="58" t="n">
        <f aca="false">Pressupostos!$C$397*(1+Pressupostos!$C$154)*(1+Pressupostos!$C$155)^0</f>
        <v>10500</v>
      </c>
      <c r="D98" s="58" t="n">
        <f aca="false">Pressupostos!$D$397*(1+Pressupostos!$C$154)*(1+Pressupostos!$C$155)^1</f>
        <v>10710</v>
      </c>
      <c r="E98" s="58" t="n">
        <f aca="false">Pressupostos!$E$397*(1+Pressupostos!$C$154)*(1+Pressupostos!$C$155)^2</f>
        <v>10924.2</v>
      </c>
      <c r="F98" s="58" t="n">
        <f aca="false">Pressupostos!$F$397*(1+Pressupostos!$C$154)*(1+Pressupostos!$C$155)^3</f>
        <v>11142.684</v>
      </c>
      <c r="G98" s="58" t="n">
        <f aca="false">Pressupostos!$G$397*(1+Pressupostos!$C$154)*(1+Pressupostos!$C$155)^4</f>
        <v>11365.53768</v>
      </c>
    </row>
    <row r="99" customFormat="false" ht="15" hidden="false" customHeight="false" outlineLevel="0" collapsed="false">
      <c r="A99" s="7" t="s">
        <v>433</v>
      </c>
      <c r="B99" s="8" t="s">
        <v>10</v>
      </c>
      <c r="C99" s="58" t="n">
        <f aca="false">Pressupostos!$C$403*(1+Pressupostos!$C$154)*(1+Pressupostos!$C$155)^0</f>
        <v>12600</v>
      </c>
      <c r="D99" s="58" t="n">
        <f aca="false">Pressupostos!$D$403*(1+Pressupostos!$C$154)*(1+Pressupostos!$C$155)^1</f>
        <v>12852</v>
      </c>
      <c r="E99" s="58" t="n">
        <f aca="false">Pressupostos!$E$403*(1+Pressupostos!$C$154)*(1+Pressupostos!$C$155)^2</f>
        <v>13109.04</v>
      </c>
      <c r="F99" s="58" t="n">
        <f aca="false">Pressupostos!$F$403*(1+Pressupostos!$C$154)*(1+Pressupostos!$C$155)^3</f>
        <v>0</v>
      </c>
      <c r="G99" s="58" t="n">
        <f aca="false">Pressupostos!$G$403*(1+Pressupostos!$C$154)*(1+Pressupostos!$C$155)^4</f>
        <v>0</v>
      </c>
    </row>
    <row r="100" customFormat="false" ht="15" hidden="false" customHeight="false" outlineLevel="0" collapsed="false">
      <c r="A100" s="7" t="s">
        <v>435</v>
      </c>
      <c r="B100" s="8" t="s">
        <v>10</v>
      </c>
      <c r="C100" s="58" t="n">
        <f aca="false">Pressupostos!$C$409*(1+Pressupostos!$C$154)*(1+Pressupostos!$C$155)^0</f>
        <v>31500</v>
      </c>
      <c r="D100" s="58" t="n">
        <f aca="false">Pressupostos!$D$409*(1+Pressupostos!$C$154)*(1+Pressupostos!$C$155)^1</f>
        <v>42840</v>
      </c>
      <c r="E100" s="58" t="n">
        <f aca="false">Pressupostos!$E$409*(1+Pressupostos!$C$154)*(1+Pressupostos!$C$155)^2</f>
        <v>60083.1</v>
      </c>
      <c r="F100" s="58" t="n">
        <f aca="false">Pressupostos!$F$409*(1+Pressupostos!$C$154)*(1+Pressupostos!$C$155)^3</f>
        <v>77998.788</v>
      </c>
      <c r="G100" s="58" t="n">
        <f aca="false">Pressupostos!$G$409*(1+Pressupostos!$C$154)*(1+Pressupostos!$C$155)^4</f>
        <v>96607.07028</v>
      </c>
    </row>
    <row r="101" customFormat="false" ht="15" hidden="false" customHeight="false" outlineLevel="0" collapsed="false">
      <c r="A101" s="7" t="s">
        <v>437</v>
      </c>
      <c r="B101" s="8" t="s">
        <v>10</v>
      </c>
      <c r="C101" s="58" t="n">
        <f aca="false">Pressupostos!$C$415*(1+Pressupostos!$C$154)*(1+Pressupostos!$C$155)^0</f>
        <v>15750</v>
      </c>
      <c r="D101" s="58" t="n">
        <f aca="false">Pressupostos!$D$415*(1+Pressupostos!$C$154)*(1+Pressupostos!$C$155)^1</f>
        <v>16065</v>
      </c>
      <c r="E101" s="58" t="n">
        <f aca="false">Pressupostos!$E$415*(1+Pressupostos!$C$154)*(1+Pressupostos!$C$155)^2</f>
        <v>38234.7</v>
      </c>
      <c r="F101" s="58" t="n">
        <f aca="false">Pressupostos!$F$415*(1+Pressupostos!$C$154)*(1+Pressupostos!$C$155)^3</f>
        <v>22285.368</v>
      </c>
      <c r="G101" s="58" t="n">
        <f aca="false">Pressupostos!$G$415*(1+Pressupostos!$C$154)*(1+Pressupostos!$C$155)^4</f>
        <v>22731.07536</v>
      </c>
    </row>
    <row r="102" customFormat="false" ht="15" hidden="false" customHeight="false" outlineLevel="0" collapsed="false">
      <c r="A102" s="7" t="s">
        <v>439</v>
      </c>
      <c r="B102" s="8" t="s">
        <v>10</v>
      </c>
      <c r="C102" s="58" t="n">
        <f aca="false">Pressupostos!$C$421*(1+Pressupostos!$C$154)*(1+Pressupostos!$C$155)^0</f>
        <v>10500</v>
      </c>
      <c r="D102" s="58" t="n">
        <f aca="false">Pressupostos!$D$421*(1+Pressupostos!$C$154)*(1+Pressupostos!$C$155)^1</f>
        <v>12852</v>
      </c>
      <c r="E102" s="58" t="n">
        <f aca="false">Pressupostos!$E$421*(1+Pressupostos!$C$154)*(1+Pressupostos!$C$155)^2</f>
        <v>16386.3</v>
      </c>
      <c r="F102" s="58" t="n">
        <f aca="false">Pressupostos!$F$421*(1+Pressupostos!$C$154)*(1+Pressupostos!$C$155)^3</f>
        <v>20056.8312</v>
      </c>
      <c r="G102" s="58" t="n">
        <f aca="false">Pressupostos!$G$421*(1+Pressupostos!$C$154)*(1+Pressupostos!$C$155)^4</f>
        <v>22731.07536</v>
      </c>
    </row>
    <row r="103" customFormat="false" ht="15" hidden="false" customHeight="false" outlineLevel="0" collapsed="false">
      <c r="A103" s="7" t="s">
        <v>440</v>
      </c>
      <c r="B103" s="8" t="s">
        <v>10</v>
      </c>
      <c r="C103" s="58" t="n">
        <f aca="false">Pressupostos!$C$427*(1+Pressupostos!$C$154)*(1+Pressupostos!$C$155)^0</f>
        <v>42000</v>
      </c>
      <c r="D103" s="58" t="n">
        <f aca="false">Pressupostos!$D$427*(1+Pressupostos!$C$154)*(1+Pressupostos!$C$155)^1</f>
        <v>53550</v>
      </c>
      <c r="E103" s="58" t="n">
        <f aca="false">Pressupostos!$E$427*(1+Pressupostos!$C$154)*(1+Pressupostos!$C$155)^2</f>
        <v>76469.4</v>
      </c>
      <c r="F103" s="58" t="n">
        <f aca="false">Pressupostos!$F$427*(1+Pressupostos!$C$154)*(1+Pressupostos!$C$155)^3</f>
        <v>100284.156</v>
      </c>
      <c r="G103" s="58" t="n">
        <f aca="false">Pressupostos!$G$427*(1+Pressupostos!$C$154)*(1+Pressupostos!$C$155)^4</f>
        <v>125020.91448</v>
      </c>
    </row>
    <row r="104" customFormat="false" ht="15" hidden="false" customHeight="false" outlineLevel="0" collapsed="false">
      <c r="A104" s="7" t="s">
        <v>442</v>
      </c>
      <c r="B104" s="8" t="s">
        <v>10</v>
      </c>
      <c r="C104" s="58" t="n">
        <f aca="false">Pressupostos!$C$433*(1+Pressupostos!$C$154)*(1+Pressupostos!$C$155)^0</f>
        <v>12600</v>
      </c>
      <c r="D104" s="58" t="n">
        <f aca="false">Pressupostos!$D$433*(1+Pressupostos!$C$154)*(1+Pressupostos!$C$155)^1</f>
        <v>16065</v>
      </c>
      <c r="E104" s="58" t="n">
        <f aca="false">Pressupostos!$E$433*(1+Pressupostos!$C$154)*(1+Pressupostos!$C$155)^2</f>
        <v>26218.08</v>
      </c>
      <c r="F104" s="58" t="n">
        <f aca="false">Pressupostos!$F$433*(1+Pressupostos!$C$154)*(1+Pressupostos!$C$155)^3</f>
        <v>33428.052</v>
      </c>
      <c r="G104" s="58" t="n">
        <f aca="false">Pressupostos!$G$433*(1+Pressupostos!$C$154)*(1+Pressupostos!$C$155)^4</f>
        <v>40915.935648</v>
      </c>
    </row>
    <row r="105" customFormat="false" ht="15" hidden="false" customHeight="false" outlineLevel="0" collapsed="false">
      <c r="A105" s="7" t="s">
        <v>444</v>
      </c>
      <c r="B105" s="8" t="s">
        <v>10</v>
      </c>
      <c r="C105" s="58" t="n">
        <f aca="false">Pressupostos!$C$439*(1+Pressupostos!$C$154)*(1+Pressupostos!$C$155)^0</f>
        <v>18900</v>
      </c>
      <c r="D105" s="58" t="n">
        <f aca="false">Pressupostos!$D$439*(1+Pressupostos!$C$154)*(1+Pressupostos!$C$155)^1</f>
        <v>23562</v>
      </c>
      <c r="E105" s="58" t="n">
        <f aca="false">Pressupostos!$E$439*(1+Pressupostos!$C$154)*(1+Pressupostos!$C$155)^2</f>
        <v>32772.6</v>
      </c>
      <c r="F105" s="58" t="n">
        <f aca="false">Pressupostos!$F$439*(1+Pressupostos!$C$154)*(1+Pressupostos!$C$155)^3</f>
        <v>42342.1992</v>
      </c>
      <c r="G105" s="58" t="n">
        <f aca="false">Pressupostos!$G$439*(1+Pressupostos!$C$154)*(1+Pressupostos!$C$155)^4</f>
        <v>51144.91956</v>
      </c>
    </row>
    <row r="106" customFormat="false" ht="15" hidden="false" customHeight="false" outlineLevel="0" collapsed="false">
      <c r="A106" s="7" t="s">
        <v>445</v>
      </c>
      <c r="B106" s="8" t="s">
        <v>10</v>
      </c>
      <c r="C106" s="58" t="n">
        <f aca="false">Pressupostos!$C$445*(1+Pressupostos!$C$154)*(1+Pressupostos!$C$155)^0</f>
        <v>5250</v>
      </c>
      <c r="D106" s="58" t="n">
        <f aca="false">Pressupostos!$D$445*(1+Pressupostos!$C$154)*(1+Pressupostos!$C$155)^1</f>
        <v>8568</v>
      </c>
      <c r="E106" s="58" t="n">
        <f aca="false">Pressupostos!$E$445*(1+Pressupostos!$C$154)*(1+Pressupostos!$C$155)^2</f>
        <v>13109.04</v>
      </c>
      <c r="F106" s="58" t="n">
        <f aca="false">Pressupostos!$F$445*(1+Pressupostos!$C$154)*(1+Pressupostos!$C$155)^3</f>
        <v>16714.026</v>
      </c>
      <c r="G106" s="58" t="n">
        <f aca="false">Pressupostos!$G$445*(1+Pressupostos!$C$154)*(1+Pressupostos!$C$155)^4</f>
        <v>17048.30652</v>
      </c>
    </row>
    <row r="107" customFormat="false" ht="15" hidden="false" customHeight="false" outlineLevel="0" collapsed="false">
      <c r="A107" s="7" t="s">
        <v>661</v>
      </c>
      <c r="B107" s="8" t="s">
        <v>10</v>
      </c>
      <c r="C107" s="58" t="n">
        <f aca="false">C97+C98+C99+C100+C101+C102+C103+C104+C105+C106</f>
        <v>254100</v>
      </c>
      <c r="D107" s="58" t="n">
        <f aca="false">D97+D98+D99+D100+D101+D102+D103+D104+D105+D106</f>
        <v>250614</v>
      </c>
      <c r="E107" s="58" t="n">
        <f aca="false">E97+E98+E99+E100+E101+E102+E103+E104+E105+E106</f>
        <v>336465.36</v>
      </c>
      <c r="F107" s="58" t="n">
        <f aca="false">F97+F98+F99+F100+F101+F102+F103+F104+F105+F106</f>
        <v>374394.1824</v>
      </c>
      <c r="G107" s="58" t="n">
        <f aca="false">G97+G98+G99+G100+G101+G102+G103+G104+G105+G106</f>
        <v>438709.754448</v>
      </c>
    </row>
    <row r="108" customFormat="false" ht="15" hidden="false" customHeight="false" outlineLevel="0" collapsed="false">
      <c r="A108" s="7" t="s">
        <v>662</v>
      </c>
      <c r="B108" s="8" t="s">
        <v>10</v>
      </c>
      <c r="C108" s="58" t="n">
        <f aca="false">Pressupostos!$C$112+Pressupostos!$C$113+Pressupostos!$C$114*Pressupostos!$C$292+Pressupostos!$C$449</f>
        <v>65000</v>
      </c>
      <c r="D108" s="58" t="n">
        <f aca="false">Pressupostos!$C$113+Pressupostos!$C$114*Pressupostos!$D$292+Pressupostos!$D$449</f>
        <v>65000</v>
      </c>
      <c r="E108" s="58" t="n">
        <f aca="false">Pressupostos!$C$113+Pressupostos!$C$114*Pressupostos!$E$292+Pressupostos!$E$449</f>
        <v>70000</v>
      </c>
      <c r="F108" s="58" t="n">
        <f aca="false">Pressupostos!$C$113+Pressupostos!$C$114*Pressupostos!$F$292+Pressupostos!$F$449</f>
        <v>75000</v>
      </c>
      <c r="G108" s="58" t="n">
        <f aca="false">Pressupostos!$C$113+Pressupostos!$C$114*Pressupostos!$G$292+Pressupostos!$G$449</f>
        <v>80000</v>
      </c>
    </row>
    <row r="109" customFormat="false" ht="15" hidden="false" customHeight="false" outlineLevel="0" collapsed="false">
      <c r="A109" s="7" t="s">
        <v>663</v>
      </c>
      <c r="B109" s="8" t="s">
        <v>10</v>
      </c>
      <c r="C109" s="58" t="n">
        <f aca="false">IF(Volumes!C6&lt;Pressupostos!$C$118,0,MAX(Pressupostos!$C$298,Pressupostos!$C$116*(Receitas!C6+Receitas!C7)+Pressupostos!$C$117*Receitas!C8))</f>
        <v>0</v>
      </c>
      <c r="D109" s="58" t="n">
        <f aca="false">IF(Volumes!D6&lt;Pressupostos!$C$118,0,MAX(Pressupostos!$D$298,Pressupostos!$C$116*(Receitas!D6+Receitas!D7)+Pressupostos!$C$117*Receitas!D8))</f>
        <v>7068.78</v>
      </c>
      <c r="E109" s="58" t="n">
        <f aca="false">IF(Volumes!E6&lt;Pressupostos!$C$118,0,MAX(Pressupostos!$E$298,Pressupostos!$C$116*(Receitas!E6+Receitas!E7)+Pressupostos!$C$117*Receitas!E8))</f>
        <v>15181.02</v>
      </c>
      <c r="F109" s="58" t="n">
        <f aca="false">IF(Volumes!F6&lt;Pressupostos!$C$118,0,MAX(Pressupostos!$F$298,Pressupostos!$C$116*(Receitas!F6+Receitas!F7)+Pressupostos!$C$117*Receitas!F8))</f>
        <v>26014.98</v>
      </c>
      <c r="G109" s="58" t="n">
        <f aca="false">IF(Volumes!G6&lt;Pressupostos!$C$118,0,MAX(Pressupostos!$G$298,Pressupostos!$C$116*(Receitas!G6+Receitas!G7)+Pressupostos!$C$117*Receitas!G8))</f>
        <v>39485.4</v>
      </c>
    </row>
    <row r="110" customFormat="false" ht="15" hidden="false" customHeight="false" outlineLevel="0" collapsed="false">
      <c r="A110" s="52" t="s">
        <v>664</v>
      </c>
      <c r="B110" s="53" t="s">
        <v>10</v>
      </c>
      <c r="C110" s="59" t="n">
        <f aca="false">C107+C108+C109</f>
        <v>319100</v>
      </c>
      <c r="D110" s="59" t="n">
        <f aca="false">D107+D108+D109</f>
        <v>322682.78</v>
      </c>
      <c r="E110" s="59" t="n">
        <f aca="false">E107+E108+E109</f>
        <v>421646.38</v>
      </c>
      <c r="F110" s="59" t="n">
        <f aca="false">F107+F108+F109</f>
        <v>475409.1624</v>
      </c>
      <c r="G110" s="59" t="n">
        <f aca="false">G107+G108+G109</f>
        <v>558195.154448</v>
      </c>
    </row>
    <row r="112" customFormat="false" ht="15" hidden="false" customHeight="false" outlineLevel="0" collapsed="false">
      <c r="A112" s="3" t="s">
        <v>665</v>
      </c>
      <c r="B112" s="4"/>
      <c r="C112" s="4"/>
      <c r="D112" s="4"/>
      <c r="E112" s="4"/>
      <c r="F112" s="4"/>
      <c r="G112" s="4"/>
      <c r="H112" s="4"/>
    </row>
    <row r="113" customFormat="false" ht="15" hidden="false" customHeight="false" outlineLevel="0" collapsed="false">
      <c r="A113" s="7" t="s">
        <v>666</v>
      </c>
      <c r="B113" s="8" t="s">
        <v>10</v>
      </c>
      <c r="C113" s="58" t="n">
        <f aca="false">Pressupostos!$C$163*Pressupostos!$C$305</f>
        <v>18000</v>
      </c>
      <c r="D113" s="58" t="n">
        <f aca="false">Pressupostos!$C$163*Pressupostos!$D$305</f>
        <v>12000</v>
      </c>
      <c r="E113" s="58" t="n">
        <f aca="false">Pressupostos!$C$163*Pressupostos!$E$305</f>
        <v>12000</v>
      </c>
      <c r="F113" s="58" t="n">
        <f aca="false">Pressupostos!$C$163*Pressupostos!$F$305</f>
        <v>12000</v>
      </c>
      <c r="G113" s="58" t="n">
        <f aca="false">Pressupostos!$C$163*Pressupostos!$G$305</f>
        <v>12000</v>
      </c>
    </row>
    <row r="114" customFormat="false" ht="15" hidden="false" customHeight="false" outlineLevel="0" collapsed="false">
      <c r="A114" s="7" t="s">
        <v>667</v>
      </c>
      <c r="B114" s="8" t="s">
        <v>10</v>
      </c>
      <c r="C114" s="50" t="n">
        <f aca="false">Pressupostos!$C$311</f>
        <v>60000</v>
      </c>
      <c r="D114" s="50" t="n">
        <f aca="false">Pressupostos!$D$311</f>
        <v>30000</v>
      </c>
      <c r="E114" s="50" t="n">
        <f aca="false">Pressupostos!$E$311</f>
        <v>30000</v>
      </c>
      <c r="F114" s="50" t="n">
        <f aca="false">Pressupostos!$F$311</f>
        <v>20000</v>
      </c>
      <c r="G114" s="50" t="n">
        <f aca="false">Pressupostos!$G$311</f>
        <v>20000</v>
      </c>
    </row>
    <row r="115" customFormat="false" ht="15" hidden="false" customHeight="false" outlineLevel="0" collapsed="false">
      <c r="A115" s="7" t="s">
        <v>668</v>
      </c>
      <c r="B115" s="8" t="s">
        <v>10</v>
      </c>
      <c r="C115" s="58" t="n">
        <f aca="false">Pressupostos!$C$164*MAX(0,Pessoal!C18)</f>
        <v>14000</v>
      </c>
      <c r="D115" s="58" t="n">
        <f aca="false">Pressupostos!$C$164*MAX(0,Pessoal!D18-Pessoal!C18)</f>
        <v>2000</v>
      </c>
      <c r="E115" s="58" t="n">
        <f aca="false">Pressupostos!$C$164*MAX(0,Pessoal!E18-Pessoal!D18)</f>
        <v>6000</v>
      </c>
      <c r="F115" s="58" t="n">
        <f aca="false">Pressupostos!$C$164*MAX(0,Pessoal!F18-Pessoal!E18)</f>
        <v>6000</v>
      </c>
      <c r="G115" s="58" t="n">
        <f aca="false">Pressupostos!$C$164*MAX(0,Pessoal!G18-Pessoal!F18)</f>
        <v>6000</v>
      </c>
    </row>
    <row r="116" customFormat="false" ht="15" hidden="false" customHeight="false" outlineLevel="0" collapsed="false">
      <c r="A116" s="7" t="s">
        <v>407</v>
      </c>
      <c r="B116" s="8" t="s">
        <v>10</v>
      </c>
      <c r="C116" s="58" t="n">
        <f aca="false">C113+C114+C115</f>
        <v>92000</v>
      </c>
      <c r="D116" s="58" t="n">
        <f aca="false">D113+D114+D115</f>
        <v>44000</v>
      </c>
      <c r="E116" s="58" t="n">
        <f aca="false">E113+E114+E115</f>
        <v>48000</v>
      </c>
      <c r="F116" s="58" t="n">
        <f aca="false">F113+F114+F115</f>
        <v>38000</v>
      </c>
      <c r="G116" s="58" t="n">
        <f aca="false">G113+G114+G115</f>
        <v>38000</v>
      </c>
    </row>
    <row r="117" customFormat="false" ht="15" hidden="false" customHeight="false" outlineLevel="0" collapsed="false">
      <c r="A117" s="7" t="s">
        <v>669</v>
      </c>
      <c r="B117" s="8" t="s">
        <v>10</v>
      </c>
      <c r="C117" s="58" t="n">
        <f aca="false">(C114*((0)&lt;Pressupostos!$C$165))/Pressupostos!$C$165</f>
        <v>20000</v>
      </c>
      <c r="D117" s="58" t="n">
        <f aca="false">(C114*((1)&lt;Pressupostos!$C$165)+D114*((0)&lt;Pressupostos!$C$165))/Pressupostos!$C$165</f>
        <v>30000</v>
      </c>
      <c r="E117" s="58" t="n">
        <f aca="false">(C114*((2)&lt;Pressupostos!$C$165)+D114*((1)&lt;Pressupostos!$C$165)+E114*((0)&lt;Pressupostos!$C$165))/Pressupostos!$C$165</f>
        <v>40000</v>
      </c>
      <c r="F117" s="58" t="n">
        <f aca="false">(C114*((3)&lt;Pressupostos!$C$165)+D114*((2)&lt;Pressupostos!$C$165)+E114*((1)&lt;Pressupostos!$C$165)+F114*((0)&lt;Pressupostos!$C$165))/Pressupostos!$C$165</f>
        <v>26666.6666666667</v>
      </c>
      <c r="G117" s="58" t="n">
        <f aca="false">(C114*((4)&lt;Pressupostos!$C$165)+D114*((3)&lt;Pressupostos!$C$165)+E114*((2)&lt;Pressupostos!$C$165)+F114*((1)&lt;Pressupostos!$C$165)+G114*((0)&lt;Pressupostos!$C$165))/Pressupostos!$C$165</f>
        <v>23333.3333333333</v>
      </c>
    </row>
    <row r="118" customFormat="false" ht="15" hidden="false" customHeight="false" outlineLevel="0" collapsed="false">
      <c r="A118" s="7" t="s">
        <v>670</v>
      </c>
      <c r="B118" s="8" t="s">
        <v>10</v>
      </c>
      <c r="C118" s="58" t="n">
        <f aca="false">(C113*((0)&lt;Pressupostos!$C$167))/Pressupostos!$C$167</f>
        <v>3600</v>
      </c>
      <c r="D118" s="58" t="n">
        <f aca="false">(C113*((1)&lt;Pressupostos!$C$167)+D113*((0)&lt;Pressupostos!$C$167))/Pressupostos!$C$167</f>
        <v>6000</v>
      </c>
      <c r="E118" s="58" t="n">
        <f aca="false">(C113*((2)&lt;Pressupostos!$C$167)+D113*((1)&lt;Pressupostos!$C$167)+E113*((0)&lt;Pressupostos!$C$167))/Pressupostos!$C$167</f>
        <v>8400</v>
      </c>
      <c r="F118" s="58" t="n">
        <f aca="false">(C113*((3)&lt;Pressupostos!$C$167)+D113*((2)&lt;Pressupostos!$C$167)+E113*((1)&lt;Pressupostos!$C$167)+F113*((0)&lt;Pressupostos!$C$167))/Pressupostos!$C$167</f>
        <v>10800</v>
      </c>
      <c r="G118" s="58" t="n">
        <f aca="false">(C113*((4)&lt;Pressupostos!$C$167)+D113*((3)&lt;Pressupostos!$C$167)+E113*((2)&lt;Pressupostos!$C$167)+F113*((1)&lt;Pressupostos!$C$167)+G113*((0)&lt;Pressupostos!$C$167))/Pressupostos!$C$167</f>
        <v>13200</v>
      </c>
    </row>
    <row r="119" customFormat="false" ht="15" hidden="false" customHeight="false" outlineLevel="0" collapsed="false">
      <c r="A119" s="7" t="s">
        <v>671</v>
      </c>
      <c r="B119" s="8" t="s">
        <v>10</v>
      </c>
      <c r="C119" s="58" t="n">
        <f aca="false">(C115*((0)&lt;Pressupostos!$C$166))/Pressupostos!$C$166</f>
        <v>3500</v>
      </c>
      <c r="D119" s="58" t="n">
        <f aca="false">(C115*((1)&lt;Pressupostos!$C$166)+D115*((0)&lt;Pressupostos!$C$166))/Pressupostos!$C$166</f>
        <v>4000</v>
      </c>
      <c r="E119" s="58" t="n">
        <f aca="false">(C115*((2)&lt;Pressupostos!$C$166)+D115*((1)&lt;Pressupostos!$C$166)+E115*((0)&lt;Pressupostos!$C$166))/Pressupostos!$C$166</f>
        <v>5500</v>
      </c>
      <c r="F119" s="58" t="n">
        <f aca="false">(C115*((3)&lt;Pressupostos!$C$166)+D115*((2)&lt;Pressupostos!$C$166)+E115*((1)&lt;Pressupostos!$C$166)+F115*((0)&lt;Pressupostos!$C$166))/Pressupostos!$C$166</f>
        <v>7000</v>
      </c>
      <c r="G119" s="58" t="n">
        <f aca="false">(C115*((4)&lt;Pressupostos!$C$166)+D115*((3)&lt;Pressupostos!$C$166)+E115*((2)&lt;Pressupostos!$C$166)+F115*((1)&lt;Pressupostos!$C$166)+G115*((0)&lt;Pressupostos!$C$166))/Pressupostos!$C$166</f>
        <v>5000</v>
      </c>
    </row>
    <row r="120" customFormat="false" ht="15" hidden="false" customHeight="false" outlineLevel="0" collapsed="false">
      <c r="A120" s="7" t="s">
        <v>672</v>
      </c>
      <c r="B120" s="8" t="s">
        <v>10</v>
      </c>
      <c r="C120" s="58" t="n">
        <f aca="false">C117+C118+C119</f>
        <v>27100</v>
      </c>
      <c r="D120" s="58" t="n">
        <f aca="false">D117+D118+D119</f>
        <v>40000</v>
      </c>
      <c r="E120" s="58" t="n">
        <f aca="false">E117+E118+E119</f>
        <v>53900</v>
      </c>
      <c r="F120" s="58" t="n">
        <f aca="false">F117+F118+F119</f>
        <v>44466.6666666667</v>
      </c>
      <c r="G120" s="58" t="n">
        <f aca="false">G117+G118+G119</f>
        <v>41533.3333333333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673</v>
      </c>
    </row>
    <row r="2" customFormat="false" ht="15" hidden="false" customHeight="false" outlineLevel="0" collapsed="false">
      <c r="A2" s="2" t="s">
        <v>674</v>
      </c>
    </row>
    <row r="3" customFormat="false" ht="15" hidden="false" customHeight="false" outlineLevel="0" collapsed="false">
      <c r="A3" s="48" t="str">
        <f aca="false">"Cenário ativo: "&amp;Pressupostos!$C$4&amp;"  ·  euros correntes, sem IVA"</f>
        <v>Cenário ativo: Base  ·  euros correntes, sem IVA</v>
      </c>
    </row>
    <row r="4" customFormat="false" ht="15" hidden="false" customHeight="false" outlineLevel="0" collapsed="false">
      <c r="A4" s="5" t="s">
        <v>456</v>
      </c>
      <c r="B4" s="5" t="s">
        <v>4</v>
      </c>
      <c r="C4" s="6" t="s">
        <v>366</v>
      </c>
      <c r="D4" s="6" t="s">
        <v>367</v>
      </c>
      <c r="E4" s="6" t="s">
        <v>368</v>
      </c>
      <c r="F4" s="6" t="s">
        <v>369</v>
      </c>
      <c r="G4" s="6" t="s">
        <v>370</v>
      </c>
      <c r="H4" s="6" t="s">
        <v>465</v>
      </c>
    </row>
    <row r="5" customFormat="false" ht="15" hidden="false" customHeight="false" outlineLevel="0" collapsed="false">
      <c r="A5" s="3" t="s">
        <v>675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2" t="s">
        <v>676</v>
      </c>
      <c r="B6" s="53" t="s">
        <v>10</v>
      </c>
      <c r="C6" s="67" t="n">
        <f aca="false">Receitas!C15</f>
        <v>267690</v>
      </c>
      <c r="D6" s="67" t="n">
        <f aca="false">Receitas!D15</f>
        <v>1780435</v>
      </c>
      <c r="E6" s="67" t="n">
        <f aca="false">Receitas!E15</f>
        <v>4066155</v>
      </c>
      <c r="F6" s="67" t="n">
        <f aca="false">Receitas!F15</f>
        <v>7052305</v>
      </c>
      <c r="G6" s="67" t="n">
        <f aca="false">Receitas!G15</f>
        <v>10796070</v>
      </c>
    </row>
    <row r="7" customFormat="false" ht="15" hidden="false" customHeight="false" outlineLevel="0" collapsed="false">
      <c r="A7" s="7" t="s">
        <v>649</v>
      </c>
      <c r="B7" s="8" t="s">
        <v>10</v>
      </c>
      <c r="C7" s="58" t="n">
        <f aca="false">-Custos!C80</f>
        <v>-243800</v>
      </c>
      <c r="D7" s="58" t="n">
        <f aca="false">-Custos!D80</f>
        <v>-1623700</v>
      </c>
      <c r="E7" s="58" t="n">
        <f aca="false">-Custos!E80</f>
        <v>-3665800</v>
      </c>
      <c r="F7" s="58" t="n">
        <f aca="false">-Custos!F80</f>
        <v>-6319200</v>
      </c>
      <c r="G7" s="58" t="n">
        <f aca="false">-Custos!G80</f>
        <v>-9651000</v>
      </c>
    </row>
    <row r="8" customFormat="false" ht="15" hidden="false" customHeight="false" outlineLevel="0" collapsed="false">
      <c r="A8" s="52" t="s">
        <v>677</v>
      </c>
      <c r="B8" s="53" t="s">
        <v>10</v>
      </c>
      <c r="C8" s="59" t="n">
        <f aca="false">C6+C7</f>
        <v>23890</v>
      </c>
      <c r="D8" s="59" t="n">
        <f aca="false">D6+D7</f>
        <v>156735</v>
      </c>
      <c r="E8" s="59" t="n">
        <f aca="false">E6+E7</f>
        <v>400355</v>
      </c>
      <c r="F8" s="59" t="n">
        <f aca="false">F6+F7</f>
        <v>733105</v>
      </c>
      <c r="G8" s="59" t="n">
        <f aca="false">G6+G7</f>
        <v>1145070</v>
      </c>
    </row>
    <row r="9" customFormat="false" ht="15" hidden="false" customHeight="false" outlineLevel="0" collapsed="false">
      <c r="A9" s="2" t="s">
        <v>678</v>
      </c>
      <c r="B9" s="8" t="s">
        <v>71</v>
      </c>
      <c r="C9" s="55" t="n">
        <f aca="false">IF(C6&gt;0,C8/C6,0)</f>
        <v>0.0892450222272031</v>
      </c>
      <c r="D9" s="55" t="n">
        <f aca="false">IF(D6&gt;0,D8/D6,0)</f>
        <v>0.0880318573831675</v>
      </c>
      <c r="E9" s="55" t="n">
        <f aca="false">IF(E6&gt;0,E8/E6,0)</f>
        <v>0.0984603390672514</v>
      </c>
      <c r="F9" s="55" t="n">
        <f aca="false">IF(F6&gt;0,F8/F6,0)</f>
        <v>0.103952537503696</v>
      </c>
      <c r="G9" s="55" t="n">
        <f aca="false">IF(G6&gt;0,G8/G6,0)</f>
        <v>0.106063595363869</v>
      </c>
    </row>
    <row r="10" customFormat="false" ht="15" hidden="false" customHeight="false" outlineLevel="0" collapsed="false">
      <c r="A10" s="7" t="s">
        <v>679</v>
      </c>
      <c r="B10" s="8" t="s">
        <v>10</v>
      </c>
      <c r="C10" s="58" t="n">
        <f aca="false">-Custos!C90</f>
        <v>-15341.8580821918</v>
      </c>
      <c r="D10" s="58" t="n">
        <f aca="false">-Custos!D90</f>
        <v>-104130.783209393</v>
      </c>
      <c r="E10" s="58" t="n">
        <f aca="false">-Custos!E90</f>
        <v>-242146.261409002</v>
      </c>
      <c r="F10" s="58" t="n">
        <f aca="false">-Custos!F90</f>
        <v>-433558.333502936</v>
      </c>
      <c r="G10" s="58" t="n">
        <f aca="false">-Custos!G90</f>
        <v>-668872.547162427</v>
      </c>
    </row>
    <row r="11" customFormat="false" ht="15" hidden="false" customHeight="false" outlineLevel="0" collapsed="false">
      <c r="A11" s="7" t="s">
        <v>658</v>
      </c>
      <c r="B11" s="8" t="s">
        <v>10</v>
      </c>
      <c r="C11" s="58" t="n">
        <f aca="false">-Custos!C93</f>
        <v>-0</v>
      </c>
      <c r="D11" s="58" t="n">
        <f aca="false">-Custos!D93</f>
        <v>-23317.0273972603</v>
      </c>
      <c r="E11" s="58" t="n">
        <f aca="false">-Custos!E93</f>
        <v>-38771.0637842466</v>
      </c>
      <c r="F11" s="58" t="n">
        <f aca="false">-Custos!F93</f>
        <v>-62547.834760274</v>
      </c>
      <c r="G11" s="58" t="n">
        <f aca="false">-Custos!G93</f>
        <v>-95536.1558219178</v>
      </c>
    </row>
    <row r="12" customFormat="false" ht="15" hidden="false" customHeight="false" outlineLevel="0" collapsed="false">
      <c r="A12" s="52" t="s">
        <v>641</v>
      </c>
      <c r="B12" s="53" t="s">
        <v>10</v>
      </c>
      <c r="C12" s="59" t="n">
        <f aca="false">C8+C10+C11</f>
        <v>8548.14191780822</v>
      </c>
      <c r="D12" s="59" t="n">
        <f aca="false">D8+D10+D11</f>
        <v>29287.1893933461</v>
      </c>
      <c r="E12" s="59" t="n">
        <f aca="false">E8+E10+E11</f>
        <v>119437.674806751</v>
      </c>
      <c r="F12" s="59" t="n">
        <f aca="false">F8+F10+F11</f>
        <v>236998.831736791</v>
      </c>
      <c r="G12" s="59" t="n">
        <f aca="false">G8+G10+G11</f>
        <v>380661.297015656</v>
      </c>
    </row>
    <row r="13" customFormat="false" ht="15" hidden="false" customHeight="false" outlineLevel="0" collapsed="false">
      <c r="A13" s="7" t="s">
        <v>251</v>
      </c>
      <c r="B13" s="8" t="s">
        <v>10</v>
      </c>
      <c r="C13" s="58" t="n">
        <f aca="false">-Pessoal!C36</f>
        <v>-400885.59375</v>
      </c>
      <c r="D13" s="58" t="n">
        <f aca="false">-Pessoal!D36</f>
        <v>-508017.8875</v>
      </c>
      <c r="E13" s="58" t="n">
        <f aca="false">-Pessoal!E36</f>
        <v>-667701.28525</v>
      </c>
      <c r="F13" s="58" t="n">
        <f aca="false">-Pessoal!F36</f>
        <v>-855745.92960125</v>
      </c>
      <c r="G13" s="58" t="n">
        <f aca="false">-Pessoal!G36</f>
        <v>-1042442.03916396</v>
      </c>
    </row>
    <row r="14" customFormat="false" ht="15" hidden="false" customHeight="false" outlineLevel="0" collapsed="false">
      <c r="A14" s="7" t="s">
        <v>680</v>
      </c>
      <c r="B14" s="8" t="s">
        <v>10</v>
      </c>
      <c r="C14" s="58" t="n">
        <f aca="false">-Custos!C110</f>
        <v>-319100</v>
      </c>
      <c r="D14" s="58" t="n">
        <f aca="false">-Custos!D110</f>
        <v>-322682.78</v>
      </c>
      <c r="E14" s="58" t="n">
        <f aca="false">-Custos!E110</f>
        <v>-421646.38</v>
      </c>
      <c r="F14" s="58" t="n">
        <f aca="false">-Custos!F110</f>
        <v>-475409.1624</v>
      </c>
      <c r="G14" s="58" t="n">
        <f aca="false">-Custos!G110</f>
        <v>-558195.154448</v>
      </c>
    </row>
    <row r="15" customFormat="false" ht="15" hidden="false" customHeight="false" outlineLevel="0" collapsed="false">
      <c r="A15" s="52" t="s">
        <v>681</v>
      </c>
      <c r="B15" s="53" t="s">
        <v>10</v>
      </c>
      <c r="C15" s="59" t="n">
        <f aca="false">C12+C13+C14</f>
        <v>-711437.451832192</v>
      </c>
      <c r="D15" s="59" t="n">
        <f aca="false">D12+D13+D14</f>
        <v>-801413.478106654</v>
      </c>
      <c r="E15" s="59" t="n">
        <f aca="false">E12+E13+E14</f>
        <v>-969909.990443249</v>
      </c>
      <c r="F15" s="59" t="n">
        <f aca="false">F12+F13+F14</f>
        <v>-1094156.26026446</v>
      </c>
      <c r="G15" s="59" t="n">
        <f aca="false">G12+G13+G14</f>
        <v>-1219975.89659631</v>
      </c>
      <c r="H15" s="2" t="s">
        <v>682</v>
      </c>
    </row>
    <row r="16" customFormat="false" ht="15" hidden="false" customHeight="false" outlineLevel="0" collapsed="false">
      <c r="A16" s="2" t="s">
        <v>683</v>
      </c>
      <c r="B16" s="8" t="s">
        <v>71</v>
      </c>
      <c r="C16" s="55" t="n">
        <f aca="false">IF(C6&gt;0,C15/C6,0)</f>
        <v>-2.65769155303594</v>
      </c>
      <c r="D16" s="55" t="n">
        <f aca="false">IF(D6&gt;0,D15/D6,0)</f>
        <v>-0.450122289275741</v>
      </c>
      <c r="E16" s="55" t="n">
        <f aca="false">IF(E6&gt;0,E15/E6,0)</f>
        <v>-0.238532468743383</v>
      </c>
      <c r="F16" s="55" t="n">
        <f aca="false">IF(F6&gt;0,F15/F6,0)</f>
        <v>-0.155148743604319</v>
      </c>
      <c r="G16" s="55" t="n">
        <f aca="false">IF(G6&gt;0,G15/G6,0)</f>
        <v>-0.113001851284431</v>
      </c>
    </row>
    <row r="17" customFormat="false" ht="15" hidden="false" customHeight="false" outlineLevel="0" collapsed="false">
      <c r="A17" s="2" t="s">
        <v>684</v>
      </c>
      <c r="B17" s="8" t="s">
        <v>10</v>
      </c>
      <c r="C17" s="58" t="n">
        <f aca="false">C15+Custos!C93</f>
        <v>-711437.451832192</v>
      </c>
      <c r="D17" s="58" t="n">
        <f aca="false">D15+Custos!D93</f>
        <v>-778096.450709394</v>
      </c>
      <c r="E17" s="58" t="n">
        <f aca="false">E15+Custos!E93</f>
        <v>-931138.926659002</v>
      </c>
      <c r="F17" s="58" t="n">
        <f aca="false">F15+Custos!F93</f>
        <v>-1031608.42550419</v>
      </c>
      <c r="G17" s="58" t="n">
        <f aca="false">G15+Custos!G93</f>
        <v>-1124439.74077439</v>
      </c>
    </row>
    <row r="18" customFormat="false" ht="15" hidden="false" customHeight="false" outlineLevel="0" collapsed="false">
      <c r="A18" s="7" t="s">
        <v>672</v>
      </c>
      <c r="B18" s="8" t="s">
        <v>10</v>
      </c>
      <c r="C18" s="58" t="n">
        <f aca="false">-Custos!C120</f>
        <v>-27100</v>
      </c>
      <c r="D18" s="58" t="n">
        <f aca="false">-Custos!D120</f>
        <v>-40000</v>
      </c>
      <c r="E18" s="58" t="n">
        <f aca="false">-Custos!E120</f>
        <v>-53900</v>
      </c>
      <c r="F18" s="58" t="n">
        <f aca="false">-Custos!F120</f>
        <v>-44466.6666666667</v>
      </c>
      <c r="G18" s="58" t="n">
        <f aca="false">-Custos!G120</f>
        <v>-41533.3333333333</v>
      </c>
    </row>
    <row r="19" customFormat="false" ht="15" hidden="false" customHeight="false" outlineLevel="0" collapsed="false">
      <c r="A19" s="52" t="s">
        <v>685</v>
      </c>
      <c r="B19" s="53" t="s">
        <v>10</v>
      </c>
      <c r="C19" s="59" t="n">
        <f aca="false">C15+C18</f>
        <v>-738537.451832192</v>
      </c>
      <c r="D19" s="59" t="n">
        <f aca="false">D15+D18</f>
        <v>-841413.478106654</v>
      </c>
      <c r="E19" s="59" t="n">
        <f aca="false">E15+E18</f>
        <v>-1023809.99044325</v>
      </c>
      <c r="F19" s="59" t="n">
        <f aca="false">F15+F18</f>
        <v>-1138622.92693113</v>
      </c>
      <c r="G19" s="59" t="n">
        <f aca="false">G15+G18</f>
        <v>-1261509.22992964</v>
      </c>
    </row>
    <row r="21" customFormat="false" ht="15" hidden="false" customHeight="false" outlineLevel="0" collapsed="false">
      <c r="A21" s="3" t="s">
        <v>686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7" t="s">
        <v>687</v>
      </c>
      <c r="B22" s="8" t="s">
        <v>10</v>
      </c>
      <c r="C22" s="58" t="n">
        <f aca="false">C19</f>
        <v>-738537.451832192</v>
      </c>
      <c r="D22" s="58" t="n">
        <f aca="false">D19</f>
        <v>-841413.478106654</v>
      </c>
      <c r="E22" s="58" t="n">
        <f aca="false">E19</f>
        <v>-1023809.99044325</v>
      </c>
      <c r="F22" s="58" t="n">
        <f aca="false">F19</f>
        <v>-1138622.92693113</v>
      </c>
      <c r="G22" s="58" t="n">
        <f aca="false">G19</f>
        <v>-1261509.22992964</v>
      </c>
    </row>
    <row r="23" customFormat="false" ht="15" hidden="false" customHeight="false" outlineLevel="0" collapsed="false">
      <c r="A23" s="7" t="s">
        <v>688</v>
      </c>
      <c r="B23" s="8" t="s">
        <v>10</v>
      </c>
      <c r="C23" s="58" t="n">
        <f aca="false">0</f>
        <v>0</v>
      </c>
      <c r="D23" s="58" t="n">
        <f aca="false">C26</f>
        <v>738537.451832192</v>
      </c>
      <c r="E23" s="58" t="n">
        <f aca="false">D26</f>
        <v>1579950.92993885</v>
      </c>
      <c r="F23" s="58" t="n">
        <f aca="false">E26</f>
        <v>2603760.92038209</v>
      </c>
      <c r="G23" s="58" t="n">
        <f aca="false">F26</f>
        <v>3742383.84731322</v>
      </c>
    </row>
    <row r="24" customFormat="false" ht="15" hidden="false" customHeight="false" outlineLevel="0" collapsed="false">
      <c r="A24" s="7" t="s">
        <v>689</v>
      </c>
      <c r="B24" s="8" t="s">
        <v>10</v>
      </c>
      <c r="C24" s="58" t="n">
        <f aca="false">MAX(0,-C22)</f>
        <v>738537.451832192</v>
      </c>
      <c r="D24" s="58" t="n">
        <f aca="false">MAX(0,-D22)</f>
        <v>841413.478106654</v>
      </c>
      <c r="E24" s="58" t="n">
        <f aca="false">MAX(0,-E22)</f>
        <v>1023809.99044325</v>
      </c>
      <c r="F24" s="58" t="n">
        <f aca="false">MAX(0,-F22)</f>
        <v>1138622.92693113</v>
      </c>
      <c r="G24" s="58" t="n">
        <f aca="false">MAX(0,-G22)</f>
        <v>1261509.22992964</v>
      </c>
    </row>
    <row r="25" customFormat="false" ht="15" hidden="false" customHeight="false" outlineLevel="0" collapsed="false">
      <c r="A25" s="7" t="s">
        <v>690</v>
      </c>
      <c r="B25" s="8" t="s">
        <v>10</v>
      </c>
      <c r="C25" s="58" t="n">
        <f aca="false">MIN(C23,Pressupostos!$C$179*MAX(0,C22))</f>
        <v>0</v>
      </c>
      <c r="D25" s="58" t="n">
        <f aca="false">MIN(D23,Pressupostos!$C$179*MAX(0,D22))</f>
        <v>0</v>
      </c>
      <c r="E25" s="58" t="n">
        <f aca="false">MIN(E23,Pressupostos!$C$179*MAX(0,E22))</f>
        <v>0</v>
      </c>
      <c r="F25" s="58" t="n">
        <f aca="false">MIN(F23,Pressupostos!$C$179*MAX(0,F22))</f>
        <v>0</v>
      </c>
      <c r="G25" s="58" t="n">
        <f aca="false">MIN(G23,Pressupostos!$C$179*MAX(0,G22))</f>
        <v>0</v>
      </c>
    </row>
    <row r="26" customFormat="false" ht="15" hidden="false" customHeight="false" outlineLevel="0" collapsed="false">
      <c r="A26" s="7" t="s">
        <v>691</v>
      </c>
      <c r="B26" s="8" t="s">
        <v>10</v>
      </c>
      <c r="C26" s="58" t="n">
        <f aca="false">C23+C24-C25</f>
        <v>738537.451832192</v>
      </c>
      <c r="D26" s="58" t="n">
        <f aca="false">D23+D24-D25</f>
        <v>1579950.92993885</v>
      </c>
      <c r="E26" s="58" t="n">
        <f aca="false">E23+E24-E25</f>
        <v>2603760.92038209</v>
      </c>
      <c r="F26" s="58" t="n">
        <f aca="false">F23+F24-F25</f>
        <v>3742383.84731322</v>
      </c>
      <c r="G26" s="58" t="n">
        <f aca="false">G23+G24-G25</f>
        <v>5003893.07724286</v>
      </c>
    </row>
    <row r="27" customFormat="false" ht="15" hidden="false" customHeight="false" outlineLevel="0" collapsed="false">
      <c r="A27" s="7" t="s">
        <v>692</v>
      </c>
      <c r="B27" s="8" t="s">
        <v>10</v>
      </c>
      <c r="C27" s="58" t="n">
        <f aca="false">MAX(0,C22)-C25</f>
        <v>0</v>
      </c>
      <c r="D27" s="58" t="n">
        <f aca="false">MAX(0,D22)-D25</f>
        <v>0</v>
      </c>
      <c r="E27" s="58" t="n">
        <f aca="false">MAX(0,E22)-E25</f>
        <v>0</v>
      </c>
      <c r="F27" s="58" t="n">
        <f aca="false">MAX(0,F22)-F25</f>
        <v>0</v>
      </c>
      <c r="G27" s="58" t="n">
        <f aca="false">MAX(0,G22)-G25</f>
        <v>0</v>
      </c>
    </row>
    <row r="28" customFormat="false" ht="15" hidden="false" customHeight="false" outlineLevel="0" collapsed="false">
      <c r="A28" s="7" t="s">
        <v>693</v>
      </c>
      <c r="B28" s="8" t="s">
        <v>10</v>
      </c>
      <c r="C28" s="58" t="n">
        <f aca="false">Pressupostos!$C$170*MIN(C27,Pressupostos!$C$171)+Pressupostos!$C$450*MAX(0,C27-Pressupostos!$C$171)</f>
        <v>0</v>
      </c>
      <c r="D28" s="58" t="n">
        <f aca="false">Pressupostos!$C$170*MIN(D27,Pressupostos!$C$171)+Pressupostos!$D$450*MAX(0,D27-Pressupostos!$C$171)</f>
        <v>0</v>
      </c>
      <c r="E28" s="58" t="n">
        <f aca="false">Pressupostos!$C$170*MIN(E27,Pressupostos!$C$171)+Pressupostos!$E$450*MAX(0,E27-Pressupostos!$C$171)</f>
        <v>0</v>
      </c>
      <c r="F28" s="58" t="n">
        <f aca="false">Pressupostos!$C$170*MIN(F27,Pressupostos!$C$171)+Pressupostos!$F$450*MAX(0,F27-Pressupostos!$C$171)</f>
        <v>0</v>
      </c>
      <c r="G28" s="58" t="n">
        <f aca="false">Pressupostos!$C$170*MIN(G27,Pressupostos!$C$171)+Pressupostos!$G$450*MAX(0,G27-Pressupostos!$C$171)</f>
        <v>0</v>
      </c>
    </row>
    <row r="29" customFormat="false" ht="15" hidden="false" customHeight="false" outlineLevel="0" collapsed="false">
      <c r="A29" s="7" t="s">
        <v>694</v>
      </c>
      <c r="B29" s="8" t="s">
        <v>10</v>
      </c>
      <c r="C29" s="58" t="n">
        <f aca="false">Pressupostos!$C$172*MAX(0,C22)</f>
        <v>0</v>
      </c>
      <c r="D29" s="58" t="n">
        <f aca="false">Pressupostos!$C$172*MAX(0,D22)</f>
        <v>0</v>
      </c>
      <c r="E29" s="58" t="n">
        <f aca="false">Pressupostos!$C$172*MAX(0,E22)</f>
        <v>0</v>
      </c>
      <c r="F29" s="58" t="n">
        <f aca="false">Pressupostos!$C$172*MAX(0,F22)</f>
        <v>0</v>
      </c>
      <c r="G29" s="58" t="n">
        <f aca="false">Pressupostos!$C$172*MAX(0,G22)</f>
        <v>0</v>
      </c>
    </row>
    <row r="30" customFormat="false" ht="15" hidden="false" customHeight="false" outlineLevel="0" collapsed="false">
      <c r="A30" s="7" t="s">
        <v>695</v>
      </c>
      <c r="B30" s="8" t="s">
        <v>10</v>
      </c>
      <c r="C30" s="58" t="n">
        <f aca="false">Pressupostos!$C$174*MAX(0,MIN(C22,Pressupostos!$C$175)-Pressupostos!$C$173)+Pressupostos!$C$176*MAX(0,MIN(C22,Pressupostos!$C$177)-Pressupostos!$C$175)+Pressupostos!$C$178*MAX(0,C22-Pressupostos!$C$177)</f>
        <v>0</v>
      </c>
      <c r="D30" s="58" t="n">
        <f aca="false">Pressupostos!$C$174*MAX(0,MIN(D22,Pressupostos!$C$175)-Pressupostos!$C$173)+Pressupostos!$C$176*MAX(0,MIN(D22,Pressupostos!$C$177)-Pressupostos!$C$175)+Pressupostos!$C$178*MAX(0,D22-Pressupostos!$C$177)</f>
        <v>0</v>
      </c>
      <c r="E30" s="58" t="n">
        <f aca="false">Pressupostos!$C$174*MAX(0,MIN(E22,Pressupostos!$C$175)-Pressupostos!$C$173)+Pressupostos!$C$176*MAX(0,MIN(E22,Pressupostos!$C$177)-Pressupostos!$C$175)+Pressupostos!$C$178*MAX(0,E22-Pressupostos!$C$177)</f>
        <v>0</v>
      </c>
      <c r="F30" s="58" t="n">
        <f aca="false">Pressupostos!$C$174*MAX(0,MIN(F22,Pressupostos!$C$175)-Pressupostos!$C$173)+Pressupostos!$C$176*MAX(0,MIN(F22,Pressupostos!$C$177)-Pressupostos!$C$175)+Pressupostos!$C$178*MAX(0,F22-Pressupostos!$C$177)</f>
        <v>0</v>
      </c>
      <c r="G30" s="58" t="n">
        <f aca="false">Pressupostos!$C$174*MAX(0,MIN(G22,Pressupostos!$C$175)-Pressupostos!$C$173)+Pressupostos!$C$176*MAX(0,MIN(G22,Pressupostos!$C$177)-Pressupostos!$C$175)+Pressupostos!$C$178*MAX(0,G22-Pressupostos!$C$177)</f>
        <v>0</v>
      </c>
    </row>
    <row r="31" customFormat="false" ht="15" hidden="false" customHeight="false" outlineLevel="0" collapsed="false">
      <c r="A31" s="7" t="s">
        <v>696</v>
      </c>
      <c r="B31" s="8" t="s">
        <v>10</v>
      </c>
      <c r="C31" s="58" t="n">
        <f aca="false">C28+C29+C30</f>
        <v>0</v>
      </c>
      <c r="D31" s="58" t="n">
        <f aca="false">D28+D29+D30</f>
        <v>0</v>
      </c>
      <c r="E31" s="58" t="n">
        <f aca="false">E28+E29+E30</f>
        <v>0</v>
      </c>
      <c r="F31" s="58" t="n">
        <f aca="false">F28+F29+F30</f>
        <v>0</v>
      </c>
      <c r="G31" s="58" t="n">
        <f aca="false">G28+G29+G30</f>
        <v>0</v>
      </c>
    </row>
    <row r="33" customFormat="false" ht="15" hidden="false" customHeight="false" outlineLevel="0" collapsed="false">
      <c r="A33" s="3" t="s">
        <v>697</v>
      </c>
      <c r="B33" s="4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7" t="s">
        <v>696</v>
      </c>
      <c r="B34" s="8" t="s">
        <v>10</v>
      </c>
      <c r="C34" s="58" t="n">
        <f aca="false">-C31</f>
        <v>-0</v>
      </c>
      <c r="D34" s="58" t="n">
        <f aca="false">-D31</f>
        <v>-0</v>
      </c>
      <c r="E34" s="58" t="n">
        <f aca="false">-E31</f>
        <v>-0</v>
      </c>
      <c r="F34" s="58" t="n">
        <f aca="false">-F31</f>
        <v>-0</v>
      </c>
      <c r="G34" s="58" t="n">
        <f aca="false">-G31</f>
        <v>-0</v>
      </c>
    </row>
    <row r="35" customFormat="false" ht="15" hidden="false" customHeight="false" outlineLevel="0" collapsed="false">
      <c r="A35" s="52" t="s">
        <v>698</v>
      </c>
      <c r="B35" s="53" t="s">
        <v>10</v>
      </c>
      <c r="C35" s="59" t="n">
        <f aca="false">C19+C34</f>
        <v>-738537.451832192</v>
      </c>
      <c r="D35" s="59" t="n">
        <f aca="false">D19+D34</f>
        <v>-841413.478106654</v>
      </c>
      <c r="E35" s="59" t="n">
        <f aca="false">E19+E34</f>
        <v>-1023809.99044325</v>
      </c>
      <c r="F35" s="59" t="n">
        <f aca="false">F19+F34</f>
        <v>-1138622.92693113</v>
      </c>
      <c r="G35" s="59" t="n">
        <f aca="false">G19+G34</f>
        <v>-1261509.22992964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699</v>
      </c>
    </row>
    <row r="2" customFormat="false" ht="15" hidden="false" customHeight="false" outlineLevel="0" collapsed="false">
      <c r="A2" s="2" t="s">
        <v>700</v>
      </c>
    </row>
    <row r="3" customFormat="false" ht="15" hidden="false" customHeight="false" outlineLevel="0" collapsed="false">
      <c r="A3" s="48" t="str">
        <f aca="false">"Cenário ativo: "&amp;Pressupostos!$C$4&amp;"  ·  euros correntes, sem IVA"</f>
        <v>Cenário ativo: Base  ·  euros correntes, sem IVA</v>
      </c>
    </row>
    <row r="4" customFormat="false" ht="15" hidden="false" customHeight="false" outlineLevel="0" collapsed="false">
      <c r="A4" s="5" t="s">
        <v>456</v>
      </c>
      <c r="B4" s="5" t="s">
        <v>4</v>
      </c>
      <c r="C4" s="6" t="s">
        <v>366</v>
      </c>
      <c r="D4" s="6" t="s">
        <v>367</v>
      </c>
      <c r="E4" s="6" t="s">
        <v>368</v>
      </c>
      <c r="F4" s="6" t="s">
        <v>369</v>
      </c>
      <c r="G4" s="6" t="s">
        <v>370</v>
      </c>
      <c r="H4" s="6" t="s">
        <v>465</v>
      </c>
    </row>
    <row r="5" customFormat="false" ht="15" hidden="false" customHeight="false" outlineLevel="0" collapsed="false">
      <c r="A5" s="3" t="s">
        <v>701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7" t="s">
        <v>702</v>
      </c>
      <c r="B6" s="8" t="s">
        <v>10</v>
      </c>
      <c r="C6" s="58" t="n">
        <f aca="false">Volumes!C10*1000*((Custos!C6+Custos!C9)*Custos!C12/365)+Volumes!C11*1000*((Custos!C30+Custos!C33)*Custos!C36/365)+Volumes!C12*1000*((Custos!C54+Custos!C57)*Custos!C60/365)</f>
        <v>33682.1917808219</v>
      </c>
      <c r="D6" s="58" t="n">
        <f aca="false">Volumes!D10*1000*((Custos!D6+Custos!D9)*Custos!D12/365)+Volumes!D11*1000*((Custos!D30+Custos!D33)*Custos!D36/365)+Volumes!D12*1000*((Custos!D54+Custos!D57)*Custos!D60/365)</f>
        <v>196557.534246575</v>
      </c>
      <c r="E6" s="58" t="n">
        <f aca="false">Volumes!E10*1000*((Custos!E6+Custos!E9)*Custos!E12/365)+Volumes!E11*1000*((Custos!E30+Custos!E33)*Custos!E36/365)+Volumes!E12*1000*((Custos!E54+Custos!E57)*Custos!E60/365)</f>
        <v>306721.232876712</v>
      </c>
      <c r="F6" s="58" t="n">
        <f aca="false">Volumes!F10*1000*((Custos!F6+Custos!F9)*Custos!F12/365)+Volumes!F11*1000*((Custos!F30+Custos!F33)*Custos!F36/365)+Volumes!F12*1000*((Custos!F54+Custos!F57)*Custos!F60/365)</f>
        <v>530402.054794521</v>
      </c>
      <c r="G6" s="58" t="n">
        <f aca="false">Volumes!G10*1000*((Custos!G6+Custos!G9)*Custos!G12/365)+Volumes!G11*1000*((Custos!G30+Custos!G33)*Custos!G36/365)+Volumes!G12*1000*((Custos!G54+Custos!G57)*Custos!G60/365)</f>
        <v>805623.287671233</v>
      </c>
    </row>
    <row r="7" customFormat="false" ht="15" hidden="false" customHeight="false" outlineLevel="0" collapsed="false">
      <c r="A7" s="7" t="s">
        <v>703</v>
      </c>
      <c r="B7" s="8" t="s">
        <v>10</v>
      </c>
      <c r="C7" s="58" t="n">
        <f aca="false">C6+Volumes!C23*1000*Pressupostos!$C$90*Pressupostos!$C$93/365</f>
        <v>33682.1917808219</v>
      </c>
      <c r="D7" s="58" t="n">
        <f aca="false">D6+Volumes!D23*1000*Pressupostos!$C$90*Pressupostos!$C$93/365</f>
        <v>196557.534246575</v>
      </c>
      <c r="E7" s="58" t="n">
        <f aca="false">E6+Volumes!E23*1000*Pressupostos!$C$90*Pressupostos!$C$93/365</f>
        <v>332611.643835617</v>
      </c>
      <c r="F7" s="58" t="n">
        <f aca="false">F6+Volumes!F23*1000*Pressupostos!$C$90*Pressupostos!$C$93/365</f>
        <v>582182.876712329</v>
      </c>
      <c r="G7" s="58" t="n">
        <f aca="false">G6+Volumes!G23*1000*Pressupostos!$C$90*Pressupostos!$C$93/365</f>
        <v>891924.657534247</v>
      </c>
    </row>
    <row r="8" customFormat="false" ht="15" hidden="false" customHeight="false" outlineLevel="0" collapsed="false">
      <c r="A8" s="7" t="s">
        <v>704</v>
      </c>
      <c r="B8" s="8" t="s">
        <v>10</v>
      </c>
      <c r="C8" s="58" t="n">
        <f aca="false">Volumes!C10*1000*(Custos!C8*Custos!C13/365)+Volumes!C11*1000*(Custos!C32*Custos!C37/365)+Volumes!C12*1000*(Custos!C56*Custos!C61/365)+Receitas!C10*Pressupostos!$C$94/365+Receitas!C12*Pressupostos!$C$80/365</f>
        <v>31855.0684931507</v>
      </c>
      <c r="D8" s="58" t="n">
        <f aca="false">Volumes!D10*1000*(Custos!D8*Custos!D13/365)+Volumes!D11*1000*(Custos!D32*Custos!D37/365)+Volumes!D12*1000*(Custos!D56*Custos!D61/365)+Receitas!D10*Pressupostos!$C$94/365+Receitas!D12*Pressupostos!$C$80/365</f>
        <v>212985</v>
      </c>
      <c r="E8" s="58" t="n">
        <f aca="false">Volumes!E10*1000*(Custos!E8*Custos!E13/365)+Volumes!E11*1000*(Custos!E32*Custos!E37/365)+Volumes!E12*1000*(Custos!E56*Custos!E61/365)+Receitas!E10*Pressupostos!$C$94/365+Receitas!E12*Pressupostos!$C$80/365</f>
        <v>469179.246575342</v>
      </c>
      <c r="F8" s="58" t="n">
        <f aca="false">Volumes!F10*1000*(Custos!F8*Custos!F13/365)+Volumes!F11*1000*(Custos!F32*Custos!F37/365)+Volumes!F12*1000*(Custos!F56*Custos!F61/365)+Receitas!F10*Pressupostos!$C$94/365+Receitas!F12*Pressupostos!$C$80/365</f>
        <v>803968.150684931</v>
      </c>
      <c r="G8" s="58" t="n">
        <f aca="false">Volumes!G10*1000*(Custos!G8*Custos!G13/365)+Volumes!G11*1000*(Custos!G32*Custos!G37/365)+Volumes!G12*1000*(Custos!G56*Custos!G61/365)+Receitas!G10*Pressupostos!$C$94/365+Receitas!G12*Pressupostos!$C$80/365</f>
        <v>1225216.02739726</v>
      </c>
    </row>
    <row r="9" customFormat="false" ht="15" hidden="false" customHeight="false" outlineLevel="0" collapsed="false">
      <c r="A9" s="7" t="s">
        <v>705</v>
      </c>
      <c r="B9" s="8" t="s">
        <v>10</v>
      </c>
      <c r="C9" s="58" t="n">
        <f aca="false">Volumes!C10*1000*((Custos!C6+Custos!C9)*Pressupostos!$C$70/365)+Volumes!C11*1000*((Custos!C30+Custos!C33)*Pressupostos!$C$70/365)+Volumes!C12*1000*((Custos!C54+Custos!C57)*Pressupostos!$C$70/365)+Volumes!C23*1000*Pressupostos!$C$90*Pressupostos!$C$95/365</f>
        <v>20038.3561643836</v>
      </c>
      <c r="D9" s="58" t="n">
        <f aca="false">Volumes!D10*1000*((Custos!D6+Custos!D9)*Pressupostos!$C$70/365)+Volumes!D11*1000*((Custos!D30+Custos!D33)*Pressupostos!$C$70/365)+Volumes!D12*1000*((Custos!D54+Custos!D57)*Pressupostos!$C$70/365)+Volumes!D23*1000*Pressupostos!$C$90*Pressupostos!$C$95/365</f>
        <v>133454.794520548</v>
      </c>
      <c r="E9" s="58" t="n">
        <f aca="false">Volumes!E10*1000*((Custos!E6+Custos!E9)*Pressupostos!$C$70/365)+Volumes!E11*1000*((Custos!E30+Custos!E33)*Pressupostos!$C$70/365)+Volumes!E12*1000*((Custos!E54+Custos!E57)*Pressupostos!$C$70/365)+Volumes!E23*1000*Pressupostos!$C$90*Pressupostos!$C$95/365</f>
        <v>301298.630136986</v>
      </c>
      <c r="F9" s="58" t="n">
        <f aca="false">Volumes!F10*1000*((Custos!F6+Custos!F9)*Pressupostos!$C$70/365)+Volumes!F11*1000*((Custos!F30+Custos!F33)*Pressupostos!$C$70/365)+Volumes!F12*1000*((Custos!F54+Custos!F57)*Pressupostos!$C$70/365)+Volumes!F23*1000*Pressupostos!$C$90*Pressupostos!$C$95/365</f>
        <v>519386.301369863</v>
      </c>
      <c r="G9" s="58" t="n">
        <f aca="false">Volumes!G10*1000*((Custos!G6+Custos!G9)*Pressupostos!$C$70/365)+Volumes!G11*1000*((Custos!G30+Custos!G33)*Pressupostos!$C$70/365)+Volumes!G12*1000*((Custos!G54+Custos!G57)*Pressupostos!$C$70/365)+Volumes!G23*1000*Pressupostos!$C$90*Pressupostos!$C$95/365</f>
        <v>793232.876712329</v>
      </c>
    </row>
    <row r="10" customFormat="false" ht="15" hidden="false" customHeight="false" outlineLevel="0" collapsed="false">
      <c r="A10" s="52" t="s">
        <v>706</v>
      </c>
      <c r="B10" s="53" t="s">
        <v>10</v>
      </c>
      <c r="C10" s="59" t="n">
        <f aca="false">C7+C8-C9</f>
        <v>45498.904109589</v>
      </c>
      <c r="D10" s="59" t="n">
        <f aca="false">D7+D8-D9</f>
        <v>276087.739726027</v>
      </c>
      <c r="E10" s="59" t="n">
        <f aca="false">E7+E8-E9</f>
        <v>500492.260273972</v>
      </c>
      <c r="F10" s="59" t="n">
        <f aca="false">F7+F8-F9</f>
        <v>866764.726027397</v>
      </c>
      <c r="G10" s="59" t="n">
        <f aca="false">G7+G8-G9</f>
        <v>1323907.80821918</v>
      </c>
    </row>
    <row r="12" customFormat="false" ht="15" hidden="false" customHeight="false" outlineLevel="0" collapsed="false">
      <c r="A12" s="3" t="s">
        <v>707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52" t="s">
        <v>708</v>
      </c>
      <c r="B13" s="53" t="s">
        <v>10</v>
      </c>
      <c r="C13" s="59" t="n">
        <f aca="false">Pressupostos!$C$280*C10/Pressupostos!$G$31</f>
        <v>0</v>
      </c>
      <c r="D13" s="59" t="n">
        <f aca="false">Pressupostos!$D$280*D10/Pressupostos!$G$31</f>
        <v>310598.707191781</v>
      </c>
      <c r="E13" s="59" t="n">
        <f aca="false">Pressupostos!$E$280*E10/Pressupostos!$G$31</f>
        <v>563053.792808219</v>
      </c>
      <c r="F13" s="59" t="n">
        <f aca="false">Pressupostos!$F$280*F10/Pressupostos!$G$31</f>
        <v>975110.316780822</v>
      </c>
      <c r="G13" s="59" t="n">
        <f aca="false">Pressupostos!$G$280*G10/Pressupostos!$G$31</f>
        <v>1489396.28424658</v>
      </c>
    </row>
    <row r="14" customFormat="false" ht="15" hidden="false" customHeight="false" outlineLevel="0" collapsed="false">
      <c r="A14" s="7" t="s">
        <v>709</v>
      </c>
      <c r="B14" s="8" t="s">
        <v>10</v>
      </c>
      <c r="C14" s="58" t="n">
        <f aca="false">Pressupostos!$C$280*C10</f>
        <v>0</v>
      </c>
      <c r="D14" s="58" t="n">
        <f aca="false">Pressupostos!$D$280*D10</f>
        <v>248478.965753425</v>
      </c>
      <c r="E14" s="58" t="n">
        <f aca="false">Pressupostos!$E$280*E10</f>
        <v>450443.034246575</v>
      </c>
      <c r="F14" s="58" t="n">
        <f aca="false">Pressupostos!$F$280*F10</f>
        <v>780088.253424658</v>
      </c>
      <c r="G14" s="58" t="n">
        <f aca="false">Pressupostos!$G$280*G10</f>
        <v>1191517.02739726</v>
      </c>
    </row>
    <row r="15" customFormat="false" ht="15" hidden="false" customHeight="false" outlineLevel="0" collapsed="false">
      <c r="A15" s="7" t="s">
        <v>710</v>
      </c>
      <c r="B15" s="8" t="s">
        <v>10</v>
      </c>
      <c r="C15" s="58" t="n">
        <f aca="false">C13-C14</f>
        <v>0</v>
      </c>
      <c r="D15" s="58" t="n">
        <f aca="false">D13-D14</f>
        <v>62119.7414383561</v>
      </c>
      <c r="E15" s="58" t="n">
        <f aca="false">E13-E14</f>
        <v>112610.758561644</v>
      </c>
      <c r="F15" s="58" t="n">
        <f aca="false">F13-F14</f>
        <v>195022.063356164</v>
      </c>
      <c r="G15" s="58" t="n">
        <f aca="false">G13-G14</f>
        <v>297879.256849315</v>
      </c>
    </row>
    <row r="16" customFormat="false" ht="15" hidden="false" customHeight="false" outlineLevel="0" collapsed="false">
      <c r="A16" s="7" t="s">
        <v>711</v>
      </c>
      <c r="B16" s="8" t="s">
        <v>10</v>
      </c>
      <c r="C16" s="58" t="n">
        <f aca="false">C10-C14</f>
        <v>45498.904109589</v>
      </c>
      <c r="D16" s="58" t="n">
        <f aca="false">D10-D14</f>
        <v>27608.7739726027</v>
      </c>
      <c r="E16" s="58" t="n">
        <f aca="false">E10-E14</f>
        <v>50049.2260273973</v>
      </c>
      <c r="F16" s="58" t="n">
        <f aca="false">F10-F14</f>
        <v>86676.4726027397</v>
      </c>
      <c r="G16" s="58" t="n">
        <f aca="false">G10-G14</f>
        <v>132390.780821918</v>
      </c>
    </row>
    <row r="17" customFormat="false" ht="15" hidden="false" customHeight="false" outlineLevel="0" collapsed="false">
      <c r="A17" s="7" t="s">
        <v>712</v>
      </c>
      <c r="B17" s="8" t="s">
        <v>10</v>
      </c>
      <c r="C17" s="58" t="n">
        <f aca="false">MAX(0,Pressupostos!$C$106-C16)</f>
        <v>4501.09589041097</v>
      </c>
      <c r="D17" s="58" t="n">
        <f aca="false">MAX(0,Pressupostos!$C$106-D16)</f>
        <v>22391.2260273973</v>
      </c>
      <c r="E17" s="58" t="n">
        <f aca="false">MAX(0,Pressupostos!$C$106-E16)</f>
        <v>0</v>
      </c>
      <c r="F17" s="58" t="n">
        <f aca="false">MAX(0,Pressupostos!$C$106-F16)</f>
        <v>0</v>
      </c>
      <c r="G17" s="58" t="n">
        <f aca="false">MAX(0,Pressupostos!$C$106-G16)</f>
        <v>0</v>
      </c>
    </row>
    <row r="18" customFormat="false" ht="15" hidden="false" customHeight="false" outlineLevel="0" collapsed="false">
      <c r="A18" s="7" t="s">
        <v>713</v>
      </c>
      <c r="B18" s="8" t="s">
        <v>10</v>
      </c>
      <c r="C18" s="58" t="n">
        <f aca="false">Pressupostos!$C$107*C13</f>
        <v>0</v>
      </c>
      <c r="D18" s="58" t="n">
        <f aca="false">Pressupostos!$C$107*D13</f>
        <v>15529.935359589</v>
      </c>
      <c r="E18" s="58" t="n">
        <f aca="false">Pressupostos!$C$107*E13</f>
        <v>28152.689640411</v>
      </c>
      <c r="F18" s="58" t="n">
        <f aca="false">Pressupostos!$C$107*F13</f>
        <v>48755.5158390411</v>
      </c>
      <c r="G18" s="58" t="n">
        <f aca="false">Pressupostos!$C$107*G13</f>
        <v>74469.8142123288</v>
      </c>
    </row>
    <row r="19" customFormat="false" ht="15" hidden="false" customHeight="false" outlineLevel="0" collapsed="false">
      <c r="A19" s="2" t="s">
        <v>714</v>
      </c>
      <c r="B19" s="8" t="s">
        <v>115</v>
      </c>
      <c r="C19" s="58" t="n">
        <f aca="false">C13/Pressupostos!$C$110</f>
        <v>0</v>
      </c>
      <c r="D19" s="58" t="n">
        <f aca="false">D13/Pressupostos!$C$110</f>
        <v>6.21197414383562</v>
      </c>
      <c r="E19" s="58" t="n">
        <f aca="false">E13/Pressupostos!$C$110</f>
        <v>11.2610758561644</v>
      </c>
      <c r="F19" s="58" t="n">
        <f aca="false">F13/Pressupostos!$C$110</f>
        <v>19.5022063356164</v>
      </c>
      <c r="G19" s="58" t="n">
        <f aca="false">G13/Pressupostos!$C$110</f>
        <v>29.7879256849315</v>
      </c>
    </row>
    <row r="21" customFormat="false" ht="15" hidden="false" customHeight="false" outlineLevel="0" collapsed="false">
      <c r="A21" s="3" t="s">
        <v>715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7" t="s">
        <v>681</v>
      </c>
      <c r="B22" s="8" t="s">
        <v>10</v>
      </c>
      <c r="C22" s="50" t="n">
        <f aca="false">DR!C15</f>
        <v>-711437.451832192</v>
      </c>
      <c r="D22" s="50" t="n">
        <f aca="false">DR!D15</f>
        <v>-801413.478106654</v>
      </c>
      <c r="E22" s="50" t="n">
        <f aca="false">DR!E15</f>
        <v>-969909.990443249</v>
      </c>
      <c r="F22" s="50" t="n">
        <f aca="false">DR!F15</f>
        <v>-1094156.26026446</v>
      </c>
      <c r="G22" s="50" t="n">
        <f aca="false">DR!G15</f>
        <v>-1219975.89659631</v>
      </c>
    </row>
    <row r="23" customFormat="false" ht="15" hidden="false" customHeight="false" outlineLevel="0" collapsed="false">
      <c r="A23" s="7" t="s">
        <v>716</v>
      </c>
      <c r="B23" s="8" t="s">
        <v>10</v>
      </c>
      <c r="C23" s="58" t="n">
        <f aca="false">-DR!C31</f>
        <v>-0</v>
      </c>
      <c r="D23" s="58" t="n">
        <f aca="false">-DR!D31</f>
        <v>-0</v>
      </c>
      <c r="E23" s="58" t="n">
        <f aca="false">-DR!E31</f>
        <v>-0</v>
      </c>
      <c r="F23" s="58" t="n">
        <f aca="false">-DR!F31</f>
        <v>-0</v>
      </c>
      <c r="G23" s="58" t="n">
        <f aca="false">-DR!G31</f>
        <v>-0</v>
      </c>
    </row>
    <row r="24" customFormat="false" ht="15" hidden="false" customHeight="false" outlineLevel="0" collapsed="false">
      <c r="A24" s="7" t="s">
        <v>717</v>
      </c>
      <c r="B24" s="8" t="s">
        <v>10</v>
      </c>
      <c r="C24" s="58" t="n">
        <f aca="false">-C10</f>
        <v>-45498.904109589</v>
      </c>
      <c r="D24" s="58" t="n">
        <f aca="false">-(D10-C10)</f>
        <v>-230588.835616438</v>
      </c>
      <c r="E24" s="58" t="n">
        <f aca="false">-(E10-D10)</f>
        <v>-224404.520547945</v>
      </c>
      <c r="F24" s="58" t="n">
        <f aca="false">-(F10-E10)</f>
        <v>-366272.465753425</v>
      </c>
      <c r="G24" s="58" t="n">
        <f aca="false">-(G10-F10)</f>
        <v>-457143.082191781</v>
      </c>
    </row>
    <row r="25" customFormat="false" ht="15" hidden="false" customHeight="false" outlineLevel="0" collapsed="false">
      <c r="A25" s="7" t="s">
        <v>407</v>
      </c>
      <c r="B25" s="8" t="s">
        <v>10</v>
      </c>
      <c r="C25" s="58" t="n">
        <f aca="false">-Custos!C116</f>
        <v>-92000</v>
      </c>
      <c r="D25" s="58" t="n">
        <f aca="false">-Custos!D116</f>
        <v>-44000</v>
      </c>
      <c r="E25" s="58" t="n">
        <f aca="false">-Custos!E116</f>
        <v>-48000</v>
      </c>
      <c r="F25" s="58" t="n">
        <f aca="false">-Custos!F116</f>
        <v>-38000</v>
      </c>
      <c r="G25" s="58" t="n">
        <f aca="false">-Custos!G116</f>
        <v>-38000</v>
      </c>
    </row>
    <row r="26" customFormat="false" ht="15" hidden="false" customHeight="false" outlineLevel="0" collapsed="false">
      <c r="A26" s="7" t="s">
        <v>718</v>
      </c>
      <c r="B26" s="8" t="s">
        <v>10</v>
      </c>
      <c r="C26" s="58" t="n">
        <f aca="false">C22+C23+C24+C25</f>
        <v>-848936.355941781</v>
      </c>
      <c r="D26" s="58" t="n">
        <f aca="false">D22+D23+D24+D25</f>
        <v>-1076002.31372309</v>
      </c>
      <c r="E26" s="58" t="n">
        <f aca="false">E22+E23+E24+E25</f>
        <v>-1242314.51099119</v>
      </c>
      <c r="F26" s="58" t="n">
        <f aca="false">F22+F23+F24+F25</f>
        <v>-1498428.72601788</v>
      </c>
      <c r="G26" s="58" t="n">
        <f aca="false">G22+G23+G24+G25</f>
        <v>-1715118.97878809</v>
      </c>
    </row>
    <row r="27" customFormat="false" ht="15" hidden="false" customHeight="false" outlineLevel="0" collapsed="false">
      <c r="A27" s="7" t="s">
        <v>719</v>
      </c>
      <c r="B27" s="8" t="s">
        <v>10</v>
      </c>
      <c r="C27" s="58" t="n">
        <f aca="false">C13</f>
        <v>0</v>
      </c>
      <c r="D27" s="58" t="n">
        <f aca="false">D13-C13</f>
        <v>310598.707191781</v>
      </c>
      <c r="E27" s="58" t="n">
        <f aca="false">E13-D13</f>
        <v>252455.085616438</v>
      </c>
      <c r="F27" s="58" t="n">
        <f aca="false">F13-E13</f>
        <v>412056.523972603</v>
      </c>
      <c r="G27" s="58" t="n">
        <f aca="false">G13-F13</f>
        <v>514285.967465753</v>
      </c>
    </row>
    <row r="28" customFormat="false" ht="15" hidden="false" customHeight="false" outlineLevel="0" collapsed="false">
      <c r="A28" s="7" t="s">
        <v>720</v>
      </c>
      <c r="B28" s="8" t="s">
        <v>10</v>
      </c>
      <c r="C28" s="58" t="n">
        <f aca="false">-C15</f>
        <v>-0</v>
      </c>
      <c r="D28" s="58" t="n">
        <f aca="false">-(D15-C15)</f>
        <v>-62119.7414383561</v>
      </c>
      <c r="E28" s="58" t="n">
        <f aca="false">-(E15-D15)</f>
        <v>-50491.0171232877</v>
      </c>
      <c r="F28" s="58" t="n">
        <f aca="false">-(F15-E15)</f>
        <v>-82411.3047945206</v>
      </c>
      <c r="G28" s="58" t="n">
        <f aca="false">-(G15-F15)</f>
        <v>-102857.193493151</v>
      </c>
    </row>
    <row r="29" customFormat="false" ht="15" hidden="false" customHeight="false" outlineLevel="0" collapsed="false">
      <c r="A29" s="7" t="s">
        <v>721</v>
      </c>
      <c r="B29" s="8" t="s">
        <v>10</v>
      </c>
      <c r="C29" s="58" t="n">
        <f aca="false">-C18</f>
        <v>-0</v>
      </c>
      <c r="D29" s="58" t="n">
        <f aca="false">-(D18-C18)</f>
        <v>-15529.935359589</v>
      </c>
      <c r="E29" s="58" t="n">
        <f aca="false">-(E18-D18)</f>
        <v>-12622.7542808219</v>
      </c>
      <c r="F29" s="58" t="n">
        <f aca="false">-(F18-E18)</f>
        <v>-20602.8261986301</v>
      </c>
      <c r="G29" s="58" t="n">
        <f aca="false">-(G18-F18)</f>
        <v>-25714.2983732877</v>
      </c>
    </row>
    <row r="30" customFormat="false" ht="15" hidden="false" customHeight="false" outlineLevel="0" collapsed="false">
      <c r="A30" s="7" t="s">
        <v>722</v>
      </c>
      <c r="B30" s="8" t="s">
        <v>10</v>
      </c>
      <c r="C30" s="58" t="n">
        <f aca="false">-(C17-Pressupostos!$C$106)</f>
        <v>45498.904109589</v>
      </c>
      <c r="D30" s="58" t="n">
        <f aca="false">-(D17-C17)</f>
        <v>-17890.1301369863</v>
      </c>
      <c r="E30" s="58" t="n">
        <f aca="false">-(E17-D17)</f>
        <v>22391.2260273973</v>
      </c>
      <c r="F30" s="58" t="n">
        <f aca="false">-(F17-E17)</f>
        <v>-0</v>
      </c>
      <c r="G30" s="58" t="n">
        <f aca="false">-(G17-F17)</f>
        <v>-0</v>
      </c>
    </row>
    <row r="31" customFormat="false" ht="15" hidden="false" customHeight="false" outlineLevel="0" collapsed="false">
      <c r="A31" s="52" t="s">
        <v>723</v>
      </c>
      <c r="B31" s="53" t="s">
        <v>10</v>
      </c>
      <c r="C31" s="59" t="n">
        <f aca="false">C26+C27+C28+C29+C30</f>
        <v>-803437.451832192</v>
      </c>
      <c r="D31" s="59" t="n">
        <f aca="false">D26+D27+D28+D29+D30</f>
        <v>-860943.413466243</v>
      </c>
      <c r="E31" s="59" t="n">
        <f aca="false">E26+E27+E28+E29+E30</f>
        <v>-1030581.97075147</v>
      </c>
      <c r="F31" s="59" t="n">
        <f aca="false">F26+F27+F28+F29+F30</f>
        <v>-1189386.33303843</v>
      </c>
      <c r="G31" s="59" t="n">
        <f aca="false">G26+G27+G28+G29+G30</f>
        <v>-1329404.50318877</v>
      </c>
    </row>
    <row r="32" customFormat="false" ht="15" hidden="false" customHeight="false" outlineLevel="0" collapsed="false">
      <c r="A32" s="52" t="s">
        <v>724</v>
      </c>
      <c r="B32" s="53" t="s">
        <v>10</v>
      </c>
      <c r="C32" s="59" t="n">
        <f aca="false">C31</f>
        <v>-803437.451832192</v>
      </c>
      <c r="D32" s="59" t="n">
        <f aca="false">C32+D31</f>
        <v>-1664380.86529843</v>
      </c>
      <c r="E32" s="59" t="n">
        <f aca="false">D32+E31</f>
        <v>-2694962.8360499</v>
      </c>
      <c r="F32" s="59" t="n">
        <f aca="false">E32+F31</f>
        <v>-3884349.16908834</v>
      </c>
      <c r="G32" s="59" t="n">
        <f aca="false">F32+G31</f>
        <v>-5213753.67227711</v>
      </c>
    </row>
    <row r="33" customFormat="false" ht="15" hidden="false" customHeight="false" outlineLevel="0" collapsed="false">
      <c r="A33" s="8" t="s">
        <v>725</v>
      </c>
      <c r="B33" s="8" t="s">
        <v>10</v>
      </c>
      <c r="C33" s="66" t="n">
        <f aca="false">ROUND(DR!C15-Custos!C116-DR!C31-(MAX(C16,Pressupostos!$C$106)-Pressupostos!$C$106)-(C18)-C31,6)</f>
        <v>0</v>
      </c>
      <c r="D33" s="66" t="n">
        <f aca="false">ROUND(DR!D15-Custos!D116-DR!D31-(MAX(D16,Pressupostos!$C$106)-MAX(C16,Pressupostos!$C$106))-(D18-C18)-D31,6)</f>
        <v>0</v>
      </c>
      <c r="E33" s="66" t="n">
        <f aca="false">ROUND(DR!E15-Custos!E116-DR!E31-(MAX(E16,Pressupostos!$C$106)-MAX(D16,Pressupostos!$C$106))-(E18-D18)-E31,6)</f>
        <v>0</v>
      </c>
      <c r="F33" s="66" t="n">
        <f aca="false">ROUND(DR!F15-Custos!F116-DR!F31-(MAX(F16,Pressupostos!$C$106)-MAX(E16,Pressupostos!$C$106))-(F18-E18)-F31,6)</f>
        <v>0</v>
      </c>
      <c r="G33" s="66" t="n">
        <f aca="false">ROUND(DR!G15-Custos!G116-DR!G31-(MAX(G16,Pressupostos!$C$106)-MAX(F16,Pressupostos!$C$106))-(G18-F18)-G31,6)</f>
        <v>0</v>
      </c>
    </row>
    <row r="35" customFormat="false" ht="15" hidden="false" customHeight="false" outlineLevel="0" collapsed="false">
      <c r="A35" s="3" t="s">
        <v>726</v>
      </c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7" t="s">
        <v>727</v>
      </c>
      <c r="B36" s="8" t="s">
        <v>10</v>
      </c>
      <c r="C36" s="58" t="n">
        <f aca="false">0</f>
        <v>0</v>
      </c>
      <c r="D36" s="58" t="n">
        <f aca="false">C41</f>
        <v>151562.548167808</v>
      </c>
      <c r="E36" s="58" t="n">
        <f aca="false">D41</f>
        <v>150000</v>
      </c>
      <c r="F36" s="58" t="n">
        <f aca="false">E41</f>
        <v>150000</v>
      </c>
      <c r="G36" s="58" t="n">
        <f aca="false">F41</f>
        <v>150000</v>
      </c>
    </row>
    <row r="37" customFormat="false" ht="15" hidden="false" customHeight="false" outlineLevel="0" collapsed="false">
      <c r="A37" s="7" t="s">
        <v>728</v>
      </c>
      <c r="B37" s="8" t="s">
        <v>10</v>
      </c>
      <c r="C37" s="58" t="n">
        <f aca="false">-(Pressupostos!$C$157+Pressupostos!$C$158+Pressupostos!$C$159+Pressupostos!$C$160+Pressupostos!$C$161+Pressupostos!$C$106)</f>
        <v>-145000</v>
      </c>
      <c r="D37" s="58" t="n">
        <f aca="false">0</f>
        <v>0</v>
      </c>
      <c r="E37" s="58" t="n">
        <f aca="false">0</f>
        <v>0</v>
      </c>
      <c r="F37" s="58" t="n">
        <f aca="false">0</f>
        <v>0</v>
      </c>
      <c r="G37" s="58" t="n">
        <f aca="false">0</f>
        <v>0</v>
      </c>
    </row>
    <row r="38" customFormat="false" ht="15" hidden="false" customHeight="false" outlineLevel="0" collapsed="false">
      <c r="A38" s="7" t="s">
        <v>729</v>
      </c>
      <c r="B38" s="8" t="s">
        <v>10</v>
      </c>
      <c r="C38" s="50" t="n">
        <f aca="false">Pressupostos!$G$32</f>
        <v>1100000</v>
      </c>
      <c r="D38" s="58" t="n">
        <f aca="false">0</f>
        <v>0</v>
      </c>
      <c r="E38" s="58" t="n">
        <f aca="false">0</f>
        <v>0</v>
      </c>
      <c r="F38" s="58" t="n">
        <f aca="false">0</f>
        <v>0</v>
      </c>
      <c r="G38" s="58" t="n">
        <f aca="false">0</f>
        <v>0</v>
      </c>
    </row>
    <row r="39" customFormat="false" ht="15" hidden="false" customHeight="false" outlineLevel="0" collapsed="false">
      <c r="A39" s="7" t="s">
        <v>730</v>
      </c>
      <c r="B39" s="8" t="s">
        <v>10</v>
      </c>
      <c r="C39" s="58" t="n">
        <f aca="false">C36+C37+C38+C31</f>
        <v>151562.548167808</v>
      </c>
      <c r="D39" s="58" t="n">
        <f aca="false">D36+D37+D38+D31</f>
        <v>-709380.865298435</v>
      </c>
      <c r="E39" s="58" t="n">
        <f aca="false">E36+E37+E38+E31</f>
        <v>-880581.970751468</v>
      </c>
      <c r="F39" s="58" t="n">
        <f aca="false">F36+F37+F38+F31</f>
        <v>-1039386.33303843</v>
      </c>
      <c r="G39" s="58" t="n">
        <f aca="false">G36+G37+G38+G31</f>
        <v>-1179404.50318877</v>
      </c>
    </row>
    <row r="40" customFormat="false" ht="15" hidden="false" customHeight="false" outlineLevel="0" collapsed="false">
      <c r="A40" s="52" t="s">
        <v>731</v>
      </c>
      <c r="B40" s="53" t="s">
        <v>10</v>
      </c>
      <c r="C40" s="59" t="n">
        <f aca="false">MAX(0,Pressupostos!$C$168-C39)</f>
        <v>0</v>
      </c>
      <c r="D40" s="59" t="n">
        <f aca="false">MAX(0,Pressupostos!$C$168-D39)</f>
        <v>859380.865298435</v>
      </c>
      <c r="E40" s="59" t="n">
        <f aca="false">MAX(0,Pressupostos!$C$168-E39)</f>
        <v>1030581.97075147</v>
      </c>
      <c r="F40" s="59" t="n">
        <f aca="false">MAX(0,Pressupostos!$C$168-F39)</f>
        <v>1189386.33303843</v>
      </c>
      <c r="G40" s="59" t="n">
        <f aca="false">MAX(0,Pressupostos!$C$168-G39)</f>
        <v>1329404.50318877</v>
      </c>
    </row>
    <row r="41" customFormat="false" ht="15" hidden="false" customHeight="false" outlineLevel="0" collapsed="false">
      <c r="A41" s="52" t="s">
        <v>732</v>
      </c>
      <c r="B41" s="53" t="s">
        <v>10</v>
      </c>
      <c r="C41" s="59" t="n">
        <f aca="false">C39+C40</f>
        <v>151562.548167808</v>
      </c>
      <c r="D41" s="59" t="n">
        <f aca="false">D39+D40</f>
        <v>150000</v>
      </c>
      <c r="E41" s="59" t="n">
        <f aca="false">E39+E40</f>
        <v>150000</v>
      </c>
      <c r="F41" s="59" t="n">
        <f aca="false">F39+F40</f>
        <v>150000</v>
      </c>
      <c r="G41" s="59" t="n">
        <f aca="false">G39+G40</f>
        <v>150000</v>
      </c>
    </row>
    <row r="42" customFormat="false" ht="15" hidden="false" customHeight="false" outlineLevel="0" collapsed="false">
      <c r="A42" s="7" t="s">
        <v>733</v>
      </c>
      <c r="B42" s="8" t="s">
        <v>10</v>
      </c>
      <c r="C42" s="58" t="n">
        <f aca="false">C15+C18+C17</f>
        <v>4501.09589041097</v>
      </c>
      <c r="D42" s="58" t="n">
        <f aca="false">D15+D18+D17</f>
        <v>100040.902825342</v>
      </c>
      <c r="E42" s="58" t="n">
        <f aca="false">E15+E18+E17</f>
        <v>140763.448202055</v>
      </c>
      <c r="F42" s="58" t="n">
        <f aca="false">F15+F18+F17</f>
        <v>243777.579195205</v>
      </c>
      <c r="G42" s="58" t="n">
        <f aca="false">G15+G18+G17</f>
        <v>372349.071061644</v>
      </c>
    </row>
    <row r="43" customFormat="false" ht="15" hidden="false" customHeight="false" outlineLevel="0" collapsed="false">
      <c r="A43" s="7" t="s">
        <v>734</v>
      </c>
      <c r="B43" s="8" t="s">
        <v>10</v>
      </c>
      <c r="C43" s="58" t="n">
        <f aca="false">C41+C42</f>
        <v>156063.644058219</v>
      </c>
      <c r="D43" s="58" t="n">
        <f aca="false">D41+D42</f>
        <v>250040.902825342</v>
      </c>
      <c r="E43" s="58" t="n">
        <f aca="false">E41+E42</f>
        <v>290763.448202055</v>
      </c>
      <c r="F43" s="58" t="n">
        <f aca="false">F41+F42</f>
        <v>393777.579195206</v>
      </c>
      <c r="G43" s="58" t="n">
        <f aca="false">G41+G42</f>
        <v>522349.071061644</v>
      </c>
    </row>
    <row r="44" customFormat="false" ht="15" hidden="false" customHeight="false" outlineLevel="0" collapsed="false">
      <c r="A44" s="7" t="s">
        <v>735</v>
      </c>
      <c r="B44" s="8" t="s">
        <v>10</v>
      </c>
      <c r="C44" s="58" t="n">
        <f aca="false">C38+C40</f>
        <v>1100000</v>
      </c>
      <c r="D44" s="58" t="n">
        <f aca="false">C44+D38+D40</f>
        <v>1959380.86529843</v>
      </c>
      <c r="E44" s="58" t="n">
        <f aca="false">D44+E38+E40</f>
        <v>2989962.8360499</v>
      </c>
      <c r="F44" s="58" t="n">
        <f aca="false">E44+F38+F40</f>
        <v>4179349.16908834</v>
      </c>
      <c r="G44" s="58" t="n">
        <f aca="false">F44+G38+G40</f>
        <v>5508753.67227711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736</v>
      </c>
    </row>
    <row r="2" customFormat="false" ht="15" hidden="false" customHeight="false" outlineLevel="0" collapsed="false">
      <c r="A2" s="2" t="s">
        <v>737</v>
      </c>
    </row>
    <row r="3" customFormat="false" ht="15" hidden="false" customHeight="false" outlineLevel="0" collapsed="false">
      <c r="A3" s="48" t="str">
        <f aca="false">"Cenário ativo: "&amp;Pressupostos!$C$4&amp;"  ·  euros correntes, sem IVA"</f>
        <v>Cenário ativo: Base  ·  euros correntes, sem IVA</v>
      </c>
    </row>
    <row r="4" customFormat="false" ht="15" hidden="false" customHeight="false" outlineLevel="0" collapsed="false">
      <c r="A4" s="5" t="s">
        <v>456</v>
      </c>
      <c r="B4" s="5" t="s">
        <v>4</v>
      </c>
      <c r="C4" s="6" t="s">
        <v>366</v>
      </c>
      <c r="D4" s="6" t="s">
        <v>367</v>
      </c>
      <c r="E4" s="6" t="s">
        <v>368</v>
      </c>
      <c r="F4" s="6" t="s">
        <v>369</v>
      </c>
      <c r="G4" s="6" t="s">
        <v>370</v>
      </c>
      <c r="H4" s="6" t="s">
        <v>465</v>
      </c>
    </row>
    <row r="5" customFormat="false" ht="15" hidden="false" customHeight="false" outlineLevel="0" collapsed="false">
      <c r="A5" s="3" t="s">
        <v>738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7" t="s">
        <v>739</v>
      </c>
      <c r="B6" s="8" t="s">
        <v>10</v>
      </c>
      <c r="C6" s="68" t="n">
        <f aca="false">Pressupostos!$C$157+Pressupostos!$C$158+Pressupostos!$C$159+Pressupostos!$C$160+Pressupostos!$C$161</f>
        <v>95000</v>
      </c>
    </row>
    <row r="7" customFormat="false" ht="15" hidden="false" customHeight="false" outlineLevel="0" collapsed="false">
      <c r="A7" s="7" t="s">
        <v>740</v>
      </c>
      <c r="B7" s="8" t="s">
        <v>10</v>
      </c>
      <c r="C7" s="69" t="n">
        <f aca="false">Pressupostos!$C$106</f>
        <v>50000</v>
      </c>
    </row>
    <row r="8" customFormat="false" ht="15" hidden="false" customHeight="false" outlineLevel="0" collapsed="false">
      <c r="A8" s="7" t="s">
        <v>312</v>
      </c>
      <c r="B8" s="8" t="s">
        <v>10</v>
      </c>
      <c r="C8" s="69" t="n">
        <f aca="false">Pressupostos!$C$168</f>
        <v>150000</v>
      </c>
    </row>
    <row r="9" customFormat="false" ht="15" hidden="false" customHeight="false" outlineLevel="0" collapsed="false">
      <c r="A9" s="7" t="s">
        <v>741</v>
      </c>
      <c r="B9" s="8" t="s">
        <v>10</v>
      </c>
      <c r="C9" s="68" t="n">
        <f aca="false">MAX(0,-MIN('Cash flow'!$C$32:$G$32))</f>
        <v>5213753.67227711</v>
      </c>
    </row>
    <row r="10" customFormat="false" ht="15" hidden="false" customHeight="false" outlineLevel="0" collapsed="false">
      <c r="A10" s="52" t="s">
        <v>14</v>
      </c>
      <c r="B10" s="53" t="s">
        <v>10</v>
      </c>
      <c r="C10" s="70" t="n">
        <f aca="false">C6+C7+C8+C9</f>
        <v>5508753.67227711</v>
      </c>
    </row>
    <row r="11" customFormat="false" ht="15" hidden="false" customHeight="false" outlineLevel="0" collapsed="false">
      <c r="A11" s="7" t="s">
        <v>742</v>
      </c>
      <c r="B11" s="8" t="s">
        <v>18</v>
      </c>
      <c r="C11" s="71" t="n">
        <f aca="false">INDEX(Volumes!$C$6:$G$6,1,MATCH(MIN('Cash flow'!$C$32:$G$32),'Cash flow'!$C$32:$G$32,0))</f>
        <v>2031</v>
      </c>
    </row>
    <row r="12" customFormat="false" ht="15" hidden="false" customHeight="false" outlineLevel="0" collapsed="false">
      <c r="A12" s="7" t="s">
        <v>743</v>
      </c>
      <c r="B12" s="8"/>
      <c r="C12" s="72" t="str">
        <f aca="false">IF('Cash flow'!G31&lt;0,"sim","não")</f>
        <v>sim</v>
      </c>
    </row>
    <row r="13" customFormat="false" ht="15" hidden="false" customHeight="false" outlineLevel="0" collapsed="false">
      <c r="A13" s="7" t="s">
        <v>744</v>
      </c>
      <c r="B13" s="8" t="s">
        <v>10</v>
      </c>
      <c r="C13" s="69" t="n">
        <f aca="false">'Cash flow'!G44</f>
        <v>5508753.67227711</v>
      </c>
    </row>
    <row r="15" customFormat="false" ht="15" hidden="false" customHeight="false" outlineLevel="0" collapsed="false">
      <c r="A15" s="3" t="s">
        <v>745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7" t="s">
        <v>746</v>
      </c>
      <c r="B16" s="8" t="s">
        <v>10</v>
      </c>
      <c r="C16" s="68" t="n">
        <f aca="false">C6+C7</f>
        <v>145000</v>
      </c>
    </row>
    <row r="17" customFormat="false" ht="15" hidden="false" customHeight="false" outlineLevel="0" collapsed="false">
      <c r="A17" s="7" t="s">
        <v>747</v>
      </c>
      <c r="B17" s="8" t="s">
        <v>10</v>
      </c>
      <c r="C17" s="68" t="n">
        <f aca="false">-SUMPRODUCT((Volumes!$C$6:$G$6&lt;=C11)*DR!$C$15:$G$15)</f>
        <v>4796893.07724286</v>
      </c>
    </row>
    <row r="18" customFormat="false" ht="15" hidden="false" customHeight="false" outlineLevel="0" collapsed="false">
      <c r="A18" s="7" t="s">
        <v>407</v>
      </c>
      <c r="B18" s="8" t="s">
        <v>10</v>
      </c>
      <c r="C18" s="68" t="n">
        <f aca="false">SUMPRODUCT((Volumes!$C$6:$G$6&lt;=C11)*Custos!$C$116:$G$116)</f>
        <v>260000</v>
      </c>
    </row>
    <row r="19" customFormat="false" ht="15" hidden="false" customHeight="false" outlineLevel="0" collapsed="false">
      <c r="A19" s="7" t="s">
        <v>748</v>
      </c>
      <c r="B19" s="8" t="s">
        <v>10</v>
      </c>
      <c r="C19" s="68" t="n">
        <f aca="false">SUMPRODUCT((Volumes!$C$6:$G$6&lt;=C11)*DR!$C$31:$G$31)</f>
        <v>0</v>
      </c>
    </row>
    <row r="20" customFormat="false" ht="15" hidden="false" customHeight="false" outlineLevel="0" collapsed="false">
      <c r="A20" s="7" t="s">
        <v>749</v>
      </c>
      <c r="B20" s="8" t="s">
        <v>10</v>
      </c>
      <c r="C20" s="68" t="n">
        <f aca="false">C9-C17-C18-C19</f>
        <v>156860.595034246</v>
      </c>
    </row>
    <row r="21" customFormat="false" ht="15" hidden="false" customHeight="false" outlineLevel="0" collapsed="false">
      <c r="A21" s="7" t="s">
        <v>312</v>
      </c>
      <c r="B21" s="8" t="s">
        <v>10</v>
      </c>
      <c r="C21" s="68" t="n">
        <f aca="false">C8</f>
        <v>150000</v>
      </c>
    </row>
    <row r="22" customFormat="false" ht="15" hidden="false" customHeight="false" outlineLevel="0" collapsed="false">
      <c r="A22" s="52" t="s">
        <v>750</v>
      </c>
      <c r="B22" s="53" t="s">
        <v>10</v>
      </c>
      <c r="C22" s="70" t="n">
        <f aca="false">C16+C17+C18+C19+C20+C21</f>
        <v>5508753.67227711</v>
      </c>
    </row>
    <row r="24" customFormat="false" ht="15" hidden="false" customHeight="false" outlineLevel="0" collapsed="false">
      <c r="A24" s="3" t="s">
        <v>751</v>
      </c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7" t="s">
        <v>729</v>
      </c>
      <c r="B25" s="8" t="s">
        <v>10</v>
      </c>
      <c r="C25" s="69" t="n">
        <f aca="false">Pressupostos!$G$32</f>
        <v>1100000</v>
      </c>
    </row>
    <row r="26" customFormat="false" ht="15" hidden="false" customHeight="false" outlineLevel="0" collapsed="false">
      <c r="A26" s="7" t="s">
        <v>752</v>
      </c>
      <c r="B26" s="8" t="s">
        <v>10</v>
      </c>
      <c r="C26" s="68" t="n">
        <f aca="false">C6+Pressupostos!$C$106+Pressupostos!$C$128/12*((Pessoal!C33-Pessoal!C21-Pessoal!C22+(Pessoal!C21+Pessoal!C22)/Pressupostos!$C$126*Pressupostos!$C$127)*(1+Pressupostos!$C$122+Pressupostos!$C$123)+Pessoal!C18*Pressupostos!$C$124+Custos!C110)+Custos!C116+MAX(0,Pressupostos!$C$181*1000*(Custos!C6+Custos!C9)+Pressupostos!$C$182*1000*(Custos!C30+Custos!C33)-Pressupostos!$C$106)</f>
        <v>734421.666666667</v>
      </c>
      <c r="H26" s="2" t="s">
        <v>753</v>
      </c>
    </row>
    <row r="27" customFormat="false" ht="15" hidden="false" customHeight="false" outlineLevel="0" collapsed="false">
      <c r="A27" s="7" t="s">
        <v>754</v>
      </c>
      <c r="B27" s="8" t="s">
        <v>10</v>
      </c>
      <c r="C27" s="68" t="n">
        <f aca="false">C6+Pressupostos!$C$106-'Cash flow'!C31</f>
        <v>948437.451832192</v>
      </c>
    </row>
    <row r="28" customFormat="false" ht="15" hidden="false" customHeight="false" outlineLevel="0" collapsed="false">
      <c r="A28" s="7" t="s">
        <v>755</v>
      </c>
      <c r="B28" s="8" t="s">
        <v>10</v>
      </c>
      <c r="C28" s="58" t="n">
        <f aca="false">Pressupostos!$G$32-C6-Pressupostos!$C$106+'Cash flow'!C32</f>
        <v>151562.548167808</v>
      </c>
      <c r="D28" s="58" t="n">
        <f aca="false">Pressupostos!$G$32-C6-Pressupostos!$C$106+'Cash flow'!D32</f>
        <v>-709380.865298435</v>
      </c>
      <c r="E28" s="58" t="n">
        <f aca="false">Pressupostos!$G$32-C6-Pressupostos!$C$106+'Cash flow'!E32</f>
        <v>-1739962.8360499</v>
      </c>
      <c r="F28" s="58" t="n">
        <f aca="false">Pressupostos!$G$32-C6-Pressupostos!$C$106+'Cash flow'!F32</f>
        <v>-2929349.16908834</v>
      </c>
      <c r="G28" s="58" t="n">
        <f aca="false">Pressupostos!$G$32-C6-Pressupostos!$C$106+'Cash flow'!G32</f>
        <v>-4258753.67227711</v>
      </c>
    </row>
    <row r="29" customFormat="false" ht="15" hidden="false" customHeight="false" outlineLevel="0" collapsed="false">
      <c r="A29" s="7" t="s">
        <v>756</v>
      </c>
      <c r="B29" s="8" t="s">
        <v>16</v>
      </c>
      <c r="C29" s="73" t="str">
        <f aca="false">IF(AND(Pressupostos!$G$32-C6-Pressupostos!$C$106&gt;0,C28&lt;=0),12*(Pressupostos!$G$32-C6-Pressupostos!$C$106)/(Pressupostos!$G$32-C6-Pressupostos!$C$106-C28),"")</f>
        <v/>
      </c>
      <c r="D29" s="73" t="n">
        <f aca="false">IF(AND(C28&gt;0,D28&lt;=0),12+12*C28/(C28-D28),"")</f>
        <v>14.1125088473483</v>
      </c>
      <c r="E29" s="73" t="str">
        <f aca="false">IF(AND(D28&gt;0,E28&lt;=0),24+12*D28/(D28-E28),"")</f>
        <v/>
      </c>
      <c r="F29" s="73" t="str">
        <f aca="false">IF(AND(E28&gt;0,F28&lt;=0),36+12*E28/(E28-F28),"")</f>
        <v/>
      </c>
      <c r="G29" s="73" t="str">
        <f aca="false">IF(AND(F28&gt;0,G28&lt;=0),48+12*F28/(F28-G28),"")</f>
        <v/>
      </c>
    </row>
    <row r="30" customFormat="false" ht="15" hidden="false" customHeight="false" outlineLevel="0" collapsed="false">
      <c r="A30" s="52" t="s">
        <v>757</v>
      </c>
      <c r="B30" s="53" t="s">
        <v>264</v>
      </c>
      <c r="C30" s="74" t="n">
        <f aca="false">IF(COUNT($C$29:$G$29)=0,"&gt; 60",MIN($C$29:$G$29))</f>
        <v>14.1125088473483</v>
      </c>
    </row>
    <row r="32" customFormat="false" ht="15" hidden="false" customHeight="false" outlineLevel="0" collapsed="false">
      <c r="A32" s="3" t="s">
        <v>758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7" t="s">
        <v>759</v>
      </c>
      <c r="B33" s="8" t="s">
        <v>16</v>
      </c>
      <c r="C33" s="73" t="str">
        <f aca="false">IF(DR!C15&gt;=0,1,"")</f>
        <v/>
      </c>
      <c r="D33" s="73" t="str">
        <f aca="false">IF(AND(DR!C15&lt;0,DR!D15&gt;=0),6.5+12*(-DR!C15)/(DR!D15-DR!C15),"")</f>
        <v/>
      </c>
      <c r="E33" s="73" t="str">
        <f aca="false">IF(AND(DR!D15&lt;0,DR!E15&gt;=0),18.5+12*(-DR!D15)/(DR!E15-DR!D15),"")</f>
        <v/>
      </c>
      <c r="F33" s="73" t="str">
        <f aca="false">IF(AND(DR!E15&lt;0,DR!F15&gt;=0),30.5+12*(-DR!E15)/(DR!F15-DR!E15),"")</f>
        <v/>
      </c>
      <c r="G33" s="73" t="str">
        <f aca="false">IF(AND(DR!F15&lt;0,DR!G15&gt;=0),42.5+12*(-DR!F15)/(DR!G15-DR!F15),"")</f>
        <v/>
      </c>
    </row>
    <row r="34" customFormat="false" ht="15" hidden="false" customHeight="false" outlineLevel="0" collapsed="false">
      <c r="A34" s="7" t="s">
        <v>760</v>
      </c>
      <c r="B34" s="8" t="s">
        <v>16</v>
      </c>
      <c r="C34" s="75" t="str">
        <f aca="false">IF(COUNT($C$33:$G$33)=0,"não atinge até 2031",ROUNDUP(MIN($C$33:$G$33),0))</f>
        <v>não atinge até 2031</v>
      </c>
    </row>
    <row r="35" customFormat="false" ht="15" hidden="false" customHeight="false" outlineLevel="0" collapsed="false">
      <c r="A35" s="52" t="s">
        <v>761</v>
      </c>
      <c r="B35" s="53" t="s">
        <v>762</v>
      </c>
      <c r="C35" s="76" t="str">
        <f aca="false">IF(ISNUMBER(C34),DATE(2027,C34,1),"não atinge até 2031")</f>
        <v>não atinge até 2031</v>
      </c>
    </row>
    <row r="36" customFormat="false" ht="15" hidden="false" customHeight="false" outlineLevel="0" collapsed="false">
      <c r="A36" s="7" t="s">
        <v>763</v>
      </c>
      <c r="B36" s="8" t="s">
        <v>18</v>
      </c>
      <c r="C36" s="77" t="str">
        <f aca="false">IF(DR!C15&gt;=0,Volumes!C6,"")</f>
        <v/>
      </c>
      <c r="D36" s="77" t="str">
        <f aca="false">IF(DR!D15&gt;=0,Volumes!D6,"")</f>
        <v/>
      </c>
      <c r="E36" s="77" t="str">
        <f aca="false">IF(DR!E15&gt;=0,Volumes!E6,"")</f>
        <v/>
      </c>
      <c r="F36" s="77" t="str">
        <f aca="false">IF(DR!F15&gt;=0,Volumes!F6,"")</f>
        <v/>
      </c>
      <c r="G36" s="77" t="str">
        <f aca="false">IF(DR!G15&gt;=0,Volumes!G6,"")</f>
        <v/>
      </c>
    </row>
    <row r="37" customFormat="false" ht="15" hidden="false" customHeight="false" outlineLevel="0" collapsed="false">
      <c r="A37" s="7" t="s">
        <v>764</v>
      </c>
      <c r="B37" s="8" t="s">
        <v>18</v>
      </c>
      <c r="C37" s="71" t="str">
        <f aca="false">IF(COUNT($C$36:$G$36)=0,"não atinge até 2031",MIN($C$36:$G$36))</f>
        <v>não atinge até 2031</v>
      </c>
    </row>
    <row r="38" customFormat="false" ht="15" hidden="false" customHeight="false" outlineLevel="0" collapsed="false">
      <c r="A38" s="7" t="s">
        <v>765</v>
      </c>
      <c r="B38" s="8" t="s">
        <v>18</v>
      </c>
      <c r="C38" s="77" t="str">
        <f aca="false">IF(DR!C35&gt;=0,Volumes!C6,"")</f>
        <v/>
      </c>
      <c r="D38" s="77" t="str">
        <f aca="false">IF(DR!D35&gt;=0,Volumes!D6,"")</f>
        <v/>
      </c>
      <c r="E38" s="77" t="str">
        <f aca="false">IF(DR!E35&gt;=0,Volumes!E6,"")</f>
        <v/>
      </c>
      <c r="F38" s="77" t="str">
        <f aca="false">IF(DR!F35&gt;=0,Volumes!F6,"")</f>
        <v/>
      </c>
      <c r="G38" s="77" t="str">
        <f aca="false">IF(DR!G35&gt;=0,Volumes!G6,"")</f>
        <v/>
      </c>
    </row>
    <row r="39" customFormat="false" ht="15" hidden="false" customHeight="false" outlineLevel="0" collapsed="false">
      <c r="A39" s="7" t="s">
        <v>766</v>
      </c>
      <c r="B39" s="8" t="s">
        <v>18</v>
      </c>
      <c r="C39" s="71" t="str">
        <f aca="false">IF(COUNT($C$38:$G$38)=0,"não atinge até 2031",MIN($C$38:$G$38))</f>
        <v>não atinge até 2031</v>
      </c>
    </row>
    <row r="40" customFormat="false" ht="15" hidden="false" customHeight="false" outlineLevel="0" collapsed="false">
      <c r="A40" s="7" t="s">
        <v>767</v>
      </c>
      <c r="B40" s="8" t="s">
        <v>18</v>
      </c>
      <c r="C40" s="77" t="str">
        <f aca="false">IF('Cash flow'!C31&gt;=0,Volumes!C6,"")</f>
        <v/>
      </c>
      <c r="D40" s="77" t="str">
        <f aca="false">IF('Cash flow'!D31&gt;=0,Volumes!D6,"")</f>
        <v/>
      </c>
      <c r="E40" s="77" t="str">
        <f aca="false">IF('Cash flow'!E31&gt;=0,Volumes!E6,"")</f>
        <v/>
      </c>
      <c r="F40" s="77" t="str">
        <f aca="false">IF('Cash flow'!F31&gt;=0,Volumes!F6,"")</f>
        <v/>
      </c>
      <c r="G40" s="77" t="str">
        <f aca="false">IF('Cash flow'!G31&gt;=0,Volumes!G6,"")</f>
        <v/>
      </c>
    </row>
    <row r="41" customFormat="false" ht="15" hidden="false" customHeight="false" outlineLevel="0" collapsed="false">
      <c r="A41" s="7" t="s">
        <v>17</v>
      </c>
      <c r="B41" s="8" t="s">
        <v>18</v>
      </c>
      <c r="C41" s="71" t="str">
        <f aca="false">IF(COUNT($C$40:$G$40)=0,"não atinge até 2031",MIN($C$40:$G$40))</f>
        <v>não atinge até 2031</v>
      </c>
    </row>
    <row r="43" customFormat="false" ht="15" hidden="false" customHeight="false" outlineLevel="0" collapsed="false">
      <c r="A43" s="3" t="s">
        <v>768</v>
      </c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7" t="s">
        <v>769</v>
      </c>
      <c r="B44" s="8" t="s">
        <v>10</v>
      </c>
      <c r="C44" s="50" t="n">
        <f aca="false">'Cash flow'!C13</f>
        <v>0</v>
      </c>
      <c r="D44" s="50" t="n">
        <f aca="false">'Cash flow'!D13</f>
        <v>310598.707191781</v>
      </c>
      <c r="E44" s="50" t="n">
        <f aca="false">'Cash flow'!E13</f>
        <v>563053.792808219</v>
      </c>
      <c r="F44" s="50" t="n">
        <f aca="false">'Cash flow'!F13</f>
        <v>975110.316780822</v>
      </c>
      <c r="G44" s="50" t="n">
        <f aca="false">'Cash flow'!G13</f>
        <v>1489396.28424658</v>
      </c>
    </row>
    <row r="45" customFormat="false" ht="15" hidden="false" customHeight="false" outlineLevel="0" collapsed="false">
      <c r="A45" s="7" t="s">
        <v>487</v>
      </c>
      <c r="B45" s="8" t="s">
        <v>71</v>
      </c>
      <c r="C45" s="78" t="n">
        <f aca="false">Pressupostos!$C$286</f>
        <v>0.08</v>
      </c>
      <c r="D45" s="78" t="n">
        <f aca="false">Pressupostos!$D$286</f>
        <v>0.08</v>
      </c>
      <c r="E45" s="78" t="n">
        <f aca="false">Pressupostos!$E$286</f>
        <v>0.075</v>
      </c>
      <c r="F45" s="78" t="n">
        <f aca="false">Pressupostos!$F$286</f>
        <v>0.07</v>
      </c>
      <c r="G45" s="78" t="n">
        <f aca="false">Pressupostos!$G$286</f>
        <v>0.07</v>
      </c>
    </row>
    <row r="46" customFormat="false" ht="15" hidden="false" customHeight="false" outlineLevel="0" collapsed="false">
      <c r="A46" s="7" t="s">
        <v>770</v>
      </c>
      <c r="B46" s="8" t="s">
        <v>71</v>
      </c>
      <c r="C46" s="56" t="n">
        <f aca="false">Pressupostos!$C$286*(1-Pressupostos!$C$109)</f>
        <v>0.0576</v>
      </c>
      <c r="D46" s="56" t="n">
        <f aca="false">Pressupostos!$D$286*(1-Pressupostos!$C$109)</f>
        <v>0.0576</v>
      </c>
      <c r="E46" s="56" t="n">
        <f aca="false">Pressupostos!$E$286*(1-Pressupostos!$C$109)</f>
        <v>0.054</v>
      </c>
      <c r="F46" s="56" t="n">
        <f aca="false">Pressupostos!$F$286*(1-Pressupostos!$C$109)</f>
        <v>0.0504</v>
      </c>
      <c r="G46" s="56" t="n">
        <f aca="false">Pressupostos!$G$286*(1-Pressupostos!$C$109)</f>
        <v>0.0504</v>
      </c>
    </row>
    <row r="47" customFormat="false" ht="15" hidden="false" customHeight="false" outlineLevel="0" collapsed="false">
      <c r="A47" s="7" t="s">
        <v>771</v>
      </c>
      <c r="B47" s="8" t="s">
        <v>10</v>
      </c>
      <c r="C47" s="50" t="n">
        <f aca="false">Custos!C93</f>
        <v>0</v>
      </c>
      <c r="D47" s="50" t="n">
        <f aca="false">Custos!D93</f>
        <v>23317.0273972603</v>
      </c>
      <c r="E47" s="50" t="n">
        <f aca="false">Custos!E93</f>
        <v>38771.0637842466</v>
      </c>
      <c r="F47" s="50" t="n">
        <f aca="false">Custos!F93</f>
        <v>62547.834760274</v>
      </c>
      <c r="G47" s="50" t="n">
        <f aca="false">Custos!G93</f>
        <v>95536.1558219178</v>
      </c>
    </row>
    <row r="48" customFormat="false" ht="15" hidden="false" customHeight="false" outlineLevel="0" collapsed="false">
      <c r="A48" s="7" t="s">
        <v>772</v>
      </c>
      <c r="B48" s="8" t="s">
        <v>71</v>
      </c>
      <c r="C48" s="55" t="n">
        <f aca="false">IF('Cash flow'!C13&gt;0,('Cash flow'!C16+'Cash flow'!C18)/'Cash flow'!C13,0)</f>
        <v>0</v>
      </c>
      <c r="D48" s="55" t="n">
        <f aca="false">IF('Cash flow'!D13&gt;0,('Cash flow'!D16+'Cash flow'!D18)/'Cash flow'!D13,0)</f>
        <v>0.138888888888889</v>
      </c>
      <c r="E48" s="55" t="n">
        <f aca="false">IF('Cash flow'!E13&gt;0,('Cash flow'!E16+'Cash flow'!E18)/'Cash flow'!E13,0)</f>
        <v>0.138888888888889</v>
      </c>
      <c r="F48" s="55" t="n">
        <f aca="false">IF('Cash flow'!F13&gt;0,('Cash flow'!F16+'Cash flow'!F18)/'Cash flow'!F13,0)</f>
        <v>0.138888888888889</v>
      </c>
      <c r="G48" s="55" t="n">
        <f aca="false">IF('Cash flow'!G13&gt;0,('Cash flow'!G16+'Cash flow'!G18)/'Cash flow'!G13,0)</f>
        <v>0.138888888888889</v>
      </c>
    </row>
    <row r="49" customFormat="false" ht="15" hidden="false" customHeight="false" outlineLevel="0" collapsed="false">
      <c r="A49" s="7" t="s">
        <v>773</v>
      </c>
      <c r="B49" s="8" t="s">
        <v>115</v>
      </c>
      <c r="C49" s="50" t="n">
        <f aca="false">'Cash flow'!C19</f>
        <v>0</v>
      </c>
      <c r="D49" s="50" t="n">
        <f aca="false">'Cash flow'!D19</f>
        <v>6.21197414383562</v>
      </c>
      <c r="E49" s="50" t="n">
        <f aca="false">'Cash flow'!E19</f>
        <v>11.2610758561644</v>
      </c>
      <c r="F49" s="50" t="n">
        <f aca="false">'Cash flow'!F19</f>
        <v>19.5022063356164</v>
      </c>
      <c r="G49" s="50" t="n">
        <f aca="false">'Cash flow'!G19</f>
        <v>29.7879256849315</v>
      </c>
    </row>
    <row r="51" customFormat="false" ht="15" hidden="false" customHeight="false" outlineLevel="0" collapsed="false">
      <c r="A51" s="3" t="s">
        <v>774</v>
      </c>
      <c r="B51" s="4"/>
      <c r="C51" s="4"/>
      <c r="D51" s="4"/>
      <c r="E51" s="4"/>
      <c r="F51" s="4"/>
      <c r="G51" s="4"/>
      <c r="H51" s="4"/>
    </row>
    <row r="52" customFormat="false" ht="15" hidden="false" customHeight="false" outlineLevel="0" collapsed="false">
      <c r="A52" s="7" t="s">
        <v>775</v>
      </c>
      <c r="B52" s="8" t="s">
        <v>10</v>
      </c>
      <c r="C52" s="58" t="n">
        <f aca="false">MAX(0,-DR!C15)</f>
        <v>711437.451832192</v>
      </c>
      <c r="D52" s="58" t="n">
        <f aca="false">MAX(0,-DR!D15)</f>
        <v>801413.478106654</v>
      </c>
      <c r="E52" s="58" t="n">
        <f aca="false">MAX(0,-DR!E15)</f>
        <v>969909.990443249</v>
      </c>
      <c r="F52" s="58" t="n">
        <f aca="false">MAX(0,-DR!F15)</f>
        <v>1094156.26026446</v>
      </c>
      <c r="G52" s="58" t="n">
        <f aca="false">MAX(0,-DR!G15)</f>
        <v>1219975.89659631</v>
      </c>
    </row>
    <row r="53" customFormat="false" ht="15" hidden="false" customHeight="false" outlineLevel="0" collapsed="false">
      <c r="A53" s="2" t="s">
        <v>776</v>
      </c>
      <c r="B53" s="8"/>
      <c r="C53" s="58" t="n">
        <f aca="false">IF(AND(Volumes!C6&gt;=Pressupostos!$C$118,Pressupostos!$C$116*(Receitas!C6+Receitas!C7)+Pressupostos!$C$117*Receitas!C8&gt;Pressupostos!$C$298),1,0)</f>
        <v>0</v>
      </c>
      <c r="D53" s="58" t="n">
        <f aca="false">IF(AND(Volumes!D6&gt;=Pressupostos!$C$118,Pressupostos!$C$116*(Receitas!D6+Receitas!D7)+Pressupostos!$C$117*Receitas!D8&gt;Pressupostos!$D$298),1,0)</f>
        <v>1</v>
      </c>
      <c r="E53" s="58" t="n">
        <f aca="false">IF(AND(Volumes!E6&gt;=Pressupostos!$C$118,Pressupostos!$C$116*(Receitas!E6+Receitas!E7)+Pressupostos!$C$117*Receitas!E8&gt;Pressupostos!$E$298),1,0)</f>
        <v>1</v>
      </c>
      <c r="F53" s="58" t="n">
        <f aca="false">IF(AND(Volumes!F6&gt;=Pressupostos!$C$118,Pressupostos!$C$116*(Receitas!F6+Receitas!F7)+Pressupostos!$C$117*Receitas!F8&gt;Pressupostos!$F$298),1,0)</f>
        <v>1</v>
      </c>
      <c r="G53" s="58" t="n">
        <f aca="false">IF(AND(Volumes!G6&gt;=Pressupostos!$C$118,Pressupostos!$C$116*(Receitas!G6+Receitas!G7)+Pressupostos!$C$117*Receitas!G8&gt;Pressupostos!$G$298),1,0)</f>
        <v>1</v>
      </c>
    </row>
    <row r="54" customFormat="false" ht="15" hidden="false" customHeight="false" outlineLevel="0" collapsed="false">
      <c r="A54" s="7" t="s">
        <v>777</v>
      </c>
      <c r="B54" s="8" t="s">
        <v>59</v>
      </c>
      <c r="C54" s="60" t="n">
        <f aca="false">IF(Volumes!C11&gt;0,C52/(Volumes!C11*1000*(1-Pressupostos!$G$22)*(1-Pressupostos!$G$25-C53*Pressupostos!$C$116)),"n/a")</f>
        <v>13.7226574306032</v>
      </c>
      <c r="D54" s="60" t="n">
        <f aca="false">IF(Volumes!D11&gt;0,D52/(Volumes!D11*1000*(1-Pressupostos!$G$22)*(1-Pressupostos!$G$25-D53*Pressupostos!$C$116)),"n/a")</f>
        <v>2.22331382516917</v>
      </c>
      <c r="E54" s="60" t="n">
        <f aca="false">IF(Volumes!E11&gt;0,E52/(Volumes!E11*1000*(1-Pressupostos!$G$22)*(1-Pressupostos!$G$25-E53*Pressupostos!$C$116)),"n/a")</f>
        <v>1.36226948534195</v>
      </c>
      <c r="F54" s="60" t="n">
        <f aca="false">IF(Volumes!F11&gt;0,F52/(Volumes!F11*1000*(1-Pressupostos!$G$22)*(1-Pressupostos!$G$25-F53*Pressupostos!$C$116)),"n/a")</f>
        <v>0.931419565244505</v>
      </c>
      <c r="G54" s="60" t="n">
        <f aca="false">IF(Volumes!G11&gt;0,G52/(Volumes!G11*1000*(1-Pressupostos!$G$22)*(1-Pressupostos!$G$25-G53*Pressupostos!$C$116)),"n/a")</f>
        <v>0.686355267091038</v>
      </c>
    </row>
    <row r="55" customFormat="false" ht="15" hidden="false" customHeight="false" outlineLevel="0" collapsed="false">
      <c r="A55" s="7" t="s">
        <v>778</v>
      </c>
      <c r="B55" s="8" t="s">
        <v>59</v>
      </c>
      <c r="C55" s="60" t="n">
        <f aca="false">IF(Volumes!C10&gt;0,Pressupostos!$G$15+C52/(Volumes!C10*1000*(1-Pressupostos!$G$16)*(1-Pressupostos!$G$18-C53*Pressupostos!$C$116)),"n/a")</f>
        <v>105.057200401323</v>
      </c>
      <c r="D55" s="60" t="n">
        <f aca="false">IF(Volumes!D10&gt;0,Pressupostos!$G$15+D52/(Volumes!D10*1000*(1-Pressupostos!$G$16)*(1-Pressupostos!$G$18-D53*Pressupostos!$C$116)),"n/a")</f>
        <v>29.9595664788016</v>
      </c>
      <c r="E55" s="60" t="n">
        <f aca="false">IF(Volumes!E10&gt;0,Pressupostos!$G$15+E52/(Volumes!E10*1000*(1-Pressupostos!$G$16)*(1-Pressupostos!$G$18-E53*Pressupostos!$C$116)),"n/a")</f>
        <v>13.8346872268487</v>
      </c>
      <c r="F55" s="60" t="n">
        <f aca="false">IF(Volumes!F10&gt;0,Pressupostos!$G$15+F52/(Volumes!F10*1000*(1-Pressupostos!$G$16)*(1-Pressupostos!$G$18-F53*Pressupostos!$C$116)),"n/a")</f>
        <v>10.2492856583499</v>
      </c>
      <c r="G55" s="60" t="n">
        <f aca="false">IF(Volumes!G10&gt;0,Pressupostos!$G$15+G52/(Volumes!G10*1000*(1-Pressupostos!$G$16)*(1-Pressupostos!$G$18-G53*Pressupostos!$C$116)),"n/a")</f>
        <v>8.98956337520546</v>
      </c>
    </row>
    <row r="56" customFormat="false" ht="15" hidden="false" customHeight="false" outlineLevel="0" collapsed="false">
      <c r="A56" s="7" t="s">
        <v>779</v>
      </c>
      <c r="B56" s="8" t="s">
        <v>59</v>
      </c>
      <c r="C56" s="60" t="n">
        <f aca="false">Custos!C73-C53*Pressupostos!$C$117*Custos!C56</f>
        <v>0.058762328767124</v>
      </c>
      <c r="D56" s="60" t="n">
        <f aca="false">Custos!D73-D53*Pressupostos!$C$117*Custos!D56</f>
        <v>0.0255719178082197</v>
      </c>
      <c r="E56" s="60" t="n">
        <f aca="false">Custos!E73-E53*Pressupostos!$C$117*Custos!E56</f>
        <v>0.0271900684931515</v>
      </c>
      <c r="F56" s="60" t="n">
        <f aca="false">Custos!F73-F53*Pressupostos!$C$117*Custos!F56</f>
        <v>0.0288082191780828</v>
      </c>
      <c r="G56" s="60" t="n">
        <f aca="false">Custos!G73-G53*Pressupostos!$C$117*Custos!G56</f>
        <v>0.0288082191780828</v>
      </c>
    </row>
    <row r="57" customFormat="false" ht="15" hidden="false" customHeight="false" outlineLevel="0" collapsed="false">
      <c r="A57" s="7" t="s">
        <v>780</v>
      </c>
      <c r="B57" s="8" t="s">
        <v>112</v>
      </c>
      <c r="C57" s="57" t="n">
        <f aca="false">IF(C56&gt;0,Volumes!C12+C52/(C56*1000),"n/a")</f>
        <v>12107.0329709299</v>
      </c>
      <c r="D57" s="57" t="n">
        <f aca="false">IF(D56&gt;0,Volumes!D12+D52/(D56*1000),"n/a")</f>
        <v>31339.5922870146</v>
      </c>
      <c r="E57" s="57" t="n">
        <f aca="false">IF(E56&gt;0,Volumes!E12+E52/(E56*1000),"n/a")</f>
        <v>35671.4802203439</v>
      </c>
      <c r="F57" s="57" t="n">
        <f aca="false">IF(F56&gt;0,Volumes!F12+F52/(F56*1000),"n/a")</f>
        <v>37980.697574562</v>
      </c>
      <c r="G57" s="57" t="n">
        <f aca="false">IF(G56&gt;0,Volumes!G12+G52/(G56*1000),"n/a")</f>
        <v>42348.1885171319</v>
      </c>
    </row>
    <row r="58" customFormat="false" ht="15" hidden="false" customHeight="false" outlineLevel="0" collapsed="false">
      <c r="A58" s="7" t="s">
        <v>781</v>
      </c>
      <c r="B58" s="8" t="s">
        <v>71</v>
      </c>
      <c r="C58" s="55" t="n">
        <f aca="false">C52/(Pessoal!C36+Custos!C107+Custos!C108)</f>
        <v>0.988127343113512</v>
      </c>
      <c r="D58" s="55" t="n">
        <f aca="false">D52/(Pessoal!D36+Custos!D107+Custos!D108)</f>
        <v>0.973023859650716</v>
      </c>
      <c r="E58" s="55" t="n">
        <f aca="false">E52/(Pessoal!E36+Custos!E107+Custos!E108)</f>
        <v>0.902941824466644</v>
      </c>
      <c r="F58" s="55" t="n">
        <f aca="false">F52/(Pessoal!F36+Custos!F107+Custos!F108)</f>
        <v>0.838343906683493</v>
      </c>
      <c r="G58" s="55" t="n">
        <f aca="false">G52/(Pessoal!G36+Custos!G107+Custos!G108)</f>
        <v>0.781458857228551</v>
      </c>
    </row>
    <row r="59" customFormat="false" ht="15" hidden="false" customHeight="false" outlineLevel="0" collapsed="false">
      <c r="A59" s="2" t="s">
        <v>782</v>
      </c>
      <c r="B59" s="8" t="s">
        <v>71</v>
      </c>
      <c r="C59" s="56" t="n">
        <f aca="false">Pressupostos!$C$99*Pressupostos!$C$100+Pressupostos!$C$101-Pressupostos!$G$30*Pressupostos!$C$102*Pressupostos!$C$100/(Pressupostos!$C$103*Pressupostos!$C$104)</f>
        <v>0.00354285714285715</v>
      </c>
      <c r="D59" s="56" t="n">
        <f aca="false">Pressupostos!$C$99*Pressupostos!$C$100+Pressupostos!$C$101-Pressupostos!$G$30*Pressupostos!$C$102*Pressupostos!$C$100/(Pressupostos!$C$103*Pressupostos!$C$104)</f>
        <v>0.00354285714285715</v>
      </c>
      <c r="E59" s="56" t="n">
        <f aca="false">Pressupostos!$C$99*Pressupostos!$C$100+Pressupostos!$C$101-Pressupostos!$G$30*Pressupostos!$C$102*Pressupostos!$C$100/(Pressupostos!$C$103*Pressupostos!$C$104)</f>
        <v>0.00354285714285715</v>
      </c>
      <c r="F59" s="56" t="n">
        <f aca="false">Pressupostos!$C$99*Pressupostos!$C$100+Pressupostos!$C$101-Pressupostos!$G$30*Pressupostos!$C$102*Pressupostos!$C$100/(Pressupostos!$C$103*Pressupostos!$C$104)</f>
        <v>0.00354285714285715</v>
      </c>
      <c r="G59" s="56" t="n">
        <f aca="false">Pressupostos!$C$99*Pressupostos!$C$100+Pressupostos!$C$101-Pressupostos!$G$30*Pressupostos!$C$102*Pressupostos!$C$100/(Pressupostos!$C$103*Pressupostos!$C$104)</f>
        <v>0.00354285714285715</v>
      </c>
    </row>
    <row r="60" customFormat="false" ht="15" hidden="false" customHeight="false" outlineLevel="0" collapsed="false">
      <c r="A60" s="7" t="s">
        <v>783</v>
      </c>
      <c r="B60" s="8" t="s">
        <v>10</v>
      </c>
      <c r="C60" s="58" t="n">
        <f aca="false">IF(C59&gt;0,Volumes!C26+C52/C59,"n/a")</f>
        <v>200808958.178441</v>
      </c>
      <c r="D60" s="58" t="n">
        <f aca="false">IF(D59&gt;0,Volumes!D26+D52/D59,"n/a")</f>
        <v>226705417.207523</v>
      </c>
      <c r="E60" s="58" t="n">
        <f aca="false">IF(E59&gt;0,Volumes!E26+E52/E59,"n/a")</f>
        <v>275264916.657368</v>
      </c>
      <c r="F60" s="58" t="n">
        <f aca="false">IF(F59&gt;0,Volumes!F26+F52/F59,"n/a")</f>
        <v>311834428.300452</v>
      </c>
      <c r="G60" s="58" t="n">
        <f aca="false">IF(G59&gt;0,Volumes!G26+G52/G59,"n/a")</f>
        <v>349348035.329602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A1E"/>
    <pageSetUpPr fitToPage="false"/>
  </sheetPr>
  <dimension ref="A1:H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6"/>
    <col collapsed="false" customWidth="true" hidden="false" outlineLevel="0" max="7" min="3" style="0" width="20"/>
    <col collapsed="false" customWidth="true" hidden="false" outlineLevel="0" max="8" min="8" style="0" width="100"/>
  </cols>
  <sheetData>
    <row r="1" customFormat="false" ht="17.35" hidden="false" customHeight="false" outlineLevel="0" collapsed="false">
      <c r="A1" s="1" t="s">
        <v>784</v>
      </c>
    </row>
    <row r="2" customFormat="false" ht="15" hidden="false" customHeight="false" outlineLevel="0" collapsed="false">
      <c r="A2" s="2" t="s">
        <v>785</v>
      </c>
    </row>
    <row r="4" customFormat="false" ht="15" hidden="false" customHeight="false" outlineLevel="0" collapsed="false">
      <c r="A4" s="3" t="s">
        <v>786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3</v>
      </c>
      <c r="B5" s="5" t="s">
        <v>787</v>
      </c>
      <c r="C5" s="6" t="s">
        <v>366</v>
      </c>
      <c r="D5" s="6" t="s">
        <v>367</v>
      </c>
      <c r="E5" s="6" t="s">
        <v>368</v>
      </c>
      <c r="F5" s="6" t="s">
        <v>369</v>
      </c>
      <c r="G5" s="6" t="s">
        <v>370</v>
      </c>
      <c r="H5" s="6" t="s">
        <v>4</v>
      </c>
    </row>
    <row r="6" customFormat="false" ht="15" hidden="false" customHeight="false" outlineLevel="0" collapsed="false">
      <c r="A6" s="10" t="s">
        <v>788</v>
      </c>
      <c r="B6" s="8" t="s">
        <v>5</v>
      </c>
      <c r="C6" s="79" t="n">
        <f aca="false">Motor!C14</f>
        <v>40</v>
      </c>
      <c r="D6" s="79" t="n">
        <f aca="false">Motor!D14</f>
        <v>150</v>
      </c>
      <c r="E6" s="79" t="n">
        <f aca="false">Motor!E14</f>
        <v>300</v>
      </c>
      <c r="F6" s="79" t="n">
        <f aca="false">Motor!F14</f>
        <v>450</v>
      </c>
      <c r="G6" s="79" t="n">
        <f aca="false">Motor!G14</f>
        <v>600</v>
      </c>
      <c r="H6" s="8" t="s">
        <v>112</v>
      </c>
    </row>
    <row r="7" customFormat="false" ht="15" hidden="false" customHeight="false" outlineLevel="0" collapsed="false">
      <c r="A7" s="7"/>
      <c r="B7" s="8" t="s">
        <v>6</v>
      </c>
      <c r="C7" s="79" t="n">
        <f aca="false">Motor!C324</f>
        <v>60</v>
      </c>
      <c r="D7" s="79" t="n">
        <f aca="false">Motor!D324</f>
        <v>400</v>
      </c>
      <c r="E7" s="79" t="n">
        <f aca="false">Motor!E324</f>
        <v>850</v>
      </c>
      <c r="F7" s="79" t="n">
        <f aca="false">Motor!F324</f>
        <v>1450</v>
      </c>
      <c r="G7" s="79" t="n">
        <f aca="false">Motor!G324</f>
        <v>2200</v>
      </c>
      <c r="H7" s="8" t="s">
        <v>112</v>
      </c>
    </row>
    <row r="8" customFormat="false" ht="15" hidden="false" customHeight="false" outlineLevel="0" collapsed="false">
      <c r="A8" s="7"/>
      <c r="B8" s="8" t="s">
        <v>7</v>
      </c>
      <c r="C8" s="79" t="n">
        <f aca="false">Motor!C634</f>
        <v>80</v>
      </c>
      <c r="D8" s="79" t="n">
        <f aca="false">Motor!D634</f>
        <v>650</v>
      </c>
      <c r="E8" s="79" t="n">
        <f aca="false">Motor!E634</f>
        <v>1300</v>
      </c>
      <c r="F8" s="79" t="n">
        <f aca="false">Motor!F634</f>
        <v>2200</v>
      </c>
      <c r="G8" s="79" t="n">
        <f aca="false">Motor!G634</f>
        <v>3300</v>
      </c>
      <c r="H8" s="8" t="s">
        <v>112</v>
      </c>
    </row>
    <row r="9" customFormat="false" ht="15" hidden="false" customHeight="false" outlineLevel="0" collapsed="false">
      <c r="A9" s="80"/>
      <c r="B9" s="3" t="s">
        <v>8</v>
      </c>
      <c r="C9" s="81" t="n">
        <f aca="false">Motor!C944</f>
        <v>60.2</v>
      </c>
      <c r="D9" s="81" t="n">
        <f aca="false">Motor!D944</f>
        <v>893.75</v>
      </c>
      <c r="E9" s="81" t="n">
        <f aca="false">Motor!E944</f>
        <v>2299</v>
      </c>
      <c r="F9" s="81" t="n">
        <f aca="false">Motor!F944</f>
        <v>3826.5</v>
      </c>
      <c r="G9" s="81" t="n">
        <f aca="false">Motor!G944</f>
        <v>5495</v>
      </c>
      <c r="H9" s="82" t="s">
        <v>112</v>
      </c>
    </row>
    <row r="10" customFormat="false" ht="15" hidden="false" customHeight="false" outlineLevel="0" collapsed="false">
      <c r="A10" s="10" t="s">
        <v>789</v>
      </c>
      <c r="B10" s="8" t="s">
        <v>5</v>
      </c>
      <c r="C10" s="9" t="n">
        <f aca="false">Motor!C107</f>
        <v>188160</v>
      </c>
      <c r="D10" s="9" t="n">
        <f aca="false">Motor!D107</f>
        <v>643860</v>
      </c>
      <c r="E10" s="9" t="n">
        <f aca="false">Motor!E107</f>
        <v>1372160</v>
      </c>
      <c r="F10" s="9" t="n">
        <f aca="false">Motor!F107</f>
        <v>2101120</v>
      </c>
      <c r="G10" s="9" t="n">
        <f aca="false">Motor!G107</f>
        <v>2823480</v>
      </c>
      <c r="H10" s="8" t="s">
        <v>10</v>
      </c>
    </row>
    <row r="11" customFormat="false" ht="15" hidden="false" customHeight="false" outlineLevel="0" collapsed="false">
      <c r="A11" s="7"/>
      <c r="B11" s="8" t="s">
        <v>6</v>
      </c>
      <c r="C11" s="9" t="n">
        <f aca="false">Motor!C417</f>
        <v>307380</v>
      </c>
      <c r="D11" s="9" t="n">
        <f aca="false">Motor!D417</f>
        <v>1929195</v>
      </c>
      <c r="E11" s="9" t="n">
        <f aca="false">Motor!E417</f>
        <v>4300755</v>
      </c>
      <c r="F11" s="9" t="n">
        <f aca="false">Motor!F417</f>
        <v>7352745</v>
      </c>
      <c r="G11" s="9" t="n">
        <f aca="false">Motor!G417</f>
        <v>11142350</v>
      </c>
      <c r="H11" s="8" t="s">
        <v>10</v>
      </c>
    </row>
    <row r="12" customFormat="false" ht="15" hidden="false" customHeight="false" outlineLevel="0" collapsed="false">
      <c r="A12" s="7"/>
      <c r="B12" s="8" t="s">
        <v>7</v>
      </c>
      <c r="C12" s="9" t="n">
        <f aca="false">Motor!C727</f>
        <v>417600</v>
      </c>
      <c r="D12" s="9" t="n">
        <f aca="false">Motor!D727</f>
        <v>3353800</v>
      </c>
      <c r="E12" s="9" t="n">
        <f aca="false">Motor!E727</f>
        <v>6832000</v>
      </c>
      <c r="F12" s="9" t="n">
        <f aca="false">Motor!F727</f>
        <v>11648000</v>
      </c>
      <c r="G12" s="9" t="n">
        <f aca="false">Motor!G727</f>
        <v>17469500</v>
      </c>
      <c r="H12" s="8" t="s">
        <v>10</v>
      </c>
    </row>
    <row r="13" customFormat="false" ht="15" hidden="false" customHeight="false" outlineLevel="0" collapsed="false">
      <c r="A13" s="80"/>
      <c r="B13" s="3" t="s">
        <v>8</v>
      </c>
      <c r="C13" s="83" t="n">
        <f aca="false">Motor!C1037</f>
        <v>285400</v>
      </c>
      <c r="D13" s="83" t="n">
        <f aca="false">Motor!D1037</f>
        <v>3642850</v>
      </c>
      <c r="E13" s="83" t="n">
        <f aca="false">Motor!E1037</f>
        <v>9205650</v>
      </c>
      <c r="F13" s="83" t="n">
        <f aca="false">Motor!F1037</f>
        <v>15491350</v>
      </c>
      <c r="G13" s="83" t="n">
        <f aca="false">Motor!G1037</f>
        <v>22483000</v>
      </c>
      <c r="H13" s="82" t="s">
        <v>10</v>
      </c>
    </row>
    <row r="14" customFormat="false" ht="15" hidden="false" customHeight="false" outlineLevel="0" collapsed="false">
      <c r="A14" s="10" t="s">
        <v>584</v>
      </c>
      <c r="B14" s="8" t="s">
        <v>5</v>
      </c>
      <c r="C14" s="9" t="n">
        <f aca="false">Motor!C105</f>
        <v>172122</v>
      </c>
      <c r="D14" s="9" t="n">
        <f aca="false">Motor!D105</f>
        <v>643860</v>
      </c>
      <c r="E14" s="9" t="n">
        <f aca="false">Motor!E105</f>
        <v>1372160</v>
      </c>
      <c r="F14" s="9" t="n">
        <f aca="false">Motor!F105</f>
        <v>2111120</v>
      </c>
      <c r="G14" s="9" t="n">
        <f aca="false">Motor!G105</f>
        <v>2843480</v>
      </c>
      <c r="H14" s="8" t="s">
        <v>10</v>
      </c>
    </row>
    <row r="15" customFormat="false" ht="15" hidden="false" customHeight="false" outlineLevel="0" collapsed="false">
      <c r="A15" s="7"/>
      <c r="B15" s="8" t="s">
        <v>6</v>
      </c>
      <c r="C15" s="9" t="n">
        <f aca="false">Motor!C415</f>
        <v>267690</v>
      </c>
      <c r="D15" s="9" t="n">
        <f aca="false">Motor!D415</f>
        <v>1780435</v>
      </c>
      <c r="E15" s="9" t="n">
        <f aca="false">Motor!E415</f>
        <v>4066155</v>
      </c>
      <c r="F15" s="9" t="n">
        <f aca="false">Motor!F415</f>
        <v>7052305</v>
      </c>
      <c r="G15" s="9" t="n">
        <f aca="false">Motor!G415</f>
        <v>10796070</v>
      </c>
      <c r="H15" s="8" t="s">
        <v>10</v>
      </c>
    </row>
    <row r="16" customFormat="false" ht="15" hidden="false" customHeight="false" outlineLevel="0" collapsed="false">
      <c r="A16" s="7"/>
      <c r="B16" s="8" t="s">
        <v>7</v>
      </c>
      <c r="C16" s="9" t="n">
        <f aca="false">Motor!C725</f>
        <v>370458</v>
      </c>
      <c r="D16" s="9" t="n">
        <f aca="false">Motor!D725</f>
        <v>3164280</v>
      </c>
      <c r="E16" s="9" t="n">
        <f aca="false">Motor!E725</f>
        <v>6509150</v>
      </c>
      <c r="F16" s="9" t="n">
        <f aca="false">Motor!F725</f>
        <v>11221820</v>
      </c>
      <c r="G16" s="9" t="n">
        <f aca="false">Motor!G725</f>
        <v>16943800</v>
      </c>
      <c r="H16" s="8" t="s">
        <v>10</v>
      </c>
    </row>
    <row r="17" customFormat="false" ht="15" hidden="false" customHeight="false" outlineLevel="0" collapsed="false">
      <c r="A17" s="80"/>
      <c r="B17" s="3" t="s">
        <v>8</v>
      </c>
      <c r="C17" s="83" t="n">
        <f aca="false">Motor!C1035</f>
        <v>275874.4</v>
      </c>
      <c r="D17" s="83" t="n">
        <f aca="false">Motor!D1035</f>
        <v>3617129</v>
      </c>
      <c r="E17" s="83" t="n">
        <f aca="false">Motor!E1035</f>
        <v>9140394</v>
      </c>
      <c r="F17" s="83" t="n">
        <f aca="false">Motor!F1035</f>
        <v>15394652</v>
      </c>
      <c r="G17" s="83" t="n">
        <f aca="false">Motor!G1035</f>
        <v>22374860</v>
      </c>
      <c r="H17" s="82" t="s">
        <v>10</v>
      </c>
    </row>
    <row r="18" customFormat="false" ht="15" hidden="false" customHeight="false" outlineLevel="0" collapsed="false">
      <c r="A18" s="10" t="s">
        <v>790</v>
      </c>
      <c r="B18" s="8" t="s">
        <v>5</v>
      </c>
      <c r="C18" s="9" t="n">
        <f aca="false">Motor!C96</f>
        <v>29160</v>
      </c>
      <c r="D18" s="9" t="n">
        <f aca="false">Motor!D96</f>
        <v>102060</v>
      </c>
      <c r="E18" s="9" t="n">
        <f aca="false">Motor!E96</f>
        <v>247860</v>
      </c>
      <c r="F18" s="9" t="n">
        <f aca="false">Motor!F96</f>
        <v>398520</v>
      </c>
      <c r="G18" s="9" t="n">
        <f aca="false">Motor!G96</f>
        <v>500580</v>
      </c>
      <c r="H18" s="8" t="s">
        <v>10</v>
      </c>
    </row>
    <row r="19" customFormat="false" ht="15" hidden="false" customHeight="false" outlineLevel="0" collapsed="false">
      <c r="A19" s="7"/>
      <c r="B19" s="8" t="s">
        <v>6</v>
      </c>
      <c r="C19" s="9" t="n">
        <f aca="false">Motor!C406</f>
        <v>40680</v>
      </c>
      <c r="D19" s="9" t="n">
        <f aca="false">Motor!D406</f>
        <v>188145</v>
      </c>
      <c r="E19" s="9" t="n">
        <f aca="false">Motor!E406</f>
        <v>676305</v>
      </c>
      <c r="F19" s="9" t="n">
        <f aca="false">Motor!F406</f>
        <v>1357695</v>
      </c>
      <c r="G19" s="9" t="n">
        <f aca="false">Motor!G406</f>
        <v>2084850</v>
      </c>
      <c r="H19" s="8" t="s">
        <v>10</v>
      </c>
    </row>
    <row r="20" customFormat="false" ht="15" hidden="false" customHeight="false" outlineLevel="0" collapsed="false">
      <c r="A20" s="7"/>
      <c r="B20" s="8" t="s">
        <v>7</v>
      </c>
      <c r="C20" s="9" t="n">
        <f aca="false">Motor!C716</f>
        <v>54000</v>
      </c>
      <c r="D20" s="9" t="n">
        <f aca="false">Motor!D716</f>
        <v>334800</v>
      </c>
      <c r="E20" s="9" t="n">
        <f aca="false">Motor!E716</f>
        <v>1107000</v>
      </c>
      <c r="F20" s="9" t="n">
        <f aca="false">Motor!F716</f>
        <v>2214000</v>
      </c>
      <c r="G20" s="9" t="n">
        <f aca="false">Motor!G716</f>
        <v>3321000</v>
      </c>
      <c r="H20" s="8" t="s">
        <v>10</v>
      </c>
    </row>
    <row r="21" customFormat="false" ht="15" hidden="false" customHeight="false" outlineLevel="0" collapsed="false">
      <c r="A21" s="80"/>
      <c r="B21" s="3" t="s">
        <v>8</v>
      </c>
      <c r="C21" s="83" t="n">
        <f aca="false">Motor!C1026</f>
        <v>44280</v>
      </c>
      <c r="D21" s="83" t="n">
        <f aca="false">Motor!D1026</f>
        <v>166050</v>
      </c>
      <c r="E21" s="83" t="n">
        <f aca="false">Motor!E1026</f>
        <v>442800</v>
      </c>
      <c r="F21" s="83" t="n">
        <f aca="false">Motor!F1026</f>
        <v>774900</v>
      </c>
      <c r="G21" s="83" t="n">
        <f aca="false">Motor!G1026</f>
        <v>1107000</v>
      </c>
      <c r="H21" s="82" t="s">
        <v>10</v>
      </c>
    </row>
    <row r="22" customFormat="false" ht="15" hidden="false" customHeight="false" outlineLevel="0" collapsed="false">
      <c r="A22" s="10" t="s">
        <v>791</v>
      </c>
      <c r="B22" s="8" t="s">
        <v>5</v>
      </c>
      <c r="C22" s="9" t="n">
        <f aca="false">Motor!C97</f>
        <v>142800</v>
      </c>
      <c r="D22" s="9" t="n">
        <f aca="false">Motor!D97</f>
        <v>541800</v>
      </c>
      <c r="E22" s="9" t="n">
        <f aca="false">Motor!E97</f>
        <v>1045800</v>
      </c>
      <c r="F22" s="9" t="n">
        <f aca="false">Motor!F97</f>
        <v>1545600</v>
      </c>
      <c r="G22" s="9" t="n">
        <f aca="false">Motor!G97</f>
        <v>2087400</v>
      </c>
      <c r="H22" s="8" t="s">
        <v>10</v>
      </c>
    </row>
    <row r="23" customFormat="false" ht="15" hidden="false" customHeight="false" outlineLevel="0" collapsed="false">
      <c r="A23" s="7"/>
      <c r="B23" s="8" t="s">
        <v>6</v>
      </c>
      <c r="C23" s="9" t="n">
        <f aca="false">Motor!C407</f>
        <v>226200</v>
      </c>
      <c r="D23" s="9" t="n">
        <f aca="false">Motor!D407</f>
        <v>1579050</v>
      </c>
      <c r="E23" s="9" t="n">
        <f aca="false">Motor!E407</f>
        <v>3118950</v>
      </c>
      <c r="F23" s="9" t="n">
        <f aca="false">Motor!F407</f>
        <v>5146050</v>
      </c>
      <c r="G23" s="9" t="n">
        <f aca="false">Motor!G407</f>
        <v>7786500</v>
      </c>
      <c r="H23" s="8" t="s">
        <v>10</v>
      </c>
    </row>
    <row r="24" customFormat="false" ht="15" hidden="false" customHeight="false" outlineLevel="0" collapsed="false">
      <c r="A24" s="7"/>
      <c r="B24" s="8" t="s">
        <v>7</v>
      </c>
      <c r="C24" s="9" t="n">
        <f aca="false">Motor!C717</f>
        <v>315000</v>
      </c>
      <c r="D24" s="9" t="n">
        <f aca="false">Motor!D717</f>
        <v>2646000</v>
      </c>
      <c r="E24" s="9" t="n">
        <f aca="false">Motor!E717</f>
        <v>4927500</v>
      </c>
      <c r="F24" s="9" t="n">
        <f aca="false">Motor!F717</f>
        <v>8055000</v>
      </c>
      <c r="G24" s="9" t="n">
        <f aca="false">Motor!G717</f>
        <v>12082500</v>
      </c>
      <c r="H24" s="8" t="s">
        <v>10</v>
      </c>
    </row>
    <row r="25" customFormat="false" ht="15" hidden="false" customHeight="false" outlineLevel="0" collapsed="false">
      <c r="A25" s="80"/>
      <c r="B25" s="3" t="s">
        <v>8</v>
      </c>
      <c r="C25" s="83" t="n">
        <f aca="false">Motor!C1027</f>
        <v>231400</v>
      </c>
      <c r="D25" s="83" t="n">
        <f aca="false">Motor!D1027</f>
        <v>1615350</v>
      </c>
      <c r="E25" s="83" t="n">
        <f aca="false">Motor!E1027</f>
        <v>3190650</v>
      </c>
      <c r="F25" s="83" t="n">
        <f aca="false">Motor!F1027</f>
        <v>5264350</v>
      </c>
      <c r="G25" s="83" t="n">
        <f aca="false">Motor!G1027</f>
        <v>7965500</v>
      </c>
      <c r="H25" s="82" t="s">
        <v>10</v>
      </c>
    </row>
    <row r="26" customFormat="false" ht="15" hidden="false" customHeight="false" outlineLevel="0" collapsed="false">
      <c r="A26" s="10" t="s">
        <v>792</v>
      </c>
      <c r="B26" s="8" t="s">
        <v>5</v>
      </c>
      <c r="C26" s="9" t="n">
        <f aca="false">Motor!C98</f>
        <v>0</v>
      </c>
      <c r="D26" s="9" t="n">
        <f aca="false">Motor!D98</f>
        <v>0</v>
      </c>
      <c r="E26" s="9" t="n">
        <f aca="false">Motor!E98</f>
        <v>0</v>
      </c>
      <c r="F26" s="9" t="n">
        <f aca="false">Motor!F98</f>
        <v>0</v>
      </c>
      <c r="G26" s="9" t="n">
        <f aca="false">Motor!G98</f>
        <v>0</v>
      </c>
      <c r="H26" s="8" t="s">
        <v>10</v>
      </c>
    </row>
    <row r="27" customFormat="false" ht="15" hidden="false" customHeight="false" outlineLevel="0" collapsed="false">
      <c r="A27" s="7"/>
      <c r="B27" s="8" t="s">
        <v>6</v>
      </c>
      <c r="C27" s="9" t="n">
        <f aca="false">Motor!C408</f>
        <v>0</v>
      </c>
      <c r="D27" s="9" t="n">
        <f aca="false">Motor!D408</f>
        <v>0</v>
      </c>
      <c r="E27" s="9" t="n">
        <f aca="false">Motor!E408</f>
        <v>0</v>
      </c>
      <c r="F27" s="9" t="n">
        <f aca="false">Motor!F408</f>
        <v>0</v>
      </c>
      <c r="G27" s="9" t="n">
        <f aca="false">Motor!G408</f>
        <v>0</v>
      </c>
      <c r="H27" s="8" t="s">
        <v>10</v>
      </c>
    </row>
    <row r="28" customFormat="false" ht="15" hidden="false" customHeight="false" outlineLevel="0" collapsed="false">
      <c r="A28" s="7"/>
      <c r="B28" s="8" t="s">
        <v>7</v>
      </c>
      <c r="C28" s="9" t="n">
        <f aca="false">Motor!C718</f>
        <v>0</v>
      </c>
      <c r="D28" s="9" t="n">
        <f aca="false">Motor!D718</f>
        <v>0</v>
      </c>
      <c r="E28" s="9" t="n">
        <f aca="false">Motor!E718</f>
        <v>0</v>
      </c>
      <c r="F28" s="9" t="n">
        <f aca="false">Motor!F718</f>
        <v>0</v>
      </c>
      <c r="G28" s="9" t="n">
        <f aca="false">Motor!G718</f>
        <v>0</v>
      </c>
      <c r="H28" s="8" t="s">
        <v>10</v>
      </c>
    </row>
    <row r="29" customFormat="false" ht="15" hidden="false" customHeight="false" outlineLevel="0" collapsed="false">
      <c r="A29" s="80"/>
      <c r="B29" s="3" t="s">
        <v>8</v>
      </c>
      <c r="C29" s="83" t="n">
        <f aca="false">Motor!C1028</f>
        <v>0</v>
      </c>
      <c r="D29" s="83" t="n">
        <f aca="false">Motor!D1028</f>
        <v>1825000</v>
      </c>
      <c r="E29" s="83" t="n">
        <f aca="false">Motor!E1028</f>
        <v>5475000</v>
      </c>
      <c r="F29" s="83" t="n">
        <f aca="false">Motor!F1028</f>
        <v>9125000</v>
      </c>
      <c r="G29" s="83" t="n">
        <f aca="false">Motor!G1028</f>
        <v>12775000</v>
      </c>
      <c r="H29" s="82" t="s">
        <v>10</v>
      </c>
    </row>
    <row r="30" customFormat="false" ht="15" hidden="false" customHeight="false" outlineLevel="0" collapsed="false">
      <c r="A30" s="10" t="s">
        <v>793</v>
      </c>
      <c r="B30" s="8" t="s">
        <v>5</v>
      </c>
      <c r="C30" s="9" t="n">
        <f aca="false">Motor!C100</f>
        <v>0</v>
      </c>
      <c r="D30" s="9" t="n">
        <f aca="false">Motor!D100</f>
        <v>0</v>
      </c>
      <c r="E30" s="9" t="n">
        <f aca="false">Motor!E100</f>
        <v>78500</v>
      </c>
      <c r="F30" s="9" t="n">
        <f aca="false">Motor!F100</f>
        <v>157000</v>
      </c>
      <c r="G30" s="9" t="n">
        <f aca="false">Motor!G100</f>
        <v>235500</v>
      </c>
      <c r="H30" s="8" t="s">
        <v>10</v>
      </c>
    </row>
    <row r="31" customFormat="false" ht="15" hidden="false" customHeight="false" outlineLevel="0" collapsed="false">
      <c r="A31" s="7"/>
      <c r="B31" s="8" t="s">
        <v>6</v>
      </c>
      <c r="C31" s="9" t="n">
        <f aca="false">Motor!C410</f>
        <v>0</v>
      </c>
      <c r="D31" s="9" t="n">
        <f aca="false">Motor!D410</f>
        <v>0</v>
      </c>
      <c r="E31" s="9" t="n">
        <f aca="false">Motor!E410</f>
        <v>235500</v>
      </c>
      <c r="F31" s="9" t="n">
        <f aca="false">Motor!F410</f>
        <v>471000</v>
      </c>
      <c r="G31" s="9" t="n">
        <f aca="false">Motor!G410</f>
        <v>785000</v>
      </c>
      <c r="H31" s="8" t="s">
        <v>10</v>
      </c>
    </row>
    <row r="32" customFormat="false" ht="15" hidden="false" customHeight="false" outlineLevel="0" collapsed="false">
      <c r="A32" s="7"/>
      <c r="B32" s="8" t="s">
        <v>7</v>
      </c>
      <c r="C32" s="9" t="n">
        <f aca="false">Motor!C720</f>
        <v>0</v>
      </c>
      <c r="D32" s="9" t="n">
        <f aca="false">Motor!D720</f>
        <v>157000</v>
      </c>
      <c r="E32" s="9" t="n">
        <f aca="false">Motor!E720</f>
        <v>392500</v>
      </c>
      <c r="F32" s="9" t="n">
        <f aca="false">Motor!F720</f>
        <v>785000</v>
      </c>
      <c r="G32" s="9" t="n">
        <f aca="false">Motor!G720</f>
        <v>1256000</v>
      </c>
      <c r="H32" s="8" t="s">
        <v>10</v>
      </c>
    </row>
    <row r="33" customFormat="false" ht="15" hidden="false" customHeight="false" outlineLevel="0" collapsed="false">
      <c r="A33" s="80"/>
      <c r="B33" s="3" t="s">
        <v>8</v>
      </c>
      <c r="C33" s="83" t="n">
        <f aca="false">Motor!C1030</f>
        <v>0</v>
      </c>
      <c r="D33" s="83" t="n">
        <f aca="false">Motor!D1030</f>
        <v>0</v>
      </c>
      <c r="E33" s="83" t="n">
        <f aca="false">Motor!E1030</f>
        <v>0</v>
      </c>
      <c r="F33" s="83" t="n">
        <f aca="false">Motor!F1030</f>
        <v>157000</v>
      </c>
      <c r="G33" s="83" t="n">
        <f aca="false">Motor!G1030</f>
        <v>392500</v>
      </c>
      <c r="H33" s="82" t="s">
        <v>10</v>
      </c>
    </row>
    <row r="34" customFormat="false" ht="15" hidden="false" customHeight="false" outlineLevel="0" collapsed="false">
      <c r="A34" s="10" t="s">
        <v>794</v>
      </c>
      <c r="B34" s="8" t="s">
        <v>5</v>
      </c>
      <c r="C34" s="9" t="n">
        <f aca="false">Motor!C102</f>
        <v>162</v>
      </c>
      <c r="D34" s="9" t="n">
        <f aca="false">Motor!D102</f>
        <v>0</v>
      </c>
      <c r="E34" s="9" t="n">
        <f aca="false">Motor!E102</f>
        <v>0</v>
      </c>
      <c r="F34" s="9" t="n">
        <f aca="false">Motor!F102</f>
        <v>0</v>
      </c>
      <c r="G34" s="9" t="n">
        <f aca="false">Motor!G102</f>
        <v>0</v>
      </c>
      <c r="H34" s="8" t="s">
        <v>10</v>
      </c>
    </row>
    <row r="35" customFormat="false" ht="15" hidden="false" customHeight="false" outlineLevel="0" collapsed="false">
      <c r="A35" s="7"/>
      <c r="B35" s="8" t="s">
        <v>6</v>
      </c>
      <c r="C35" s="9" t="n">
        <f aca="false">Motor!C412</f>
        <v>810</v>
      </c>
      <c r="D35" s="9" t="n">
        <f aca="false">Motor!D412</f>
        <v>3240</v>
      </c>
      <c r="E35" s="9" t="n">
        <f aca="false">Motor!E412</f>
        <v>5400</v>
      </c>
      <c r="F35" s="9" t="n">
        <f aca="false">Motor!F412</f>
        <v>7560</v>
      </c>
      <c r="G35" s="9" t="n">
        <f aca="false">Motor!G412</f>
        <v>9720</v>
      </c>
      <c r="H35" s="8" t="s">
        <v>10</v>
      </c>
    </row>
    <row r="36" customFormat="false" ht="15" hidden="false" customHeight="false" outlineLevel="0" collapsed="false">
      <c r="A36" s="7"/>
      <c r="B36" s="8" t="s">
        <v>7</v>
      </c>
      <c r="C36" s="9" t="n">
        <f aca="false">Motor!C722</f>
        <v>1458</v>
      </c>
      <c r="D36" s="9" t="n">
        <f aca="false">Motor!D722</f>
        <v>6480</v>
      </c>
      <c r="E36" s="9" t="n">
        <f aca="false">Motor!E722</f>
        <v>12150</v>
      </c>
      <c r="F36" s="9" t="n">
        <f aca="false">Motor!F722</f>
        <v>17820</v>
      </c>
      <c r="G36" s="9" t="n">
        <f aca="false">Motor!G722</f>
        <v>24300</v>
      </c>
      <c r="H36" s="8" t="s">
        <v>10</v>
      </c>
    </row>
    <row r="37" customFormat="false" ht="15" hidden="false" customHeight="false" outlineLevel="0" collapsed="false">
      <c r="A37" s="80"/>
      <c r="B37" s="3" t="s">
        <v>8</v>
      </c>
      <c r="C37" s="83" t="n">
        <f aca="false">Motor!C1032</f>
        <v>194.4</v>
      </c>
      <c r="D37" s="83" t="n">
        <f aca="false">Motor!D1032</f>
        <v>729</v>
      </c>
      <c r="E37" s="83" t="n">
        <f aca="false">Motor!E1032</f>
        <v>1944</v>
      </c>
      <c r="F37" s="83" t="n">
        <f aca="false">Motor!F1032</f>
        <v>3402</v>
      </c>
      <c r="G37" s="83" t="n">
        <f aca="false">Motor!G1032</f>
        <v>4860</v>
      </c>
      <c r="H37" s="82" t="s">
        <v>10</v>
      </c>
    </row>
    <row r="38" customFormat="false" ht="15" hidden="false" customHeight="false" outlineLevel="0" collapsed="false">
      <c r="A38" s="10" t="s">
        <v>795</v>
      </c>
      <c r="B38" s="8" t="s">
        <v>5</v>
      </c>
      <c r="C38" s="9" t="n">
        <f aca="false">Motor!C103</f>
        <v>0</v>
      </c>
      <c r="D38" s="9" t="n">
        <f aca="false">Motor!D103</f>
        <v>0</v>
      </c>
      <c r="E38" s="9" t="n">
        <f aca="false">Motor!E103</f>
        <v>0</v>
      </c>
      <c r="F38" s="9" t="n">
        <f aca="false">Motor!F103</f>
        <v>10000</v>
      </c>
      <c r="G38" s="9" t="n">
        <f aca="false">Motor!G103</f>
        <v>20000</v>
      </c>
      <c r="H38" s="8" t="s">
        <v>10</v>
      </c>
    </row>
    <row r="39" customFormat="false" ht="15" hidden="false" customHeight="false" outlineLevel="0" collapsed="false">
      <c r="A39" s="7"/>
      <c r="B39" s="8" t="s">
        <v>6</v>
      </c>
      <c r="C39" s="9" t="n">
        <f aca="false">Motor!C413</f>
        <v>0</v>
      </c>
      <c r="D39" s="9" t="n">
        <f aca="false">Motor!D413</f>
        <v>10000</v>
      </c>
      <c r="E39" s="9" t="n">
        <f aca="false">Motor!E413</f>
        <v>30000</v>
      </c>
      <c r="F39" s="9" t="n">
        <f aca="false">Motor!F413</f>
        <v>60000</v>
      </c>
      <c r="G39" s="9" t="n">
        <f aca="false">Motor!G413</f>
        <v>100000</v>
      </c>
      <c r="H39" s="8" t="s">
        <v>10</v>
      </c>
    </row>
    <row r="40" customFormat="false" ht="15" hidden="false" customHeight="false" outlineLevel="0" collapsed="false">
      <c r="A40" s="7"/>
      <c r="B40" s="8" t="s">
        <v>7</v>
      </c>
      <c r="C40" s="9" t="n">
        <f aca="false">Motor!C723</f>
        <v>0</v>
      </c>
      <c r="D40" s="9" t="n">
        <f aca="false">Motor!D723</f>
        <v>20000</v>
      </c>
      <c r="E40" s="9" t="n">
        <f aca="false">Motor!E723</f>
        <v>60000</v>
      </c>
      <c r="F40" s="9" t="n">
        <f aca="false">Motor!F723</f>
        <v>120000</v>
      </c>
      <c r="G40" s="9" t="n">
        <f aca="false">Motor!G723</f>
        <v>200000</v>
      </c>
      <c r="H40" s="8" t="s">
        <v>10</v>
      </c>
    </row>
    <row r="41" customFormat="false" ht="15" hidden="false" customHeight="false" outlineLevel="0" collapsed="false">
      <c r="A41" s="80"/>
      <c r="B41" s="3" t="s">
        <v>8</v>
      </c>
      <c r="C41" s="83" t="n">
        <f aca="false">Motor!C1033</f>
        <v>0</v>
      </c>
      <c r="D41" s="83" t="n">
        <f aca="false">Motor!D1033</f>
        <v>10000</v>
      </c>
      <c r="E41" s="83" t="n">
        <f aca="false">Motor!E1033</f>
        <v>30000</v>
      </c>
      <c r="F41" s="83" t="n">
        <f aca="false">Motor!F1033</f>
        <v>60000</v>
      </c>
      <c r="G41" s="83" t="n">
        <f aca="false">Motor!G1033</f>
        <v>100000</v>
      </c>
      <c r="H41" s="82" t="s">
        <v>10</v>
      </c>
    </row>
    <row r="42" customFormat="false" ht="15" hidden="false" customHeight="false" outlineLevel="0" collapsed="false">
      <c r="A42" s="10" t="s">
        <v>796</v>
      </c>
      <c r="B42" s="8" t="s">
        <v>5</v>
      </c>
      <c r="C42" s="9" t="n">
        <f aca="false">Motor!C104</f>
        <v>0</v>
      </c>
      <c r="D42" s="9" t="n">
        <f aca="false">Motor!D104</f>
        <v>0</v>
      </c>
      <c r="E42" s="9" t="n">
        <f aca="false">Motor!E104</f>
        <v>0</v>
      </c>
      <c r="F42" s="9" t="n">
        <f aca="false">Motor!F104</f>
        <v>0</v>
      </c>
      <c r="G42" s="9" t="n">
        <f aca="false">Motor!G104</f>
        <v>0</v>
      </c>
      <c r="H42" s="8" t="s">
        <v>10</v>
      </c>
    </row>
    <row r="43" customFormat="false" ht="15" hidden="false" customHeight="false" outlineLevel="0" collapsed="false">
      <c r="A43" s="7"/>
      <c r="B43" s="8" t="s">
        <v>6</v>
      </c>
      <c r="C43" s="9" t="n">
        <f aca="false">Motor!C414</f>
        <v>0</v>
      </c>
      <c r="D43" s="9" t="n">
        <f aca="false">Motor!D414</f>
        <v>0</v>
      </c>
      <c r="E43" s="9" t="n">
        <f aca="false">Motor!E414</f>
        <v>0</v>
      </c>
      <c r="F43" s="9" t="n">
        <f aca="false">Motor!F414</f>
        <v>10000</v>
      </c>
      <c r="G43" s="9" t="n">
        <f aca="false">Motor!G414</f>
        <v>30000</v>
      </c>
      <c r="H43" s="8" t="s">
        <v>10</v>
      </c>
    </row>
    <row r="44" customFormat="false" ht="15" hidden="false" customHeight="false" outlineLevel="0" collapsed="false">
      <c r="A44" s="7"/>
      <c r="B44" s="8" t="s">
        <v>7</v>
      </c>
      <c r="C44" s="9" t="n">
        <f aca="false">Motor!C724</f>
        <v>0</v>
      </c>
      <c r="D44" s="9" t="n">
        <f aca="false">Motor!D724</f>
        <v>0</v>
      </c>
      <c r="E44" s="9" t="n">
        <f aca="false">Motor!E724</f>
        <v>10000</v>
      </c>
      <c r="F44" s="9" t="n">
        <f aca="false">Motor!F724</f>
        <v>30000</v>
      </c>
      <c r="G44" s="9" t="n">
        <f aca="false">Motor!G724</f>
        <v>60000</v>
      </c>
      <c r="H44" s="8" t="s">
        <v>10</v>
      </c>
    </row>
    <row r="45" customFormat="false" ht="15" hidden="false" customHeight="false" outlineLevel="0" collapsed="false">
      <c r="A45" s="80"/>
      <c r="B45" s="3" t="s">
        <v>8</v>
      </c>
      <c r="C45" s="83" t="n">
        <f aca="false">Motor!C1034</f>
        <v>0</v>
      </c>
      <c r="D45" s="83" t="n">
        <f aca="false">Motor!D1034</f>
        <v>0</v>
      </c>
      <c r="E45" s="83" t="n">
        <f aca="false">Motor!E1034</f>
        <v>0</v>
      </c>
      <c r="F45" s="83" t="n">
        <f aca="false">Motor!F1034</f>
        <v>10000</v>
      </c>
      <c r="G45" s="83" t="n">
        <f aca="false">Motor!G1034</f>
        <v>30000</v>
      </c>
      <c r="H45" s="82" t="s">
        <v>10</v>
      </c>
    </row>
    <row r="46" customFormat="false" ht="15" hidden="false" customHeight="false" outlineLevel="0" collapsed="false">
      <c r="A46" s="10" t="s">
        <v>677</v>
      </c>
      <c r="B46" s="8" t="s">
        <v>5</v>
      </c>
      <c r="C46" s="9" t="n">
        <f aca="false">Motor!C200</f>
        <v>7522</v>
      </c>
      <c r="D46" s="9" t="n">
        <f aca="false">Motor!D200</f>
        <v>26760</v>
      </c>
      <c r="E46" s="9" t="n">
        <f aca="false">Motor!E200</f>
        <v>67060</v>
      </c>
      <c r="F46" s="9" t="n">
        <f aca="false">Motor!F200</f>
        <v>117920</v>
      </c>
      <c r="G46" s="9" t="n">
        <f aca="false">Motor!G200</f>
        <v>163180</v>
      </c>
      <c r="H46" s="8" t="s">
        <v>10</v>
      </c>
    </row>
    <row r="47" customFormat="false" ht="15" hidden="false" customHeight="false" outlineLevel="0" collapsed="false">
      <c r="A47" s="7"/>
      <c r="B47" s="8" t="s">
        <v>6</v>
      </c>
      <c r="C47" s="9" t="n">
        <f aca="false">Motor!C510</f>
        <v>23890</v>
      </c>
      <c r="D47" s="9" t="n">
        <f aca="false">Motor!D510</f>
        <v>156735</v>
      </c>
      <c r="E47" s="9" t="n">
        <f aca="false">Motor!E510</f>
        <v>400355</v>
      </c>
      <c r="F47" s="9" t="n">
        <f aca="false">Motor!F510</f>
        <v>733105</v>
      </c>
      <c r="G47" s="9" t="n">
        <f aca="false">Motor!G510</f>
        <v>1145070</v>
      </c>
      <c r="H47" s="8" t="s">
        <v>10</v>
      </c>
    </row>
    <row r="48" customFormat="false" ht="15" hidden="false" customHeight="false" outlineLevel="0" collapsed="false">
      <c r="A48" s="7"/>
      <c r="B48" s="8" t="s">
        <v>7</v>
      </c>
      <c r="C48" s="9" t="n">
        <f aca="false">Motor!C820</f>
        <v>49458</v>
      </c>
      <c r="D48" s="9" t="n">
        <f aca="false">Motor!D820</f>
        <v>418080</v>
      </c>
      <c r="E48" s="9" t="n">
        <f aca="false">Motor!E820</f>
        <v>938650</v>
      </c>
      <c r="F48" s="9" t="n">
        <f aca="false">Motor!F820</f>
        <v>1680820</v>
      </c>
      <c r="G48" s="9" t="n">
        <f aca="false">Motor!G820</f>
        <v>2562300</v>
      </c>
      <c r="H48" s="8" t="s">
        <v>10</v>
      </c>
    </row>
    <row r="49" customFormat="false" ht="15" hidden="false" customHeight="false" outlineLevel="0" collapsed="false">
      <c r="A49" s="80"/>
      <c r="B49" s="3" t="s">
        <v>8</v>
      </c>
      <c r="C49" s="83" t="n">
        <f aca="false">Motor!C1130</f>
        <v>30834.4</v>
      </c>
      <c r="D49" s="83" t="n">
        <f aca="false">Motor!D1130</f>
        <v>267829</v>
      </c>
      <c r="E49" s="83" t="n">
        <f aca="false">Motor!E1130</f>
        <v>642144</v>
      </c>
      <c r="F49" s="83" t="n">
        <f aca="false">Motor!F1130</f>
        <v>1110802</v>
      </c>
      <c r="G49" s="83" t="n">
        <f aca="false">Motor!G1130</f>
        <v>1664360</v>
      </c>
      <c r="H49" s="82" t="s">
        <v>10</v>
      </c>
    </row>
    <row r="50" customFormat="false" ht="15" hidden="false" customHeight="false" outlineLevel="0" collapsed="false">
      <c r="A50" s="10" t="s">
        <v>641</v>
      </c>
      <c r="B50" s="8" t="s">
        <v>5</v>
      </c>
      <c r="C50" s="9" t="n">
        <f aca="false">Motor!C122</f>
        <v>-3800.34666666665</v>
      </c>
      <c r="D50" s="9" t="n">
        <f aca="false">Motor!D122</f>
        <v>-29750.5522113503</v>
      </c>
      <c r="E50" s="9" t="n">
        <f aca="false">Motor!E122</f>
        <v>-53805.847514677</v>
      </c>
      <c r="F50" s="9" t="n">
        <f aca="false">Motor!F122</f>
        <v>-65150.6884409653</v>
      </c>
      <c r="G50" s="9" t="n">
        <f aca="false">Motor!G122</f>
        <v>-79079.8422178733</v>
      </c>
      <c r="H50" s="8" t="s">
        <v>10</v>
      </c>
    </row>
    <row r="51" customFormat="false" ht="15" hidden="false" customHeight="false" outlineLevel="0" collapsed="false">
      <c r="A51" s="7"/>
      <c r="B51" s="8" t="s">
        <v>6</v>
      </c>
      <c r="C51" s="9" t="n">
        <f aca="false">Motor!C432</f>
        <v>8548.14191780829</v>
      </c>
      <c r="D51" s="9" t="n">
        <f aca="false">Motor!D432</f>
        <v>29287.1893933469</v>
      </c>
      <c r="E51" s="9" t="n">
        <f aca="false">Motor!E432</f>
        <v>119437.674806752</v>
      </c>
      <c r="F51" s="9" t="n">
        <f aca="false">Motor!F432</f>
        <v>236998.831736791</v>
      </c>
      <c r="G51" s="9" t="n">
        <f aca="false">Motor!G432</f>
        <v>380661.297015657</v>
      </c>
      <c r="H51" s="8" t="s">
        <v>10</v>
      </c>
    </row>
    <row r="52" customFormat="false" ht="15" hidden="false" customHeight="false" outlineLevel="0" collapsed="false">
      <c r="A52" s="7"/>
      <c r="B52" s="8" t="s">
        <v>7</v>
      </c>
      <c r="C52" s="9" t="n">
        <f aca="false">Motor!C742</f>
        <v>29375.6118721462</v>
      </c>
      <c r="D52" s="9" t="n">
        <f aca="false">Motor!D742</f>
        <v>225646.642235525</v>
      </c>
      <c r="E52" s="9" t="n">
        <f aca="false">Motor!E742</f>
        <v>530196.172959596</v>
      </c>
      <c r="F52" s="9" t="n">
        <f aca="false">Motor!F742</f>
        <v>957600.562411267</v>
      </c>
      <c r="G52" s="9" t="n">
        <f aca="false">Motor!G742</f>
        <v>1458148.74427305</v>
      </c>
      <c r="H52" s="8" t="s">
        <v>10</v>
      </c>
    </row>
    <row r="53" customFormat="false" ht="15" hidden="false" customHeight="false" outlineLevel="0" collapsed="false">
      <c r="A53" s="80"/>
      <c r="B53" s="3" t="s">
        <v>8</v>
      </c>
      <c r="C53" s="83" t="n">
        <f aca="false">Motor!C1052</f>
        <v>15340.1773972603</v>
      </c>
      <c r="D53" s="83" t="n">
        <f aca="false">Motor!D1052</f>
        <v>91070.3912671239</v>
      </c>
      <c r="E53" s="83" t="n">
        <f aca="false">Motor!E1052</f>
        <v>244474.42696918</v>
      </c>
      <c r="F53" s="83" t="n">
        <f aca="false">Motor!F1052</f>
        <v>450613.384075344</v>
      </c>
      <c r="G53" s="83" t="n">
        <f aca="false">Motor!G1052</f>
        <v>698395.68321918</v>
      </c>
      <c r="H53" s="82" t="s">
        <v>10</v>
      </c>
    </row>
    <row r="54" customFormat="false" ht="15" hidden="false" customHeight="false" outlineLevel="0" collapsed="false">
      <c r="A54" s="10" t="s">
        <v>594</v>
      </c>
      <c r="B54" s="8" t="s">
        <v>5</v>
      </c>
      <c r="C54" s="43" t="n">
        <f aca="false">Motor!C115</f>
        <v>-0.0990586666666662</v>
      </c>
      <c r="D54" s="43" t="n">
        <f aca="false">Motor!D115</f>
        <v>-0.198337014742335</v>
      </c>
      <c r="E54" s="43" t="n">
        <f aca="false">Motor!E115</f>
        <v>-0.196972322765818</v>
      </c>
      <c r="F54" s="43" t="n">
        <f aca="false">Motor!F115</f>
        <v>-0.172208479205624</v>
      </c>
      <c r="G54" s="43" t="n">
        <f aca="false">Motor!G115</f>
        <v>-0.164133745509893</v>
      </c>
      <c r="H54" s="8" t="s">
        <v>59</v>
      </c>
    </row>
    <row r="55" customFormat="false" ht="15" hidden="false" customHeight="false" outlineLevel="0" collapsed="false">
      <c r="A55" s="7"/>
      <c r="B55" s="8" t="s">
        <v>6</v>
      </c>
      <c r="C55" s="43" t="n">
        <f aca="false">Motor!C425</f>
        <v>0.128969031963471</v>
      </c>
      <c r="D55" s="43" t="n">
        <f aca="false">Motor!D425</f>
        <v>0.0606894020547957</v>
      </c>
      <c r="E55" s="43" t="n">
        <f aca="false">Motor!E425</f>
        <v>0.108495167667205</v>
      </c>
      <c r="F55" s="43" t="n">
        <f aca="false">Motor!F425</f>
        <v>0.121044137954653</v>
      </c>
      <c r="G55" s="43" t="n">
        <f aca="false">Motor!G425</f>
        <v>0.121696929171856</v>
      </c>
      <c r="H55" s="8" t="s">
        <v>59</v>
      </c>
    </row>
    <row r="56" customFormat="false" ht="15" hidden="false" customHeight="false" outlineLevel="0" collapsed="false">
      <c r="A56" s="7"/>
      <c r="B56" s="8" t="s">
        <v>7</v>
      </c>
      <c r="C56" s="43" t="n">
        <f aca="false">Motor!C735</f>
        <v>0.348970148401828</v>
      </c>
      <c r="D56" s="43" t="n">
        <f aca="false">Motor!D735</f>
        <v>0.314671467550983</v>
      </c>
      <c r="E56" s="43" t="n">
        <f aca="false">Motor!E735</f>
        <v>0.361131406743942</v>
      </c>
      <c r="F56" s="43" t="n">
        <f aca="false">Motor!F735</f>
        <v>0.378260447464167</v>
      </c>
      <c r="G56" s="43" t="n">
        <f aca="false">Motor!G735</f>
        <v>0.378260447464167</v>
      </c>
      <c r="H56" s="8" t="s">
        <v>59</v>
      </c>
    </row>
    <row r="57" customFormat="false" ht="15" hidden="false" customHeight="false" outlineLevel="0" collapsed="false">
      <c r="A57" s="80"/>
      <c r="B57" s="3" t="s">
        <v>8</v>
      </c>
      <c r="C57" s="84" t="n">
        <f aca="false">Motor!C1045</f>
        <v>0.251590986665454</v>
      </c>
      <c r="D57" s="84" t="n">
        <f aca="false">Motor!D1045</f>
        <v>0.0898924657534253</v>
      </c>
      <c r="E57" s="84" t="n">
        <f aca="false">Motor!E1045</f>
        <v>0.0924447268243495</v>
      </c>
      <c r="F57" s="84" t="n">
        <f aca="false">Motor!F1045</f>
        <v>0.095787960447063</v>
      </c>
      <c r="G57" s="84" t="n">
        <f aca="false">Motor!G1045</f>
        <v>0.0976958689094698</v>
      </c>
      <c r="H57" s="82" t="s">
        <v>59</v>
      </c>
    </row>
    <row r="58" customFormat="false" ht="15" hidden="false" customHeight="false" outlineLevel="0" collapsed="false">
      <c r="A58" s="10" t="s">
        <v>251</v>
      </c>
      <c r="B58" s="8" t="s">
        <v>5</v>
      </c>
      <c r="C58" s="9" t="n">
        <f aca="false">Motor!C171</f>
        <v>400885.59375</v>
      </c>
      <c r="D58" s="9" t="n">
        <f aca="false">Motor!D171</f>
        <v>456091.725</v>
      </c>
      <c r="E58" s="9" t="n">
        <f aca="false">Motor!E171</f>
        <v>469774.47675</v>
      </c>
      <c r="F58" s="9" t="n">
        <f aca="false">Motor!F171</f>
        <v>515877.78260875</v>
      </c>
      <c r="G58" s="9" t="n">
        <f aca="false">Motor!G171</f>
        <v>531354.116087013</v>
      </c>
      <c r="H58" s="8" t="s">
        <v>10</v>
      </c>
    </row>
    <row r="59" customFormat="false" ht="15" hidden="false" customHeight="false" outlineLevel="0" collapsed="false">
      <c r="A59" s="7"/>
      <c r="B59" s="8" t="s">
        <v>6</v>
      </c>
      <c r="C59" s="9" t="n">
        <f aca="false">Motor!C481</f>
        <v>400885.59375</v>
      </c>
      <c r="D59" s="9" t="n">
        <f aca="false">Motor!D481</f>
        <v>508017.8875</v>
      </c>
      <c r="E59" s="9" t="n">
        <f aca="false">Motor!E481</f>
        <v>667701.28525</v>
      </c>
      <c r="F59" s="9" t="n">
        <f aca="false">Motor!F481</f>
        <v>855745.92960125</v>
      </c>
      <c r="G59" s="9" t="n">
        <f aca="false">Motor!G481</f>
        <v>1042442.03916396</v>
      </c>
      <c r="H59" s="8" t="s">
        <v>10</v>
      </c>
    </row>
    <row r="60" customFormat="false" ht="15" hidden="false" customHeight="false" outlineLevel="0" collapsed="false">
      <c r="A60" s="7"/>
      <c r="B60" s="8" t="s">
        <v>7</v>
      </c>
      <c r="C60" s="9" t="n">
        <f aca="false">Motor!C791</f>
        <v>400885.59375</v>
      </c>
      <c r="D60" s="9" t="n">
        <f aca="false">Motor!D791</f>
        <v>699532.225</v>
      </c>
      <c r="E60" s="9" t="n">
        <f aca="false">Motor!E791</f>
        <v>948461.839625</v>
      </c>
      <c r="F60" s="9" t="n">
        <f aca="false">Motor!F791</f>
        <v>1229685.30445375</v>
      </c>
      <c r="G60" s="9" t="n">
        <f aca="false">Motor!G791</f>
        <v>1625549.8641068</v>
      </c>
      <c r="H60" s="8" t="s">
        <v>10</v>
      </c>
    </row>
    <row r="61" customFormat="false" ht="15" hidden="false" customHeight="false" outlineLevel="0" collapsed="false">
      <c r="A61" s="80"/>
      <c r="B61" s="3" t="s">
        <v>8</v>
      </c>
      <c r="C61" s="83" t="n">
        <f aca="false">Motor!C1101</f>
        <v>303573.09375</v>
      </c>
      <c r="D61" s="83" t="n">
        <f aca="false">Motor!D1101</f>
        <v>477845.325</v>
      </c>
      <c r="E61" s="83" t="n">
        <f aca="false">Motor!E1101</f>
        <v>563341.2153125</v>
      </c>
      <c r="F61" s="83" t="n">
        <f aca="false">Motor!F1101</f>
        <v>697007.527174375</v>
      </c>
      <c r="G61" s="83" t="n">
        <f aca="false">Motor!G1101</f>
        <v>768997.563445444</v>
      </c>
      <c r="H61" s="82" t="s">
        <v>10</v>
      </c>
    </row>
    <row r="62" customFormat="false" ht="15" hidden="false" customHeight="false" outlineLevel="0" collapsed="false">
      <c r="A62" s="10" t="s">
        <v>664</v>
      </c>
      <c r="B62" s="8" t="s">
        <v>5</v>
      </c>
      <c r="C62" s="9" t="n">
        <f aca="false">Motor!C187</f>
        <v>304400</v>
      </c>
      <c r="D62" s="9" t="n">
        <f aca="false">Motor!D187</f>
        <v>252142.44</v>
      </c>
      <c r="E62" s="9" t="n">
        <f aca="false">Motor!E187</f>
        <v>273364.76</v>
      </c>
      <c r="F62" s="9" t="n">
        <f aca="false">Motor!F187</f>
        <v>301201.502</v>
      </c>
      <c r="G62" s="9" t="n">
        <f aca="false">Motor!G187</f>
        <v>320847.533888</v>
      </c>
      <c r="H62" s="8" t="s">
        <v>10</v>
      </c>
    </row>
    <row r="63" customFormat="false" ht="15" hidden="false" customHeight="false" outlineLevel="0" collapsed="false">
      <c r="A63" s="7"/>
      <c r="B63" s="8" t="s">
        <v>6</v>
      </c>
      <c r="C63" s="9" t="n">
        <f aca="false">Motor!C497</f>
        <v>319100</v>
      </c>
      <c r="D63" s="9" t="n">
        <f aca="false">Motor!D497</f>
        <v>322682.78</v>
      </c>
      <c r="E63" s="9" t="n">
        <f aca="false">Motor!E497</f>
        <v>421646.38</v>
      </c>
      <c r="F63" s="9" t="n">
        <f aca="false">Motor!F497</f>
        <v>475409.1624</v>
      </c>
      <c r="G63" s="9" t="n">
        <f aca="false">Motor!G497</f>
        <v>558195.154448</v>
      </c>
      <c r="H63" s="8" t="s">
        <v>10</v>
      </c>
    </row>
    <row r="64" customFormat="false" ht="15" hidden="false" customHeight="false" outlineLevel="0" collapsed="false">
      <c r="A64" s="7"/>
      <c r="B64" s="8" t="s">
        <v>7</v>
      </c>
      <c r="C64" s="9" t="n">
        <f aca="false">Motor!C807</f>
        <v>334850</v>
      </c>
      <c r="D64" s="9" t="n">
        <f aca="false">Motor!D807</f>
        <v>409649.2</v>
      </c>
      <c r="E64" s="9" t="n">
        <f aca="false">Motor!E807</f>
        <v>485854.68</v>
      </c>
      <c r="F64" s="9" t="n">
        <f aca="false">Motor!F807</f>
        <v>602439.9488</v>
      </c>
      <c r="G64" s="9" t="n">
        <f aca="false">Motor!G807</f>
        <v>738758.513128</v>
      </c>
      <c r="H64" s="8" t="s">
        <v>10</v>
      </c>
    </row>
    <row r="65" customFormat="false" ht="15" hidden="false" customHeight="false" outlineLevel="0" collapsed="false">
      <c r="A65" s="80"/>
      <c r="B65" s="3" t="s">
        <v>8</v>
      </c>
      <c r="C65" s="83" t="n">
        <f aca="false">Motor!C1117</f>
        <v>298100</v>
      </c>
      <c r="D65" s="83" t="n">
        <f aca="false">Motor!D1117</f>
        <v>293188.6</v>
      </c>
      <c r="E65" s="83" t="n">
        <f aca="false">Motor!E1117</f>
        <v>374050.9</v>
      </c>
      <c r="F65" s="83" t="n">
        <f aca="false">Motor!F1117</f>
        <v>407116.784</v>
      </c>
      <c r="G65" s="83" t="n">
        <f aca="false">Motor!G1117</f>
        <v>458938.501272</v>
      </c>
      <c r="H65" s="82" t="s">
        <v>10</v>
      </c>
    </row>
    <row r="66" customFormat="false" ht="15" hidden="false" customHeight="false" outlineLevel="0" collapsed="false">
      <c r="A66" s="10" t="s">
        <v>681</v>
      </c>
      <c r="B66" s="8" t="s">
        <v>5</v>
      </c>
      <c r="C66" s="9" t="n">
        <f aca="false">Motor!C207</f>
        <v>-709085.940416667</v>
      </c>
      <c r="D66" s="9" t="n">
        <f aca="false">Motor!D207</f>
        <v>-737984.71721135</v>
      </c>
      <c r="E66" s="9" t="n">
        <f aca="false">Motor!E207</f>
        <v>-796945.084264677</v>
      </c>
      <c r="F66" s="9" t="n">
        <f aca="false">Motor!F207</f>
        <v>-882229.973049715</v>
      </c>
      <c r="G66" s="9" t="n">
        <f aca="false">Motor!G207</f>
        <v>-931281.492192886</v>
      </c>
      <c r="H66" s="8" t="s">
        <v>10</v>
      </c>
    </row>
    <row r="67" customFormat="false" ht="15" hidden="false" customHeight="false" outlineLevel="0" collapsed="false">
      <c r="A67" s="7"/>
      <c r="B67" s="8" t="s">
        <v>6</v>
      </c>
      <c r="C67" s="9" t="n">
        <f aca="false">Motor!C517</f>
        <v>-711437.451832192</v>
      </c>
      <c r="D67" s="9" t="n">
        <f aca="false">Motor!D517</f>
        <v>-801413.478106654</v>
      </c>
      <c r="E67" s="9" t="n">
        <f aca="false">Motor!E517</f>
        <v>-969909.990443249</v>
      </c>
      <c r="F67" s="9" t="n">
        <f aca="false">Motor!F517</f>
        <v>-1094156.26026446</v>
      </c>
      <c r="G67" s="9" t="n">
        <f aca="false">Motor!G517</f>
        <v>-1219975.89659631</v>
      </c>
      <c r="H67" s="8" t="s">
        <v>10</v>
      </c>
    </row>
    <row r="68" customFormat="false" ht="15" hidden="false" customHeight="false" outlineLevel="0" collapsed="false">
      <c r="A68" s="7"/>
      <c r="B68" s="8" t="s">
        <v>7</v>
      </c>
      <c r="C68" s="9" t="n">
        <f aca="false">Motor!C827</f>
        <v>-706359.981877854</v>
      </c>
      <c r="D68" s="9" t="n">
        <f aca="false">Motor!D827</f>
        <v>-883534.782764476</v>
      </c>
      <c r="E68" s="9" t="n">
        <f aca="false">Motor!E827</f>
        <v>-904120.346665405</v>
      </c>
      <c r="F68" s="9" t="n">
        <f aca="false">Motor!F827</f>
        <v>-874524.690842484</v>
      </c>
      <c r="G68" s="9" t="n">
        <f aca="false">Motor!G827</f>
        <v>-906159.632961748</v>
      </c>
      <c r="H68" s="8" t="s">
        <v>10</v>
      </c>
    </row>
    <row r="69" customFormat="false" ht="15" hidden="false" customHeight="false" outlineLevel="0" collapsed="false">
      <c r="A69" s="80"/>
      <c r="B69" s="3" t="s">
        <v>8</v>
      </c>
      <c r="C69" s="83" t="n">
        <f aca="false">Motor!C1137</f>
        <v>-586332.91635274</v>
      </c>
      <c r="D69" s="83" t="n">
        <f aca="false">Motor!D1137</f>
        <v>-679963.533732877</v>
      </c>
      <c r="E69" s="83" t="n">
        <f aca="false">Motor!E1137</f>
        <v>-692917.688343322</v>
      </c>
      <c r="F69" s="83" t="n">
        <f aca="false">Motor!F1137</f>
        <v>-653510.927099033</v>
      </c>
      <c r="G69" s="83" t="n">
        <f aca="false">Motor!G1137</f>
        <v>-529540.381498266</v>
      </c>
      <c r="H69" s="82" t="s">
        <v>10</v>
      </c>
    </row>
    <row r="70" customFormat="false" ht="15" hidden="false" customHeight="false" outlineLevel="0" collapsed="false">
      <c r="A70" s="10" t="s">
        <v>698</v>
      </c>
      <c r="B70" s="8" t="s">
        <v>5</v>
      </c>
      <c r="C70" s="9" t="n">
        <f aca="false">Motor!C225</f>
        <v>-736185.940416667</v>
      </c>
      <c r="D70" s="9" t="n">
        <f aca="false">Motor!D225</f>
        <v>-770084.71721135</v>
      </c>
      <c r="E70" s="9" t="n">
        <f aca="false">Motor!E225</f>
        <v>-835245.084264677</v>
      </c>
      <c r="F70" s="9" t="n">
        <f aca="false">Motor!F225</f>
        <v>-906979.973049715</v>
      </c>
      <c r="G70" s="9" t="n">
        <f aca="false">Motor!G225</f>
        <v>-953731.492192886</v>
      </c>
      <c r="H70" s="8" t="s">
        <v>10</v>
      </c>
    </row>
    <row r="71" customFormat="false" ht="15" hidden="false" customHeight="false" outlineLevel="0" collapsed="false">
      <c r="A71" s="7"/>
      <c r="B71" s="8" t="s">
        <v>6</v>
      </c>
      <c r="C71" s="9" t="n">
        <f aca="false">Motor!C535</f>
        <v>-738537.451832192</v>
      </c>
      <c r="D71" s="9" t="n">
        <f aca="false">Motor!D535</f>
        <v>-841413.478106654</v>
      </c>
      <c r="E71" s="9" t="n">
        <f aca="false">Motor!E535</f>
        <v>-1023809.99044325</v>
      </c>
      <c r="F71" s="9" t="n">
        <f aca="false">Motor!F535</f>
        <v>-1138622.92693113</v>
      </c>
      <c r="G71" s="9" t="n">
        <f aca="false">Motor!G535</f>
        <v>-1261509.22992964</v>
      </c>
      <c r="H71" s="8" t="s">
        <v>10</v>
      </c>
    </row>
    <row r="72" customFormat="false" ht="15" hidden="false" customHeight="false" outlineLevel="0" collapsed="false">
      <c r="A72" s="7"/>
      <c r="B72" s="8" t="s">
        <v>7</v>
      </c>
      <c r="C72" s="9" t="n">
        <f aca="false">Motor!C845</f>
        <v>-733459.981877854</v>
      </c>
      <c r="D72" s="9" t="n">
        <f aca="false">Motor!D845</f>
        <v>-931734.782764476</v>
      </c>
      <c r="E72" s="9" t="n">
        <f aca="false">Motor!E845</f>
        <v>-971253.679998739</v>
      </c>
      <c r="F72" s="9" t="n">
        <f aca="false">Motor!F845</f>
        <v>-937758.024175817</v>
      </c>
      <c r="G72" s="9" t="n">
        <f aca="false">Motor!G845</f>
        <v>-967992.966295082</v>
      </c>
      <c r="H72" s="8" t="s">
        <v>10</v>
      </c>
    </row>
    <row r="73" customFormat="false" ht="15" hidden="false" customHeight="false" outlineLevel="0" collapsed="false">
      <c r="A73" s="80"/>
      <c r="B73" s="3" t="s">
        <v>8</v>
      </c>
      <c r="C73" s="83" t="n">
        <f aca="false">Motor!C1155</f>
        <v>-612682.91635274</v>
      </c>
      <c r="D73" s="83" t="n">
        <f aca="false">Motor!D1155</f>
        <v>-719713.533732877</v>
      </c>
      <c r="E73" s="83" t="n">
        <f aca="false">Motor!E1155</f>
        <v>-745567.688343322</v>
      </c>
      <c r="F73" s="83" t="n">
        <f aca="false">Motor!F1155</f>
        <v>-696477.593765699</v>
      </c>
      <c r="G73" s="83" t="n">
        <f aca="false">Motor!G1155</f>
        <v>-569323.714831599</v>
      </c>
      <c r="H73" s="82" t="s">
        <v>10</v>
      </c>
    </row>
    <row r="74" customFormat="false" ht="15" hidden="false" customHeight="false" outlineLevel="0" collapsed="false">
      <c r="A74" s="10" t="s">
        <v>723</v>
      </c>
      <c r="B74" s="8" t="s">
        <v>5</v>
      </c>
      <c r="C74" s="9" t="n">
        <f aca="false">Motor!C250</f>
        <v>-801085.940416667</v>
      </c>
      <c r="D74" s="9" t="n">
        <f aca="false">Motor!D250</f>
        <v>-761346.022495108</v>
      </c>
      <c r="E74" s="9" t="n">
        <f aca="false">Motor!E250</f>
        <v>-827766.825947652</v>
      </c>
      <c r="F74" s="9" t="n">
        <f aca="false">Motor!F250</f>
        <v>-915690.806709206</v>
      </c>
      <c r="G74" s="9" t="n">
        <f aca="false">Motor!G250</f>
        <v>-971191.049922827</v>
      </c>
      <c r="H74" s="8" t="s">
        <v>10</v>
      </c>
    </row>
    <row r="75" customFormat="false" ht="15" hidden="false" customHeight="false" outlineLevel="0" collapsed="false">
      <c r="A75" s="7"/>
      <c r="B75" s="8" t="s">
        <v>6</v>
      </c>
      <c r="C75" s="9" t="n">
        <f aca="false">Motor!C560</f>
        <v>-803437.451832192</v>
      </c>
      <c r="D75" s="9" t="n">
        <f aca="false">Motor!D560</f>
        <v>-860943.413466243</v>
      </c>
      <c r="E75" s="9" t="n">
        <f aca="false">Motor!E560</f>
        <v>-1030581.97075147</v>
      </c>
      <c r="F75" s="9" t="n">
        <f aca="false">Motor!F560</f>
        <v>-1189386.33303843</v>
      </c>
      <c r="G75" s="9" t="n">
        <f aca="false">Motor!G560</f>
        <v>-1329404.50318877</v>
      </c>
      <c r="H75" s="8" t="s">
        <v>10</v>
      </c>
    </row>
    <row r="76" customFormat="false" ht="15" hidden="false" customHeight="false" outlineLevel="0" collapsed="false">
      <c r="A76" s="7"/>
      <c r="B76" s="8" t="s">
        <v>7</v>
      </c>
      <c r="C76" s="9" t="n">
        <f aca="false">Motor!C870</f>
        <v>-800452.420234018</v>
      </c>
      <c r="D76" s="9" t="n">
        <f aca="false">Motor!D870</f>
        <v>-972773.103473581</v>
      </c>
      <c r="E76" s="9" t="n">
        <f aca="false">Motor!E870</f>
        <v>-1001686.15488458</v>
      </c>
      <c r="F76" s="9" t="n">
        <f aca="false">Motor!F870</f>
        <v>-1005522.71823974</v>
      </c>
      <c r="G76" s="9" t="n">
        <f aca="false">Motor!G870</f>
        <v>-1056003.13658786</v>
      </c>
      <c r="H76" s="8" t="s">
        <v>10</v>
      </c>
    </row>
    <row r="77" customFormat="false" ht="15" hidden="false" customHeight="false" outlineLevel="0" collapsed="false">
      <c r="A77" s="80"/>
      <c r="B77" s="3" t="s">
        <v>8</v>
      </c>
      <c r="C77" s="83" t="n">
        <f aca="false">Motor!C1180</f>
        <v>-678616.839640411</v>
      </c>
      <c r="D77" s="83" t="n">
        <f aca="false">Motor!D1180</f>
        <v>-748866.739383562</v>
      </c>
      <c r="E77" s="83" t="n">
        <f aca="false">Motor!E1180</f>
        <v>-816481.017452911</v>
      </c>
      <c r="F77" s="83" t="n">
        <f aca="false">Motor!F1180</f>
        <v>-796741.766140128</v>
      </c>
      <c r="G77" s="83" t="n">
        <f aca="false">Motor!G1180</f>
        <v>-686001.849820184</v>
      </c>
      <c r="H77" s="82" t="s">
        <v>10</v>
      </c>
    </row>
    <row r="78" customFormat="false" ht="15" hidden="false" customHeight="false" outlineLevel="0" collapsed="false">
      <c r="A78" s="10" t="s">
        <v>797</v>
      </c>
      <c r="B78" s="8" t="s">
        <v>5</v>
      </c>
      <c r="C78" s="9" t="n">
        <f aca="false">Motor!C251</f>
        <v>-801085.940416667</v>
      </c>
      <c r="D78" s="9" t="n">
        <f aca="false">Motor!D251</f>
        <v>-1562431.96291177</v>
      </c>
      <c r="E78" s="9" t="n">
        <f aca="false">Motor!E251</f>
        <v>-2390198.78885943</v>
      </c>
      <c r="F78" s="9" t="n">
        <f aca="false">Motor!F251</f>
        <v>-3305889.59556863</v>
      </c>
      <c r="G78" s="9" t="n">
        <f aca="false">Motor!G251</f>
        <v>-4277080.64549146</v>
      </c>
      <c r="H78" s="8" t="s">
        <v>10</v>
      </c>
    </row>
    <row r="79" customFormat="false" ht="15" hidden="false" customHeight="false" outlineLevel="0" collapsed="false">
      <c r="A79" s="7"/>
      <c r="B79" s="8" t="s">
        <v>6</v>
      </c>
      <c r="C79" s="9" t="n">
        <f aca="false">Motor!C561</f>
        <v>-803437.451832192</v>
      </c>
      <c r="D79" s="9" t="n">
        <f aca="false">Motor!D561</f>
        <v>-1664380.86529843</v>
      </c>
      <c r="E79" s="9" t="n">
        <f aca="false">Motor!E561</f>
        <v>-2694962.8360499</v>
      </c>
      <c r="F79" s="9" t="n">
        <f aca="false">Motor!F561</f>
        <v>-3884349.16908834</v>
      </c>
      <c r="G79" s="9" t="n">
        <f aca="false">Motor!G561</f>
        <v>-5213753.67227711</v>
      </c>
      <c r="H79" s="8" t="s">
        <v>10</v>
      </c>
    </row>
    <row r="80" customFormat="false" ht="15" hidden="false" customHeight="false" outlineLevel="0" collapsed="false">
      <c r="A80" s="7"/>
      <c r="B80" s="8" t="s">
        <v>7</v>
      </c>
      <c r="C80" s="9" t="n">
        <f aca="false">Motor!C871</f>
        <v>-800452.420234018</v>
      </c>
      <c r="D80" s="9" t="n">
        <f aca="false">Motor!D871</f>
        <v>-1773225.5237076</v>
      </c>
      <c r="E80" s="9" t="n">
        <f aca="false">Motor!E871</f>
        <v>-2774911.67859218</v>
      </c>
      <c r="F80" s="9" t="n">
        <f aca="false">Motor!F871</f>
        <v>-3780434.39683193</v>
      </c>
      <c r="G80" s="9" t="n">
        <f aca="false">Motor!G871</f>
        <v>-4836437.53341978</v>
      </c>
      <c r="H80" s="8" t="s">
        <v>10</v>
      </c>
    </row>
    <row r="81" customFormat="false" ht="15" hidden="false" customHeight="false" outlineLevel="0" collapsed="false">
      <c r="A81" s="80"/>
      <c r="B81" s="3" t="s">
        <v>8</v>
      </c>
      <c r="C81" s="83" t="n">
        <f aca="false">Motor!C1181</f>
        <v>-678616.839640411</v>
      </c>
      <c r="D81" s="83" t="n">
        <f aca="false">Motor!D1181</f>
        <v>-1427483.57902397</v>
      </c>
      <c r="E81" s="83" t="n">
        <f aca="false">Motor!E1181</f>
        <v>-2243964.59647688</v>
      </c>
      <c r="F81" s="83" t="n">
        <f aca="false">Motor!F1181</f>
        <v>-3040706.36261701</v>
      </c>
      <c r="G81" s="83" t="n">
        <f aca="false">Motor!G1181</f>
        <v>-3726708.2124372</v>
      </c>
      <c r="H81" s="82" t="s">
        <v>10</v>
      </c>
    </row>
    <row r="82" customFormat="false" ht="15" hidden="false" customHeight="false" outlineLevel="0" collapsed="false">
      <c r="A82" s="10" t="s">
        <v>798</v>
      </c>
      <c r="B82" s="8" t="s">
        <v>5</v>
      </c>
      <c r="C82" s="9" t="n">
        <f aca="false">Motor!C258</f>
        <v>0</v>
      </c>
      <c r="D82" s="9" t="n">
        <f aca="false">Motor!D258</f>
        <v>757431.962911774</v>
      </c>
      <c r="E82" s="9" t="n">
        <f aca="false">Motor!E258</f>
        <v>827766.825947652</v>
      </c>
      <c r="F82" s="9" t="n">
        <f aca="false">Motor!F258</f>
        <v>915690.806709206</v>
      </c>
      <c r="G82" s="9" t="n">
        <f aca="false">Motor!G258</f>
        <v>971191.049922827</v>
      </c>
      <c r="H82" s="8" t="s">
        <v>10</v>
      </c>
    </row>
    <row r="83" customFormat="false" ht="15" hidden="false" customHeight="false" outlineLevel="0" collapsed="false">
      <c r="A83" s="7"/>
      <c r="B83" s="8" t="s">
        <v>6</v>
      </c>
      <c r="C83" s="9" t="n">
        <f aca="false">Motor!C568</f>
        <v>0</v>
      </c>
      <c r="D83" s="9" t="n">
        <f aca="false">Motor!D568</f>
        <v>859380.865298435</v>
      </c>
      <c r="E83" s="9" t="n">
        <f aca="false">Motor!E568</f>
        <v>1030581.97075147</v>
      </c>
      <c r="F83" s="9" t="n">
        <f aca="false">Motor!F568</f>
        <v>1189386.33303843</v>
      </c>
      <c r="G83" s="9" t="n">
        <f aca="false">Motor!G568</f>
        <v>1329404.50318877</v>
      </c>
      <c r="H83" s="8" t="s">
        <v>10</v>
      </c>
    </row>
    <row r="84" customFormat="false" ht="15" hidden="false" customHeight="false" outlineLevel="0" collapsed="false">
      <c r="A84" s="7"/>
      <c r="B84" s="8" t="s">
        <v>7</v>
      </c>
      <c r="C84" s="9" t="n">
        <f aca="false">Motor!C878</f>
        <v>0</v>
      </c>
      <c r="D84" s="9" t="n">
        <f aca="false">Motor!D878</f>
        <v>968225.523707599</v>
      </c>
      <c r="E84" s="9" t="n">
        <f aca="false">Motor!E878</f>
        <v>1001686.15488458</v>
      </c>
      <c r="F84" s="9" t="n">
        <f aca="false">Motor!F878</f>
        <v>1005522.71823974</v>
      </c>
      <c r="G84" s="9" t="n">
        <f aca="false">Motor!G878</f>
        <v>1056003.13658786</v>
      </c>
      <c r="H84" s="8" t="s">
        <v>10</v>
      </c>
    </row>
    <row r="85" customFormat="false" ht="15" hidden="false" customHeight="false" outlineLevel="0" collapsed="false">
      <c r="A85" s="80"/>
      <c r="B85" s="3" t="s">
        <v>8</v>
      </c>
      <c r="C85" s="83" t="n">
        <f aca="false">Motor!C1188</f>
        <v>0</v>
      </c>
      <c r="D85" s="83" t="n">
        <f aca="false">Motor!D1188</f>
        <v>622483.579023972</v>
      </c>
      <c r="E85" s="83" t="n">
        <f aca="false">Motor!E1188</f>
        <v>816481.017452911</v>
      </c>
      <c r="F85" s="83" t="n">
        <f aca="false">Motor!F1188</f>
        <v>796741.766140128</v>
      </c>
      <c r="G85" s="83" t="n">
        <f aca="false">Motor!G1188</f>
        <v>686001.849820184</v>
      </c>
      <c r="H85" s="82" t="s">
        <v>10</v>
      </c>
    </row>
    <row r="86" customFormat="false" ht="15" hidden="false" customHeight="false" outlineLevel="0" collapsed="false">
      <c r="A86" s="10" t="s">
        <v>732</v>
      </c>
      <c r="B86" s="8" t="s">
        <v>5</v>
      </c>
      <c r="C86" s="9" t="n">
        <f aca="false">Motor!C259</f>
        <v>153914.059583333</v>
      </c>
      <c r="D86" s="9" t="n">
        <f aca="false">Motor!D259</f>
        <v>150000</v>
      </c>
      <c r="E86" s="9" t="n">
        <f aca="false">Motor!E259</f>
        <v>150000</v>
      </c>
      <c r="F86" s="9" t="n">
        <f aca="false">Motor!F259</f>
        <v>150000</v>
      </c>
      <c r="G86" s="9" t="n">
        <f aca="false">Motor!G259</f>
        <v>150000</v>
      </c>
      <c r="H86" s="8" t="s">
        <v>10</v>
      </c>
    </row>
    <row r="87" customFormat="false" ht="15" hidden="false" customHeight="false" outlineLevel="0" collapsed="false">
      <c r="A87" s="7"/>
      <c r="B87" s="8" t="s">
        <v>6</v>
      </c>
      <c r="C87" s="9" t="n">
        <f aca="false">Motor!C569</f>
        <v>151562.548167808</v>
      </c>
      <c r="D87" s="9" t="n">
        <f aca="false">Motor!D569</f>
        <v>150000</v>
      </c>
      <c r="E87" s="9" t="n">
        <f aca="false">Motor!E569</f>
        <v>150000</v>
      </c>
      <c r="F87" s="9" t="n">
        <f aca="false">Motor!F569</f>
        <v>150000</v>
      </c>
      <c r="G87" s="9" t="n">
        <f aca="false">Motor!G569</f>
        <v>150000</v>
      </c>
      <c r="H87" s="8" t="s">
        <v>10</v>
      </c>
    </row>
    <row r="88" customFormat="false" ht="15" hidden="false" customHeight="false" outlineLevel="0" collapsed="false">
      <c r="A88" s="7"/>
      <c r="B88" s="8" t="s">
        <v>7</v>
      </c>
      <c r="C88" s="9" t="n">
        <f aca="false">Motor!C879</f>
        <v>154547.579765982</v>
      </c>
      <c r="D88" s="9" t="n">
        <f aca="false">Motor!D879</f>
        <v>150000</v>
      </c>
      <c r="E88" s="9" t="n">
        <f aca="false">Motor!E879</f>
        <v>150000</v>
      </c>
      <c r="F88" s="9" t="n">
        <f aca="false">Motor!F879</f>
        <v>150000</v>
      </c>
      <c r="G88" s="9" t="n">
        <f aca="false">Motor!G879</f>
        <v>150000</v>
      </c>
      <c r="H88" s="8" t="s">
        <v>10</v>
      </c>
    </row>
    <row r="89" customFormat="false" ht="15" hidden="false" customHeight="false" outlineLevel="0" collapsed="false">
      <c r="A89" s="80"/>
      <c r="B89" s="3" t="s">
        <v>8</v>
      </c>
      <c r="C89" s="83" t="n">
        <f aca="false">Motor!C1189</f>
        <v>276383.160359589</v>
      </c>
      <c r="D89" s="83" t="n">
        <f aca="false">Motor!D1189</f>
        <v>150000</v>
      </c>
      <c r="E89" s="83" t="n">
        <f aca="false">Motor!E1189</f>
        <v>150000</v>
      </c>
      <c r="F89" s="83" t="n">
        <f aca="false">Motor!F1189</f>
        <v>150000</v>
      </c>
      <c r="G89" s="83" t="n">
        <f aca="false">Motor!G1189</f>
        <v>150000</v>
      </c>
      <c r="H89" s="82" t="s">
        <v>10</v>
      </c>
    </row>
    <row r="90" customFormat="false" ht="15" hidden="false" customHeight="false" outlineLevel="0" collapsed="false">
      <c r="A90" s="10" t="s">
        <v>769</v>
      </c>
      <c r="B90" s="8" t="s">
        <v>5</v>
      </c>
      <c r="C90" s="9" t="n">
        <f aca="false">Motor!C233</f>
        <v>0</v>
      </c>
      <c r="D90" s="9" t="n">
        <f aca="false">Motor!D233</f>
        <v>167226.105675147</v>
      </c>
      <c r="E90" s="9" t="n">
        <f aca="false">Motor!E233</f>
        <v>363660.939334638</v>
      </c>
      <c r="F90" s="9" t="n">
        <f aca="false">Motor!F233</f>
        <v>458964.735812133</v>
      </c>
      <c r="G90" s="9" t="n">
        <f aca="false">Motor!G233</f>
        <v>567935.068493151</v>
      </c>
      <c r="H90" s="8" t="s">
        <v>10</v>
      </c>
    </row>
    <row r="91" customFormat="false" ht="15" hidden="false" customHeight="false" outlineLevel="0" collapsed="false">
      <c r="A91" s="7"/>
      <c r="B91" s="8" t="s">
        <v>6</v>
      </c>
      <c r="C91" s="9" t="n">
        <f aca="false">Motor!C543</f>
        <v>0</v>
      </c>
      <c r="D91" s="9" t="n">
        <f aca="false">Motor!D543</f>
        <v>310598.707191781</v>
      </c>
      <c r="E91" s="9" t="n">
        <f aca="false">Motor!E543</f>
        <v>563053.792808219</v>
      </c>
      <c r="F91" s="9" t="n">
        <f aca="false">Motor!F543</f>
        <v>975110.316780822</v>
      </c>
      <c r="G91" s="9" t="n">
        <f aca="false">Motor!G543</f>
        <v>1489396.28424658</v>
      </c>
      <c r="H91" s="8" t="s">
        <v>10</v>
      </c>
    </row>
    <row r="92" customFormat="false" ht="15" hidden="false" customHeight="false" outlineLevel="0" collapsed="false">
      <c r="A92" s="7"/>
      <c r="B92" s="8" t="s">
        <v>7</v>
      </c>
      <c r="C92" s="9" t="n">
        <f aca="false">Motor!C853</f>
        <v>0</v>
      </c>
      <c r="D92" s="9" t="n">
        <f aca="false">Motor!D853</f>
        <v>366615.181305399</v>
      </c>
      <c r="E92" s="9" t="n">
        <f aca="false">Motor!E853</f>
        <v>691591.619661563</v>
      </c>
      <c r="F92" s="9" t="n">
        <f aca="false">Motor!F853</f>
        <v>1196962.57856567</v>
      </c>
      <c r="G92" s="9" t="n">
        <f aca="false">Motor!G853</f>
        <v>1805109.91136181</v>
      </c>
      <c r="H92" s="8" t="s">
        <v>10</v>
      </c>
    </row>
    <row r="93" customFormat="false" ht="15" hidden="false" customHeight="false" outlineLevel="0" collapsed="false">
      <c r="A93" s="80"/>
      <c r="B93" s="3" t="s">
        <v>8</v>
      </c>
      <c r="C93" s="83" t="n">
        <f aca="false">Motor!C1163</f>
        <v>0</v>
      </c>
      <c r="D93" s="83" t="n">
        <f aca="false">Motor!D1163</f>
        <v>523742.578767123</v>
      </c>
      <c r="E93" s="83" t="n">
        <f aca="false">Motor!E1163</f>
        <v>1121403.29794521</v>
      </c>
      <c r="F93" s="83" t="n">
        <f aca="false">Motor!F1163</f>
        <v>1886265.3390411</v>
      </c>
      <c r="G93" s="83" t="n">
        <f aca="false">Motor!G1163</f>
        <v>2767987.9109589</v>
      </c>
      <c r="H93" s="82" t="s">
        <v>10</v>
      </c>
    </row>
    <row r="94" customFormat="false" ht="15" hidden="false" customHeight="false" outlineLevel="0" collapsed="false">
      <c r="A94" s="10" t="s">
        <v>799</v>
      </c>
      <c r="B94" s="8" t="s">
        <v>5</v>
      </c>
      <c r="C94" s="9" t="n">
        <f aca="false">Motor!C109</f>
        <v>0</v>
      </c>
      <c r="D94" s="9" t="n">
        <f aca="false">Motor!D109</f>
        <v>524535</v>
      </c>
      <c r="E94" s="9" t="n">
        <f aca="false">Motor!E109</f>
        <v>1109335</v>
      </c>
      <c r="F94" s="9" t="n">
        <f aca="false">Motor!F109</f>
        <v>1694220</v>
      </c>
      <c r="G94" s="9" t="n">
        <f aca="false">Motor!G109</f>
        <v>2278255</v>
      </c>
      <c r="H94" s="8" t="s">
        <v>10</v>
      </c>
    </row>
    <row r="95" customFormat="false" ht="15" hidden="false" customHeight="false" outlineLevel="0" collapsed="false">
      <c r="A95" s="7"/>
      <c r="B95" s="8" t="s">
        <v>6</v>
      </c>
      <c r="C95" s="9" t="n">
        <f aca="false">Motor!C419</f>
        <v>0</v>
      </c>
      <c r="D95" s="9" t="n">
        <f aca="false">Motor!D419</f>
        <v>1461330</v>
      </c>
      <c r="E95" s="9" t="n">
        <f aca="false">Motor!E419</f>
        <v>3299220</v>
      </c>
      <c r="F95" s="9" t="n">
        <f aca="false">Motor!F419</f>
        <v>5687280</v>
      </c>
      <c r="G95" s="9" t="n">
        <f aca="false">Motor!G419</f>
        <v>8685900</v>
      </c>
      <c r="H95" s="8" t="s">
        <v>10</v>
      </c>
    </row>
    <row r="96" customFormat="false" ht="15" hidden="false" customHeight="false" outlineLevel="0" collapsed="false">
      <c r="A96" s="7"/>
      <c r="B96" s="8" t="s">
        <v>7</v>
      </c>
      <c r="C96" s="9" t="n">
        <f aca="false">Motor!C729</f>
        <v>0</v>
      </c>
      <c r="D96" s="9" t="n">
        <f aca="false">Motor!D729</f>
        <v>2471580</v>
      </c>
      <c r="E96" s="9" t="n">
        <f aca="false">Motor!E729</f>
        <v>5013450</v>
      </c>
      <c r="F96" s="9" t="n">
        <f aca="false">Motor!F729</f>
        <v>8586900</v>
      </c>
      <c r="G96" s="9" t="n">
        <f aca="false">Motor!G729</f>
        <v>12943350</v>
      </c>
      <c r="H96" s="8" t="s">
        <v>10</v>
      </c>
    </row>
    <row r="97" customFormat="false" ht="15" hidden="false" customHeight="false" outlineLevel="0" collapsed="false">
      <c r="A97" s="80"/>
      <c r="B97" s="3" t="s">
        <v>8</v>
      </c>
      <c r="C97" s="83" t="n">
        <f aca="false">Motor!C1039</f>
        <v>0</v>
      </c>
      <c r="D97" s="83" t="n">
        <f aca="false">Motor!D1039</f>
        <v>3014370</v>
      </c>
      <c r="E97" s="83" t="n">
        <f aca="false">Motor!E1039</f>
        <v>7648425</v>
      </c>
      <c r="F97" s="83" t="n">
        <f aca="false">Motor!F1039</f>
        <v>12855465</v>
      </c>
      <c r="G97" s="83" t="n">
        <f aca="false">Motor!G1039</f>
        <v>18639450</v>
      </c>
      <c r="H97" s="82" t="s">
        <v>10</v>
      </c>
    </row>
    <row r="98" customFormat="false" ht="15" hidden="false" customHeight="false" outlineLevel="0" collapsed="false">
      <c r="A98" s="10" t="s">
        <v>773</v>
      </c>
      <c r="B98" s="8" t="s">
        <v>5</v>
      </c>
      <c r="C98" s="9" t="n">
        <f aca="false">Motor!C239</f>
        <v>0</v>
      </c>
      <c r="D98" s="9" t="n">
        <f aca="false">Motor!D239</f>
        <v>3.34452211350294</v>
      </c>
      <c r="E98" s="9" t="n">
        <f aca="false">Motor!E239</f>
        <v>7.27321878669276</v>
      </c>
      <c r="F98" s="9" t="n">
        <f aca="false">Motor!F239</f>
        <v>9.17929471624266</v>
      </c>
      <c r="G98" s="9" t="n">
        <f aca="false">Motor!G239</f>
        <v>11.358701369863</v>
      </c>
      <c r="H98" s="8" t="s">
        <v>115</v>
      </c>
    </row>
    <row r="99" customFormat="false" ht="15" hidden="false" customHeight="false" outlineLevel="0" collapsed="false">
      <c r="A99" s="7"/>
      <c r="B99" s="8" t="s">
        <v>6</v>
      </c>
      <c r="C99" s="9" t="n">
        <f aca="false">Motor!C549</f>
        <v>0</v>
      </c>
      <c r="D99" s="9" t="n">
        <f aca="false">Motor!D549</f>
        <v>6.21197414383562</v>
      </c>
      <c r="E99" s="9" t="n">
        <f aca="false">Motor!E549</f>
        <v>11.2610758561644</v>
      </c>
      <c r="F99" s="9" t="n">
        <f aca="false">Motor!F549</f>
        <v>19.5022063356164</v>
      </c>
      <c r="G99" s="9" t="n">
        <f aca="false">Motor!G549</f>
        <v>29.7879256849315</v>
      </c>
      <c r="H99" s="8" t="s">
        <v>115</v>
      </c>
    </row>
    <row r="100" customFormat="false" ht="15" hidden="false" customHeight="false" outlineLevel="0" collapsed="false">
      <c r="A100" s="7"/>
      <c r="B100" s="8" t="s">
        <v>7</v>
      </c>
      <c r="C100" s="9" t="n">
        <f aca="false">Motor!C859</f>
        <v>0</v>
      </c>
      <c r="D100" s="9" t="n">
        <f aca="false">Motor!D859</f>
        <v>7.33230362610798</v>
      </c>
      <c r="E100" s="9" t="n">
        <f aca="false">Motor!E859</f>
        <v>13.8318323932313</v>
      </c>
      <c r="F100" s="9" t="n">
        <f aca="false">Motor!F859</f>
        <v>23.9392515713135</v>
      </c>
      <c r="G100" s="9" t="n">
        <f aca="false">Motor!G859</f>
        <v>36.1021982272361</v>
      </c>
      <c r="H100" s="8" t="s">
        <v>115</v>
      </c>
    </row>
    <row r="101" customFormat="false" ht="15" hidden="false" customHeight="false" outlineLevel="0" collapsed="false">
      <c r="A101" s="80"/>
      <c r="B101" s="3" t="s">
        <v>8</v>
      </c>
      <c r="C101" s="83" t="n">
        <f aca="false">Motor!C1169</f>
        <v>0</v>
      </c>
      <c r="D101" s="83" t="n">
        <f aca="false">Motor!D1169</f>
        <v>10.4748515753425</v>
      </c>
      <c r="E101" s="83" t="n">
        <f aca="false">Motor!E1169</f>
        <v>22.4280659589041</v>
      </c>
      <c r="F101" s="83" t="n">
        <f aca="false">Motor!F1169</f>
        <v>37.7253067808219</v>
      </c>
      <c r="G101" s="83" t="n">
        <f aca="false">Motor!G1169</f>
        <v>55.3597582191781</v>
      </c>
      <c r="H101" s="82" t="s">
        <v>115</v>
      </c>
    </row>
    <row r="102" customFormat="false" ht="15" hidden="false" customHeight="false" outlineLevel="0" collapsed="false">
      <c r="A102" s="10" t="s">
        <v>413</v>
      </c>
      <c r="B102" s="8" t="s">
        <v>5</v>
      </c>
      <c r="C102" s="85" t="n">
        <f aca="false">Motor!C154</f>
        <v>7</v>
      </c>
      <c r="D102" s="85" t="n">
        <f aca="false">Motor!D154</f>
        <v>7</v>
      </c>
      <c r="E102" s="85" t="n">
        <f aca="false">Motor!E154</f>
        <v>7</v>
      </c>
      <c r="F102" s="85" t="n">
        <f aca="false">Motor!F154</f>
        <v>7.5</v>
      </c>
      <c r="G102" s="85" t="n">
        <f aca="false">Motor!G154</f>
        <v>7.5</v>
      </c>
      <c r="H102" s="8" t="s">
        <v>413</v>
      </c>
    </row>
    <row r="103" customFormat="false" ht="15" hidden="false" customHeight="false" outlineLevel="0" collapsed="false">
      <c r="A103" s="7"/>
      <c r="B103" s="8" t="s">
        <v>6</v>
      </c>
      <c r="C103" s="85" t="n">
        <f aca="false">Motor!C464</f>
        <v>7</v>
      </c>
      <c r="D103" s="85" t="n">
        <f aca="false">Motor!D464</f>
        <v>8</v>
      </c>
      <c r="E103" s="85" t="n">
        <f aca="false">Motor!E464</f>
        <v>11</v>
      </c>
      <c r="F103" s="85" t="n">
        <f aca="false">Motor!F464</f>
        <v>14</v>
      </c>
      <c r="G103" s="85" t="n">
        <f aca="false">Motor!G464</f>
        <v>17</v>
      </c>
      <c r="H103" s="8" t="s">
        <v>413</v>
      </c>
    </row>
    <row r="104" customFormat="false" ht="15" hidden="false" customHeight="false" outlineLevel="0" collapsed="false">
      <c r="A104" s="7"/>
      <c r="B104" s="8" t="s">
        <v>7</v>
      </c>
      <c r="C104" s="85" t="n">
        <f aca="false">Motor!C774</f>
        <v>7</v>
      </c>
      <c r="D104" s="85" t="n">
        <f aca="false">Motor!D774</f>
        <v>12</v>
      </c>
      <c r="E104" s="85" t="n">
        <f aca="false">Motor!E774</f>
        <v>16</v>
      </c>
      <c r="F104" s="85" t="n">
        <f aca="false">Motor!F774</f>
        <v>21</v>
      </c>
      <c r="G104" s="85" t="n">
        <f aca="false">Motor!G774</f>
        <v>28</v>
      </c>
      <c r="H104" s="8" t="s">
        <v>413</v>
      </c>
    </row>
    <row r="105" customFormat="false" ht="15" hidden="false" customHeight="false" outlineLevel="0" collapsed="false">
      <c r="A105" s="80"/>
      <c r="B105" s="3" t="s">
        <v>8</v>
      </c>
      <c r="C105" s="86" t="n">
        <f aca="false">Motor!C1084</f>
        <v>5.5</v>
      </c>
      <c r="D105" s="86" t="n">
        <f aca="false">Motor!D1084</f>
        <v>7.5</v>
      </c>
      <c r="E105" s="86" t="n">
        <f aca="false">Motor!E1084</f>
        <v>8.5</v>
      </c>
      <c r="F105" s="86" t="n">
        <f aca="false">Motor!F1084</f>
        <v>11</v>
      </c>
      <c r="G105" s="86" t="n">
        <f aca="false">Motor!G1084</f>
        <v>12</v>
      </c>
      <c r="H105" s="82" t="s">
        <v>413</v>
      </c>
    </row>
    <row r="107" customFormat="false" ht="15" hidden="false" customHeight="false" outlineLevel="0" collapsed="false">
      <c r="A107" s="3" t="s">
        <v>800</v>
      </c>
      <c r="B107" s="4"/>
      <c r="C107" s="4"/>
      <c r="D107" s="4"/>
      <c r="E107" s="4"/>
      <c r="F107" s="4"/>
      <c r="G107" s="4"/>
      <c r="H107" s="4"/>
    </row>
    <row r="108" customFormat="false" ht="15" hidden="false" customHeight="false" outlineLevel="0" collapsed="false">
      <c r="A108" s="5" t="s">
        <v>3</v>
      </c>
      <c r="B108" s="5" t="s">
        <v>4</v>
      </c>
      <c r="C108" s="6" t="s">
        <v>5</v>
      </c>
      <c r="D108" s="6" t="s">
        <v>6</v>
      </c>
      <c r="E108" s="6" t="s">
        <v>7</v>
      </c>
      <c r="F108" s="6" t="s">
        <v>8</v>
      </c>
      <c r="G108" s="6"/>
      <c r="H108" s="6" t="s">
        <v>465</v>
      </c>
    </row>
    <row r="109" customFormat="false" ht="15" hidden="false" customHeight="false" outlineLevel="0" collapsed="false">
      <c r="A109" s="10" t="s">
        <v>14</v>
      </c>
      <c r="B109" s="8" t="s">
        <v>10</v>
      </c>
      <c r="C109" s="11" t="n">
        <f aca="false">Motor!C268</f>
        <v>4572080.64549146</v>
      </c>
      <c r="D109" s="11" t="n">
        <f aca="false">Motor!C578</f>
        <v>5508753.67227711</v>
      </c>
      <c r="E109" s="11" t="n">
        <f aca="false">Motor!C888</f>
        <v>5131437.53341978</v>
      </c>
      <c r="F109" s="11" t="n">
        <f aca="false">Motor!C1198</f>
        <v>4021708.2124372</v>
      </c>
      <c r="H109" s="2" t="s">
        <v>801</v>
      </c>
    </row>
    <row r="110" customFormat="false" ht="15" hidden="false" customHeight="false" outlineLevel="0" collapsed="false">
      <c r="A110" s="7" t="s">
        <v>742</v>
      </c>
      <c r="B110" s="8" t="s">
        <v>18</v>
      </c>
      <c r="C110" s="13" t="n">
        <f aca="false">Motor!C269</f>
        <v>2031</v>
      </c>
      <c r="D110" s="13" t="n">
        <f aca="false">Motor!C579</f>
        <v>2031</v>
      </c>
      <c r="E110" s="13" t="n">
        <f aca="false">Motor!C889</f>
        <v>2031</v>
      </c>
      <c r="F110" s="13" t="n">
        <f aca="false">Motor!C1199</f>
        <v>2031</v>
      </c>
    </row>
    <row r="111" customFormat="false" ht="15" hidden="false" customHeight="false" outlineLevel="0" collapsed="false">
      <c r="A111" s="7" t="s">
        <v>743</v>
      </c>
      <c r="B111" s="8"/>
      <c r="C111" s="87" t="str">
        <f aca="false">Motor!C270</f>
        <v>sim</v>
      </c>
      <c r="D111" s="87" t="str">
        <f aca="false">Motor!C580</f>
        <v>sim</v>
      </c>
      <c r="E111" s="87" t="str">
        <f aca="false">Motor!C890</f>
        <v>sim</v>
      </c>
      <c r="F111" s="87" t="str">
        <f aca="false">Motor!C1200</f>
        <v>sim</v>
      </c>
    </row>
    <row r="112" customFormat="false" ht="15" hidden="false" customHeight="false" outlineLevel="0" collapsed="false">
      <c r="A112" s="7" t="s">
        <v>802</v>
      </c>
      <c r="B112" s="8" t="s">
        <v>10</v>
      </c>
      <c r="C112" s="50" t="n">
        <f aca="false">Motor!C271</f>
        <v>4572080.64549146</v>
      </c>
      <c r="D112" s="50" t="n">
        <f aca="false">Motor!C581</f>
        <v>5508753.67227711</v>
      </c>
      <c r="E112" s="50" t="n">
        <f aca="false">Motor!C891</f>
        <v>5131437.53341978</v>
      </c>
      <c r="F112" s="50" t="n">
        <f aca="false">Motor!C1201</f>
        <v>4021708.2124372</v>
      </c>
    </row>
    <row r="113" customFormat="false" ht="15" hidden="false" customHeight="false" outlineLevel="0" collapsed="false">
      <c r="A113" s="10" t="s">
        <v>803</v>
      </c>
      <c r="B113" s="8" t="s">
        <v>762</v>
      </c>
      <c r="C113" s="88" t="str">
        <f aca="false">Motor!C290</f>
        <v>não atinge até 2031</v>
      </c>
      <c r="D113" s="88" t="str">
        <f aca="false">Motor!C600</f>
        <v>não atinge até 2031</v>
      </c>
      <c r="E113" s="88" t="str">
        <f aca="false">Motor!C910</f>
        <v>não atinge até 2031</v>
      </c>
      <c r="F113" s="88" t="str">
        <f aca="false">Motor!C1220</f>
        <v>não atinge até 2031</v>
      </c>
      <c r="H113" s="2" t="s">
        <v>804</v>
      </c>
    </row>
    <row r="114" customFormat="false" ht="15" hidden="false" customHeight="false" outlineLevel="0" collapsed="false">
      <c r="A114" s="7" t="s">
        <v>764</v>
      </c>
      <c r="B114" s="8" t="s">
        <v>18</v>
      </c>
      <c r="C114" s="13" t="str">
        <f aca="false">Motor!C292</f>
        <v>não atinge até 2031</v>
      </c>
      <c r="D114" s="13" t="str">
        <f aca="false">Motor!C602</f>
        <v>não atinge até 2031</v>
      </c>
      <c r="E114" s="13" t="str">
        <f aca="false">Motor!C912</f>
        <v>não atinge até 2031</v>
      </c>
      <c r="F114" s="13" t="str">
        <f aca="false">Motor!C1222</f>
        <v>não atinge até 2031</v>
      </c>
    </row>
    <row r="115" customFormat="false" ht="15" hidden="false" customHeight="false" outlineLevel="0" collapsed="false">
      <c r="A115" s="7" t="s">
        <v>17</v>
      </c>
      <c r="B115" s="8" t="s">
        <v>18</v>
      </c>
      <c r="C115" s="13" t="str">
        <f aca="false">Motor!C296</f>
        <v>não atinge até 2031</v>
      </c>
      <c r="D115" s="13" t="str">
        <f aca="false">Motor!C606</f>
        <v>não atinge até 2031</v>
      </c>
      <c r="E115" s="13" t="str">
        <f aca="false">Motor!C916</f>
        <v>não atinge até 2031</v>
      </c>
      <c r="F115" s="13" t="str">
        <f aca="false">Motor!C1226</f>
        <v>não atinge até 2031</v>
      </c>
    </row>
    <row r="116" customFormat="false" ht="15" hidden="false" customHeight="false" outlineLevel="0" collapsed="false">
      <c r="A116" s="7" t="s">
        <v>805</v>
      </c>
      <c r="B116" s="8" t="s">
        <v>264</v>
      </c>
      <c r="C116" s="89" t="n">
        <f aca="false">Motor!C286</f>
        <v>14.4259254799113</v>
      </c>
      <c r="D116" s="89" t="n">
        <f aca="false">Motor!C596</f>
        <v>14.1125088473483</v>
      </c>
      <c r="E116" s="89" t="n">
        <f aca="false">Motor!C906</f>
        <v>13.9064784486428</v>
      </c>
      <c r="F116" s="89" t="n">
        <f aca="false">Motor!C1216</f>
        <v>16.4288225793619</v>
      </c>
    </row>
    <row r="117" customFormat="false" ht="15" hidden="false" customHeight="false" outlineLevel="0" collapsed="false">
      <c r="A117" s="7" t="s">
        <v>806</v>
      </c>
      <c r="B117" s="8" t="s">
        <v>10</v>
      </c>
      <c r="C117" s="50" t="n">
        <f aca="false">Motor!C282</f>
        <v>725621.666666667</v>
      </c>
      <c r="D117" s="50" t="n">
        <f aca="false">Motor!C592</f>
        <v>734421.666666667</v>
      </c>
      <c r="E117" s="50" t="n">
        <f aca="false">Motor!C902</f>
        <v>743921.666666667</v>
      </c>
      <c r="F117" s="50" t="n">
        <f aca="false">Motor!C1212</f>
        <v>652746.666666667</v>
      </c>
    </row>
    <row r="119" customFormat="false" ht="15" hidden="false" customHeight="false" outlineLevel="0" collapsed="false">
      <c r="A119" s="3" t="s">
        <v>807</v>
      </c>
      <c r="B119" s="4"/>
      <c r="C119" s="4"/>
      <c r="D119" s="4"/>
      <c r="E119" s="4"/>
      <c r="F119" s="4"/>
      <c r="G119" s="4"/>
      <c r="H119" s="4"/>
    </row>
    <row r="120" customFormat="false" ht="15" hidden="false" customHeight="false" outlineLevel="0" collapsed="false">
      <c r="A120" s="5" t="s">
        <v>808</v>
      </c>
      <c r="B120" s="5" t="s">
        <v>4</v>
      </c>
      <c r="C120" s="6" t="s">
        <v>5</v>
      </c>
      <c r="D120" s="6" t="s">
        <v>6</v>
      </c>
      <c r="E120" s="6" t="s">
        <v>7</v>
      </c>
      <c r="F120" s="6" t="s">
        <v>8</v>
      </c>
      <c r="G120" s="6"/>
      <c r="H120" s="6" t="s">
        <v>809</v>
      </c>
    </row>
    <row r="121" customFormat="false" ht="15" hidden="false" customHeight="false" outlineLevel="0" collapsed="false">
      <c r="A121" s="7" t="s">
        <v>810</v>
      </c>
      <c r="B121" s="8" t="s">
        <v>10</v>
      </c>
      <c r="C121" s="50" t="n">
        <f aca="false">Motor!G305</f>
        <v>931281.492192886</v>
      </c>
      <c r="D121" s="50" t="n">
        <f aca="false">Motor!G615</f>
        <v>1219975.89659631</v>
      </c>
      <c r="E121" s="50" t="n">
        <f aca="false">Motor!G925</f>
        <v>906159.632961748</v>
      </c>
      <c r="F121" s="50" t="n">
        <f aca="false">Motor!G1235</f>
        <v>529540.381498266</v>
      </c>
    </row>
    <row r="122" customFormat="false" ht="15" hidden="false" customHeight="false" outlineLevel="0" collapsed="false">
      <c r="A122" s="7" t="s">
        <v>811</v>
      </c>
      <c r="B122" s="8" t="s">
        <v>59</v>
      </c>
      <c r="C122" s="63" t="n">
        <f aca="false">Motor!G307</f>
        <v>1.89082322835679</v>
      </c>
      <c r="D122" s="63" t="n">
        <f aca="false">Motor!G617</f>
        <v>0.686355267091038</v>
      </c>
      <c r="E122" s="63" t="n">
        <f aca="false">Motor!G927</f>
        <v>0.339868702129712</v>
      </c>
      <c r="F122" s="63" t="n">
        <f aca="false">Motor!G1237</f>
        <v>0.297918041653736</v>
      </c>
      <c r="H122" s="2" t="s">
        <v>812</v>
      </c>
    </row>
    <row r="123" customFormat="false" ht="15" hidden="false" customHeight="false" outlineLevel="0" collapsed="false">
      <c r="A123" s="7" t="s">
        <v>813</v>
      </c>
      <c r="B123" s="8" t="s">
        <v>59</v>
      </c>
      <c r="C123" s="63" t="n">
        <f aca="false">Motor!G308</f>
        <v>15.5682049992891</v>
      </c>
      <c r="D123" s="63" t="n">
        <f aca="false">Motor!G618</f>
        <v>8.98956337520546</v>
      </c>
      <c r="E123" s="63" t="n">
        <f aca="false">Motor!G928</f>
        <v>7.6520128910178</v>
      </c>
      <c r="F123" s="63" t="n">
        <f aca="false">Motor!G1238</f>
        <v>8.89912885767302</v>
      </c>
      <c r="H123" s="2" t="s">
        <v>814</v>
      </c>
    </row>
    <row r="124" customFormat="false" ht="15" hidden="false" customHeight="false" outlineLevel="0" collapsed="false">
      <c r="A124" s="7" t="s">
        <v>815</v>
      </c>
      <c r="B124" s="8" t="s">
        <v>112</v>
      </c>
      <c r="C124" s="51" t="n">
        <f aca="false">Motor!G310</f>
        <v>46508.3283256904</v>
      </c>
      <c r="D124" s="51" t="n">
        <f aca="false">Motor!G620</f>
        <v>42348.1885171319</v>
      </c>
      <c r="E124" s="51" t="n">
        <f aca="false">Motor!G930</f>
        <v>28618.1768431027</v>
      </c>
      <c r="F124" s="51" t="n">
        <f aca="false">Motor!G1240</f>
        <v>21881.5729193403</v>
      </c>
      <c r="H124" s="2" t="s">
        <v>816</v>
      </c>
    </row>
    <row r="125" customFormat="false" ht="15" hidden="false" customHeight="false" outlineLevel="0" collapsed="false">
      <c r="A125" s="7" t="s">
        <v>817</v>
      </c>
      <c r="B125" s="8" t="s">
        <v>71</v>
      </c>
      <c r="C125" s="90" t="n">
        <f aca="false">Motor!G311</f>
        <v>1.1062324534101</v>
      </c>
      <c r="D125" s="90" t="n">
        <f aca="false">Motor!G621</f>
        <v>0.781458857228551</v>
      </c>
      <c r="E125" s="90" t="n">
        <f aca="false">Motor!G931</f>
        <v>0.393521451183597</v>
      </c>
      <c r="F125" s="90" t="n">
        <f aca="false">Motor!G1241</f>
        <v>0.454113856928742</v>
      </c>
    </row>
    <row r="126" customFormat="false" ht="15" hidden="false" customHeight="false" outlineLevel="0" collapsed="false">
      <c r="A126" s="7" t="s">
        <v>818</v>
      </c>
      <c r="B126" s="8" t="s">
        <v>10</v>
      </c>
      <c r="C126" s="50" t="n">
        <f aca="false">Motor!G313</f>
        <v>263861711.506056</v>
      </c>
      <c r="D126" s="50" t="n">
        <f aca="false">Motor!G623</f>
        <v>349348035.329602</v>
      </c>
      <c r="E126" s="50" t="n">
        <f aca="false">Motor!G933</f>
        <v>265770864.142429</v>
      </c>
      <c r="F126" s="50" t="n">
        <f aca="false">Motor!G1243</f>
        <v>31477019.0749133</v>
      </c>
    </row>
    <row r="128" customFormat="false" ht="15" hidden="false" customHeight="false" outlineLevel="0" collapsed="false">
      <c r="A128" s="3" t="s">
        <v>819</v>
      </c>
      <c r="B128" s="4"/>
      <c r="C128" s="4"/>
      <c r="D128" s="4"/>
      <c r="E128" s="4"/>
      <c r="F128" s="4"/>
      <c r="G128" s="4"/>
      <c r="H128" s="4"/>
    </row>
    <row r="129" customFormat="false" ht="15" hidden="false" customHeight="false" outlineLevel="0" collapsed="false">
      <c r="A129" s="5" t="s">
        <v>54</v>
      </c>
      <c r="B129" s="5" t="s">
        <v>6</v>
      </c>
      <c r="C129" s="6" t="s">
        <v>8</v>
      </c>
      <c r="D129" s="6"/>
      <c r="E129" s="6"/>
      <c r="F129" s="6"/>
      <c r="G129" s="6"/>
      <c r="H129" s="6" t="s">
        <v>820</v>
      </c>
    </row>
    <row r="130" customFormat="false" ht="64.5" hidden="false" customHeight="true" outlineLevel="0" collapsed="false">
      <c r="A130" s="91" t="s">
        <v>821</v>
      </c>
      <c r="B130" s="92" t="s">
        <v>822</v>
      </c>
      <c r="C130" s="93" t="s">
        <v>823</v>
      </c>
      <c r="D130" s="93"/>
      <c r="E130" s="93"/>
      <c r="F130" s="93"/>
      <c r="G130" s="93"/>
      <c r="H130" s="92" t="s">
        <v>824</v>
      </c>
    </row>
    <row r="131" customFormat="false" ht="39" hidden="false" customHeight="true" outlineLevel="0" collapsed="false">
      <c r="A131" s="91" t="s">
        <v>825</v>
      </c>
      <c r="B131" s="92" t="s">
        <v>826</v>
      </c>
      <c r="C131" s="93" t="s">
        <v>827</v>
      </c>
      <c r="D131" s="93"/>
      <c r="E131" s="93"/>
      <c r="F131" s="93"/>
      <c r="G131" s="93"/>
      <c r="H131" s="92" t="s">
        <v>828</v>
      </c>
    </row>
    <row r="132" customFormat="false" ht="51.75" hidden="false" customHeight="true" outlineLevel="0" collapsed="false">
      <c r="A132" s="91" t="s">
        <v>829</v>
      </c>
      <c r="B132" s="92" t="s">
        <v>830</v>
      </c>
      <c r="C132" s="93" t="s">
        <v>831</v>
      </c>
      <c r="D132" s="93"/>
      <c r="E132" s="93"/>
      <c r="F132" s="93"/>
      <c r="G132" s="93"/>
      <c r="H132" s="92" t="s">
        <v>832</v>
      </c>
    </row>
    <row r="133" customFormat="false" ht="51.75" hidden="false" customHeight="true" outlineLevel="0" collapsed="false">
      <c r="A133" s="91" t="s">
        <v>833</v>
      </c>
      <c r="B133" s="92" t="s">
        <v>834</v>
      </c>
      <c r="C133" s="93" t="s">
        <v>826</v>
      </c>
      <c r="D133" s="93"/>
      <c r="E133" s="93"/>
      <c r="F133" s="93"/>
      <c r="G133" s="93"/>
      <c r="H133" s="92" t="s">
        <v>835</v>
      </c>
    </row>
    <row r="134" customFormat="false" ht="25.5" hidden="false" customHeight="true" outlineLevel="0" collapsed="false">
      <c r="A134" s="91" t="s">
        <v>836</v>
      </c>
      <c r="B134" s="92" t="s">
        <v>837</v>
      </c>
      <c r="C134" s="93" t="s">
        <v>838</v>
      </c>
      <c r="D134" s="93"/>
      <c r="E134" s="93"/>
      <c r="F134" s="93"/>
      <c r="G134" s="93"/>
      <c r="H134" s="92" t="s">
        <v>839</v>
      </c>
    </row>
    <row r="135" customFormat="false" ht="103.5" hidden="false" customHeight="true" outlineLevel="0" collapsed="false">
      <c r="A135" s="91" t="s">
        <v>840</v>
      </c>
      <c r="B135" s="92" t="s">
        <v>841</v>
      </c>
      <c r="C135" s="93" t="s">
        <v>842</v>
      </c>
      <c r="D135" s="93"/>
      <c r="E135" s="93"/>
      <c r="F135" s="93"/>
      <c r="G135" s="93"/>
      <c r="H135" s="92" t="s">
        <v>843</v>
      </c>
    </row>
    <row r="136" customFormat="false" ht="39" hidden="false" customHeight="true" outlineLevel="0" collapsed="false">
      <c r="A136" s="91" t="s">
        <v>844</v>
      </c>
      <c r="B136" s="92" t="s">
        <v>845</v>
      </c>
      <c r="C136" s="93" t="s">
        <v>834</v>
      </c>
      <c r="D136" s="93"/>
      <c r="E136" s="93"/>
      <c r="F136" s="93"/>
      <c r="G136" s="93"/>
      <c r="H136" s="92" t="s">
        <v>846</v>
      </c>
    </row>
    <row r="137" customFormat="false" ht="39" hidden="false" customHeight="true" outlineLevel="0" collapsed="false">
      <c r="A137" s="91" t="s">
        <v>847</v>
      </c>
      <c r="B137" s="92" t="s">
        <v>848</v>
      </c>
      <c r="C137" s="93" t="s">
        <v>849</v>
      </c>
      <c r="D137" s="93"/>
      <c r="E137" s="93"/>
      <c r="F137" s="93"/>
      <c r="G137" s="93"/>
      <c r="H137" s="92" t="s">
        <v>850</v>
      </c>
    </row>
    <row r="138" customFormat="false" ht="39" hidden="false" customHeight="true" outlineLevel="0" collapsed="false">
      <c r="A138" s="91" t="s">
        <v>851</v>
      </c>
      <c r="B138" s="92" t="s">
        <v>852</v>
      </c>
      <c r="C138" s="93" t="s">
        <v>853</v>
      </c>
      <c r="D138" s="93"/>
      <c r="E138" s="93"/>
      <c r="F138" s="93"/>
      <c r="G138" s="93"/>
      <c r="H138" s="92" t="s">
        <v>854</v>
      </c>
    </row>
    <row r="139" customFormat="false" ht="39" hidden="false" customHeight="true" outlineLevel="0" collapsed="false">
      <c r="A139" s="91" t="s">
        <v>855</v>
      </c>
      <c r="B139" s="92" t="s">
        <v>856</v>
      </c>
      <c r="C139" s="93" t="s">
        <v>834</v>
      </c>
      <c r="D139" s="93"/>
      <c r="E139" s="93"/>
      <c r="F139" s="93"/>
      <c r="G139" s="93"/>
      <c r="H139" s="92" t="s">
        <v>857</v>
      </c>
    </row>
    <row r="140" customFormat="false" ht="64.5" hidden="false" customHeight="true" outlineLevel="0" collapsed="false">
      <c r="A140" s="91" t="s">
        <v>858</v>
      </c>
      <c r="B140" s="92" t="s">
        <v>859</v>
      </c>
      <c r="C140" s="93" t="s">
        <v>860</v>
      </c>
      <c r="D140" s="93"/>
      <c r="E140" s="93"/>
      <c r="F140" s="93"/>
      <c r="G140" s="93"/>
      <c r="H140" s="92" t="s">
        <v>861</v>
      </c>
    </row>
    <row r="141" customFormat="false" ht="51.75" hidden="false" customHeight="true" outlineLevel="0" collapsed="false">
      <c r="A141" s="91" t="s">
        <v>862</v>
      </c>
      <c r="B141" s="92" t="s">
        <v>863</v>
      </c>
      <c r="C141" s="93" t="s">
        <v>864</v>
      </c>
      <c r="D141" s="93"/>
      <c r="E141" s="93"/>
      <c r="F141" s="93"/>
      <c r="G141" s="93"/>
      <c r="H141" s="92" t="s">
        <v>865</v>
      </c>
    </row>
    <row r="142" customFormat="false" ht="51.75" hidden="false" customHeight="true" outlineLevel="0" collapsed="false">
      <c r="A142" s="94" t="s">
        <v>866</v>
      </c>
      <c r="H142" s="92" t="s">
        <v>867</v>
      </c>
    </row>
    <row r="143" customFormat="false" ht="51.75" hidden="false" customHeight="true" outlineLevel="0" collapsed="false">
      <c r="A143" s="94" t="s">
        <v>868</v>
      </c>
      <c r="H143" s="92" t="s">
        <v>869</v>
      </c>
    </row>
    <row r="145" customFormat="false" ht="15" hidden="false" customHeight="false" outlineLevel="0" collapsed="false">
      <c r="A145" s="3" t="s">
        <v>870</v>
      </c>
      <c r="B145" s="4"/>
      <c r="C145" s="4"/>
      <c r="D145" s="4"/>
      <c r="E145" s="4"/>
      <c r="F145" s="4"/>
      <c r="G145" s="4"/>
      <c r="H145" s="4"/>
    </row>
    <row r="146" customFormat="false" ht="15" hidden="false" customHeight="false" outlineLevel="0" collapsed="false">
      <c r="A146" s="7" t="s">
        <v>871</v>
      </c>
      <c r="C146" s="30" t="n">
        <f aca="false">ROUND(DR!C15-CHOOSE(Pressupostos!$E$4,Motor!$C$207,Motor!$C$517,Motor!$C$827,Motor!$C$1137),4)</f>
        <v>0</v>
      </c>
      <c r="D146" s="30" t="n">
        <f aca="false">ROUND(DR!D15-CHOOSE(Pressupostos!$E$4,Motor!$D$207,Motor!$D$517,Motor!$D$827,Motor!$D$1137),4)</f>
        <v>0</v>
      </c>
      <c r="E146" s="30" t="n">
        <f aca="false">ROUND(DR!E15-CHOOSE(Pressupostos!$E$4,Motor!$E$207,Motor!$E$517,Motor!$E$827,Motor!$E$1137),4)</f>
        <v>0</v>
      </c>
      <c r="F146" s="30" t="n">
        <f aca="false">ROUND(DR!F15-CHOOSE(Pressupostos!$E$4,Motor!$F$207,Motor!$F$517,Motor!$F$827,Motor!$F$1137),4)</f>
        <v>0</v>
      </c>
      <c r="G146" s="30" t="n">
        <f aca="false">ROUND(DR!G15-CHOOSE(Pressupostos!$E$4,Motor!$G$207,Motor!$G$517,Motor!$G$827,Motor!$G$1137),4)</f>
        <v>0</v>
      </c>
    </row>
    <row r="147" customFormat="false" ht="15" hidden="false" customHeight="false" outlineLevel="0" collapsed="false">
      <c r="A147" s="7" t="s">
        <v>872</v>
      </c>
      <c r="C147" s="30" t="n">
        <f aca="false">ROUND('Cash flow'!C32-CHOOSE(Pressupostos!$E$4,Motor!$C$251,Motor!$C$561,Motor!$C$871,Motor!$C$1181),4)</f>
        <v>0</v>
      </c>
      <c r="D147" s="30" t="n">
        <f aca="false">ROUND('Cash flow'!D32-CHOOSE(Pressupostos!$E$4,Motor!$D$251,Motor!$D$561,Motor!$D$871,Motor!$D$1181),4)</f>
        <v>0</v>
      </c>
      <c r="E147" s="30" t="n">
        <f aca="false">ROUND('Cash flow'!E32-CHOOSE(Pressupostos!$E$4,Motor!$E$251,Motor!$E$561,Motor!$E$871,Motor!$E$1181),4)</f>
        <v>0</v>
      </c>
      <c r="F147" s="30" t="n">
        <f aca="false">ROUND('Cash flow'!F32-CHOOSE(Pressupostos!$E$4,Motor!$F$251,Motor!$F$561,Motor!$F$871,Motor!$F$1181),4)</f>
        <v>0</v>
      </c>
      <c r="G147" s="30" t="n">
        <f aca="false">ROUND('Cash flow'!G32-CHOOSE(Pressupostos!$E$4,Motor!$G$251,Motor!$G$561,Motor!$G$871,Motor!$G$1181),4)</f>
        <v>0</v>
      </c>
    </row>
    <row r="148" customFormat="false" ht="15" hidden="false" customHeight="false" outlineLevel="0" collapsed="false">
      <c r="A148" s="7" t="s">
        <v>873</v>
      </c>
      <c r="C148" s="30" t="n">
        <f aca="false">ROUND('Capital &amp; financiamento'!C10-CHOOSE(Pressupostos!$E$4,Motor!$C$268,Motor!$C$578,Motor!$C$888,Motor!$C$1198),4)</f>
        <v>0</v>
      </c>
    </row>
    <row r="149" customFormat="false" ht="15" hidden="false" customHeight="false" outlineLevel="0" collapsed="false">
      <c r="A149" s="7" t="s">
        <v>874</v>
      </c>
      <c r="C149" s="30" t="n">
        <f aca="false">ROUND(SUMPRODUCT(ABS(Motor!$C$140:$G$140))+SUMPRODUCT(ABS(Motor!$C$252:$G$252))+SUMPRODUCT(ABS(Motor!$C$450:$G$450))+SUMPRODUCT(ABS(Motor!$C$562:$G$562))+SUMPRODUCT(ABS(Motor!$C$760:$G$760))+SUMPRODUCT(ABS(Motor!$C$872:$G$872))+SUMPRODUCT(ABS(Motor!$C$1070:$G$1070))+SUMPRODUCT(ABS(Motor!$C$1182:$G$1182))+SUMPRODUCT(ABS(Motor!$C$1380:$G$1380))+SUMPRODUCT(ABS(Motor!$C$1492:$G$1492))+SUMPRODUCT(ABS(Motor!$C$1690:$G$1690))+SUMPRODUCT(ABS(Motor!$C$1802:$G$1802))+SUMPRODUCT(ABS(Motor!$C$2000:$G$2000))+SUMPRODUCT(ABS(Motor!$C$2112:$G$2112))+SUMPRODUCT(ABS(Motor!$C$2310:$G$2310))+SUMPRODUCT(ABS(Motor!$C$2422:$G$2422))+SUMPRODUCT(ABS(Motor!$C$2620:$G$2620))+SUMPRODUCT(ABS(Motor!$C$2732:$G$2732))+SUMPRODUCT(ABS(Motor!$C$2930:$G$2930))+SUMPRODUCT(ABS(Motor!$C$3042:$G$3042))+SUMPRODUCT(ABS(Motor!$C$3240:$G$3240))+SUMPRODUCT(ABS(Motor!$C$3352:$G$3352))+SUMPRODUCT(ABS(Motor!$C$3550:$G$3550))+SUMPRODUCT(ABS(Motor!$C$3662:$G$3662))+SUMPRODUCT(ABS(Motor!$C$3860:$G$3860))+SUMPRODUCT(ABS(Motor!$C$3972:$G$3972))+SUMPRODUCT(ABS(Motor!$C$4170:$G$4170))+SUMPRODUCT(ABS(Motor!$C$4282:$G$4282))+SUMPRODUCT(ABS(Motor!$C$4480:$G$4480))+SUMPRODUCT(ABS(Motor!$C$4592:$G$4592))+SUMPRODUCT(ABS(Motor!$C$4790:$G$4790))+SUMPRODUCT(ABS(Motor!$C$4902:$G$4902))+SUMPRODUCT(ABS(Motor!$C$5100:$G$5100))+SUMPRODUCT(ABS(Motor!$C$5212:$G$5212))+SUMPRODUCT(ABS(Motor!$C$5410:$G$5410))+SUMPRODUCT(ABS(Motor!$C$5522:$G$5522)),4)</f>
        <v>0</v>
      </c>
    </row>
    <row r="150" customFormat="false" ht="15" hidden="false" customHeight="false" outlineLevel="0" collapsed="false">
      <c r="A150" s="10" t="s">
        <v>875</v>
      </c>
      <c r="C150" s="95" t="str">
        <f aca="false">IF(SUMPRODUCT(ABS(C146:G146))+SUMPRODUCT(ABS(C147:G147))+SUMPRODUCT(ABS(C148:G148))+SUMPRODUCT(ABS(C149:G149))=0,"OK","ERRO")</f>
        <v>OK</v>
      </c>
    </row>
  </sheetData>
  <mergeCells count="12"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"/>
    <col collapsed="false" customWidth="true" hidden="false" outlineLevel="0" max="8" min="3" style="0" width="15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876</v>
      </c>
    </row>
    <row r="2" customFormat="false" ht="15" hidden="false" customHeight="false" outlineLevel="0" collapsed="false">
      <c r="A2" s="2" t="s">
        <v>877</v>
      </c>
    </row>
    <row r="4" customFormat="false" ht="15" hidden="false" customHeight="false" outlineLevel="0" collapsed="false">
      <c r="A4" s="3" t="s">
        <v>878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7" t="s">
        <v>343</v>
      </c>
      <c r="B5" s="45" t="n">
        <f aca="false">Pressupostos!$C$189</f>
        <v>0.1</v>
      </c>
    </row>
    <row r="6" customFormat="false" ht="15" hidden="false" customHeight="false" outlineLevel="0" collapsed="false">
      <c r="A6" s="7" t="s">
        <v>345</v>
      </c>
      <c r="B6" s="45" t="n">
        <f aca="false">Pressupostos!$C$190</f>
        <v>0.125</v>
      </c>
    </row>
    <row r="7" customFormat="false" ht="15" hidden="false" customHeight="false" outlineLevel="0" collapsed="false">
      <c r="A7" s="7" t="s">
        <v>346</v>
      </c>
      <c r="B7" s="45" t="n">
        <f aca="false">Pressupostos!$C$191</f>
        <v>0.15</v>
      </c>
    </row>
    <row r="8" customFormat="false" ht="15" hidden="false" customHeight="false" outlineLevel="0" collapsed="false">
      <c r="A8" s="7" t="s">
        <v>347</v>
      </c>
      <c r="B8" s="45" t="n">
        <f aca="false">Pressupostos!$C$192</f>
        <v>-0.3</v>
      </c>
    </row>
    <row r="9" customFormat="false" ht="15" hidden="false" customHeight="false" outlineLevel="0" collapsed="false">
      <c r="A9" s="7" t="s">
        <v>349</v>
      </c>
      <c r="B9" s="45" t="n">
        <f aca="false">Pressupostos!$C$193</f>
        <v>0.3</v>
      </c>
    </row>
    <row r="10" customFormat="false" ht="15" hidden="false" customHeight="false" outlineLevel="0" collapsed="false">
      <c r="A10" s="7" t="s">
        <v>352</v>
      </c>
      <c r="B10" s="45" t="n">
        <f aca="false">Pressupostos!$C$195</f>
        <v>-0.3</v>
      </c>
    </row>
    <row r="11" customFormat="false" ht="15" hidden="false" customHeight="false" outlineLevel="0" collapsed="false">
      <c r="A11" s="7" t="s">
        <v>350</v>
      </c>
      <c r="B11" s="96" t="n">
        <f aca="false">Pressupostos!$C$194</f>
        <v>0.2</v>
      </c>
    </row>
    <row r="12" customFormat="false" ht="15" hidden="false" customHeight="false" outlineLevel="0" collapsed="false">
      <c r="A12" s="7" t="s">
        <v>338</v>
      </c>
      <c r="B12" s="45" t="n">
        <f aca="false">Pressupostos!$C$186</f>
        <v>0.15</v>
      </c>
    </row>
    <row r="14" customFormat="false" ht="15" hidden="false" customHeight="false" outlineLevel="0" collapsed="false">
      <c r="A14" s="3" t="s">
        <v>879</v>
      </c>
      <c r="B14" s="4"/>
      <c r="C14" s="4"/>
      <c r="D14" s="4"/>
      <c r="E14" s="4"/>
      <c r="F14" s="4"/>
      <c r="G14" s="4"/>
      <c r="H14" s="4"/>
      <c r="I14" s="4"/>
    </row>
    <row r="15" customFormat="false" ht="35.05" hidden="false" customHeight="false" outlineLevel="0" collapsed="false">
      <c r="A15" s="5" t="s">
        <v>880</v>
      </c>
      <c r="B15" s="5" t="s">
        <v>881</v>
      </c>
      <c r="C15" s="6" t="s">
        <v>882</v>
      </c>
      <c r="D15" s="6" t="s">
        <v>883</v>
      </c>
      <c r="E15" s="6" t="s">
        <v>884</v>
      </c>
      <c r="F15" s="6" t="s">
        <v>885</v>
      </c>
      <c r="G15" s="6" t="s">
        <v>886</v>
      </c>
      <c r="H15" s="6" t="s">
        <v>887</v>
      </c>
      <c r="I15" s="6" t="s">
        <v>15</v>
      </c>
    </row>
    <row r="16" customFormat="false" ht="15" hidden="false" customHeight="false" outlineLevel="0" collapsed="false">
      <c r="A16" s="10" t="s">
        <v>888</v>
      </c>
      <c r="C16" s="97" t="n">
        <f aca="false">Motor!$E$356</f>
        <v>0.347135719178083</v>
      </c>
      <c r="D16" s="11" t="n">
        <f aca="false">Motor!$E$517</f>
        <v>-969909.990443249</v>
      </c>
      <c r="E16" s="11" t="n">
        <f aca="false">Motor!$G$517</f>
        <v>-1219975.89659631</v>
      </c>
      <c r="F16" s="98" t="n">
        <f aca="false">E16-E16</f>
        <v>0</v>
      </c>
      <c r="G16" s="11" t="n">
        <f aca="false">Motor!$G$561</f>
        <v>-5213753.67227711</v>
      </c>
      <c r="H16" s="11" t="n">
        <f aca="false">Motor!$C$578</f>
        <v>5508753.67227711</v>
      </c>
      <c r="I16" s="88" t="str">
        <f aca="false">Motor!$C$600</f>
        <v>não atinge até 2031</v>
      </c>
    </row>
    <row r="17" customFormat="false" ht="15" hidden="false" customHeight="false" outlineLevel="0" collapsed="false">
      <c r="A17" s="7" t="s">
        <v>889</v>
      </c>
      <c r="B17" s="90" t="n">
        <f aca="false">Pressupostos!$C$189</f>
        <v>0.1</v>
      </c>
      <c r="C17" s="63" t="n">
        <f aca="false">Motor!$E$1286</f>
        <v>0.347135719178083</v>
      </c>
      <c r="D17" s="50" t="n">
        <f aca="false">Motor!$E$1447</f>
        <v>-969909.990443249</v>
      </c>
      <c r="E17" s="50" t="n">
        <f aca="false">Motor!$G$1447</f>
        <v>-1219975.89659631</v>
      </c>
      <c r="F17" s="58" t="n">
        <f aca="false">E17-E16</f>
        <v>0</v>
      </c>
      <c r="G17" s="50" t="n">
        <f aca="false">Motor!$G$1491</f>
        <v>-5213753.67227711</v>
      </c>
      <c r="H17" s="50" t="n">
        <f aca="false">Motor!$C$1508</f>
        <v>5508753.67227711</v>
      </c>
      <c r="I17" s="12" t="str">
        <f aca="false">Motor!$C$1530</f>
        <v>não atinge até 2031</v>
      </c>
    </row>
    <row r="18" customFormat="false" ht="15" hidden="false" customHeight="false" outlineLevel="0" collapsed="false">
      <c r="A18" s="7" t="s">
        <v>889</v>
      </c>
      <c r="B18" s="90" t="n">
        <f aca="false">Pressupostos!$C$190</f>
        <v>0.125</v>
      </c>
      <c r="C18" s="63" t="n">
        <f aca="false">Motor!$E$1596</f>
        <v>0.206733219178083</v>
      </c>
      <c r="D18" s="50" t="n">
        <f aca="false">Motor!$E$1757</f>
        <v>-988508.377943249</v>
      </c>
      <c r="E18" s="50" t="n">
        <f aca="false">Motor!$G$1757</f>
        <v>-1277309.27159631</v>
      </c>
      <c r="F18" s="58" t="n">
        <f aca="false">E18-E16</f>
        <v>-57333.375</v>
      </c>
      <c r="G18" s="50" t="n">
        <f aca="false">Motor!$G$1801</f>
        <v>-5332451.55892951</v>
      </c>
      <c r="H18" s="50" t="n">
        <f aca="false">Motor!$C$1818</f>
        <v>5627451.55892951</v>
      </c>
      <c r="I18" s="12" t="str">
        <f aca="false">Motor!$C$1840</f>
        <v>não atinge até 2031</v>
      </c>
    </row>
    <row r="19" customFormat="false" ht="15" hidden="false" customHeight="false" outlineLevel="0" collapsed="false">
      <c r="A19" s="7" t="s">
        <v>889</v>
      </c>
      <c r="B19" s="90" t="n">
        <f aca="false">Pressupostos!$C$191</f>
        <v>0.15</v>
      </c>
      <c r="C19" s="63" t="n">
        <f aca="false">Motor!$E$1906</f>
        <v>0.0663307191780822</v>
      </c>
      <c r="D19" s="50" t="n">
        <f aca="false">Motor!$E$2067</f>
        <v>-1007106.76544325</v>
      </c>
      <c r="E19" s="50" t="n">
        <f aca="false">Motor!$G$2067</f>
        <v>-1334642.64659631</v>
      </c>
      <c r="F19" s="58" t="n">
        <f aca="false">E19-E16</f>
        <v>-114666.75</v>
      </c>
      <c r="G19" s="50" t="n">
        <f aca="false">Motor!$G$2111</f>
        <v>-5451149.4455819</v>
      </c>
      <c r="H19" s="50" t="n">
        <f aca="false">Motor!$C$2128</f>
        <v>5746149.4455819</v>
      </c>
      <c r="I19" s="12" t="str">
        <f aca="false">Motor!$C$2150</f>
        <v>não atinge até 2031</v>
      </c>
    </row>
    <row r="20" customFormat="false" ht="15" hidden="false" customHeight="false" outlineLevel="0" collapsed="false">
      <c r="A20" s="7" t="s">
        <v>890</v>
      </c>
      <c r="B20" s="90" t="n">
        <f aca="false">Pressupostos!$C$192</f>
        <v>-0.3</v>
      </c>
      <c r="C20" s="63" t="n">
        <f aca="false">Motor!$E$2216</f>
        <v>0.347135719178083</v>
      </c>
      <c r="D20" s="50" t="n">
        <f aca="false">Motor!$E$2377</f>
        <v>-999592.701170988</v>
      </c>
      <c r="E20" s="50" t="n">
        <f aca="false">Motor!$G$2377</f>
        <v>-1308014.37998672</v>
      </c>
      <c r="F20" s="58" t="n">
        <f aca="false">E20-E16</f>
        <v>-88038.4833904109</v>
      </c>
      <c r="G20" s="50" t="n">
        <f aca="false">Motor!$G$2421</f>
        <v>-5335221.80879937</v>
      </c>
      <c r="H20" s="50" t="n">
        <f aca="false">Motor!$C$2438</f>
        <v>5630221.80879937</v>
      </c>
      <c r="I20" s="12" t="str">
        <f aca="false">Motor!$C$2460</f>
        <v>não atinge até 2031</v>
      </c>
    </row>
    <row r="21" customFormat="false" ht="15" hidden="false" customHeight="false" outlineLevel="0" collapsed="false">
      <c r="A21" s="7" t="s">
        <v>890</v>
      </c>
      <c r="B21" s="90" t="n">
        <f aca="false">Pressupostos!$C$193</f>
        <v>0.3</v>
      </c>
      <c r="C21" s="63" t="n">
        <f aca="false">Motor!$E$2526</f>
        <v>0.347135719178083</v>
      </c>
      <c r="D21" s="50" t="n">
        <f aca="false">Motor!$E$2687</f>
        <v>-940227.279715509</v>
      </c>
      <c r="E21" s="50" t="n">
        <f aca="false">Motor!$G$2687</f>
        <v>-1131937.4132059</v>
      </c>
      <c r="F21" s="58" t="n">
        <f aca="false">E21-E16</f>
        <v>88038.4833904109</v>
      </c>
      <c r="G21" s="50" t="n">
        <f aca="false">Motor!$G$2731</f>
        <v>-5092285.53575485</v>
      </c>
      <c r="H21" s="50" t="n">
        <f aca="false">Motor!$C$2748</f>
        <v>5387285.53575485</v>
      </c>
      <c r="I21" s="12" t="str">
        <f aca="false">Motor!$C$2770</f>
        <v>não atinge até 2031</v>
      </c>
    </row>
    <row r="22" customFormat="false" ht="15" hidden="false" customHeight="false" outlineLevel="0" collapsed="false">
      <c r="A22" s="7" t="s">
        <v>891</v>
      </c>
      <c r="B22" s="90" t="n">
        <f aca="false">Pressupostos!$C$195</f>
        <v>-0.3</v>
      </c>
      <c r="C22" s="63" t="n">
        <f aca="false">Motor!$E$2836</f>
        <v>-0.101566246575342</v>
      </c>
      <c r="D22" s="50" t="n">
        <f aca="false">Motor!$E$2997</f>
        <v>-1193341.53994667</v>
      </c>
      <c r="E22" s="50" t="n">
        <f aca="false">Motor!$G$2997</f>
        <v>-1813917.60926754</v>
      </c>
      <c r="F22" s="58" t="n">
        <f aca="false">E22-E16</f>
        <v>-593941.712671234</v>
      </c>
      <c r="G22" s="50" t="n">
        <f aca="false">Motor!$G$3041</f>
        <v>-6479296.72228396</v>
      </c>
      <c r="H22" s="50" t="n">
        <f aca="false">Motor!$C$3058</f>
        <v>6774296.72228396</v>
      </c>
      <c r="I22" s="12" t="str">
        <f aca="false">Motor!$C$3080</f>
        <v>não atinge até 2031</v>
      </c>
    </row>
    <row r="23" customFormat="false" ht="15" hidden="false" customHeight="false" outlineLevel="0" collapsed="false">
      <c r="A23" s="7" t="s">
        <v>892</v>
      </c>
      <c r="B23" s="99" t="n">
        <f aca="false">Pressupostos!$C$194</f>
        <v>0.2</v>
      </c>
      <c r="C23" s="63" t="n">
        <f aca="false">Motor!$E$3146</f>
        <v>0.347135719178083</v>
      </c>
      <c r="D23" s="50" t="n">
        <f aca="false">Motor!$E$3307</f>
        <v>-749797.934001223</v>
      </c>
      <c r="E23" s="50" t="n">
        <f aca="false">Motor!$G$3307</f>
        <v>-652080.92749161</v>
      </c>
      <c r="F23" s="58" t="n">
        <f aca="false">E23-E16</f>
        <v>567894.969104697</v>
      </c>
      <c r="G23" s="50" t="n">
        <f aca="false">Motor!$G$3351</f>
        <v>-4005939.30966874</v>
      </c>
      <c r="H23" s="50" t="n">
        <f aca="false">Motor!$C$3368</f>
        <v>4300939.30966874</v>
      </c>
      <c r="I23" s="12" t="str">
        <f aca="false">Motor!$C$3390</f>
        <v>não atinge até 2031</v>
      </c>
    </row>
    <row r="25" customFormat="false" ht="15" hidden="false" customHeight="false" outlineLevel="0" collapsed="false">
      <c r="A25" s="3" t="s">
        <v>893</v>
      </c>
      <c r="B25" s="4"/>
      <c r="C25" s="4"/>
      <c r="D25" s="4"/>
      <c r="E25" s="4"/>
      <c r="F25" s="4"/>
      <c r="G25" s="4"/>
      <c r="H25" s="4"/>
      <c r="I25" s="4"/>
    </row>
    <row r="26" customFormat="false" ht="35.05" hidden="false" customHeight="false" outlineLevel="0" collapsed="false">
      <c r="A26" s="5" t="s">
        <v>880</v>
      </c>
      <c r="B26" s="5" t="s">
        <v>881</v>
      </c>
      <c r="C26" s="6" t="s">
        <v>882</v>
      </c>
      <c r="D26" s="6" t="s">
        <v>883</v>
      </c>
      <c r="E26" s="6" t="s">
        <v>884</v>
      </c>
      <c r="F26" s="6" t="s">
        <v>885</v>
      </c>
      <c r="G26" s="6" t="s">
        <v>886</v>
      </c>
      <c r="H26" s="6" t="s">
        <v>887</v>
      </c>
      <c r="I26" s="6" t="s">
        <v>15</v>
      </c>
    </row>
    <row r="27" customFormat="false" ht="15" hidden="false" customHeight="false" outlineLevel="0" collapsed="false">
      <c r="A27" s="10" t="s">
        <v>888</v>
      </c>
      <c r="C27" s="97" t="n">
        <f aca="false">Motor!$E$976</f>
        <v>0.609405479452056</v>
      </c>
      <c r="D27" s="11" t="n">
        <f aca="false">Motor!$E$1137</f>
        <v>-692917.688343322</v>
      </c>
      <c r="E27" s="11" t="n">
        <f aca="false">Motor!$G$1137</f>
        <v>-529540.381498266</v>
      </c>
      <c r="F27" s="98" t="n">
        <f aca="false">E27-E27</f>
        <v>0</v>
      </c>
      <c r="G27" s="11" t="n">
        <f aca="false">Motor!$G$1181</f>
        <v>-3726708.2124372</v>
      </c>
      <c r="H27" s="11" t="n">
        <f aca="false">Motor!$C$1198</f>
        <v>4021708.2124372</v>
      </c>
      <c r="I27" s="88" t="str">
        <f aca="false">Motor!$C$1220</f>
        <v>não atinge até 2031</v>
      </c>
    </row>
    <row r="28" customFormat="false" ht="15" hidden="false" customHeight="false" outlineLevel="0" collapsed="false">
      <c r="A28" s="7" t="s">
        <v>889</v>
      </c>
      <c r="B28" s="90" t="n">
        <f aca="false">Pressupostos!$C$189</f>
        <v>0.1</v>
      </c>
      <c r="C28" s="63" t="n">
        <f aca="false">Motor!$E$3456</f>
        <v>0.609405479452056</v>
      </c>
      <c r="D28" s="50" t="n">
        <f aca="false">Motor!$E$3617</f>
        <v>-692917.688343322</v>
      </c>
      <c r="E28" s="50" t="n">
        <f aca="false">Motor!$G$3617</f>
        <v>-529540.381498266</v>
      </c>
      <c r="F28" s="58" t="n">
        <f aca="false">E28-E27</f>
        <v>0</v>
      </c>
      <c r="G28" s="50" t="n">
        <f aca="false">Motor!$G$3661</f>
        <v>-3726708.2124372</v>
      </c>
      <c r="H28" s="50" t="n">
        <f aca="false">Motor!$C$3678</f>
        <v>4021708.2124372</v>
      </c>
      <c r="I28" s="12" t="str">
        <f aca="false">Motor!$C$3700</f>
        <v>não atinge até 2031</v>
      </c>
    </row>
    <row r="29" customFormat="false" ht="15" hidden="false" customHeight="false" outlineLevel="0" collapsed="false">
      <c r="A29" s="7" t="s">
        <v>889</v>
      </c>
      <c r="B29" s="90" t="n">
        <f aca="false">Pressupostos!$C$190</f>
        <v>0.125</v>
      </c>
      <c r="C29" s="63" t="n">
        <f aca="false">Motor!$E$3766</f>
        <v>0.460305479452055</v>
      </c>
      <c r="D29" s="50" t="n">
        <f aca="false">Motor!$E$3927</f>
        <v>-705094.688343322</v>
      </c>
      <c r="E29" s="50" t="n">
        <f aca="false">Motor!$G$3927</f>
        <v>-559982.881498266</v>
      </c>
      <c r="F29" s="58" t="n">
        <f aca="false">E29-E27</f>
        <v>-30442.5</v>
      </c>
      <c r="G29" s="50" t="n">
        <f aca="false">Motor!$G$3971</f>
        <v>-3795965.73397829</v>
      </c>
      <c r="H29" s="50" t="n">
        <f aca="false">Motor!$C$3988</f>
        <v>4090965.73397829</v>
      </c>
      <c r="I29" s="12" t="str">
        <f aca="false">Motor!$C$4010</f>
        <v>não atinge até 2031</v>
      </c>
    </row>
    <row r="30" customFormat="false" ht="15" hidden="false" customHeight="false" outlineLevel="0" collapsed="false">
      <c r="A30" s="7" t="s">
        <v>889</v>
      </c>
      <c r="B30" s="90" t="n">
        <f aca="false">Pressupostos!$C$191</f>
        <v>0.15</v>
      </c>
      <c r="C30" s="63" t="n">
        <f aca="false">Motor!$E$4076</f>
        <v>0.311205479452055</v>
      </c>
      <c r="D30" s="50" t="n">
        <f aca="false">Motor!$E$4237</f>
        <v>-717271.688343322</v>
      </c>
      <c r="E30" s="50" t="n">
        <f aca="false">Motor!$G$4237</f>
        <v>-590425.381498266</v>
      </c>
      <c r="F30" s="58" t="n">
        <f aca="false">E30-E27</f>
        <v>-60885</v>
      </c>
      <c r="G30" s="50" t="n">
        <f aca="false">Motor!$G$4281</f>
        <v>-3865223.25551939</v>
      </c>
      <c r="H30" s="50" t="n">
        <f aca="false">Motor!$C$4298</f>
        <v>4160223.25551939</v>
      </c>
      <c r="I30" s="12" t="str">
        <f aca="false">Motor!$C$4320</f>
        <v>não atinge até 2031</v>
      </c>
    </row>
    <row r="31" customFormat="false" ht="15" hidden="false" customHeight="false" outlineLevel="0" collapsed="false">
      <c r="A31" s="7" t="s">
        <v>890</v>
      </c>
      <c r="B31" s="90" t="n">
        <f aca="false">Pressupostos!$C$192</f>
        <v>-0.3</v>
      </c>
      <c r="C31" s="63" t="n">
        <f aca="false">Motor!$E$4386</f>
        <v>0.609405479452056</v>
      </c>
      <c r="D31" s="50" t="n">
        <f aca="false">Motor!$E$4547</f>
        <v>-749614.876434075</v>
      </c>
      <c r="E31" s="50" t="n">
        <f aca="false">Motor!$G$4547</f>
        <v>-681507.086464019</v>
      </c>
      <c r="F31" s="58" t="n">
        <f aca="false">E31-E27</f>
        <v>-151966.704965753</v>
      </c>
      <c r="G31" s="50" t="n">
        <f aca="false">Motor!$G$4591</f>
        <v>-3947191.68169233</v>
      </c>
      <c r="H31" s="50" t="n">
        <f aca="false">Motor!$C$4608</f>
        <v>4242191.68169233</v>
      </c>
      <c r="I31" s="12" t="str">
        <f aca="false">Motor!$C$4630</f>
        <v>não atinge até 2031</v>
      </c>
    </row>
    <row r="32" customFormat="false" ht="15" hidden="false" customHeight="false" outlineLevel="0" collapsed="false">
      <c r="A32" s="7" t="s">
        <v>890</v>
      </c>
      <c r="B32" s="90" t="n">
        <f aca="false">Pressupostos!$C$193</f>
        <v>0.3</v>
      </c>
      <c r="C32" s="63" t="n">
        <f aca="false">Motor!$E$4696</f>
        <v>0.609405479452056</v>
      </c>
      <c r="D32" s="50" t="n">
        <f aca="false">Motor!$E$4857</f>
        <v>-636220.500252569</v>
      </c>
      <c r="E32" s="50" t="n">
        <f aca="false">Motor!$G$4857</f>
        <v>-377573.676532512</v>
      </c>
      <c r="F32" s="58" t="n">
        <f aca="false">E32-E27</f>
        <v>151966.704965754</v>
      </c>
      <c r="G32" s="50" t="n">
        <f aca="false">Motor!$G$4901</f>
        <v>-3506224.74318206</v>
      </c>
      <c r="H32" s="50" t="n">
        <f aca="false">Motor!$C$4918</f>
        <v>3801224.74318206</v>
      </c>
      <c r="I32" s="12" t="str">
        <f aca="false">Motor!$C$4940</f>
        <v>não atinge até 2031</v>
      </c>
    </row>
    <row r="33" customFormat="false" ht="15" hidden="false" customHeight="false" outlineLevel="0" collapsed="false">
      <c r="A33" s="7" t="s">
        <v>891</v>
      </c>
      <c r="B33" s="90" t="n">
        <f aca="false">Pressupostos!$C$195</f>
        <v>-0.3</v>
      </c>
      <c r="C33" s="63" t="n">
        <f aca="false">Motor!$E$5006</f>
        <v>0.0667705136986303</v>
      </c>
      <c r="D33" s="50" t="n">
        <f aca="false">Motor!$E$5167</f>
        <v>-872905.859353597</v>
      </c>
      <c r="E33" s="50" t="n">
        <f aca="false">Motor!$G$5167</f>
        <v>-986868.060265391</v>
      </c>
      <c r="F33" s="58" t="n">
        <f aca="false">E33-E27</f>
        <v>-457327.678767125</v>
      </c>
      <c r="G33" s="50" t="n">
        <f aca="false">Motor!$G$5211</f>
        <v>-4664387.94037213</v>
      </c>
      <c r="H33" s="50" t="n">
        <f aca="false">Motor!$C$5228</f>
        <v>4959387.94037213</v>
      </c>
      <c r="I33" s="12" t="str">
        <f aca="false">Motor!$C$5250</f>
        <v>não atinge até 2031</v>
      </c>
    </row>
    <row r="34" customFormat="false" ht="15" hidden="false" customHeight="false" outlineLevel="0" collapsed="false">
      <c r="A34" s="7" t="s">
        <v>892</v>
      </c>
      <c r="B34" s="99" t="n">
        <f aca="false">Pressupostos!$C$194</f>
        <v>0.2</v>
      </c>
      <c r="C34" s="63" t="n">
        <f aca="false">Motor!$E$5316</f>
        <v>0.609405479452056</v>
      </c>
      <c r="D34" s="50" t="n">
        <f aca="false">Motor!$E$5477</f>
        <v>-513662.970252569</v>
      </c>
      <c r="E34" s="50" t="n">
        <f aca="false">Motor!$G$5477</f>
        <v>-46502.5765325122</v>
      </c>
      <c r="F34" s="58" t="n">
        <f aca="false">E34-E27</f>
        <v>483037.804965754</v>
      </c>
      <c r="G34" s="50" t="n">
        <f aca="false">Motor!$G$5521</f>
        <v>-2781762.06311356</v>
      </c>
      <c r="H34" s="50" t="n">
        <f aca="false">Motor!$C$5538</f>
        <v>3076762.06311356</v>
      </c>
      <c r="I34" s="12" t="str">
        <f aca="false">Motor!$C$5560</f>
        <v>não atinge até 2031</v>
      </c>
    </row>
    <row r="36" customFormat="false" ht="15" hidden="false" customHeight="false" outlineLevel="0" collapsed="false">
      <c r="A36" s="3" t="s">
        <v>894</v>
      </c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A37" s="2" t="s">
        <v>895</v>
      </c>
    </row>
    <row r="38" customFormat="false" ht="15" hidden="false" customHeight="false" outlineLevel="0" collapsed="false">
      <c r="A38" s="10" t="s">
        <v>896</v>
      </c>
      <c r="B38" s="100" t="n">
        <f aca="false">Pressupostos!$C$197</f>
        <v>0.297</v>
      </c>
    </row>
    <row r="39" customFormat="false" ht="15" hidden="false" customHeight="false" outlineLevel="0" collapsed="false">
      <c r="A39" s="5" t="s">
        <v>897</v>
      </c>
      <c r="B39" s="101" t="n">
        <f aca="false">Pressupostos!$C$199</f>
        <v>0.8</v>
      </c>
      <c r="C39" s="102" t="n">
        <f aca="false">Pressupostos!$C$200</f>
        <v>0.85</v>
      </c>
      <c r="D39" s="102" t="n">
        <f aca="false">Pressupostos!$C$201</f>
        <v>0.9</v>
      </c>
    </row>
    <row r="40" customFormat="false" ht="15" hidden="false" customHeight="false" outlineLevel="0" collapsed="false">
      <c r="A40" s="103" t="n">
        <f aca="false">Pressupostos!$C$189</f>
        <v>0.1</v>
      </c>
      <c r="B40" s="34" t="n">
        <f aca="false">B$39*Pressupostos!$C$197-$A40*Motor!$E$338-Motor!$E$354-(Motor!$E$342+Motor!$E$345+Motor!$E$346+Motor!$E$347+Motor!$E$348+Motor!$E$349+Motor!$E$350+Motor!$E$351+Motor!$E$352+Motor!$E$353)</f>
        <v>-0.635264280821918</v>
      </c>
      <c r="C40" s="34" t="n">
        <f aca="false">C$39*Pressupostos!$C$197-$A40*Motor!$E$338-Motor!$E$354-(Motor!$E$342+Motor!$E$345+Motor!$E$346+Motor!$E$347+Motor!$E$348+Motor!$E$349+Motor!$E$350+Motor!$E$351+Motor!$E$352+Motor!$E$353)</f>
        <v>-0.620414280821918</v>
      </c>
      <c r="D40" s="34" t="n">
        <f aca="false">D$39*Pressupostos!$C$197-$A40*Motor!$E$338-Motor!$E$354-(Motor!$E$342+Motor!$E$345+Motor!$E$346+Motor!$E$347+Motor!$E$348+Motor!$E$349+Motor!$E$350+Motor!$E$351+Motor!$E$352+Motor!$E$353)</f>
        <v>-0.605564280821918</v>
      </c>
    </row>
    <row r="41" customFormat="false" ht="15" hidden="false" customHeight="false" outlineLevel="0" collapsed="false">
      <c r="A41" s="103" t="n">
        <f aca="false">Pressupostos!$C$190</f>
        <v>0.125</v>
      </c>
      <c r="B41" s="34" t="n">
        <f aca="false">B$39*Pressupostos!$C$197-$A41*Motor!$E$338-Motor!$E$354-(Motor!$E$342+Motor!$E$345+Motor!$E$346+Motor!$E$347+Motor!$E$348+Motor!$E$349+Motor!$E$350+Motor!$E$351+Motor!$E$352+Motor!$E$353)</f>
        <v>-0.776514280821918</v>
      </c>
      <c r="C41" s="34" t="n">
        <f aca="false">C$39*Pressupostos!$C$197-$A41*Motor!$E$338-Motor!$E$354-(Motor!$E$342+Motor!$E$345+Motor!$E$346+Motor!$E$347+Motor!$E$348+Motor!$E$349+Motor!$E$350+Motor!$E$351+Motor!$E$352+Motor!$E$353)</f>
        <v>-0.761664280821918</v>
      </c>
      <c r="D41" s="34" t="n">
        <f aca="false">D$39*Pressupostos!$C$197-$A41*Motor!$E$338-Motor!$E$354-(Motor!$E$342+Motor!$E$345+Motor!$E$346+Motor!$E$347+Motor!$E$348+Motor!$E$349+Motor!$E$350+Motor!$E$351+Motor!$E$352+Motor!$E$353)</f>
        <v>-0.746814280821918</v>
      </c>
    </row>
    <row r="42" customFormat="false" ht="15" hidden="false" customHeight="false" outlineLevel="0" collapsed="false">
      <c r="A42" s="103" t="n">
        <f aca="false">Pressupostos!$C$191</f>
        <v>0.15</v>
      </c>
      <c r="B42" s="34" t="n">
        <f aca="false">B$39*Pressupostos!$C$197-$A42*Motor!$E$338-Motor!$E$354-(Motor!$E$342+Motor!$E$345+Motor!$E$346+Motor!$E$347+Motor!$E$348+Motor!$E$349+Motor!$E$350+Motor!$E$351+Motor!$E$352+Motor!$E$353)</f>
        <v>-0.917764280821918</v>
      </c>
      <c r="C42" s="34" t="n">
        <f aca="false">C$39*Pressupostos!$C$197-$A42*Motor!$E$338-Motor!$E$354-(Motor!$E$342+Motor!$E$345+Motor!$E$346+Motor!$E$347+Motor!$E$348+Motor!$E$349+Motor!$E$350+Motor!$E$351+Motor!$E$352+Motor!$E$353)</f>
        <v>-0.902914280821918</v>
      </c>
      <c r="D42" s="34" t="n">
        <f aca="false">D$39*Pressupostos!$C$197-$A42*Motor!$E$338-Motor!$E$354-(Motor!$E$342+Motor!$E$345+Motor!$E$346+Motor!$E$347+Motor!$E$348+Motor!$E$349+Motor!$E$350+Motor!$E$351+Motor!$E$352+Motor!$E$353)</f>
        <v>-0.888064280821918</v>
      </c>
    </row>
    <row r="44" customFormat="false" ht="15" hidden="false" customHeight="false" outlineLevel="0" collapsed="false">
      <c r="A44" s="10" t="s">
        <v>898</v>
      </c>
      <c r="B44" s="100" t="n">
        <f aca="false">Pressupostos!$C$198</f>
        <v>0.499</v>
      </c>
    </row>
    <row r="45" customFormat="false" ht="15" hidden="false" customHeight="false" outlineLevel="0" collapsed="false">
      <c r="A45" s="5" t="s">
        <v>897</v>
      </c>
      <c r="B45" s="101" t="n">
        <f aca="false">Pressupostos!$C$199</f>
        <v>0.8</v>
      </c>
      <c r="C45" s="102" t="n">
        <f aca="false">Pressupostos!$C$200</f>
        <v>0.85</v>
      </c>
      <c r="D45" s="102" t="n">
        <f aca="false">Pressupostos!$C$201</f>
        <v>0.9</v>
      </c>
    </row>
    <row r="46" customFormat="false" ht="15" hidden="false" customHeight="false" outlineLevel="0" collapsed="false">
      <c r="A46" s="103" t="n">
        <f aca="false">Pressupostos!$C$189</f>
        <v>0.1</v>
      </c>
      <c r="B46" s="34" t="n">
        <f aca="false">B$45*Pressupostos!$C$198-$A46*Motor!$E$338-Motor!$E$354-(Motor!$E$342+Motor!$E$345+Motor!$E$346+Motor!$E$347+Motor!$E$348+Motor!$E$349+Motor!$E$350+Motor!$E$351+Motor!$E$352+Motor!$E$353)</f>
        <v>-0.473664280821918</v>
      </c>
      <c r="C46" s="34" t="n">
        <f aca="false">C$45*Pressupostos!$C$198-$A46*Motor!$E$338-Motor!$E$354-(Motor!$E$342+Motor!$E$345+Motor!$E$346+Motor!$E$347+Motor!$E$348+Motor!$E$349+Motor!$E$350+Motor!$E$351+Motor!$E$352+Motor!$E$353)</f>
        <v>-0.448714280821918</v>
      </c>
      <c r="D46" s="34" t="n">
        <f aca="false">D$45*Pressupostos!$C$198-$A46*Motor!$E$338-Motor!$E$354-(Motor!$E$342+Motor!$E$345+Motor!$E$346+Motor!$E$347+Motor!$E$348+Motor!$E$349+Motor!$E$350+Motor!$E$351+Motor!$E$352+Motor!$E$353)</f>
        <v>-0.423764280821918</v>
      </c>
    </row>
    <row r="47" customFormat="false" ht="15" hidden="false" customHeight="false" outlineLevel="0" collapsed="false">
      <c r="A47" s="103" t="n">
        <f aca="false">Pressupostos!$C$190</f>
        <v>0.125</v>
      </c>
      <c r="B47" s="34" t="n">
        <f aca="false">B$45*Pressupostos!$C$198-$A47*Motor!$E$338-Motor!$E$354-(Motor!$E$342+Motor!$E$345+Motor!$E$346+Motor!$E$347+Motor!$E$348+Motor!$E$349+Motor!$E$350+Motor!$E$351+Motor!$E$352+Motor!$E$353)</f>
        <v>-0.614914280821918</v>
      </c>
      <c r="C47" s="34" t="n">
        <f aca="false">C$45*Pressupostos!$C$198-$A47*Motor!$E$338-Motor!$E$354-(Motor!$E$342+Motor!$E$345+Motor!$E$346+Motor!$E$347+Motor!$E$348+Motor!$E$349+Motor!$E$350+Motor!$E$351+Motor!$E$352+Motor!$E$353)</f>
        <v>-0.589964280821918</v>
      </c>
      <c r="D47" s="34" t="n">
        <f aca="false">D$45*Pressupostos!$C$198-$A47*Motor!$E$338-Motor!$E$354-(Motor!$E$342+Motor!$E$345+Motor!$E$346+Motor!$E$347+Motor!$E$348+Motor!$E$349+Motor!$E$350+Motor!$E$351+Motor!$E$352+Motor!$E$353)</f>
        <v>-0.565014280821918</v>
      </c>
    </row>
    <row r="48" customFormat="false" ht="15" hidden="false" customHeight="false" outlineLevel="0" collapsed="false">
      <c r="A48" s="103" t="n">
        <f aca="false">Pressupostos!$C$191</f>
        <v>0.15</v>
      </c>
      <c r="B48" s="34" t="n">
        <f aca="false">B$45*Pressupostos!$C$198-$A48*Motor!$E$338-Motor!$E$354-(Motor!$E$342+Motor!$E$345+Motor!$E$346+Motor!$E$347+Motor!$E$348+Motor!$E$349+Motor!$E$350+Motor!$E$351+Motor!$E$352+Motor!$E$353)</f>
        <v>-0.756164280821918</v>
      </c>
      <c r="C48" s="34" t="n">
        <f aca="false">C$45*Pressupostos!$C$198-$A48*Motor!$E$338-Motor!$E$354-(Motor!$E$342+Motor!$E$345+Motor!$E$346+Motor!$E$347+Motor!$E$348+Motor!$E$349+Motor!$E$350+Motor!$E$351+Motor!$E$352+Motor!$E$353)</f>
        <v>-0.731214280821918</v>
      </c>
      <c r="D48" s="34" t="n">
        <f aca="false">D$45*Pressupostos!$C$198-$A48*Motor!$E$338-Motor!$E$354-(Motor!$E$342+Motor!$E$345+Motor!$E$346+Motor!$E$347+Motor!$E$348+Motor!$E$349+Motor!$E$350+Motor!$E$351+Motor!$E$352+Motor!$E$353)</f>
        <v>-0.706264280821918</v>
      </c>
    </row>
    <row r="50" customFormat="false" ht="15" hidden="false" customHeight="false" outlineLevel="0" collapsed="false">
      <c r="A50" s="2" t="s">
        <v>899</v>
      </c>
    </row>
    <row r="52" customFormat="false" ht="15" hidden="false" customHeight="false" outlineLevel="0" collapsed="false">
      <c r="A52" s="3" t="s">
        <v>900</v>
      </c>
      <c r="B52" s="4"/>
      <c r="C52" s="4"/>
      <c r="D52" s="4"/>
      <c r="E52" s="4"/>
      <c r="F52" s="4"/>
      <c r="G52" s="4"/>
      <c r="H52" s="4"/>
      <c r="I52" s="4"/>
    </row>
    <row r="53" customFormat="false" ht="35.05" hidden="false" customHeight="false" outlineLevel="0" collapsed="false">
      <c r="A53" s="5" t="s">
        <v>787</v>
      </c>
      <c r="B53" s="5" t="s">
        <v>901</v>
      </c>
      <c r="C53" s="6" t="s">
        <v>902</v>
      </c>
      <c r="D53" s="6" t="s">
        <v>903</v>
      </c>
      <c r="E53" s="6" t="s">
        <v>904</v>
      </c>
    </row>
    <row r="54" customFormat="false" ht="15" hidden="false" customHeight="false" outlineLevel="0" collapsed="false">
      <c r="A54" s="7" t="s">
        <v>5</v>
      </c>
      <c r="B54" s="9" t="n">
        <f aca="false">Motor!$G$227</f>
        <v>266508.219178082</v>
      </c>
      <c r="C54" s="30" t="n">
        <f aca="false">Pressupostos!$C$195*B54</f>
        <v>-79952.4657534247</v>
      </c>
      <c r="D54" s="30" t="n">
        <f aca="false">Pressupostos!$C$186*C54</f>
        <v>-11992.8698630137</v>
      </c>
      <c r="E54" s="55" t="str">
        <f aca="false">IF(Motor!$G$114&gt;0,-C54/Motor!$G$114,"n/a")</f>
        <v>n/a</v>
      </c>
    </row>
    <row r="55" customFormat="false" ht="15" hidden="false" customHeight="false" outlineLevel="0" collapsed="false">
      <c r="A55" s="7" t="s">
        <v>6</v>
      </c>
      <c r="B55" s="9" t="n">
        <f aca="false">Motor!$G$537</f>
        <v>805623.287671233</v>
      </c>
      <c r="C55" s="30" t="n">
        <f aca="false">Pressupostos!$C$195*B55</f>
        <v>-241686.98630137</v>
      </c>
      <c r="D55" s="30" t="n">
        <f aca="false">Pressupostos!$C$186*C55</f>
        <v>-36253.0479452055</v>
      </c>
      <c r="E55" s="55" t="n">
        <f aca="false">IF(Motor!$G$424&gt;0,-C55/Motor!$G$424,"n/a")</f>
        <v>0.902715637885488</v>
      </c>
    </row>
    <row r="56" customFormat="false" ht="15" hidden="false" customHeight="false" outlineLevel="0" collapsed="false">
      <c r="A56" s="7" t="s">
        <v>7</v>
      </c>
      <c r="B56" s="9" t="n">
        <f aca="false">Motor!$G$847</f>
        <v>1046486.30136986</v>
      </c>
      <c r="C56" s="30" t="n">
        <f aca="false">Pressupostos!$C$195*B56</f>
        <v>-313945.890410959</v>
      </c>
      <c r="D56" s="30" t="n">
        <f aca="false">Pressupostos!$C$186*C56</f>
        <v>-47091.8835616438</v>
      </c>
      <c r="E56" s="55" t="n">
        <f aca="false">IF(Motor!$G$734&gt;0,-C56/Motor!$G$734,"n/a")</f>
        <v>0.251506915259395</v>
      </c>
    </row>
    <row r="57" customFormat="false" ht="15" hidden="false" customHeight="false" outlineLevel="0" collapsed="false">
      <c r="A57" s="7" t="s">
        <v>905</v>
      </c>
      <c r="B57" s="9" t="n">
        <f aca="false">Motor!$G$1157</f>
        <v>1205424.65753425</v>
      </c>
      <c r="C57" s="30" t="n">
        <f aca="false">Pressupostos!$C$195*B57</f>
        <v>-361627.397260274</v>
      </c>
      <c r="D57" s="30" t="n">
        <f aca="false">Pressupostos!$C$186*C57</f>
        <v>-54244.1095890411</v>
      </c>
      <c r="E57" s="55" t="n">
        <f aca="false">IF(Motor!$G$1044&gt;0,-C57/Motor!$G$1044,"n/a")</f>
        <v>0.673623809402311</v>
      </c>
    </row>
    <row r="59" customFormat="false" ht="15" hidden="false" customHeight="false" outlineLevel="0" collapsed="false">
      <c r="A59" s="3" t="s">
        <v>906</v>
      </c>
      <c r="B59" s="4"/>
      <c r="C59" s="4"/>
      <c r="D59" s="4"/>
      <c r="E59" s="4"/>
      <c r="F59" s="4"/>
      <c r="G59" s="4"/>
      <c r="H59" s="4"/>
      <c r="I5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50"/>
  </cols>
  <sheetData>
    <row r="1" customFormat="false" ht="17.35" hidden="false" customHeight="false" outlineLevel="0" collapsed="false">
      <c r="A1" s="1" t="s">
        <v>907</v>
      </c>
    </row>
    <row r="2" customFormat="false" ht="15" hidden="false" customHeight="false" outlineLevel="0" collapsed="false">
      <c r="A2" s="2" t="s">
        <v>908</v>
      </c>
    </row>
    <row r="4" customFormat="false" ht="15" hidden="false" customHeight="false" outlineLevel="0" collapsed="false">
      <c r="A4" s="3" t="s">
        <v>909</v>
      </c>
      <c r="B4" s="4"/>
    </row>
    <row r="5" customFormat="false" ht="15" hidden="false" customHeight="false" outlineLevel="0" collapsed="false">
      <c r="A5" s="7" t="s">
        <v>910</v>
      </c>
      <c r="B5" s="8" t="s">
        <v>911</v>
      </c>
    </row>
    <row r="6" customFormat="false" ht="15" hidden="false" customHeight="false" outlineLevel="0" collapsed="false">
      <c r="A6" s="7" t="s">
        <v>912</v>
      </c>
      <c r="B6" s="8" t="s">
        <v>913</v>
      </c>
    </row>
    <row r="7" customFormat="false" ht="15" hidden="false" customHeight="false" outlineLevel="0" collapsed="false">
      <c r="A7" s="7" t="s">
        <v>914</v>
      </c>
      <c r="B7" s="8" t="s">
        <v>915</v>
      </c>
    </row>
    <row r="8" customFormat="false" ht="15" hidden="false" customHeight="false" outlineLevel="0" collapsed="false">
      <c r="A8" s="7" t="s">
        <v>916</v>
      </c>
      <c r="B8" s="8" t="s">
        <v>917</v>
      </c>
    </row>
    <row r="9" customFormat="false" ht="15" hidden="false" customHeight="false" outlineLevel="0" collapsed="false">
      <c r="A9" s="7" t="s">
        <v>918</v>
      </c>
      <c r="B9" s="8" t="s">
        <v>919</v>
      </c>
    </row>
    <row r="10" customFormat="false" ht="15" hidden="false" customHeight="false" outlineLevel="0" collapsed="false">
      <c r="A10" s="7" t="s">
        <v>920</v>
      </c>
      <c r="B10" s="8" t="s">
        <v>921</v>
      </c>
    </row>
    <row r="11" customFormat="false" ht="15" hidden="false" customHeight="false" outlineLevel="0" collapsed="false">
      <c r="A11" s="7" t="s">
        <v>922</v>
      </c>
      <c r="B11" s="8" t="s">
        <v>923</v>
      </c>
    </row>
    <row r="12" customFormat="false" ht="15" hidden="false" customHeight="false" outlineLevel="0" collapsed="false">
      <c r="A12" s="7" t="s">
        <v>924</v>
      </c>
      <c r="B12" s="8" t="s">
        <v>925</v>
      </c>
    </row>
    <row r="13" customFormat="false" ht="15" hidden="false" customHeight="false" outlineLevel="0" collapsed="false">
      <c r="A13" s="7" t="s">
        <v>926</v>
      </c>
      <c r="B13" s="8" t="s">
        <v>927</v>
      </c>
    </row>
    <row r="14" customFormat="false" ht="15" hidden="false" customHeight="false" outlineLevel="0" collapsed="false">
      <c r="A14" s="7" t="s">
        <v>928</v>
      </c>
      <c r="B14" s="8" t="s">
        <v>929</v>
      </c>
    </row>
    <row r="15" customFormat="false" ht="15" hidden="false" customHeight="false" outlineLevel="0" collapsed="false">
      <c r="A15" s="7" t="s">
        <v>930</v>
      </c>
      <c r="B15" s="8" t="s">
        <v>931</v>
      </c>
    </row>
    <row r="17" customFormat="false" ht="15" hidden="false" customHeight="false" outlineLevel="0" collapsed="false">
      <c r="A17" s="3" t="s">
        <v>932</v>
      </c>
      <c r="B17" s="4"/>
    </row>
    <row r="18" customFormat="false" ht="75" hidden="false" customHeight="true" outlineLevel="0" collapsed="false">
      <c r="B18" s="91" t="s">
        <v>933</v>
      </c>
    </row>
    <row r="19" customFormat="false" ht="45" hidden="false" customHeight="true" outlineLevel="0" collapsed="false">
      <c r="B19" s="91" t="s">
        <v>934</v>
      </c>
    </row>
    <row r="20" customFormat="false" ht="45" hidden="false" customHeight="true" outlineLevel="0" collapsed="false">
      <c r="B20" s="91" t="s">
        <v>935</v>
      </c>
    </row>
    <row r="21" customFormat="false" ht="30" hidden="false" customHeight="true" outlineLevel="0" collapsed="false">
      <c r="B21" s="91" t="s">
        <v>936</v>
      </c>
    </row>
    <row r="22" customFormat="false" ht="30" hidden="false" customHeight="true" outlineLevel="0" collapsed="false">
      <c r="B22" s="91" t="s">
        <v>937</v>
      </c>
    </row>
    <row r="23" customFormat="false" ht="15" hidden="false" customHeight="true" outlineLevel="0" collapsed="false">
      <c r="B23" s="91" t="s">
        <v>938</v>
      </c>
    </row>
    <row r="25" customFormat="false" ht="30" hidden="false" customHeight="true" outlineLevel="0" collapsed="false">
      <c r="A25" s="10" t="s">
        <v>939</v>
      </c>
      <c r="B25" s="91" t="s">
        <v>940</v>
      </c>
    </row>
    <row r="27" customFormat="false" ht="15" hidden="false" customHeight="false" outlineLevel="0" collapsed="false">
      <c r="A27" s="3" t="s">
        <v>941</v>
      </c>
      <c r="B27" s="4"/>
    </row>
    <row r="28" customFormat="false" ht="15" hidden="false" customHeight="false" outlineLevel="0" collapsed="false">
      <c r="A28" s="5" t="s">
        <v>54</v>
      </c>
      <c r="B28" s="5" t="s">
        <v>942</v>
      </c>
    </row>
    <row r="29" customFormat="false" ht="90" hidden="false" customHeight="true" outlineLevel="0" collapsed="false">
      <c r="A29" s="91" t="s">
        <v>943</v>
      </c>
      <c r="B29" s="92" t="s">
        <v>944</v>
      </c>
    </row>
    <row r="30" customFormat="false" ht="45" hidden="false" customHeight="true" outlineLevel="0" collapsed="false">
      <c r="A30" s="91" t="s">
        <v>945</v>
      </c>
      <c r="B30" s="92" t="s">
        <v>946</v>
      </c>
    </row>
    <row r="31" customFormat="false" ht="75" hidden="false" customHeight="true" outlineLevel="0" collapsed="false">
      <c r="A31" s="91" t="s">
        <v>947</v>
      </c>
      <c r="B31" s="92" t="s">
        <v>948</v>
      </c>
    </row>
    <row r="32" customFormat="false" ht="45" hidden="false" customHeight="true" outlineLevel="0" collapsed="false">
      <c r="A32" s="91" t="s">
        <v>949</v>
      </c>
      <c r="B32" s="92" t="s">
        <v>950</v>
      </c>
    </row>
    <row r="33" customFormat="false" ht="75" hidden="false" customHeight="true" outlineLevel="0" collapsed="false">
      <c r="A33" s="91" t="s">
        <v>821</v>
      </c>
      <c r="B33" s="92" t="s">
        <v>951</v>
      </c>
    </row>
    <row r="34" customFormat="false" ht="30" hidden="false" customHeight="true" outlineLevel="0" collapsed="false">
      <c r="A34" s="91" t="s">
        <v>952</v>
      </c>
      <c r="B34" s="92" t="s">
        <v>953</v>
      </c>
    </row>
    <row r="35" customFormat="false" ht="60" hidden="false" customHeight="true" outlineLevel="0" collapsed="false">
      <c r="A35" s="91" t="s">
        <v>954</v>
      </c>
      <c r="B35" s="92" t="s">
        <v>955</v>
      </c>
    </row>
    <row r="36" customFormat="false" ht="30" hidden="false" customHeight="true" outlineLevel="0" collapsed="false">
      <c r="A36" s="91" t="s">
        <v>956</v>
      </c>
      <c r="B36" s="92" t="s">
        <v>957</v>
      </c>
    </row>
    <row r="37" customFormat="false" ht="30" hidden="false" customHeight="true" outlineLevel="0" collapsed="false">
      <c r="A37" s="91" t="s">
        <v>958</v>
      </c>
      <c r="B37" s="92" t="s">
        <v>959</v>
      </c>
    </row>
    <row r="38" customFormat="false" ht="45" hidden="false" customHeight="true" outlineLevel="0" collapsed="false">
      <c r="A38" s="91" t="s">
        <v>960</v>
      </c>
      <c r="B38" s="92" t="s">
        <v>961</v>
      </c>
    </row>
    <row r="39" customFormat="false" ht="75" hidden="false" customHeight="true" outlineLevel="0" collapsed="false">
      <c r="A39" s="91" t="s">
        <v>962</v>
      </c>
      <c r="B39" s="92" t="s">
        <v>963</v>
      </c>
    </row>
    <row r="40" customFormat="false" ht="15" hidden="false" customHeight="true" outlineLevel="0" collapsed="false">
      <c r="A40" s="91" t="s">
        <v>964</v>
      </c>
      <c r="B40" s="92" t="s">
        <v>965</v>
      </c>
    </row>
    <row r="41" customFormat="false" ht="30" hidden="false" customHeight="true" outlineLevel="0" collapsed="false">
      <c r="A41" s="91" t="s">
        <v>966</v>
      </c>
      <c r="B41" s="92" t="s">
        <v>967</v>
      </c>
    </row>
    <row r="42" customFormat="false" ht="15" hidden="false" customHeight="true" outlineLevel="0" collapsed="false">
      <c r="A42" s="91" t="s">
        <v>968</v>
      </c>
      <c r="B42" s="92" t="s">
        <v>969</v>
      </c>
    </row>
    <row r="43" customFormat="false" ht="15" hidden="false" customHeight="true" outlineLevel="0" collapsed="false">
      <c r="A43" s="91" t="s">
        <v>970</v>
      </c>
      <c r="B43" s="92" t="s">
        <v>971</v>
      </c>
    </row>
    <row r="44" customFormat="false" ht="15" hidden="false" customHeight="true" outlineLevel="0" collapsed="false">
      <c r="A44" s="91" t="s">
        <v>972</v>
      </c>
      <c r="B44" s="92" t="s">
        <v>973</v>
      </c>
    </row>
    <row r="45" customFormat="false" ht="30" hidden="false" customHeight="true" outlineLevel="0" collapsed="false">
      <c r="A45" s="91" t="s">
        <v>974</v>
      </c>
      <c r="B45" s="92" t="s">
        <v>975</v>
      </c>
    </row>
    <row r="46" customFormat="false" ht="15" hidden="false" customHeight="true" outlineLevel="0" collapsed="false">
      <c r="A46" s="91" t="s">
        <v>976</v>
      </c>
      <c r="B46" s="92" t="s">
        <v>977</v>
      </c>
    </row>
    <row r="47" customFormat="false" ht="30" hidden="false" customHeight="true" outlineLevel="0" collapsed="false">
      <c r="A47" s="91" t="s">
        <v>978</v>
      </c>
      <c r="B47" s="92" t="s">
        <v>979</v>
      </c>
    </row>
    <row r="48" customFormat="false" ht="15" hidden="false" customHeight="true" outlineLevel="0" collapsed="false">
      <c r="A48" s="91" t="s">
        <v>980</v>
      </c>
      <c r="B48" s="92" t="s">
        <v>981</v>
      </c>
    </row>
    <row r="49" customFormat="false" ht="30" hidden="false" customHeight="true" outlineLevel="0" collapsed="false">
      <c r="A49" s="91" t="s">
        <v>982</v>
      </c>
      <c r="B49" s="92" t="s">
        <v>983</v>
      </c>
    </row>
    <row r="50" customFormat="false" ht="30" hidden="false" customHeight="true" outlineLevel="0" collapsed="false">
      <c r="A50" s="91" t="s">
        <v>984</v>
      </c>
      <c r="B50" s="92" t="s">
        <v>985</v>
      </c>
    </row>
    <row r="51" customFormat="false" ht="45" hidden="false" customHeight="true" outlineLevel="0" collapsed="false">
      <c r="A51" s="91" t="s">
        <v>847</v>
      </c>
      <c r="B51" s="92" t="s">
        <v>986</v>
      </c>
    </row>
    <row r="52" customFormat="false" ht="30" hidden="false" customHeight="true" outlineLevel="0" collapsed="false">
      <c r="A52" s="91" t="s">
        <v>987</v>
      </c>
      <c r="B52" s="92" t="s">
        <v>988</v>
      </c>
    </row>
    <row r="53" customFormat="false" ht="30" hidden="false" customHeight="true" outlineLevel="0" collapsed="false">
      <c r="A53" s="91" t="s">
        <v>989</v>
      </c>
      <c r="B53" s="92" t="s">
        <v>990</v>
      </c>
    </row>
    <row r="54" customFormat="false" ht="30" hidden="false" customHeight="true" outlineLevel="0" collapsed="false">
      <c r="A54" s="91" t="s">
        <v>991</v>
      </c>
      <c r="B54" s="92" t="s">
        <v>992</v>
      </c>
    </row>
    <row r="55" customFormat="false" ht="30" hidden="false" customHeight="true" outlineLevel="0" collapsed="false">
      <c r="A55" s="91" t="s">
        <v>993</v>
      </c>
      <c r="B55" s="92" t="s">
        <v>994</v>
      </c>
    </row>
    <row r="56" customFormat="false" ht="30" hidden="false" customHeight="true" outlineLevel="0" collapsed="false">
      <c r="A56" s="91" t="s">
        <v>995</v>
      </c>
      <c r="B56" s="92" t="s">
        <v>996</v>
      </c>
    </row>
    <row r="57" customFormat="false" ht="60" hidden="false" customHeight="true" outlineLevel="0" collapsed="false">
      <c r="A57" s="91" t="s">
        <v>997</v>
      </c>
      <c r="B57" s="92" t="s">
        <v>998</v>
      </c>
    </row>
    <row r="58" customFormat="false" ht="15" hidden="false" customHeight="true" outlineLevel="0" collapsed="false">
      <c r="A58" s="91" t="s">
        <v>999</v>
      </c>
      <c r="B58" s="92" t="s">
        <v>1000</v>
      </c>
    </row>
    <row r="59" customFormat="false" ht="30" hidden="false" customHeight="true" outlineLevel="0" collapsed="false">
      <c r="A59" s="91" t="s">
        <v>1001</v>
      </c>
      <c r="B59" s="92" t="s">
        <v>1002</v>
      </c>
    </row>
    <row r="60" customFormat="false" ht="30" hidden="false" customHeight="true" outlineLevel="0" collapsed="false">
      <c r="A60" s="91" t="s">
        <v>1003</v>
      </c>
      <c r="B60" s="92" t="s">
        <v>1004</v>
      </c>
    </row>
    <row r="61" customFormat="false" ht="30" hidden="false" customHeight="true" outlineLevel="0" collapsed="false">
      <c r="A61" s="91" t="s">
        <v>1005</v>
      </c>
      <c r="B61" s="92" t="s">
        <v>1006</v>
      </c>
    </row>
    <row r="62" customFormat="false" ht="15" hidden="false" customHeight="true" outlineLevel="0" collapsed="false">
      <c r="A62" s="91" t="s">
        <v>1007</v>
      </c>
      <c r="B62" s="92" t="s">
        <v>1008</v>
      </c>
    </row>
    <row r="63" customFormat="false" ht="15" hidden="false" customHeight="true" outlineLevel="0" collapsed="false">
      <c r="A63" s="91" t="s">
        <v>1009</v>
      </c>
      <c r="B63" s="92" t="s">
        <v>1010</v>
      </c>
    </row>
    <row r="64" customFormat="false" ht="15" hidden="false" customHeight="true" outlineLevel="0" collapsed="false">
      <c r="A64" s="91" t="s">
        <v>1011</v>
      </c>
      <c r="B64" s="92" t="s">
        <v>1012</v>
      </c>
    </row>
    <row r="65" customFormat="false" ht="30" hidden="false" customHeight="true" outlineLevel="0" collapsed="false">
      <c r="A65" s="91" t="s">
        <v>1013</v>
      </c>
      <c r="B65" s="92" t="s">
        <v>1014</v>
      </c>
    </row>
    <row r="66" customFormat="false" ht="30" hidden="false" customHeight="true" outlineLevel="0" collapsed="false">
      <c r="A66" s="91" t="s">
        <v>1015</v>
      </c>
      <c r="B66" s="92" t="s">
        <v>1016</v>
      </c>
    </row>
    <row r="67" customFormat="false" ht="30" hidden="false" customHeight="true" outlineLevel="0" collapsed="false">
      <c r="A67" s="91" t="s">
        <v>1017</v>
      </c>
      <c r="B67" s="92" t="s">
        <v>1018</v>
      </c>
    </row>
    <row r="68" customFormat="false" ht="30" hidden="false" customHeight="true" outlineLevel="0" collapsed="false">
      <c r="A68" s="91" t="s">
        <v>1019</v>
      </c>
      <c r="B68" s="92" t="s">
        <v>1020</v>
      </c>
    </row>
    <row r="69" customFormat="false" ht="45" hidden="false" customHeight="true" outlineLevel="0" collapsed="false">
      <c r="A69" s="91" t="s">
        <v>1021</v>
      </c>
      <c r="B69" s="92" t="s">
        <v>1022</v>
      </c>
    </row>
    <row r="70" customFormat="false" ht="30" hidden="false" customHeight="true" outlineLevel="0" collapsed="false">
      <c r="A70" s="91" t="s">
        <v>1023</v>
      </c>
      <c r="B70" s="92" t="s">
        <v>1024</v>
      </c>
    </row>
    <row r="71" customFormat="false" ht="30" hidden="false" customHeight="true" outlineLevel="0" collapsed="false">
      <c r="A71" s="91" t="s">
        <v>1025</v>
      </c>
      <c r="B71" s="92" t="s">
        <v>1026</v>
      </c>
    </row>
    <row r="72" customFormat="false" ht="30" hidden="false" customHeight="true" outlineLevel="0" collapsed="false">
      <c r="A72" s="91" t="s">
        <v>1027</v>
      </c>
      <c r="B72" s="92" t="s">
        <v>1028</v>
      </c>
    </row>
    <row r="73" customFormat="false" ht="30" hidden="false" customHeight="true" outlineLevel="0" collapsed="false">
      <c r="A73" s="91" t="s">
        <v>1029</v>
      </c>
      <c r="B73" s="92" t="s">
        <v>1030</v>
      </c>
    </row>
    <row r="74" customFormat="false" ht="30" hidden="false" customHeight="true" outlineLevel="0" collapsed="false">
      <c r="A74" s="91" t="s">
        <v>1031</v>
      </c>
      <c r="B74" s="92" t="s">
        <v>1032</v>
      </c>
    </row>
    <row r="75" customFormat="false" ht="15" hidden="false" customHeight="true" outlineLevel="0" collapsed="false">
      <c r="A75" s="91" t="s">
        <v>1033</v>
      </c>
      <c r="B75" s="92" t="s">
        <v>1034</v>
      </c>
    </row>
    <row r="76" customFormat="false" ht="15" hidden="false" customHeight="true" outlineLevel="0" collapsed="false">
      <c r="A76" s="91" t="s">
        <v>1035</v>
      </c>
      <c r="B76" s="92" t="s">
        <v>1036</v>
      </c>
    </row>
    <row r="77" customFormat="false" ht="15" hidden="false" customHeight="true" outlineLevel="0" collapsed="false">
      <c r="A77" s="91" t="s">
        <v>1037</v>
      </c>
      <c r="B77" s="92" t="s">
        <v>1038</v>
      </c>
    </row>
    <row r="78" customFormat="false" ht="45" hidden="false" customHeight="true" outlineLevel="0" collapsed="false">
      <c r="A78" s="91" t="s">
        <v>1039</v>
      </c>
      <c r="B78" s="92" t="s">
        <v>1040</v>
      </c>
    </row>
    <row r="79" customFormat="false" ht="15" hidden="false" customHeight="true" outlineLevel="0" collapsed="false">
      <c r="A79" s="91" t="s">
        <v>1041</v>
      </c>
      <c r="B79" s="92" t="s">
        <v>1042</v>
      </c>
    </row>
    <row r="80" customFormat="false" ht="15" hidden="false" customHeight="true" outlineLevel="0" collapsed="false">
      <c r="A80" s="91" t="s">
        <v>1043</v>
      </c>
      <c r="B80" s="92" t="s">
        <v>1044</v>
      </c>
    </row>
    <row r="81" customFormat="false" ht="15" hidden="false" customHeight="true" outlineLevel="0" collapsed="false">
      <c r="A81" s="91" t="s">
        <v>1045</v>
      </c>
      <c r="B81" s="92" t="s">
        <v>1046</v>
      </c>
    </row>
    <row r="82" customFormat="false" ht="15" hidden="false" customHeight="true" outlineLevel="0" collapsed="false">
      <c r="A82" s="91" t="s">
        <v>1047</v>
      </c>
      <c r="B82" s="92" t="s">
        <v>1048</v>
      </c>
    </row>
    <row r="83" customFormat="false" ht="15" hidden="false" customHeight="true" outlineLevel="0" collapsed="false">
      <c r="A83" s="91" t="s">
        <v>1049</v>
      </c>
      <c r="B83" s="92" t="s">
        <v>1050</v>
      </c>
    </row>
    <row r="84" customFormat="false" ht="30" hidden="false" customHeight="true" outlineLevel="0" collapsed="false">
      <c r="A84" s="91" t="s">
        <v>1051</v>
      </c>
      <c r="B84" s="92" t="s">
        <v>1052</v>
      </c>
    </row>
    <row r="85" customFormat="false" ht="45" hidden="false" customHeight="true" outlineLevel="0" collapsed="false">
      <c r="A85" s="91" t="s">
        <v>1053</v>
      </c>
      <c r="B85" s="92" t="s">
        <v>1054</v>
      </c>
    </row>
    <row r="86" customFormat="false" ht="60" hidden="false" customHeight="true" outlineLevel="0" collapsed="false">
      <c r="A86" s="91" t="s">
        <v>1055</v>
      </c>
      <c r="B86" s="92" t="s">
        <v>1056</v>
      </c>
    </row>
    <row r="87" customFormat="false" ht="30" hidden="false" customHeight="true" outlineLevel="0" collapsed="false">
      <c r="A87" s="91" t="s">
        <v>829</v>
      </c>
      <c r="B87" s="92" t="s">
        <v>1057</v>
      </c>
    </row>
    <row r="88" customFormat="false" ht="30" hidden="false" customHeight="true" outlineLevel="0" collapsed="false">
      <c r="A88" s="91" t="s">
        <v>1058</v>
      </c>
      <c r="B88" s="92" t="s">
        <v>1059</v>
      </c>
    </row>
    <row r="89" customFormat="false" ht="30" hidden="false" customHeight="true" outlineLevel="0" collapsed="false">
      <c r="A89" s="91" t="s">
        <v>1060</v>
      </c>
      <c r="B89" s="92" t="s">
        <v>1061</v>
      </c>
    </row>
    <row r="90" customFormat="false" ht="30" hidden="false" customHeight="true" outlineLevel="0" collapsed="false">
      <c r="A90" s="91" t="s">
        <v>1062</v>
      </c>
      <c r="B90" s="92" t="s">
        <v>1063</v>
      </c>
    </row>
    <row r="91" customFormat="false" ht="15" hidden="false" customHeight="true" outlineLevel="0" collapsed="false">
      <c r="A91" s="91" t="s">
        <v>1064</v>
      </c>
      <c r="B91" s="92" t="s">
        <v>1065</v>
      </c>
    </row>
    <row r="92" customFormat="false" ht="30" hidden="false" customHeight="true" outlineLevel="0" collapsed="false">
      <c r="A92" s="91" t="s">
        <v>1066</v>
      </c>
      <c r="B92" s="92" t="s">
        <v>1067</v>
      </c>
    </row>
    <row r="93" customFormat="false" ht="45" hidden="false" customHeight="true" outlineLevel="0" collapsed="false">
      <c r="A93" s="91" t="s">
        <v>1068</v>
      </c>
      <c r="B93" s="92" t="s">
        <v>1069</v>
      </c>
    </row>
    <row r="94" customFormat="false" ht="90" hidden="false" customHeight="true" outlineLevel="0" collapsed="false">
      <c r="A94" s="91" t="s">
        <v>1070</v>
      </c>
      <c r="B94" s="92" t="s">
        <v>1071</v>
      </c>
    </row>
    <row r="95" customFormat="false" ht="90" hidden="false" customHeight="true" outlineLevel="0" collapsed="false">
      <c r="A95" s="91" t="s">
        <v>1072</v>
      </c>
      <c r="B95" s="92" t="s">
        <v>1073</v>
      </c>
    </row>
    <row r="96" customFormat="false" ht="15" hidden="false" customHeight="true" outlineLevel="0" collapsed="false">
      <c r="A96" s="91" t="s">
        <v>833</v>
      </c>
      <c r="B96" s="92" t="s">
        <v>1074</v>
      </c>
    </row>
    <row r="97" customFormat="false" ht="15" hidden="false" customHeight="true" outlineLevel="0" collapsed="false">
      <c r="A97" s="91" t="s">
        <v>825</v>
      </c>
      <c r="B97" s="92" t="s">
        <v>1075</v>
      </c>
    </row>
    <row r="98" customFormat="false" ht="15" hidden="false" customHeight="true" outlineLevel="0" collapsed="false">
      <c r="A98" s="91" t="s">
        <v>1076</v>
      </c>
      <c r="B98" s="92" t="s">
        <v>1077</v>
      </c>
    </row>
    <row r="99" customFormat="false" ht="30" hidden="false" customHeight="true" outlineLevel="0" collapsed="false">
      <c r="A99" s="91" t="s">
        <v>1078</v>
      </c>
      <c r="B99" s="92" t="s">
        <v>1079</v>
      </c>
    </row>
    <row r="100" customFormat="false" ht="45" hidden="false" customHeight="true" outlineLevel="0" collapsed="false">
      <c r="A100" s="91" t="s">
        <v>1080</v>
      </c>
      <c r="B100" s="92" t="s">
        <v>1081</v>
      </c>
    </row>
    <row r="101" customFormat="false" ht="30" hidden="false" customHeight="true" outlineLevel="0" collapsed="false">
      <c r="A101" s="91" t="s">
        <v>1082</v>
      </c>
      <c r="B101" s="92" t="s">
        <v>1083</v>
      </c>
    </row>
    <row r="102" customFormat="false" ht="30" hidden="false" customHeight="true" outlineLevel="0" collapsed="false">
      <c r="A102" s="91" t="s">
        <v>855</v>
      </c>
      <c r="B102" s="92" t="s">
        <v>1084</v>
      </c>
    </row>
    <row r="103" customFormat="false" ht="30" hidden="false" customHeight="true" outlineLevel="0" collapsed="false">
      <c r="A103" s="91" t="s">
        <v>1085</v>
      </c>
      <c r="B103" s="92" t="s">
        <v>1086</v>
      </c>
    </row>
    <row r="104" customFormat="false" ht="15" hidden="false" customHeight="true" outlineLevel="0" collapsed="false">
      <c r="A104" s="91" t="s">
        <v>1087</v>
      </c>
      <c r="B104" s="92" t="s">
        <v>1088</v>
      </c>
    </row>
    <row r="105" customFormat="false" ht="30" hidden="false" customHeight="true" outlineLevel="0" collapsed="false">
      <c r="A105" s="91" t="s">
        <v>844</v>
      </c>
      <c r="B105" s="92" t="s">
        <v>1089</v>
      </c>
    </row>
    <row r="106" customFormat="false" ht="30" hidden="false" customHeight="true" outlineLevel="0" collapsed="false">
      <c r="A106" s="91" t="s">
        <v>1090</v>
      </c>
      <c r="B106" s="92" t="s">
        <v>1091</v>
      </c>
    </row>
    <row r="107" customFormat="false" ht="45" hidden="false" customHeight="true" outlineLevel="0" collapsed="false">
      <c r="A107" s="91" t="s">
        <v>1092</v>
      </c>
      <c r="B107" s="92" t="s">
        <v>1093</v>
      </c>
    </row>
    <row r="108" customFormat="false" ht="30" hidden="false" customHeight="true" outlineLevel="0" collapsed="false">
      <c r="A108" s="91" t="s">
        <v>1094</v>
      </c>
      <c r="B108" s="92" t="s">
        <v>1095</v>
      </c>
    </row>
    <row r="109" customFormat="false" ht="15" hidden="false" customHeight="true" outlineLevel="0" collapsed="false">
      <c r="A109" s="91" t="s">
        <v>1096</v>
      </c>
      <c r="B109" s="92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8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1098</v>
      </c>
    </row>
    <row r="2" customFormat="false" ht="15" hidden="false" customHeight="false" outlineLevel="0" collapsed="false">
      <c r="A2" s="2" t="s">
        <v>1099</v>
      </c>
    </row>
    <row r="4" customFormat="false" ht="15" hidden="false" customHeight="false" outlineLevel="0" collapsed="false">
      <c r="A4" s="5" t="s">
        <v>456</v>
      </c>
      <c r="B4" s="5" t="s">
        <v>4</v>
      </c>
      <c r="C4" s="6" t="s">
        <v>366</v>
      </c>
      <c r="D4" s="6" t="s">
        <v>367</v>
      </c>
      <c r="E4" s="6" t="s">
        <v>368</v>
      </c>
      <c r="F4" s="6" t="s">
        <v>369</v>
      </c>
      <c r="G4" s="6" t="s">
        <v>370</v>
      </c>
      <c r="H4" s="6" t="s">
        <v>1100</v>
      </c>
    </row>
    <row r="6" customFormat="false" ht="15" hidden="false" customHeight="false" outlineLevel="0" collapsed="false">
      <c r="A6" s="104" t="s">
        <v>1101</v>
      </c>
      <c r="B6" s="105"/>
      <c r="C6" s="105"/>
      <c r="D6" s="105"/>
      <c r="E6" s="105"/>
      <c r="F6" s="105"/>
      <c r="G6" s="105"/>
      <c r="H6" s="105"/>
    </row>
    <row r="7" customFormat="false" ht="15" hidden="false" customHeight="false" outlineLevel="0" collapsed="false">
      <c r="A7" s="3" t="s">
        <v>1102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1" collapsed="false">
      <c r="A8" s="7" t="s">
        <v>557</v>
      </c>
      <c r="B8" s="8"/>
      <c r="C8" s="49" t="n">
        <v>2027</v>
      </c>
      <c r="D8" s="49" t="n">
        <v>2028</v>
      </c>
      <c r="E8" s="49" t="n">
        <v>2029</v>
      </c>
      <c r="F8" s="49" t="n">
        <v>2030</v>
      </c>
      <c r="G8" s="49" t="n">
        <v>2031</v>
      </c>
      <c r="H8" s="2" t="s">
        <v>18</v>
      </c>
    </row>
    <row r="9" customFormat="false" ht="15" hidden="false" customHeight="false" outlineLevel="0" collapsed="false">
      <c r="A9" s="3" t="s">
        <v>1103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1" collapsed="false">
      <c r="A10" s="7" t="s">
        <v>372</v>
      </c>
      <c r="B10" s="8" t="s">
        <v>115</v>
      </c>
      <c r="C10" s="50" t="n">
        <f aca="false">Pressupostos!$C$207</f>
        <v>30</v>
      </c>
      <c r="D10" s="50" t="n">
        <f aca="false">Pressupostos!$D$207</f>
        <v>100</v>
      </c>
      <c r="E10" s="50" t="n">
        <f aca="false">Pressupostos!$E$207</f>
        <v>250</v>
      </c>
      <c r="F10" s="50" t="n">
        <f aca="false">Pressupostos!$F$207</f>
        <v>400</v>
      </c>
      <c r="G10" s="50" t="n">
        <f aca="false">Pressupostos!$G$207</f>
        <v>500</v>
      </c>
      <c r="H10" s="2" t="s">
        <v>1104</v>
      </c>
    </row>
    <row r="11" customFormat="false" ht="15" hidden="false" customHeight="false" outlineLevel="1" collapsed="false">
      <c r="A11" s="7" t="s">
        <v>559</v>
      </c>
      <c r="B11" s="8" t="s">
        <v>112</v>
      </c>
      <c r="C11" s="51" t="n">
        <f aca="false">Pressupostos!$C$213</f>
        <v>6</v>
      </c>
      <c r="D11" s="51" t="n">
        <f aca="false">Pressupostos!$D$213</f>
        <v>21</v>
      </c>
      <c r="E11" s="51" t="n">
        <f aca="false">Pressupostos!$E$213</f>
        <v>51</v>
      </c>
      <c r="F11" s="51" t="n">
        <f aca="false">Pressupostos!$F$213</f>
        <v>82</v>
      </c>
      <c r="G11" s="51" t="n">
        <f aca="false">Pressupostos!$G$213</f>
        <v>103</v>
      </c>
      <c r="H11" s="2" t="s">
        <v>1105</v>
      </c>
    </row>
    <row r="12" customFormat="false" ht="15" hidden="false" customHeight="false" outlineLevel="1" collapsed="false">
      <c r="A12" s="7" t="s">
        <v>560</v>
      </c>
      <c r="B12" s="8" t="s">
        <v>112</v>
      </c>
      <c r="C12" s="51" t="n">
        <f aca="false">Pressupostos!$C$219</f>
        <v>34</v>
      </c>
      <c r="D12" s="51" t="n">
        <f aca="false">Pressupostos!$D$219</f>
        <v>129</v>
      </c>
      <c r="E12" s="51" t="n">
        <f aca="false">Pressupostos!$E$219</f>
        <v>249</v>
      </c>
      <c r="F12" s="51" t="n">
        <f aca="false">Pressupostos!$F$219</f>
        <v>368</v>
      </c>
      <c r="G12" s="51" t="n">
        <f aca="false">Pressupostos!$G$219</f>
        <v>497</v>
      </c>
      <c r="H12" s="2" t="s">
        <v>1106</v>
      </c>
    </row>
    <row r="13" customFormat="false" ht="15" hidden="false" customHeight="false" outlineLevel="1" collapsed="false">
      <c r="A13" s="7" t="s">
        <v>383</v>
      </c>
      <c r="B13" s="8" t="s">
        <v>112</v>
      </c>
      <c r="C13" s="51" t="n">
        <f aca="false">Pressupostos!$C$225</f>
        <v>0</v>
      </c>
      <c r="D13" s="51" t="n">
        <f aca="false">Pressupostos!$D$225</f>
        <v>0</v>
      </c>
      <c r="E13" s="51" t="n">
        <f aca="false">Pressupostos!$E$225</f>
        <v>0</v>
      </c>
      <c r="F13" s="51" t="n">
        <f aca="false">Pressupostos!$F$225</f>
        <v>0</v>
      </c>
      <c r="G13" s="51" t="n">
        <f aca="false">Pressupostos!$G$225</f>
        <v>0</v>
      </c>
      <c r="H13" s="2" t="s">
        <v>1107</v>
      </c>
    </row>
    <row r="14" customFormat="false" ht="15" hidden="false" customHeight="false" outlineLevel="1" collapsed="false">
      <c r="A14" s="52" t="s">
        <v>561</v>
      </c>
      <c r="B14" s="53" t="s">
        <v>112</v>
      </c>
      <c r="C14" s="54" t="n">
        <f aca="false">C11+C12+C13</f>
        <v>40</v>
      </c>
      <c r="D14" s="54" t="n">
        <f aca="false">D11+D12+D13</f>
        <v>150</v>
      </c>
      <c r="E14" s="54" t="n">
        <f aca="false">E11+E12+E13</f>
        <v>300</v>
      </c>
      <c r="F14" s="54" t="n">
        <f aca="false">F11+F12+F13</f>
        <v>450</v>
      </c>
      <c r="G14" s="54" t="n">
        <f aca="false">G11+G12+G13</f>
        <v>600</v>
      </c>
      <c r="H14" s="2" t="s">
        <v>1108</v>
      </c>
    </row>
    <row r="15" customFormat="false" ht="15" hidden="false" customHeight="false" outlineLevel="1" collapsed="false">
      <c r="A15" s="7" t="s">
        <v>562</v>
      </c>
      <c r="B15" s="8" t="s">
        <v>71</v>
      </c>
      <c r="C15" s="55" t="n">
        <f aca="false">IF(C14&gt;0,C11/C14,0)</f>
        <v>0.15</v>
      </c>
      <c r="D15" s="55" t="n">
        <f aca="false">IF(D14&gt;0,D11/D14,0)</f>
        <v>0.14</v>
      </c>
      <c r="E15" s="55" t="n">
        <f aca="false">IF(E14&gt;0,E11/E14,0)</f>
        <v>0.17</v>
      </c>
      <c r="F15" s="55" t="n">
        <f aca="false">IF(F14&gt;0,F11/F14,0)</f>
        <v>0.182222222222222</v>
      </c>
      <c r="G15" s="55" t="n">
        <f aca="false">IF(G14&gt;0,G11/G14,0)</f>
        <v>0.171666666666667</v>
      </c>
      <c r="H15" s="2" t="s">
        <v>1109</v>
      </c>
    </row>
    <row r="16" customFormat="false" ht="15" hidden="false" customHeight="false" outlineLevel="1" collapsed="false">
      <c r="A16" s="7" t="s">
        <v>563</v>
      </c>
      <c r="B16" s="8" t="s">
        <v>71</v>
      </c>
      <c r="C16" s="56" t="n">
        <f aca="false">C14/(Pressupostos!$C$74*1000)</f>
        <v>0.000228571428571429</v>
      </c>
      <c r="D16" s="56" t="n">
        <f aca="false">D14/(Pressupostos!$C$74*1000)</f>
        <v>0.000857142857142857</v>
      </c>
      <c r="E16" s="56" t="n">
        <f aca="false">E14/(Pressupostos!$C$74*1000)</f>
        <v>0.00171428571428571</v>
      </c>
      <c r="F16" s="56" t="n">
        <f aca="false">F14/(Pressupostos!$C$74*1000)</f>
        <v>0.00257142857142857</v>
      </c>
      <c r="G16" s="56" t="n">
        <f aca="false">G14/(Pressupostos!$C$74*1000)</f>
        <v>0.00342857142857143</v>
      </c>
      <c r="H16" s="2" t="s">
        <v>1110</v>
      </c>
    </row>
    <row r="17" customFormat="false" ht="15" hidden="false" customHeight="false" outlineLevel="1" collapsed="false">
      <c r="A17" s="7" t="s">
        <v>564</v>
      </c>
      <c r="B17" s="8" t="s">
        <v>115</v>
      </c>
      <c r="C17" s="57" t="n">
        <f aca="false">C11/Pressupostos!$C$39+C12/Pressupostos!$C$46+C13/Pressupostos!$C$58</f>
        <v>1.43333333333333</v>
      </c>
      <c r="D17" s="57" t="n">
        <f aca="false">D11/Pressupostos!$C$39+D12/Pressupostos!$C$46+D13/Pressupostos!$C$58</f>
        <v>5.35</v>
      </c>
      <c r="E17" s="57" t="n">
        <f aca="false">E11/Pressupostos!$C$39+E12/Pressupostos!$C$46+E13/Pressupostos!$C$58</f>
        <v>10.85</v>
      </c>
      <c r="F17" s="57" t="n">
        <f aca="false">F11/Pressupostos!$C$39+F12/Pressupostos!$C$46+F13/Pressupostos!$C$58</f>
        <v>16.3666666666667</v>
      </c>
      <c r="G17" s="57" t="n">
        <f aca="false">G11/Pressupostos!$C$39+G12/Pressupostos!$C$46+G13/Pressupostos!$C$58</f>
        <v>21.7166666666667</v>
      </c>
      <c r="H17" s="2" t="s">
        <v>1111</v>
      </c>
    </row>
    <row r="18" customFormat="false" ht="15" hidden="false" customHeight="false" outlineLevel="0" collapsed="false">
      <c r="A18" s="3" t="s">
        <v>1112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1" collapsed="false">
      <c r="A19" s="7" t="s">
        <v>566</v>
      </c>
      <c r="B19" s="8" t="s">
        <v>192</v>
      </c>
      <c r="C19" s="50" t="n">
        <f aca="false">Pressupostos!$C$251</f>
        <v>60</v>
      </c>
      <c r="D19" s="50" t="n">
        <f aca="false">Pressupostos!$D$251</f>
        <v>0</v>
      </c>
      <c r="E19" s="50" t="n">
        <f aca="false">Pressupostos!$E$251</f>
        <v>0</v>
      </c>
      <c r="F19" s="50" t="n">
        <f aca="false">Pressupostos!$F$251</f>
        <v>0</v>
      </c>
      <c r="G19" s="50" t="n">
        <f aca="false">Pressupostos!$G$251</f>
        <v>0</v>
      </c>
      <c r="H19" s="2" t="s">
        <v>1113</v>
      </c>
    </row>
    <row r="20" customFormat="false" ht="15" hidden="false" customHeight="false" outlineLevel="1" collapsed="false">
      <c r="A20" s="7" t="s">
        <v>566</v>
      </c>
      <c r="B20" s="8" t="s">
        <v>179</v>
      </c>
      <c r="C20" s="58" t="n">
        <f aca="false">C19*Pressupostos!$C$76</f>
        <v>45000</v>
      </c>
      <c r="D20" s="58" t="n">
        <f aca="false">D19*Pressupostos!$C$76</f>
        <v>0</v>
      </c>
      <c r="E20" s="58" t="n">
        <f aca="false">E19*Pressupostos!$C$76</f>
        <v>0</v>
      </c>
      <c r="F20" s="58" t="n">
        <f aca="false">F19*Pressupostos!$C$76</f>
        <v>0</v>
      </c>
      <c r="G20" s="58" t="n">
        <f aca="false">G19*Pressupostos!$C$76</f>
        <v>0</v>
      </c>
      <c r="H20" s="2" t="s">
        <v>1114</v>
      </c>
    </row>
    <row r="21" customFormat="false" ht="15" hidden="false" customHeight="false" outlineLevel="0" collapsed="false">
      <c r="A21" s="3" t="s">
        <v>1115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1" collapsed="false">
      <c r="A22" s="7" t="s">
        <v>568</v>
      </c>
      <c r="B22" s="8" t="s">
        <v>112</v>
      </c>
      <c r="C22" s="57" t="n">
        <f aca="false">IF(C8&lt;Pressupostos!$C$28,0,Pressupostos!$C$257)</f>
        <v>0</v>
      </c>
      <c r="D22" s="57" t="n">
        <f aca="false">IF(D8&lt;Pressupostos!$C$28,0,Pressupostos!$D$257)</f>
        <v>0</v>
      </c>
      <c r="E22" s="57" t="n">
        <f aca="false">IF(E8&lt;Pressupostos!$C$28,0,Pressupostos!$E$257)</f>
        <v>10</v>
      </c>
      <c r="F22" s="57" t="n">
        <f aca="false">IF(F8&lt;Pressupostos!$C$28,0,Pressupostos!$F$257)</f>
        <v>20</v>
      </c>
      <c r="G22" s="57" t="n">
        <f aca="false">IF(G8&lt;Pressupostos!$C$28,0,Pressupostos!$G$257)</f>
        <v>30</v>
      </c>
      <c r="H22" s="2" t="s">
        <v>1116</v>
      </c>
    </row>
    <row r="23" customFormat="false" ht="15" hidden="false" customHeight="false" outlineLevel="0" collapsed="false">
      <c r="A23" s="3" t="s">
        <v>1117</v>
      </c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1" collapsed="false">
      <c r="A24" s="7" t="s">
        <v>570</v>
      </c>
      <c r="B24" s="8" t="s">
        <v>10</v>
      </c>
      <c r="C24" s="50" t="n">
        <f aca="false">Pressupostos!$C$263</f>
        <v>0</v>
      </c>
      <c r="D24" s="50" t="n">
        <f aca="false">Pressupostos!$D$263</f>
        <v>0</v>
      </c>
      <c r="E24" s="50" t="n">
        <f aca="false">Pressupostos!$E$263</f>
        <v>0</v>
      </c>
      <c r="F24" s="50" t="n">
        <f aca="false">Pressupostos!$F$263</f>
        <v>500000</v>
      </c>
      <c r="G24" s="50" t="n">
        <f aca="false">Pressupostos!$G$263</f>
        <v>1000000</v>
      </c>
      <c r="H24" s="2" t="s">
        <v>1118</v>
      </c>
    </row>
    <row r="25" customFormat="false" ht="15" hidden="false" customHeight="false" outlineLevel="1" collapsed="false">
      <c r="A25" s="7" t="s">
        <v>571</v>
      </c>
      <c r="B25" s="8" t="s">
        <v>112</v>
      </c>
      <c r="C25" s="57" t="n">
        <f aca="false">C24/(Pressupostos!$C$103*Pressupostos!$C$104)*Pressupostos!$C$100/1000</f>
        <v>0</v>
      </c>
      <c r="D25" s="57" t="n">
        <f aca="false">D24/(Pressupostos!$C$103*Pressupostos!$C$104)*Pressupostos!$C$100/1000</f>
        <v>0</v>
      </c>
      <c r="E25" s="57" t="n">
        <f aca="false">E24/(Pressupostos!$C$103*Pressupostos!$C$104)*Pressupostos!$C$100/1000</f>
        <v>0</v>
      </c>
      <c r="F25" s="57" t="n">
        <f aca="false">F24/(Pressupostos!$C$103*Pressupostos!$C$104)*Pressupostos!$C$100/1000</f>
        <v>457.142857142857</v>
      </c>
      <c r="G25" s="57" t="n">
        <f aca="false">G24/(Pressupostos!$C$103*Pressupostos!$C$104)*Pressupostos!$C$100/1000</f>
        <v>914.285714285714</v>
      </c>
      <c r="H25" s="2" t="s">
        <v>1119</v>
      </c>
    </row>
    <row r="26" customFormat="false" ht="15" hidden="false" customHeight="false" outlineLevel="0" collapsed="false">
      <c r="A26" s="3" t="s">
        <v>1120</v>
      </c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1" collapsed="false">
      <c r="A27" s="7" t="s">
        <v>633</v>
      </c>
      <c r="B27" s="8" t="s">
        <v>59</v>
      </c>
      <c r="C27" s="60" t="n">
        <f aca="false">Pressupostos!$C$10+Pressupostos!$C$11</f>
        <v>3.65</v>
      </c>
      <c r="D27" s="60" t="n">
        <f aca="false">Pressupostos!$C$10+Pressupostos!$C$11</f>
        <v>3.65</v>
      </c>
      <c r="E27" s="60" t="n">
        <f aca="false">Pressupostos!$C$10+Pressupostos!$C$11</f>
        <v>3.65</v>
      </c>
      <c r="F27" s="60" t="n">
        <f aca="false">Pressupostos!$C$10+Pressupostos!$C$11</f>
        <v>3.65</v>
      </c>
      <c r="G27" s="60" t="n">
        <f aca="false">Pressupostos!$C$10+Pressupostos!$C$11</f>
        <v>3.65</v>
      </c>
      <c r="H27" s="2" t="s">
        <v>1121</v>
      </c>
    </row>
    <row r="28" customFormat="false" ht="15" hidden="false" customHeight="false" outlineLevel="1" collapsed="false">
      <c r="A28" s="7" t="s">
        <v>634</v>
      </c>
      <c r="B28" s="8" t="s">
        <v>59</v>
      </c>
      <c r="C28" s="63" t="n">
        <f aca="false">Pressupostos!$C$15</f>
        <v>5.4</v>
      </c>
      <c r="D28" s="63" t="n">
        <f aca="false">Pressupostos!$C$15</f>
        <v>5.4</v>
      </c>
      <c r="E28" s="63" t="n">
        <f aca="false">Pressupostos!$C$15</f>
        <v>5.4</v>
      </c>
      <c r="F28" s="63" t="n">
        <f aca="false">Pressupostos!$C$15</f>
        <v>5.4</v>
      </c>
      <c r="G28" s="63" t="n">
        <f aca="false">Pressupostos!$C$15</f>
        <v>5.4</v>
      </c>
      <c r="H28" s="2" t="s">
        <v>1122</v>
      </c>
    </row>
    <row r="29" customFormat="false" ht="15" hidden="false" customHeight="false" outlineLevel="1" collapsed="false">
      <c r="A29" s="52" t="s">
        <v>635</v>
      </c>
      <c r="B29" s="53" t="s">
        <v>59</v>
      </c>
      <c r="C29" s="64" t="n">
        <f aca="false">C28*(1-Pressupostos!$C$16)</f>
        <v>4.86</v>
      </c>
      <c r="D29" s="64" t="n">
        <f aca="false">D28*(1-Pressupostos!$C$16)</f>
        <v>4.86</v>
      </c>
      <c r="E29" s="64" t="n">
        <f aca="false">E28*(1-Pressupostos!$C$16)</f>
        <v>4.86</v>
      </c>
      <c r="F29" s="64" t="n">
        <f aca="false">F28*(1-Pressupostos!$C$16)</f>
        <v>4.86</v>
      </c>
      <c r="G29" s="64" t="n">
        <f aca="false">G28*(1-Pressupostos!$C$16)</f>
        <v>4.86</v>
      </c>
      <c r="H29" s="2" t="s">
        <v>1123</v>
      </c>
    </row>
    <row r="30" customFormat="false" ht="15" hidden="false" customHeight="false" outlineLevel="1" collapsed="false">
      <c r="A30" s="7" t="s">
        <v>136</v>
      </c>
      <c r="B30" s="8" t="s">
        <v>59</v>
      </c>
      <c r="C30" s="63" t="n">
        <f aca="false">Pressupostos!$C$37</f>
        <v>0.55</v>
      </c>
      <c r="D30" s="63" t="n">
        <f aca="false">Pressupostos!$C$37</f>
        <v>0.55</v>
      </c>
      <c r="E30" s="63" t="n">
        <f aca="false">Pressupostos!$C$37</f>
        <v>0.55</v>
      </c>
      <c r="F30" s="63" t="n">
        <f aca="false">Pressupostos!$C$37</f>
        <v>0.55</v>
      </c>
      <c r="G30" s="63" t="n">
        <f aca="false">Pressupostos!$C$37</f>
        <v>0.55</v>
      </c>
      <c r="H30" s="2" t="s">
        <v>1124</v>
      </c>
    </row>
    <row r="31" customFormat="false" ht="15" hidden="false" customHeight="false" outlineLevel="1" collapsed="false">
      <c r="A31" s="7" t="s">
        <v>205</v>
      </c>
      <c r="B31" s="8" t="s">
        <v>59</v>
      </c>
      <c r="C31" s="63" t="n">
        <f aca="false">Pressupostos!$C$232</f>
        <v>0.32</v>
      </c>
      <c r="D31" s="63" t="n">
        <f aca="false">Pressupostos!$D$232</f>
        <v>0.32</v>
      </c>
      <c r="E31" s="63" t="n">
        <f aca="false">Pressupostos!$E$232</f>
        <v>0.31</v>
      </c>
      <c r="F31" s="63" t="n">
        <f aca="false">Pressupostos!$F$232</f>
        <v>0.31</v>
      </c>
      <c r="G31" s="63" t="n">
        <f aca="false">Pressupostos!$G$232</f>
        <v>0.3</v>
      </c>
      <c r="H31" s="2" t="s">
        <v>1125</v>
      </c>
    </row>
    <row r="32" customFormat="false" ht="15" hidden="false" customHeight="false" outlineLevel="1" collapsed="false">
      <c r="A32" s="7" t="s">
        <v>109</v>
      </c>
      <c r="B32" s="8" t="s">
        <v>59</v>
      </c>
      <c r="C32" s="63" t="n">
        <f aca="false">Pressupostos!$C$38</f>
        <v>0.06</v>
      </c>
      <c r="D32" s="63" t="n">
        <f aca="false">Pressupostos!$C$38</f>
        <v>0.06</v>
      </c>
      <c r="E32" s="63" t="n">
        <f aca="false">Pressupostos!$C$38</f>
        <v>0.06</v>
      </c>
      <c r="F32" s="63" t="n">
        <f aca="false">Pressupostos!$C$38</f>
        <v>0.06</v>
      </c>
      <c r="G32" s="63" t="n">
        <f aca="false">Pressupostos!$C$38</f>
        <v>0.06</v>
      </c>
      <c r="H32" s="2" t="s">
        <v>1126</v>
      </c>
    </row>
    <row r="33" customFormat="false" ht="15" hidden="false" customHeight="false" outlineLevel="1" collapsed="false">
      <c r="A33" s="7" t="s">
        <v>86</v>
      </c>
      <c r="B33" s="8" t="s">
        <v>74</v>
      </c>
      <c r="C33" s="65" t="n">
        <f aca="false">Pressupostos!$C$238</f>
        <v>180</v>
      </c>
      <c r="D33" s="65" t="n">
        <f aca="false">Pressupostos!$D$238</f>
        <v>180</v>
      </c>
      <c r="E33" s="65" t="n">
        <f aca="false">Pressupostos!$E$238</f>
        <v>180</v>
      </c>
      <c r="F33" s="65" t="n">
        <f aca="false">Pressupostos!$F$238</f>
        <v>90</v>
      </c>
      <c r="G33" s="65" t="n">
        <f aca="false">Pressupostos!$G$238</f>
        <v>60</v>
      </c>
      <c r="H33" s="2" t="s">
        <v>1127</v>
      </c>
    </row>
    <row r="34" customFormat="false" ht="15" hidden="false" customHeight="false" outlineLevel="1" collapsed="false">
      <c r="A34" s="7" t="s">
        <v>73</v>
      </c>
      <c r="B34" s="8" t="s">
        <v>74</v>
      </c>
      <c r="C34" s="65" t="n">
        <f aca="false">Pressupostos!$C$17</f>
        <v>45</v>
      </c>
      <c r="D34" s="65" t="n">
        <f aca="false">Pressupostos!$C$17</f>
        <v>45</v>
      </c>
      <c r="E34" s="65" t="n">
        <f aca="false">Pressupostos!$C$17</f>
        <v>45</v>
      </c>
      <c r="F34" s="65" t="n">
        <f aca="false">Pressupostos!$C$17</f>
        <v>45</v>
      </c>
      <c r="G34" s="65" t="n">
        <f aca="false">Pressupostos!$C$17</f>
        <v>45</v>
      </c>
      <c r="H34" s="2" t="s">
        <v>1128</v>
      </c>
    </row>
    <row r="35" customFormat="false" ht="15" hidden="false" customHeight="false" outlineLevel="1" collapsed="false">
      <c r="A35" s="7" t="s">
        <v>471</v>
      </c>
      <c r="B35" s="8" t="s">
        <v>59</v>
      </c>
      <c r="C35" s="60" t="n">
        <f aca="false">Pressupostos!$C$64*C33/30/1000</f>
        <v>0.024</v>
      </c>
      <c r="D35" s="60" t="n">
        <f aca="false">Pressupostos!$C$64*D33/30/1000</f>
        <v>0.024</v>
      </c>
      <c r="E35" s="60" t="n">
        <f aca="false">Pressupostos!$C$64*E33/30/1000</f>
        <v>0.024</v>
      </c>
      <c r="F35" s="60" t="n">
        <f aca="false">Pressupostos!$C$64*F33/30/1000</f>
        <v>0.012</v>
      </c>
      <c r="G35" s="60" t="n">
        <f aca="false">Pressupostos!$C$64*G33/30/1000</f>
        <v>0.008</v>
      </c>
      <c r="H35" s="2" t="s">
        <v>1129</v>
      </c>
    </row>
    <row r="36" customFormat="false" ht="15" hidden="false" customHeight="false" outlineLevel="1" collapsed="false">
      <c r="A36" s="7" t="s">
        <v>154</v>
      </c>
      <c r="B36" s="8" t="s">
        <v>59</v>
      </c>
      <c r="C36" s="60" t="n">
        <f aca="false">C27*Pressupostos!$C$65*C33/365</f>
        <v>0.0036</v>
      </c>
      <c r="D36" s="60" t="n">
        <f aca="false">D27*Pressupostos!$C$65*D33/365</f>
        <v>0.0036</v>
      </c>
      <c r="E36" s="60" t="n">
        <f aca="false">E27*Pressupostos!$C$65*E33/365</f>
        <v>0.0036</v>
      </c>
      <c r="F36" s="60" t="n">
        <f aca="false">F27*Pressupostos!$C$65*F33/365</f>
        <v>0.0018</v>
      </c>
      <c r="G36" s="60" t="n">
        <f aca="false">G27*Pressupostos!$C$65*G33/365</f>
        <v>0.0012</v>
      </c>
      <c r="H36" s="2" t="s">
        <v>1130</v>
      </c>
    </row>
    <row r="37" customFormat="false" ht="15" hidden="false" customHeight="false" outlineLevel="1" collapsed="false">
      <c r="A37" s="7" t="s">
        <v>636</v>
      </c>
      <c r="B37" s="8" t="s">
        <v>59</v>
      </c>
      <c r="C37" s="60" t="n">
        <f aca="false">Pressupostos!$C$40*Pressupostos!$C$66/(Pressupostos!$C$39*1000)</f>
        <v>0.03</v>
      </c>
      <c r="D37" s="60" t="n">
        <f aca="false">Pressupostos!$C$40*Pressupostos!$C$66/(Pressupostos!$C$39*1000)</f>
        <v>0.03</v>
      </c>
      <c r="E37" s="60" t="n">
        <f aca="false">Pressupostos!$C$40*Pressupostos!$C$66/(Pressupostos!$C$39*1000)</f>
        <v>0.03</v>
      </c>
      <c r="F37" s="60" t="n">
        <f aca="false">Pressupostos!$C$40*Pressupostos!$C$66/(Pressupostos!$C$39*1000)</f>
        <v>0.03</v>
      </c>
      <c r="G37" s="60" t="n">
        <f aca="false">Pressupostos!$C$40*Pressupostos!$C$66/(Pressupostos!$C$39*1000)</f>
        <v>0.03</v>
      </c>
      <c r="H37" s="2" t="s">
        <v>1131</v>
      </c>
    </row>
    <row r="38" customFormat="false" ht="15" hidden="false" customHeight="false" outlineLevel="1" collapsed="false">
      <c r="A38" s="7" t="s">
        <v>473</v>
      </c>
      <c r="B38" s="8" t="s">
        <v>59</v>
      </c>
      <c r="C38" s="60" t="n">
        <f aca="false">Pressupostos!$C$67*C27</f>
        <v>0.01825</v>
      </c>
      <c r="D38" s="60" t="n">
        <f aca="false">Pressupostos!$C$67*D27</f>
        <v>0.01825</v>
      </c>
      <c r="E38" s="60" t="n">
        <f aca="false">Pressupostos!$C$67*E27</f>
        <v>0.01825</v>
      </c>
      <c r="F38" s="60" t="n">
        <f aca="false">Pressupostos!$C$67*F27</f>
        <v>0.01825</v>
      </c>
      <c r="G38" s="60" t="n">
        <f aca="false">Pressupostos!$C$67*G27</f>
        <v>0.01825</v>
      </c>
      <c r="H38" s="2" t="s">
        <v>1132</v>
      </c>
    </row>
    <row r="39" customFormat="false" ht="15" hidden="false" customHeight="false" outlineLevel="1" collapsed="false">
      <c r="A39" s="7" t="s">
        <v>474</v>
      </c>
      <c r="B39" s="8" t="s">
        <v>59</v>
      </c>
      <c r="C39" s="60" t="n">
        <f aca="false">Pressupostos!$C$68*Pressupostos!$C$69*C33/90</f>
        <v>0.018</v>
      </c>
      <c r="D39" s="60" t="n">
        <f aca="false">Pressupostos!$C$68*Pressupostos!$C$69*D33/90</f>
        <v>0.018</v>
      </c>
      <c r="E39" s="60" t="n">
        <f aca="false">Pressupostos!$C$68*Pressupostos!$C$69*E33/90</f>
        <v>0.018</v>
      </c>
      <c r="F39" s="60" t="n">
        <f aca="false">Pressupostos!$C$68*Pressupostos!$C$69*F33/90</f>
        <v>0.009</v>
      </c>
      <c r="G39" s="60" t="n">
        <f aca="false">Pressupostos!$C$68*Pressupostos!$C$69*G33/90</f>
        <v>0.006</v>
      </c>
      <c r="H39" s="2" t="s">
        <v>1133</v>
      </c>
    </row>
    <row r="40" customFormat="false" ht="15" hidden="false" customHeight="false" outlineLevel="1" collapsed="false">
      <c r="A40" s="7" t="s">
        <v>637</v>
      </c>
      <c r="B40" s="8" t="s">
        <v>59</v>
      </c>
      <c r="C40" s="60" t="n">
        <f aca="false">Pressupostos!$C$41/(Pressupostos!$C$39*1000)</f>
        <v>0.1</v>
      </c>
      <c r="D40" s="60" t="n">
        <f aca="false">Pressupostos!$C$41/(Pressupostos!$C$39*1000)</f>
        <v>0.1</v>
      </c>
      <c r="E40" s="60" t="n">
        <f aca="false">Pressupostos!$C$41/(Pressupostos!$C$39*1000)</f>
        <v>0.1</v>
      </c>
      <c r="F40" s="60" t="n">
        <f aca="false">Pressupostos!$C$41/(Pressupostos!$C$39*1000)</f>
        <v>0.1</v>
      </c>
      <c r="G40" s="60" t="n">
        <f aca="false">Pressupostos!$C$41/(Pressupostos!$C$39*1000)</f>
        <v>0.1</v>
      </c>
      <c r="H40" s="2" t="s">
        <v>1134</v>
      </c>
    </row>
    <row r="41" customFormat="false" ht="15" hidden="false" customHeight="false" outlineLevel="1" collapsed="false">
      <c r="A41" s="7" t="s">
        <v>131</v>
      </c>
      <c r="B41" s="8" t="s">
        <v>59</v>
      </c>
      <c r="C41" s="63" t="n">
        <f aca="false">Pressupostos!$C$42</f>
        <v>0.01</v>
      </c>
      <c r="D41" s="63" t="n">
        <f aca="false">Pressupostos!$C$42</f>
        <v>0.01</v>
      </c>
      <c r="E41" s="63" t="n">
        <f aca="false">Pressupostos!$C$42</f>
        <v>0.01</v>
      </c>
      <c r="F41" s="63" t="n">
        <f aca="false">Pressupostos!$C$42</f>
        <v>0.01</v>
      </c>
      <c r="G41" s="63" t="n">
        <f aca="false">Pressupostos!$C$42</f>
        <v>0.01</v>
      </c>
      <c r="H41" s="2" t="s">
        <v>1135</v>
      </c>
    </row>
    <row r="42" customFormat="false" ht="15" hidden="false" customHeight="false" outlineLevel="1" collapsed="false">
      <c r="A42" s="7" t="s">
        <v>76</v>
      </c>
      <c r="B42" s="8" t="s">
        <v>59</v>
      </c>
      <c r="C42" s="60" t="n">
        <f aca="false">Pressupostos!$C$18*C29</f>
        <v>0.03888</v>
      </c>
      <c r="D42" s="60" t="n">
        <f aca="false">Pressupostos!$C$18*D29</f>
        <v>0.03888</v>
      </c>
      <c r="E42" s="60" t="n">
        <f aca="false">Pressupostos!$C$18*E29</f>
        <v>0.03888</v>
      </c>
      <c r="F42" s="60" t="n">
        <f aca="false">Pressupostos!$C$18*F29</f>
        <v>0.03888</v>
      </c>
      <c r="G42" s="60" t="n">
        <f aca="false">Pressupostos!$C$18*G29</f>
        <v>0.03888</v>
      </c>
      <c r="H42" s="2" t="s">
        <v>1136</v>
      </c>
    </row>
    <row r="43" customFormat="false" ht="15" hidden="false" customHeight="false" outlineLevel="1" collapsed="false">
      <c r="A43" s="7" t="s">
        <v>638</v>
      </c>
      <c r="B43" s="8" t="s">
        <v>59</v>
      </c>
      <c r="C43" s="60" t="n">
        <f aca="false">Pressupostos!$C$71*C29</f>
        <v>0</v>
      </c>
      <c r="D43" s="60" t="n">
        <f aca="false">Pressupostos!$C$71*D29</f>
        <v>0</v>
      </c>
      <c r="E43" s="60" t="n">
        <f aca="false">Pressupostos!$C$71*E29</f>
        <v>0</v>
      </c>
      <c r="F43" s="60" t="n">
        <f aca="false">Pressupostos!$C$71*F29</f>
        <v>0</v>
      </c>
      <c r="G43" s="60" t="n">
        <f aca="false">Pressupostos!$C$71*G29</f>
        <v>0</v>
      </c>
      <c r="H43" s="2" t="s">
        <v>1137</v>
      </c>
    </row>
    <row r="44" customFormat="false" ht="15" hidden="false" customHeight="false" outlineLevel="1" collapsed="false">
      <c r="A44" s="7" t="s">
        <v>639</v>
      </c>
      <c r="B44" s="8" t="s">
        <v>59</v>
      </c>
      <c r="C44" s="60" t="n">
        <f aca="false">Pressupostos!$C$282*(C27+C30)*(C33+C34-Pressupostos!$C$70)/365*Pressupostos!$C$276/Pressupostos!$C$31</f>
        <v>0</v>
      </c>
      <c r="D44" s="60" t="n">
        <f aca="false">Pressupostos!$D$282*(D27+D30)*(D33+D34-Pressupostos!$C$70)/365*Pressupostos!$D$276/Pressupostos!$C$31</f>
        <v>0.245219178082192</v>
      </c>
      <c r="E44" s="60" t="n">
        <f aca="false">Pressupostos!$E$282*(E27+E30)*(E33+E34-Pressupostos!$C$70)/365*Pressupostos!$E$276/Pressupostos!$C$31</f>
        <v>0.245219178082192</v>
      </c>
      <c r="F44" s="60" t="n">
        <f aca="false">Pressupostos!$F$282*(F27+F30)*(F33+F34-Pressupostos!$C$70)/365*Pressupostos!$F$276/Pressupostos!$C$31</f>
        <v>0.132041095890411</v>
      </c>
      <c r="G44" s="60" t="n">
        <f aca="false">Pressupostos!$G$282*(G27+G30)*(G33+G34-Pressupostos!$C$70)/365*Pressupostos!$G$276/Pressupostos!$C$31</f>
        <v>0.0943150684931507</v>
      </c>
      <c r="H44" s="2" t="s">
        <v>1138</v>
      </c>
    </row>
    <row r="45" customFormat="false" ht="15" hidden="false" customHeight="false" outlineLevel="1" collapsed="false">
      <c r="A45" s="7" t="s">
        <v>640</v>
      </c>
      <c r="B45" s="8" t="s">
        <v>59</v>
      </c>
      <c r="C45" s="60" t="n">
        <f aca="false">C27+C30+C31+C32+C35+C36+C37+C38+C39+C40+C41+C42+C43+C44</f>
        <v>4.82273</v>
      </c>
      <c r="D45" s="60" t="n">
        <f aca="false">D27+D30+D31+D32+D35+D36+D37+D38+D39+D40+D41+D42+D43+D44</f>
        <v>5.06794917808219</v>
      </c>
      <c r="E45" s="60" t="n">
        <f aca="false">E27+E30+E31+E32+E35+E36+E37+E38+E39+E40+E41+E42+E43+E44</f>
        <v>5.05794917808219</v>
      </c>
      <c r="F45" s="60" t="n">
        <f aca="false">F27+F30+F31+F32+F35+F36+F37+F38+F39+F40+F41+F42+F43+F44</f>
        <v>4.92197109589041</v>
      </c>
      <c r="G45" s="60" t="n">
        <f aca="false">G27+G30+G31+G32+G35+G36+G37+G38+G39+G40+G41+G42+G43+G44</f>
        <v>4.86664506849315</v>
      </c>
      <c r="H45" s="2" t="s">
        <v>1139</v>
      </c>
    </row>
    <row r="46" customFormat="false" ht="15" hidden="false" customHeight="false" outlineLevel="1" collapsed="false">
      <c r="A46" s="52" t="s">
        <v>641</v>
      </c>
      <c r="B46" s="53" t="s">
        <v>59</v>
      </c>
      <c r="C46" s="64" t="n">
        <f aca="false">C29-C45</f>
        <v>0.0372700000000013</v>
      </c>
      <c r="D46" s="64" t="n">
        <f aca="false">D29-D45</f>
        <v>-0.207949178082191</v>
      </c>
      <c r="E46" s="64" t="n">
        <f aca="false">E29-E45</f>
        <v>-0.19794917808219</v>
      </c>
      <c r="F46" s="64" t="n">
        <f aca="false">F29-F45</f>
        <v>-0.0619710958904101</v>
      </c>
      <c r="G46" s="64" t="n">
        <f aca="false">G29-G45</f>
        <v>-0.00664506849314961</v>
      </c>
      <c r="H46" s="2" t="s">
        <v>1140</v>
      </c>
    </row>
    <row r="47" customFormat="false" ht="15" hidden="false" customHeight="false" outlineLevel="1" collapsed="false">
      <c r="A47" s="7" t="s">
        <v>642</v>
      </c>
      <c r="B47" s="8" t="s">
        <v>71</v>
      </c>
      <c r="C47" s="55" t="n">
        <f aca="false">IF(C29&gt;0,C46/C29,0)</f>
        <v>0.00766872427983565</v>
      </c>
      <c r="D47" s="55" t="n">
        <f aca="false">IF(D29&gt;0,D46/D29,0)</f>
        <v>-0.0427878967247306</v>
      </c>
      <c r="E47" s="55" t="n">
        <f aca="false">IF(E29&gt;0,E46/E29,0)</f>
        <v>-0.0407302835560062</v>
      </c>
      <c r="F47" s="55" t="n">
        <f aca="false">IF(F29&gt;0,F46/F29,0)</f>
        <v>-0.0127512542984383</v>
      </c>
      <c r="G47" s="55" t="n">
        <f aca="false">IF(G29&gt;0,G46/G29,0)</f>
        <v>-0.00136729804385794</v>
      </c>
      <c r="H47" s="2" t="s">
        <v>1141</v>
      </c>
    </row>
    <row r="48" customFormat="false" ht="15" hidden="false" customHeight="false" outlineLevel="1" collapsed="false">
      <c r="A48" s="7" t="s">
        <v>643</v>
      </c>
      <c r="B48" s="8" t="s">
        <v>59</v>
      </c>
      <c r="C48" s="60" t="n">
        <f aca="false">(C27+C30)*(C33-Pressupostos!$C$70)/365+C29*C34/365</f>
        <v>2.32520547945206</v>
      </c>
      <c r="D48" s="60" t="n">
        <f aca="false">(D27+D30)*(D33-Pressupostos!$C$70)/365+D29*D34/365</f>
        <v>2.32520547945206</v>
      </c>
      <c r="E48" s="60" t="n">
        <f aca="false">(E27+E30)*(E33-Pressupostos!$C$70)/365+E29*E34/365</f>
        <v>2.32520547945206</v>
      </c>
      <c r="F48" s="60" t="n">
        <f aca="false">(F27+F30)*(F33-Pressupostos!$C$70)/365+F29*F34/365</f>
        <v>1.28958904109589</v>
      </c>
      <c r="G48" s="60" t="n">
        <f aca="false">(G27+G30)*(G33-Pressupostos!$C$70)/365+G29*G34/365</f>
        <v>0.944383561643836</v>
      </c>
      <c r="H48" s="2" t="s">
        <v>1142</v>
      </c>
    </row>
    <row r="49" customFormat="false" ht="15" hidden="false" customHeight="false" outlineLevel="0" collapsed="false">
      <c r="A49" s="3" t="s">
        <v>1143</v>
      </c>
      <c r="B49" s="4"/>
      <c r="C49" s="4"/>
      <c r="D49" s="4"/>
      <c r="E49" s="4"/>
      <c r="F49" s="4"/>
      <c r="G49" s="4"/>
      <c r="H49" s="4"/>
    </row>
    <row r="50" customFormat="false" ht="15" hidden="false" customHeight="false" outlineLevel="1" collapsed="false">
      <c r="A50" s="7" t="s">
        <v>633</v>
      </c>
      <c r="B50" s="8" t="s">
        <v>59</v>
      </c>
      <c r="C50" s="60" t="n">
        <f aca="false">Pressupostos!$C$10+Pressupostos!$C$12</f>
        <v>3.65</v>
      </c>
      <c r="D50" s="60" t="n">
        <f aca="false">Pressupostos!$C$10+Pressupostos!$C$12</f>
        <v>3.65</v>
      </c>
      <c r="E50" s="60" t="n">
        <f aca="false">Pressupostos!$C$10+Pressupostos!$C$12</f>
        <v>3.65</v>
      </c>
      <c r="F50" s="60" t="n">
        <f aca="false">Pressupostos!$C$10+Pressupostos!$C$12</f>
        <v>3.65</v>
      </c>
      <c r="G50" s="60" t="n">
        <f aca="false">Pressupostos!$C$10+Pressupostos!$C$12</f>
        <v>3.65</v>
      </c>
      <c r="H50" s="2" t="s">
        <v>1144</v>
      </c>
    </row>
    <row r="51" customFormat="false" ht="15" hidden="false" customHeight="false" outlineLevel="1" collapsed="false">
      <c r="A51" s="7" t="s">
        <v>634</v>
      </c>
      <c r="B51" s="8" t="s">
        <v>59</v>
      </c>
      <c r="C51" s="60" t="n">
        <f aca="false">Pressupostos!$C$20+Pressupostos!$C$21</f>
        <v>4.2</v>
      </c>
      <c r="D51" s="60" t="n">
        <f aca="false">Pressupostos!$C$20+Pressupostos!$C$21</f>
        <v>4.2</v>
      </c>
      <c r="E51" s="60" t="n">
        <f aca="false">Pressupostos!$C$20+Pressupostos!$C$21</f>
        <v>4.2</v>
      </c>
      <c r="F51" s="60" t="n">
        <f aca="false">Pressupostos!$C$20+Pressupostos!$C$21</f>
        <v>4.2</v>
      </c>
      <c r="G51" s="60" t="n">
        <f aca="false">Pressupostos!$C$20+Pressupostos!$C$21</f>
        <v>4.2</v>
      </c>
      <c r="H51" s="2" t="s">
        <v>1145</v>
      </c>
    </row>
    <row r="52" customFormat="false" ht="15" hidden="false" customHeight="false" outlineLevel="1" collapsed="false">
      <c r="A52" s="52" t="s">
        <v>635</v>
      </c>
      <c r="B52" s="53" t="s">
        <v>59</v>
      </c>
      <c r="C52" s="64" t="n">
        <f aca="false">C51*(1-Pressupostos!$C$22)</f>
        <v>4.2</v>
      </c>
      <c r="D52" s="64" t="n">
        <f aca="false">D51*(1-Pressupostos!$C$22)</f>
        <v>4.2</v>
      </c>
      <c r="E52" s="64" t="n">
        <f aca="false">E51*(1-Pressupostos!$C$22)</f>
        <v>4.2</v>
      </c>
      <c r="F52" s="64" t="n">
        <f aca="false">F51*(1-Pressupostos!$C$22)</f>
        <v>4.2</v>
      </c>
      <c r="G52" s="64" t="n">
        <f aca="false">G51*(1-Pressupostos!$C$22)</f>
        <v>4.2</v>
      </c>
      <c r="H52" s="2" t="s">
        <v>1146</v>
      </c>
    </row>
    <row r="53" customFormat="false" ht="15" hidden="false" customHeight="false" outlineLevel="1" collapsed="false">
      <c r="A53" s="7" t="s">
        <v>136</v>
      </c>
      <c r="B53" s="8" t="s">
        <v>59</v>
      </c>
      <c r="C53" s="63" t="n">
        <f aca="false">Pressupostos!$C$44</f>
        <v>0.45</v>
      </c>
      <c r="D53" s="63" t="n">
        <f aca="false">Pressupostos!$C$44</f>
        <v>0.45</v>
      </c>
      <c r="E53" s="63" t="n">
        <f aca="false">Pressupostos!$C$44</f>
        <v>0.45</v>
      </c>
      <c r="F53" s="63" t="n">
        <f aca="false">Pressupostos!$C$44</f>
        <v>0.45</v>
      </c>
      <c r="G53" s="63" t="n">
        <f aca="false">Pressupostos!$C$44</f>
        <v>0.45</v>
      </c>
      <c r="H53" s="2" t="s">
        <v>1147</v>
      </c>
    </row>
    <row r="54" customFormat="false" ht="15" hidden="false" customHeight="false" outlineLevel="1" collapsed="false">
      <c r="A54" s="7" t="s">
        <v>205</v>
      </c>
      <c r="B54" s="8" t="s">
        <v>59</v>
      </c>
      <c r="C54" s="63" t="n">
        <f aca="false">Pressupostos!$C$244</f>
        <v>0.11</v>
      </c>
      <c r="D54" s="63" t="n">
        <f aca="false">Pressupostos!$D$244</f>
        <v>0.11</v>
      </c>
      <c r="E54" s="63" t="n">
        <f aca="false">Pressupostos!$E$244</f>
        <v>0.11</v>
      </c>
      <c r="F54" s="63" t="n">
        <f aca="false">Pressupostos!$F$244</f>
        <v>0.11</v>
      </c>
      <c r="G54" s="63" t="n">
        <f aca="false">Pressupostos!$G$244</f>
        <v>0.11</v>
      </c>
      <c r="H54" s="2" t="s">
        <v>1148</v>
      </c>
    </row>
    <row r="55" customFormat="false" ht="15" hidden="false" customHeight="false" outlineLevel="1" collapsed="false">
      <c r="A55" s="7" t="s">
        <v>109</v>
      </c>
      <c r="B55" s="8" t="s">
        <v>59</v>
      </c>
      <c r="C55" s="63" t="n">
        <f aca="false">Pressupostos!$C$45</f>
        <v>0</v>
      </c>
      <c r="D55" s="63" t="n">
        <f aca="false">Pressupostos!$C$45</f>
        <v>0</v>
      </c>
      <c r="E55" s="63" t="n">
        <f aca="false">Pressupostos!$C$45</f>
        <v>0</v>
      </c>
      <c r="F55" s="63" t="n">
        <f aca="false">Pressupostos!$C$45</f>
        <v>0</v>
      </c>
      <c r="G55" s="63" t="n">
        <f aca="false">Pressupostos!$C$45</f>
        <v>0</v>
      </c>
      <c r="H55" s="2" t="s">
        <v>1149</v>
      </c>
    </row>
    <row r="56" customFormat="false" ht="15" hidden="false" customHeight="false" outlineLevel="1" collapsed="false">
      <c r="A56" s="7" t="s">
        <v>86</v>
      </c>
      <c r="B56" s="8" t="s">
        <v>74</v>
      </c>
      <c r="C56" s="65" t="n">
        <f aca="false">Pressupostos!$C$23</f>
        <v>35</v>
      </c>
      <c r="D56" s="65" t="n">
        <f aca="false">Pressupostos!$C$23</f>
        <v>35</v>
      </c>
      <c r="E56" s="65" t="n">
        <f aca="false">Pressupostos!$C$23</f>
        <v>35</v>
      </c>
      <c r="F56" s="65" t="n">
        <f aca="false">Pressupostos!$C$23</f>
        <v>35</v>
      </c>
      <c r="G56" s="65" t="n">
        <f aca="false">Pressupostos!$C$23</f>
        <v>35</v>
      </c>
      <c r="H56" s="2" t="s">
        <v>1150</v>
      </c>
    </row>
    <row r="57" customFormat="false" ht="15" hidden="false" customHeight="false" outlineLevel="1" collapsed="false">
      <c r="A57" s="7" t="s">
        <v>73</v>
      </c>
      <c r="B57" s="8" t="s">
        <v>74</v>
      </c>
      <c r="C57" s="65" t="n">
        <f aca="false">Pressupostos!$C$24</f>
        <v>55</v>
      </c>
      <c r="D57" s="65" t="n">
        <f aca="false">Pressupostos!$C$24</f>
        <v>55</v>
      </c>
      <c r="E57" s="65" t="n">
        <f aca="false">Pressupostos!$C$24</f>
        <v>55</v>
      </c>
      <c r="F57" s="65" t="n">
        <f aca="false">Pressupostos!$C$24</f>
        <v>55</v>
      </c>
      <c r="G57" s="65" t="n">
        <f aca="false">Pressupostos!$C$24</f>
        <v>55</v>
      </c>
      <c r="H57" s="2" t="s">
        <v>1151</v>
      </c>
    </row>
    <row r="58" customFormat="false" ht="15" hidden="false" customHeight="false" outlineLevel="1" collapsed="false">
      <c r="A58" s="7" t="s">
        <v>471</v>
      </c>
      <c r="B58" s="8" t="s">
        <v>59</v>
      </c>
      <c r="C58" s="60" t="n">
        <f aca="false">Pressupostos!$C$64*C56/30/1000</f>
        <v>0.00466666666666667</v>
      </c>
      <c r="D58" s="60" t="n">
        <f aca="false">Pressupostos!$C$64*D56/30/1000</f>
        <v>0.00466666666666667</v>
      </c>
      <c r="E58" s="60" t="n">
        <f aca="false">Pressupostos!$C$64*E56/30/1000</f>
        <v>0.00466666666666667</v>
      </c>
      <c r="F58" s="60" t="n">
        <f aca="false">Pressupostos!$C$64*F56/30/1000</f>
        <v>0.00466666666666667</v>
      </c>
      <c r="G58" s="60" t="n">
        <f aca="false">Pressupostos!$C$64*G56/30/1000</f>
        <v>0.00466666666666667</v>
      </c>
      <c r="H58" s="2" t="s">
        <v>1152</v>
      </c>
    </row>
    <row r="59" customFormat="false" ht="15" hidden="false" customHeight="false" outlineLevel="1" collapsed="false">
      <c r="A59" s="7" t="s">
        <v>154</v>
      </c>
      <c r="B59" s="8" t="s">
        <v>59</v>
      </c>
      <c r="C59" s="60" t="n">
        <f aca="false">C50*Pressupostos!$C$65*C56/365</f>
        <v>0.0007</v>
      </c>
      <c r="D59" s="60" t="n">
        <f aca="false">D50*Pressupostos!$C$65*D56/365</f>
        <v>0.0007</v>
      </c>
      <c r="E59" s="60" t="n">
        <f aca="false">E50*Pressupostos!$C$65*E56/365</f>
        <v>0.0007</v>
      </c>
      <c r="F59" s="60" t="n">
        <f aca="false">F50*Pressupostos!$C$65*F56/365</f>
        <v>0.0007</v>
      </c>
      <c r="G59" s="60" t="n">
        <f aca="false">G50*Pressupostos!$C$65*G56/365</f>
        <v>0.0007</v>
      </c>
      <c r="H59" s="2" t="s">
        <v>1153</v>
      </c>
    </row>
    <row r="60" customFormat="false" ht="15" hidden="false" customHeight="false" outlineLevel="1" collapsed="false">
      <c r="A60" s="7" t="s">
        <v>636</v>
      </c>
      <c r="B60" s="8" t="s">
        <v>59</v>
      </c>
      <c r="C60" s="60" t="n">
        <f aca="false">Pressupostos!$C$47*Pressupostos!$C$66/(Pressupostos!$C$46*1000)</f>
        <v>0.02</v>
      </c>
      <c r="D60" s="60" t="n">
        <f aca="false">Pressupostos!$C$47*Pressupostos!$C$66/(Pressupostos!$C$46*1000)</f>
        <v>0.02</v>
      </c>
      <c r="E60" s="60" t="n">
        <f aca="false">Pressupostos!$C$47*Pressupostos!$C$66/(Pressupostos!$C$46*1000)</f>
        <v>0.02</v>
      </c>
      <c r="F60" s="60" t="n">
        <f aca="false">Pressupostos!$C$47*Pressupostos!$C$66/(Pressupostos!$C$46*1000)</f>
        <v>0.02</v>
      </c>
      <c r="G60" s="60" t="n">
        <f aca="false">Pressupostos!$C$47*Pressupostos!$C$66/(Pressupostos!$C$46*1000)</f>
        <v>0.02</v>
      </c>
      <c r="H60" s="2" t="s">
        <v>1154</v>
      </c>
    </row>
    <row r="61" customFormat="false" ht="15" hidden="false" customHeight="false" outlineLevel="1" collapsed="false">
      <c r="A61" s="7" t="s">
        <v>473</v>
      </c>
      <c r="B61" s="8" t="s">
        <v>59</v>
      </c>
      <c r="C61" s="60" t="n">
        <f aca="false">Pressupostos!$C$67*C50</f>
        <v>0.01825</v>
      </c>
      <c r="D61" s="60" t="n">
        <f aca="false">Pressupostos!$C$67*D50</f>
        <v>0.01825</v>
      </c>
      <c r="E61" s="60" t="n">
        <f aca="false">Pressupostos!$C$67*E50</f>
        <v>0.01825</v>
      </c>
      <c r="F61" s="60" t="n">
        <f aca="false">Pressupostos!$C$67*F50</f>
        <v>0.01825</v>
      </c>
      <c r="G61" s="60" t="n">
        <f aca="false">Pressupostos!$C$67*G50</f>
        <v>0.01825</v>
      </c>
      <c r="H61" s="2" t="s">
        <v>1155</v>
      </c>
    </row>
    <row r="62" customFormat="false" ht="15" hidden="false" customHeight="false" outlineLevel="1" collapsed="false">
      <c r="A62" s="7" t="s">
        <v>474</v>
      </c>
      <c r="B62" s="8" t="s">
        <v>59</v>
      </c>
      <c r="C62" s="60" t="n">
        <f aca="false">Pressupostos!$C$68*Pressupostos!$C$69*C56/90</f>
        <v>0.0035</v>
      </c>
      <c r="D62" s="60" t="n">
        <f aca="false">Pressupostos!$C$68*Pressupostos!$C$69*D56/90</f>
        <v>0.0035</v>
      </c>
      <c r="E62" s="60" t="n">
        <f aca="false">Pressupostos!$C$68*Pressupostos!$C$69*E56/90</f>
        <v>0.0035</v>
      </c>
      <c r="F62" s="60" t="n">
        <f aca="false">Pressupostos!$C$68*Pressupostos!$C$69*F56/90</f>
        <v>0.0035</v>
      </c>
      <c r="G62" s="60" t="n">
        <f aca="false">Pressupostos!$C$68*Pressupostos!$C$69*G56/90</f>
        <v>0.0035</v>
      </c>
      <c r="H62" s="2" t="s">
        <v>1156</v>
      </c>
    </row>
    <row r="63" customFormat="false" ht="15" hidden="false" customHeight="false" outlineLevel="1" collapsed="false">
      <c r="A63" s="7" t="s">
        <v>637</v>
      </c>
      <c r="B63" s="8" t="s">
        <v>59</v>
      </c>
      <c r="C63" s="60" t="n">
        <f aca="false">Pressupostos!$C$48/(Pressupostos!$C$46*1000)</f>
        <v>0.04</v>
      </c>
      <c r="D63" s="60" t="n">
        <f aca="false">Pressupostos!$C$48/(Pressupostos!$C$46*1000)</f>
        <v>0.04</v>
      </c>
      <c r="E63" s="60" t="n">
        <f aca="false">Pressupostos!$C$48/(Pressupostos!$C$46*1000)</f>
        <v>0.04</v>
      </c>
      <c r="F63" s="60" t="n">
        <f aca="false">Pressupostos!$C$48/(Pressupostos!$C$46*1000)</f>
        <v>0.04</v>
      </c>
      <c r="G63" s="60" t="n">
        <f aca="false">Pressupostos!$C$48/(Pressupostos!$C$46*1000)</f>
        <v>0.04</v>
      </c>
      <c r="H63" s="2" t="s">
        <v>1157</v>
      </c>
    </row>
    <row r="64" customFormat="false" ht="15" hidden="false" customHeight="false" outlineLevel="1" collapsed="false">
      <c r="A64" s="7" t="s">
        <v>131</v>
      </c>
      <c r="B64" s="8" t="s">
        <v>59</v>
      </c>
      <c r="C64" s="63" t="n">
        <f aca="false">Pressupostos!$C$49</f>
        <v>0.005</v>
      </c>
      <c r="D64" s="63" t="n">
        <f aca="false">Pressupostos!$C$49</f>
        <v>0.005</v>
      </c>
      <c r="E64" s="63" t="n">
        <f aca="false">Pressupostos!$C$49</f>
        <v>0.005</v>
      </c>
      <c r="F64" s="63" t="n">
        <f aca="false">Pressupostos!$C$49</f>
        <v>0.005</v>
      </c>
      <c r="G64" s="63" t="n">
        <f aca="false">Pressupostos!$C$49</f>
        <v>0.005</v>
      </c>
      <c r="H64" s="2" t="s">
        <v>1158</v>
      </c>
    </row>
    <row r="65" customFormat="false" ht="15" hidden="false" customHeight="false" outlineLevel="1" collapsed="false">
      <c r="A65" s="7" t="s">
        <v>76</v>
      </c>
      <c r="B65" s="8" t="s">
        <v>59</v>
      </c>
      <c r="C65" s="60" t="n">
        <f aca="false">Pressupostos!$C$25*C52</f>
        <v>0.021</v>
      </c>
      <c r="D65" s="60" t="n">
        <f aca="false">Pressupostos!$C$25*D52</f>
        <v>0.021</v>
      </c>
      <c r="E65" s="60" t="n">
        <f aca="false">Pressupostos!$C$25*E52</f>
        <v>0.021</v>
      </c>
      <c r="F65" s="60" t="n">
        <f aca="false">Pressupostos!$C$25*F52</f>
        <v>0.021</v>
      </c>
      <c r="G65" s="60" t="n">
        <f aca="false">Pressupostos!$C$25*G52</f>
        <v>0.021</v>
      </c>
      <c r="H65" s="2" t="s">
        <v>1159</v>
      </c>
    </row>
    <row r="66" customFormat="false" ht="15" hidden="false" customHeight="false" outlineLevel="1" collapsed="false">
      <c r="A66" s="7" t="s">
        <v>638</v>
      </c>
      <c r="B66" s="8" t="s">
        <v>59</v>
      </c>
      <c r="C66" s="60" t="n">
        <f aca="false">Pressupostos!$C$71*C52</f>
        <v>0</v>
      </c>
      <c r="D66" s="60" t="n">
        <f aca="false">Pressupostos!$C$71*D52</f>
        <v>0</v>
      </c>
      <c r="E66" s="60" t="n">
        <f aca="false">Pressupostos!$C$71*E52</f>
        <v>0</v>
      </c>
      <c r="F66" s="60" t="n">
        <f aca="false">Pressupostos!$C$71*F52</f>
        <v>0</v>
      </c>
      <c r="G66" s="60" t="n">
        <f aca="false">Pressupostos!$C$71*G52</f>
        <v>0</v>
      </c>
      <c r="H66" s="2" t="s">
        <v>1160</v>
      </c>
    </row>
    <row r="67" customFormat="false" ht="15" hidden="false" customHeight="false" outlineLevel="1" collapsed="false">
      <c r="A67" s="7" t="s">
        <v>639</v>
      </c>
      <c r="B67" s="8" t="s">
        <v>59</v>
      </c>
      <c r="C67" s="60" t="n">
        <f aca="false">Pressupostos!$C$282*(C50+C53)*(C56+C57-Pressupostos!$C$70)/365*Pressupostos!$C$276/Pressupostos!$C$31</f>
        <v>0</v>
      </c>
      <c r="D67" s="60" t="n">
        <f aca="false">Pressupostos!$D$282*(D50+D53)*(D56+D57-Pressupostos!$C$70)/365*Pressupostos!$D$276/Pressupostos!$C$31</f>
        <v>0.0736555772994129</v>
      </c>
      <c r="E67" s="60" t="n">
        <f aca="false">Pressupostos!$E$282*(E50+E53)*(E56+E57-Pressupostos!$C$70)/365*Pressupostos!$E$276/Pressupostos!$C$31</f>
        <v>0.0736555772994129</v>
      </c>
      <c r="F67" s="60" t="n">
        <f aca="false">Pressupostos!$F$282*(F50+F53)*(F56+F57-Pressupostos!$C$70)/365*Pressupostos!$F$276/Pressupostos!$C$31</f>
        <v>0.0736555772994129</v>
      </c>
      <c r="G67" s="60" t="n">
        <f aca="false">Pressupostos!$G$282*(G50+G53)*(G56+G57-Pressupostos!$C$70)/365*Pressupostos!$G$276/Pressupostos!$C$31</f>
        <v>0.0736555772994129</v>
      </c>
      <c r="H67" s="2" t="s">
        <v>1161</v>
      </c>
    </row>
    <row r="68" customFormat="false" ht="15" hidden="false" customHeight="false" outlineLevel="1" collapsed="false">
      <c r="A68" s="7" t="s">
        <v>640</v>
      </c>
      <c r="B68" s="8" t="s">
        <v>59</v>
      </c>
      <c r="C68" s="60" t="n">
        <f aca="false">C50+C53+C54+C55+C58+C59+C60+C61+C62+C63+C64+C65+C66+C67</f>
        <v>4.32311666666667</v>
      </c>
      <c r="D68" s="60" t="n">
        <f aca="false">D50+D53+D54+D55+D58+D59+D60+D61+D62+D63+D64+D65+D66+D67</f>
        <v>4.39677224396608</v>
      </c>
      <c r="E68" s="60" t="n">
        <f aca="false">E50+E53+E54+E55+E58+E59+E60+E61+E62+E63+E64+E65+E66+E67</f>
        <v>4.39677224396608</v>
      </c>
      <c r="F68" s="60" t="n">
        <f aca="false">F50+F53+F54+F55+F58+F59+F60+F61+F62+F63+F64+F65+F66+F67</f>
        <v>4.39677224396608</v>
      </c>
      <c r="G68" s="60" t="n">
        <f aca="false">G50+G53+G54+G55+G58+G59+G60+G61+G62+G63+G64+G65+G66+G67</f>
        <v>4.39677224396608</v>
      </c>
      <c r="H68" s="2" t="s">
        <v>1162</v>
      </c>
    </row>
    <row r="69" customFormat="false" ht="15" hidden="false" customHeight="false" outlineLevel="1" collapsed="false">
      <c r="A69" s="52" t="s">
        <v>641</v>
      </c>
      <c r="B69" s="53" t="s">
        <v>59</v>
      </c>
      <c r="C69" s="64" t="n">
        <f aca="false">C52-C68</f>
        <v>-0.123116666666666</v>
      </c>
      <c r="D69" s="64" t="n">
        <f aca="false">D52-D68</f>
        <v>-0.19677224396608</v>
      </c>
      <c r="E69" s="64" t="n">
        <f aca="false">E52-E68</f>
        <v>-0.19677224396608</v>
      </c>
      <c r="F69" s="64" t="n">
        <f aca="false">F52-F68</f>
        <v>-0.19677224396608</v>
      </c>
      <c r="G69" s="64" t="n">
        <f aca="false">G52-G68</f>
        <v>-0.19677224396608</v>
      </c>
      <c r="H69" s="2" t="s">
        <v>1163</v>
      </c>
    </row>
    <row r="70" customFormat="false" ht="15" hidden="false" customHeight="false" outlineLevel="1" collapsed="false">
      <c r="A70" s="7" t="s">
        <v>642</v>
      </c>
      <c r="B70" s="8" t="s">
        <v>71</v>
      </c>
      <c r="C70" s="55" t="n">
        <f aca="false">IF(C52&gt;0,C69/C52,0)</f>
        <v>-0.029313492063492</v>
      </c>
      <c r="D70" s="55" t="n">
        <f aca="false">IF(D52&gt;0,D69/D52,0)</f>
        <v>-0.046850534277638</v>
      </c>
      <c r="E70" s="55" t="n">
        <f aca="false">IF(E52&gt;0,E69/E52,0)</f>
        <v>-0.046850534277638</v>
      </c>
      <c r="F70" s="55" t="n">
        <f aca="false">IF(F52&gt;0,F69/F52,0)</f>
        <v>-0.046850534277638</v>
      </c>
      <c r="G70" s="55" t="n">
        <f aca="false">IF(G52&gt;0,G69/G52,0)</f>
        <v>-0.046850534277638</v>
      </c>
      <c r="H70" s="2" t="s">
        <v>1164</v>
      </c>
    </row>
    <row r="71" customFormat="false" ht="15" hidden="false" customHeight="false" outlineLevel="1" collapsed="false">
      <c r="A71" s="7" t="s">
        <v>643</v>
      </c>
      <c r="B71" s="8" t="s">
        <v>59</v>
      </c>
      <c r="C71" s="60" t="n">
        <f aca="false">(C50+C53)*(C56-Pressupostos!$C$70)/365+C52*C57/365</f>
        <v>0.689041095890411</v>
      </c>
      <c r="D71" s="60" t="n">
        <f aca="false">(D50+D53)*(D56-Pressupostos!$C$70)/365+D52*D57/365</f>
        <v>0.689041095890411</v>
      </c>
      <c r="E71" s="60" t="n">
        <f aca="false">(E50+E53)*(E56-Pressupostos!$C$70)/365+E52*E57/365</f>
        <v>0.689041095890411</v>
      </c>
      <c r="F71" s="60" t="n">
        <f aca="false">(F50+F53)*(F56-Pressupostos!$C$70)/365+F52*F57/365</f>
        <v>0.689041095890411</v>
      </c>
      <c r="G71" s="60" t="n">
        <f aca="false">(G50+G53)*(G56-Pressupostos!$C$70)/365+G52*G57/365</f>
        <v>0.689041095890411</v>
      </c>
      <c r="H71" s="2" t="s">
        <v>1165</v>
      </c>
    </row>
    <row r="72" customFormat="false" ht="15" hidden="false" customHeight="false" outlineLevel="0" collapsed="false">
      <c r="A72" s="3" t="s">
        <v>1166</v>
      </c>
      <c r="B72" s="4"/>
      <c r="C72" s="4"/>
      <c r="D72" s="4"/>
      <c r="E72" s="4"/>
      <c r="F72" s="4"/>
      <c r="G72" s="4"/>
      <c r="H72" s="4"/>
    </row>
    <row r="73" customFormat="false" ht="15" hidden="false" customHeight="false" outlineLevel="1" collapsed="false">
      <c r="A73" s="7" t="s">
        <v>633</v>
      </c>
      <c r="B73" s="8" t="s">
        <v>59</v>
      </c>
      <c r="C73" s="60" t="n">
        <f aca="false">Pressupostos!$C$10+Pressupostos!$C$13</f>
        <v>3.5</v>
      </c>
      <c r="D73" s="60" t="n">
        <f aca="false">Pressupostos!$C$10+Pressupostos!$C$13</f>
        <v>3.5</v>
      </c>
      <c r="E73" s="60" t="n">
        <f aca="false">Pressupostos!$C$10+Pressupostos!$C$13</f>
        <v>3.5</v>
      </c>
      <c r="F73" s="60" t="n">
        <f aca="false">Pressupostos!$C$10+Pressupostos!$C$13</f>
        <v>3.5</v>
      </c>
      <c r="G73" s="60" t="n">
        <f aca="false">Pressupostos!$C$10+Pressupostos!$C$13</f>
        <v>3.5</v>
      </c>
      <c r="H73" s="2" t="s">
        <v>1167</v>
      </c>
    </row>
    <row r="74" customFormat="false" ht="15" hidden="false" customHeight="false" outlineLevel="1" collapsed="false">
      <c r="A74" s="7" t="s">
        <v>634</v>
      </c>
      <c r="B74" s="8" t="s">
        <v>59</v>
      </c>
      <c r="C74" s="60" t="n">
        <f aca="false">Pressupostos!$C$10+Pressupostos!$C$51</f>
        <v>3.65</v>
      </c>
      <c r="D74" s="60" t="n">
        <f aca="false">Pressupostos!$C$10+Pressupostos!$C$51</f>
        <v>3.65</v>
      </c>
      <c r="E74" s="60" t="n">
        <f aca="false">Pressupostos!$C$10+Pressupostos!$C$51</f>
        <v>3.65</v>
      </c>
      <c r="F74" s="60" t="n">
        <f aca="false">Pressupostos!$C$10+Pressupostos!$C$51</f>
        <v>3.65</v>
      </c>
      <c r="G74" s="60" t="n">
        <f aca="false">Pressupostos!$C$10+Pressupostos!$C$51</f>
        <v>3.65</v>
      </c>
      <c r="H74" s="2" t="s">
        <v>1168</v>
      </c>
    </row>
    <row r="75" customFormat="false" ht="15" hidden="false" customHeight="false" outlineLevel="1" collapsed="false">
      <c r="A75" s="52" t="s">
        <v>635</v>
      </c>
      <c r="B75" s="53" t="s">
        <v>59</v>
      </c>
      <c r="C75" s="64" t="n">
        <f aca="false">C74*(1-Pressupostos!$C$52)</f>
        <v>3.65</v>
      </c>
      <c r="D75" s="64" t="n">
        <f aca="false">D74*(1-Pressupostos!$C$52)</f>
        <v>3.65</v>
      </c>
      <c r="E75" s="64" t="n">
        <f aca="false">E74*(1-Pressupostos!$C$52)</f>
        <v>3.65</v>
      </c>
      <c r="F75" s="64" t="n">
        <f aca="false">F74*(1-Pressupostos!$C$52)</f>
        <v>3.65</v>
      </c>
      <c r="G75" s="64" t="n">
        <f aca="false">G74*(1-Pressupostos!$C$52)</f>
        <v>3.65</v>
      </c>
      <c r="H75" s="2" t="s">
        <v>1169</v>
      </c>
    </row>
    <row r="76" customFormat="false" ht="15" hidden="false" customHeight="false" outlineLevel="1" collapsed="false">
      <c r="A76" s="7" t="s">
        <v>136</v>
      </c>
      <c r="B76" s="8" t="s">
        <v>59</v>
      </c>
      <c r="C76" s="63" t="n">
        <f aca="false">Pressupostos!$C$53</f>
        <v>0</v>
      </c>
      <c r="D76" s="63" t="n">
        <f aca="false">Pressupostos!$C$53</f>
        <v>0</v>
      </c>
      <c r="E76" s="63" t="n">
        <f aca="false">Pressupostos!$C$53</f>
        <v>0</v>
      </c>
      <c r="F76" s="63" t="n">
        <f aca="false">Pressupostos!$C$53</f>
        <v>0</v>
      </c>
      <c r="G76" s="63" t="n">
        <f aca="false">Pressupostos!$C$53</f>
        <v>0</v>
      </c>
      <c r="H76" s="2" t="s">
        <v>1170</v>
      </c>
    </row>
    <row r="77" customFormat="false" ht="15" hidden="false" customHeight="false" outlineLevel="1" collapsed="false">
      <c r="A77" s="7" t="s">
        <v>205</v>
      </c>
      <c r="B77" s="8" t="s">
        <v>59</v>
      </c>
      <c r="C77" s="63" t="n">
        <f aca="false">Pressupostos!$C$54</f>
        <v>0.04</v>
      </c>
      <c r="D77" s="63" t="n">
        <f aca="false">Pressupostos!$C$54</f>
        <v>0.04</v>
      </c>
      <c r="E77" s="63" t="n">
        <f aca="false">Pressupostos!$C$54</f>
        <v>0.04</v>
      </c>
      <c r="F77" s="63" t="n">
        <f aca="false">Pressupostos!$C$54</f>
        <v>0.04</v>
      </c>
      <c r="G77" s="63" t="n">
        <f aca="false">Pressupostos!$C$54</f>
        <v>0.04</v>
      </c>
      <c r="H77" s="2" t="s">
        <v>1171</v>
      </c>
    </row>
    <row r="78" customFormat="false" ht="15" hidden="false" customHeight="false" outlineLevel="1" collapsed="false">
      <c r="A78" s="7" t="s">
        <v>109</v>
      </c>
      <c r="B78" s="8" t="s">
        <v>59</v>
      </c>
      <c r="C78" s="63" t="n">
        <f aca="false">Pressupostos!$C$55</f>
        <v>0</v>
      </c>
      <c r="D78" s="63" t="n">
        <f aca="false">Pressupostos!$C$55</f>
        <v>0</v>
      </c>
      <c r="E78" s="63" t="n">
        <f aca="false">Pressupostos!$C$55</f>
        <v>0</v>
      </c>
      <c r="F78" s="63" t="n">
        <f aca="false">Pressupostos!$C$55</f>
        <v>0</v>
      </c>
      <c r="G78" s="63" t="n">
        <f aca="false">Pressupostos!$C$55</f>
        <v>0</v>
      </c>
      <c r="H78" s="2" t="s">
        <v>1172</v>
      </c>
    </row>
    <row r="79" customFormat="false" ht="15" hidden="false" customHeight="false" outlineLevel="1" collapsed="false">
      <c r="A79" s="7" t="s">
        <v>86</v>
      </c>
      <c r="B79" s="8" t="s">
        <v>74</v>
      </c>
      <c r="C79" s="65" t="n">
        <f aca="false">Pressupostos!$C$56</f>
        <v>15</v>
      </c>
      <c r="D79" s="65" t="n">
        <f aca="false">Pressupostos!$C$56</f>
        <v>15</v>
      </c>
      <c r="E79" s="65" t="n">
        <f aca="false">Pressupostos!$C$56</f>
        <v>15</v>
      </c>
      <c r="F79" s="65" t="n">
        <f aca="false">Pressupostos!$C$56</f>
        <v>15</v>
      </c>
      <c r="G79" s="65" t="n">
        <f aca="false">Pressupostos!$C$56</f>
        <v>15</v>
      </c>
      <c r="H79" s="2" t="s">
        <v>1173</v>
      </c>
    </row>
    <row r="80" customFormat="false" ht="15" hidden="false" customHeight="false" outlineLevel="1" collapsed="false">
      <c r="A80" s="7" t="s">
        <v>73</v>
      </c>
      <c r="B80" s="8" t="s">
        <v>74</v>
      </c>
      <c r="C80" s="65" t="n">
        <f aca="false">Pressupostos!$C$57</f>
        <v>45</v>
      </c>
      <c r="D80" s="65" t="n">
        <f aca="false">Pressupostos!$C$57</f>
        <v>45</v>
      </c>
      <c r="E80" s="65" t="n">
        <f aca="false">Pressupostos!$C$57</f>
        <v>45</v>
      </c>
      <c r="F80" s="65" t="n">
        <f aca="false">Pressupostos!$C$57</f>
        <v>45</v>
      </c>
      <c r="G80" s="65" t="n">
        <f aca="false">Pressupostos!$C$57</f>
        <v>45</v>
      </c>
      <c r="H80" s="2" t="s">
        <v>1174</v>
      </c>
    </row>
    <row r="81" customFormat="false" ht="15" hidden="false" customHeight="false" outlineLevel="1" collapsed="false">
      <c r="A81" s="7" t="s">
        <v>471</v>
      </c>
      <c r="B81" s="8" t="s">
        <v>59</v>
      </c>
      <c r="C81" s="60" t="n">
        <f aca="false">Pressupostos!$C$64*C79/30/1000</f>
        <v>0.002</v>
      </c>
      <c r="D81" s="60" t="n">
        <f aca="false">Pressupostos!$C$64*D79/30/1000</f>
        <v>0.002</v>
      </c>
      <c r="E81" s="60" t="n">
        <f aca="false">Pressupostos!$C$64*E79/30/1000</f>
        <v>0.002</v>
      </c>
      <c r="F81" s="60" t="n">
        <f aca="false">Pressupostos!$C$64*F79/30/1000</f>
        <v>0.002</v>
      </c>
      <c r="G81" s="60" t="n">
        <f aca="false">Pressupostos!$C$64*G79/30/1000</f>
        <v>0.002</v>
      </c>
      <c r="H81" s="2" t="s">
        <v>1175</v>
      </c>
    </row>
    <row r="82" customFormat="false" ht="15" hidden="false" customHeight="false" outlineLevel="1" collapsed="false">
      <c r="A82" s="7" t="s">
        <v>154</v>
      </c>
      <c r="B82" s="8" t="s">
        <v>59</v>
      </c>
      <c r="C82" s="60" t="n">
        <f aca="false">C73*Pressupostos!$C$65*C79/365</f>
        <v>0.000287671232876712</v>
      </c>
      <c r="D82" s="60" t="n">
        <f aca="false">D73*Pressupostos!$C$65*D79/365</f>
        <v>0.000287671232876712</v>
      </c>
      <c r="E82" s="60" t="n">
        <f aca="false">E73*Pressupostos!$C$65*E79/365</f>
        <v>0.000287671232876712</v>
      </c>
      <c r="F82" s="60" t="n">
        <f aca="false">F73*Pressupostos!$C$65*F79/365</f>
        <v>0.000287671232876712</v>
      </c>
      <c r="G82" s="60" t="n">
        <f aca="false">G73*Pressupostos!$C$65*G79/365</f>
        <v>0.000287671232876712</v>
      </c>
      <c r="H82" s="2" t="s">
        <v>1176</v>
      </c>
    </row>
    <row r="83" customFormat="false" ht="15" hidden="false" customHeight="false" outlineLevel="1" collapsed="false">
      <c r="A83" s="7" t="s">
        <v>636</v>
      </c>
      <c r="B83" s="8" t="s">
        <v>59</v>
      </c>
      <c r="C83" s="60" t="n">
        <f aca="false">Pressupostos!$C$59*Pressupostos!$C$66/(Pressupostos!$C$58*1000)</f>
        <v>0.006</v>
      </c>
      <c r="D83" s="60" t="n">
        <f aca="false">Pressupostos!$C$59*Pressupostos!$C$66/(Pressupostos!$C$58*1000)</f>
        <v>0.006</v>
      </c>
      <c r="E83" s="60" t="n">
        <f aca="false">Pressupostos!$C$59*Pressupostos!$C$66/(Pressupostos!$C$58*1000)</f>
        <v>0.006</v>
      </c>
      <c r="F83" s="60" t="n">
        <f aca="false">Pressupostos!$C$59*Pressupostos!$C$66/(Pressupostos!$C$58*1000)</f>
        <v>0.006</v>
      </c>
      <c r="G83" s="60" t="n">
        <f aca="false">Pressupostos!$C$59*Pressupostos!$C$66/(Pressupostos!$C$58*1000)</f>
        <v>0.006</v>
      </c>
      <c r="H83" s="2" t="s">
        <v>1177</v>
      </c>
    </row>
    <row r="84" customFormat="false" ht="15" hidden="false" customHeight="false" outlineLevel="1" collapsed="false">
      <c r="A84" s="7" t="s">
        <v>473</v>
      </c>
      <c r="B84" s="8" t="s">
        <v>59</v>
      </c>
      <c r="C84" s="60" t="n">
        <f aca="false">Pressupostos!$C$67*C73</f>
        <v>0.0175</v>
      </c>
      <c r="D84" s="60" t="n">
        <f aca="false">Pressupostos!$C$67*D73</f>
        <v>0.0175</v>
      </c>
      <c r="E84" s="60" t="n">
        <f aca="false">Pressupostos!$C$67*E73</f>
        <v>0.0175</v>
      </c>
      <c r="F84" s="60" t="n">
        <f aca="false">Pressupostos!$C$67*F73</f>
        <v>0.0175</v>
      </c>
      <c r="G84" s="60" t="n">
        <f aca="false">Pressupostos!$C$67*G73</f>
        <v>0.0175</v>
      </c>
      <c r="H84" s="2" t="s">
        <v>1178</v>
      </c>
    </row>
    <row r="85" customFormat="false" ht="15" hidden="false" customHeight="false" outlineLevel="1" collapsed="false">
      <c r="A85" s="7" t="s">
        <v>474</v>
      </c>
      <c r="B85" s="8" t="s">
        <v>59</v>
      </c>
      <c r="C85" s="60" t="n">
        <f aca="false">Pressupostos!$C$68*Pressupostos!$C$69*C79/90</f>
        <v>0.0015</v>
      </c>
      <c r="D85" s="60" t="n">
        <f aca="false">Pressupostos!$C$68*Pressupostos!$C$69*D79/90</f>
        <v>0.0015</v>
      </c>
      <c r="E85" s="60" t="n">
        <f aca="false">Pressupostos!$C$68*Pressupostos!$C$69*E79/90</f>
        <v>0.0015</v>
      </c>
      <c r="F85" s="60" t="n">
        <f aca="false">Pressupostos!$C$68*Pressupostos!$C$69*F79/90</f>
        <v>0.0015</v>
      </c>
      <c r="G85" s="60" t="n">
        <f aca="false">Pressupostos!$C$68*Pressupostos!$C$69*G79/90</f>
        <v>0.0015</v>
      </c>
      <c r="H85" s="2" t="s">
        <v>1179</v>
      </c>
    </row>
    <row r="86" customFormat="false" ht="15" hidden="false" customHeight="false" outlineLevel="1" collapsed="false">
      <c r="A86" s="7" t="s">
        <v>637</v>
      </c>
      <c r="B86" s="8" t="s">
        <v>59</v>
      </c>
      <c r="C86" s="60" t="n">
        <f aca="false">Pressupostos!$C$60/(Pressupostos!$C$58*1000)</f>
        <v>0.012</v>
      </c>
      <c r="D86" s="60" t="n">
        <f aca="false">Pressupostos!$C$60/(Pressupostos!$C$58*1000)</f>
        <v>0.012</v>
      </c>
      <c r="E86" s="60" t="n">
        <f aca="false">Pressupostos!$C$60/(Pressupostos!$C$58*1000)</f>
        <v>0.012</v>
      </c>
      <c r="F86" s="60" t="n">
        <f aca="false">Pressupostos!$C$60/(Pressupostos!$C$58*1000)</f>
        <v>0.012</v>
      </c>
      <c r="G86" s="60" t="n">
        <f aca="false">Pressupostos!$C$60/(Pressupostos!$C$58*1000)</f>
        <v>0.012</v>
      </c>
      <c r="H86" s="2" t="s">
        <v>1180</v>
      </c>
    </row>
    <row r="87" customFormat="false" ht="15" hidden="false" customHeight="false" outlineLevel="1" collapsed="false">
      <c r="A87" s="7" t="s">
        <v>131</v>
      </c>
      <c r="B87" s="8" t="s">
        <v>59</v>
      </c>
      <c r="C87" s="63" t="n">
        <f aca="false">Pressupostos!$C$61</f>
        <v>0.001</v>
      </c>
      <c r="D87" s="63" t="n">
        <f aca="false">Pressupostos!$C$61</f>
        <v>0.001</v>
      </c>
      <c r="E87" s="63" t="n">
        <f aca="false">Pressupostos!$C$61</f>
        <v>0.001</v>
      </c>
      <c r="F87" s="63" t="n">
        <f aca="false">Pressupostos!$C$61</f>
        <v>0.001</v>
      </c>
      <c r="G87" s="63" t="n">
        <f aca="false">Pressupostos!$C$61</f>
        <v>0.001</v>
      </c>
      <c r="H87" s="2" t="s">
        <v>1181</v>
      </c>
    </row>
    <row r="88" customFormat="false" ht="15" hidden="false" customHeight="false" outlineLevel="1" collapsed="false">
      <c r="A88" s="7" t="s">
        <v>76</v>
      </c>
      <c r="B88" s="8" t="s">
        <v>59</v>
      </c>
      <c r="C88" s="60" t="n">
        <f aca="false">Pressupostos!$C$62*C75</f>
        <v>0.01095</v>
      </c>
      <c r="D88" s="60" t="n">
        <f aca="false">Pressupostos!$C$62*D75</f>
        <v>0.01095</v>
      </c>
      <c r="E88" s="60" t="n">
        <f aca="false">Pressupostos!$C$62*E75</f>
        <v>0.01095</v>
      </c>
      <c r="F88" s="60" t="n">
        <f aca="false">Pressupostos!$C$62*F75</f>
        <v>0.01095</v>
      </c>
      <c r="G88" s="60" t="n">
        <f aca="false">Pressupostos!$C$62*G75</f>
        <v>0.01095</v>
      </c>
      <c r="H88" s="2" t="s">
        <v>1182</v>
      </c>
    </row>
    <row r="89" customFormat="false" ht="15" hidden="false" customHeight="false" outlineLevel="1" collapsed="false">
      <c r="A89" s="7" t="s">
        <v>638</v>
      </c>
      <c r="B89" s="8" t="s">
        <v>59</v>
      </c>
      <c r="C89" s="60" t="n">
        <f aca="false">Pressupostos!$C$71*C75</f>
        <v>0</v>
      </c>
      <c r="D89" s="60" t="n">
        <f aca="false">Pressupostos!$C$71*D75</f>
        <v>0</v>
      </c>
      <c r="E89" s="60" t="n">
        <f aca="false">Pressupostos!$C$71*E75</f>
        <v>0</v>
      </c>
      <c r="F89" s="60" t="n">
        <f aca="false">Pressupostos!$C$71*F75</f>
        <v>0</v>
      </c>
      <c r="G89" s="60" t="n">
        <f aca="false">Pressupostos!$C$71*G75</f>
        <v>0</v>
      </c>
      <c r="H89" s="2" t="s">
        <v>1183</v>
      </c>
    </row>
    <row r="90" customFormat="false" ht="15" hidden="false" customHeight="false" outlineLevel="1" collapsed="false">
      <c r="A90" s="7" t="s">
        <v>639</v>
      </c>
      <c r="B90" s="8" t="s">
        <v>59</v>
      </c>
      <c r="C90" s="60" t="n">
        <f aca="false">Pressupostos!$C$282*(C73+C76)*(C79+C80-Pressupostos!$C$70)/365*Pressupostos!$C$276/Pressupostos!$C$31</f>
        <v>0</v>
      </c>
      <c r="D90" s="60" t="n">
        <f aca="false">Pressupostos!$D$282*(D73+D76)*(D79+D80-Pressupostos!$C$70)/365*Pressupostos!$D$276/Pressupostos!$C$31</f>
        <v>0.0314383561643836</v>
      </c>
      <c r="E90" s="60" t="n">
        <f aca="false">Pressupostos!$E$282*(E73+E76)*(E79+E80-Pressupostos!$C$70)/365*Pressupostos!$E$276/Pressupostos!$C$31</f>
        <v>0.0314383561643836</v>
      </c>
      <c r="F90" s="60" t="n">
        <f aca="false">Pressupostos!$F$282*(F73+F76)*(F79+F80-Pressupostos!$C$70)/365*Pressupostos!$F$276/Pressupostos!$C$31</f>
        <v>0.0314383561643836</v>
      </c>
      <c r="G90" s="60" t="n">
        <f aca="false">Pressupostos!$G$282*(G73+G76)*(G79+G80-Pressupostos!$C$70)/365*Pressupostos!$G$276/Pressupostos!$C$31</f>
        <v>0.0314383561643836</v>
      </c>
      <c r="H90" s="2" t="s">
        <v>1184</v>
      </c>
    </row>
    <row r="91" customFormat="false" ht="15" hidden="false" customHeight="false" outlineLevel="1" collapsed="false">
      <c r="A91" s="7" t="s">
        <v>640</v>
      </c>
      <c r="B91" s="8" t="s">
        <v>59</v>
      </c>
      <c r="C91" s="60" t="n">
        <f aca="false">C73+C76+C77+C78+C81+C82+C83+C84+C85+C86+C87+C88+C89+C90</f>
        <v>3.59123767123288</v>
      </c>
      <c r="D91" s="60" t="n">
        <f aca="false">D73+D76+D77+D78+D81+D82+D83+D84+D85+D86+D87+D88+D89+D90</f>
        <v>3.62267602739726</v>
      </c>
      <c r="E91" s="60" t="n">
        <f aca="false">E73+E76+E77+E78+E81+E82+E83+E84+E85+E86+E87+E88+E89+E90</f>
        <v>3.62267602739726</v>
      </c>
      <c r="F91" s="60" t="n">
        <f aca="false">F73+F76+F77+F78+F81+F82+F83+F84+F85+F86+F87+F88+F89+F90</f>
        <v>3.62267602739726</v>
      </c>
      <c r="G91" s="60" t="n">
        <f aca="false">G73+G76+G77+G78+G81+G82+G83+G84+G85+G86+G87+G88+G89+G90</f>
        <v>3.62267602739726</v>
      </c>
      <c r="H91" s="2" t="s">
        <v>1185</v>
      </c>
    </row>
    <row r="92" customFormat="false" ht="15" hidden="false" customHeight="false" outlineLevel="1" collapsed="false">
      <c r="A92" s="52" t="s">
        <v>641</v>
      </c>
      <c r="B92" s="53" t="s">
        <v>59</v>
      </c>
      <c r="C92" s="64" t="n">
        <f aca="false">C75-C91</f>
        <v>0.058762328767124</v>
      </c>
      <c r="D92" s="64" t="n">
        <f aca="false">D75-D91</f>
        <v>0.0273239726027406</v>
      </c>
      <c r="E92" s="64" t="n">
        <f aca="false">E75-E91</f>
        <v>0.0273239726027406</v>
      </c>
      <c r="F92" s="64" t="n">
        <f aca="false">F75-F91</f>
        <v>0.0273239726027406</v>
      </c>
      <c r="G92" s="64" t="n">
        <f aca="false">G75-G91</f>
        <v>0.0273239726027406</v>
      </c>
      <c r="H92" s="2" t="s">
        <v>1186</v>
      </c>
    </row>
    <row r="93" customFormat="false" ht="15" hidden="false" customHeight="false" outlineLevel="1" collapsed="false">
      <c r="A93" s="7" t="s">
        <v>642</v>
      </c>
      <c r="B93" s="8" t="s">
        <v>71</v>
      </c>
      <c r="C93" s="55" t="n">
        <f aca="false">IF(C75&gt;0,C92/C75,0)</f>
        <v>0.0160992681553764</v>
      </c>
      <c r="D93" s="55" t="n">
        <f aca="false">IF(D75&gt;0,D92/D75,0)</f>
        <v>0.0074860198911618</v>
      </c>
      <c r="E93" s="55" t="n">
        <f aca="false">IF(E75&gt;0,E92/E75,0)</f>
        <v>0.0074860198911618</v>
      </c>
      <c r="F93" s="55" t="n">
        <f aca="false">IF(F75&gt;0,F92/F75,0)</f>
        <v>0.0074860198911618</v>
      </c>
      <c r="G93" s="55" t="n">
        <f aca="false">IF(G75&gt;0,G92/G75,0)</f>
        <v>0.0074860198911618</v>
      </c>
      <c r="H93" s="2" t="s">
        <v>1187</v>
      </c>
    </row>
    <row r="94" customFormat="false" ht="15" hidden="false" customHeight="false" outlineLevel="1" collapsed="false">
      <c r="A94" s="7" t="s">
        <v>643</v>
      </c>
      <c r="B94" s="8" t="s">
        <v>59</v>
      </c>
      <c r="C94" s="60" t="n">
        <f aca="false">(C73+C76)*(C79-Pressupostos!$C$70)/365+C75*C80/365</f>
        <v>0.306164383561644</v>
      </c>
      <c r="D94" s="60" t="n">
        <f aca="false">(D73+D76)*(D79-Pressupostos!$C$70)/365+D75*D80/365</f>
        <v>0.306164383561644</v>
      </c>
      <c r="E94" s="60" t="n">
        <f aca="false">(E73+E76)*(E79-Pressupostos!$C$70)/365+E75*E80/365</f>
        <v>0.306164383561644</v>
      </c>
      <c r="F94" s="60" t="n">
        <f aca="false">(F73+F76)*(F79-Pressupostos!$C$70)/365+F75*F80/365</f>
        <v>0.306164383561644</v>
      </c>
      <c r="G94" s="60" t="n">
        <f aca="false">(G73+G76)*(G79-Pressupostos!$C$70)/365+G75*G80/365</f>
        <v>0.306164383561644</v>
      </c>
      <c r="H94" s="2" t="s">
        <v>1188</v>
      </c>
    </row>
    <row r="95" customFormat="false" ht="15" hidden="false" customHeight="false" outlineLevel="0" collapsed="false">
      <c r="A95" s="3" t="s">
        <v>1189</v>
      </c>
      <c r="B95" s="4"/>
      <c r="C95" s="4"/>
      <c r="D95" s="4"/>
      <c r="E95" s="4"/>
      <c r="F95" s="4"/>
      <c r="G95" s="4"/>
      <c r="H95" s="4"/>
    </row>
    <row r="96" customFormat="false" ht="15" hidden="false" customHeight="false" outlineLevel="1" collapsed="false">
      <c r="A96" s="7" t="s">
        <v>575</v>
      </c>
      <c r="B96" s="8" t="s">
        <v>10</v>
      </c>
      <c r="C96" s="58" t="n">
        <f aca="false">C11*1000*C29</f>
        <v>29160</v>
      </c>
      <c r="D96" s="58" t="n">
        <f aca="false">D11*1000*D29</f>
        <v>102060</v>
      </c>
      <c r="E96" s="58" t="n">
        <f aca="false">E11*1000*E29</f>
        <v>247860</v>
      </c>
      <c r="F96" s="58" t="n">
        <f aca="false">F11*1000*F29</f>
        <v>398520</v>
      </c>
      <c r="G96" s="58" t="n">
        <f aca="false">G11*1000*G29</f>
        <v>500580</v>
      </c>
      <c r="H96" s="2" t="s">
        <v>1190</v>
      </c>
    </row>
    <row r="97" customFormat="false" ht="15" hidden="false" customHeight="false" outlineLevel="1" collapsed="false">
      <c r="A97" s="7" t="s">
        <v>576</v>
      </c>
      <c r="B97" s="8" t="s">
        <v>10</v>
      </c>
      <c r="C97" s="58" t="n">
        <f aca="false">C12*1000*C52</f>
        <v>142800</v>
      </c>
      <c r="D97" s="58" t="n">
        <f aca="false">D12*1000*D52</f>
        <v>541800</v>
      </c>
      <c r="E97" s="58" t="n">
        <f aca="false">E12*1000*E52</f>
        <v>1045800</v>
      </c>
      <c r="F97" s="58" t="n">
        <f aca="false">F12*1000*F52</f>
        <v>1545600</v>
      </c>
      <c r="G97" s="58" t="n">
        <f aca="false">G12*1000*G52</f>
        <v>2087400</v>
      </c>
      <c r="H97" s="2" t="s">
        <v>1191</v>
      </c>
    </row>
    <row r="98" customFormat="false" ht="15" hidden="false" customHeight="false" outlineLevel="1" collapsed="false">
      <c r="A98" s="7" t="s">
        <v>577</v>
      </c>
      <c r="B98" s="8" t="s">
        <v>10</v>
      </c>
      <c r="C98" s="58" t="n">
        <f aca="false">C13*1000*C75</f>
        <v>0</v>
      </c>
      <c r="D98" s="58" t="n">
        <f aca="false">D13*1000*D75</f>
        <v>0</v>
      </c>
      <c r="E98" s="58" t="n">
        <f aca="false">E13*1000*E75</f>
        <v>0</v>
      </c>
      <c r="F98" s="58" t="n">
        <f aca="false">F13*1000*F75</f>
        <v>0</v>
      </c>
      <c r="G98" s="58" t="n">
        <f aca="false">G13*1000*G75</f>
        <v>0</v>
      </c>
      <c r="H98" s="2" t="s">
        <v>1192</v>
      </c>
    </row>
    <row r="99" customFormat="false" ht="15" hidden="false" customHeight="false" outlineLevel="1" collapsed="false">
      <c r="A99" s="7" t="s">
        <v>578</v>
      </c>
      <c r="B99" s="8" t="s">
        <v>10</v>
      </c>
      <c r="C99" s="58" t="n">
        <f aca="false">C96+C97+C98</f>
        <v>171960</v>
      </c>
      <c r="D99" s="58" t="n">
        <f aca="false">D96+D97+D98</f>
        <v>643860</v>
      </c>
      <c r="E99" s="58" t="n">
        <f aca="false">E96+E97+E98</f>
        <v>1293660</v>
      </c>
      <c r="F99" s="58" t="n">
        <f aca="false">F96+F97+F98</f>
        <v>1944120</v>
      </c>
      <c r="G99" s="58" t="n">
        <f aca="false">G96+G97+G98</f>
        <v>2587980</v>
      </c>
      <c r="H99" s="2" t="s">
        <v>1193</v>
      </c>
    </row>
    <row r="100" customFormat="false" ht="15" hidden="false" customHeight="false" outlineLevel="1" collapsed="false">
      <c r="A100" s="7" t="s">
        <v>579</v>
      </c>
      <c r="B100" s="8" t="s">
        <v>10</v>
      </c>
      <c r="C100" s="58" t="n">
        <f aca="false">C22*1000*Pressupostos!$C$91</f>
        <v>0</v>
      </c>
      <c r="D100" s="58" t="n">
        <f aca="false">D22*1000*Pressupostos!$C$91</f>
        <v>0</v>
      </c>
      <c r="E100" s="58" t="n">
        <f aca="false">E22*1000*Pressupostos!$C$91</f>
        <v>78500</v>
      </c>
      <c r="F100" s="58" t="n">
        <f aca="false">F22*1000*Pressupostos!$C$91</f>
        <v>157000</v>
      </c>
      <c r="G100" s="58" t="n">
        <f aca="false">G22*1000*Pressupostos!$C$91</f>
        <v>235500</v>
      </c>
      <c r="H100" s="2" t="s">
        <v>1194</v>
      </c>
    </row>
    <row r="101" customFormat="false" ht="15" hidden="false" customHeight="false" outlineLevel="1" collapsed="false">
      <c r="A101" s="2" t="s">
        <v>580</v>
      </c>
      <c r="B101" s="8" t="s">
        <v>10</v>
      </c>
      <c r="C101" s="58" t="n">
        <f aca="false">C20*Pressupostos!$C$78*(1-Pressupostos!$C$79)</f>
        <v>16200</v>
      </c>
      <c r="D101" s="58" t="n">
        <f aca="false">D20*Pressupostos!$C$78*(1-Pressupostos!$C$79)</f>
        <v>0</v>
      </c>
      <c r="E101" s="58" t="n">
        <f aca="false">E20*Pressupostos!$C$78*(1-Pressupostos!$C$79)</f>
        <v>0</v>
      </c>
      <c r="F101" s="58" t="n">
        <f aca="false">F20*Pressupostos!$C$78*(1-Pressupostos!$C$79)</f>
        <v>0</v>
      </c>
      <c r="G101" s="58" t="n">
        <f aca="false">G20*Pressupostos!$C$78*(1-Pressupostos!$C$79)</f>
        <v>0</v>
      </c>
      <c r="H101" s="2" t="s">
        <v>1195</v>
      </c>
    </row>
    <row r="102" customFormat="false" ht="15" hidden="false" customHeight="false" outlineLevel="1" collapsed="false">
      <c r="A102" s="7" t="s">
        <v>581</v>
      </c>
      <c r="B102" s="8" t="s">
        <v>10</v>
      </c>
      <c r="C102" s="58" t="n">
        <f aca="false">C101*Pressupostos!$C$27</f>
        <v>162</v>
      </c>
      <c r="D102" s="58" t="n">
        <f aca="false">D101*Pressupostos!$C$27</f>
        <v>0</v>
      </c>
      <c r="E102" s="58" t="n">
        <f aca="false">E101*Pressupostos!$C$27</f>
        <v>0</v>
      </c>
      <c r="F102" s="58" t="n">
        <f aca="false">F101*Pressupostos!$C$27</f>
        <v>0</v>
      </c>
      <c r="G102" s="58" t="n">
        <f aca="false">G101*Pressupostos!$C$27</f>
        <v>0</v>
      </c>
      <c r="H102" s="2" t="s">
        <v>1196</v>
      </c>
    </row>
    <row r="103" customFormat="false" ht="15" hidden="false" customHeight="false" outlineLevel="1" collapsed="false">
      <c r="A103" s="7" t="s">
        <v>582</v>
      </c>
      <c r="B103" s="8" t="s">
        <v>10</v>
      </c>
      <c r="C103" s="58" t="n">
        <f aca="false">C24*(Pressupostos!$C$99*Pressupostos!$C$100+Pressupostos!$C$101)</f>
        <v>0</v>
      </c>
      <c r="D103" s="58" t="n">
        <f aca="false">D24*(Pressupostos!$C$99*Pressupostos!$C$100+Pressupostos!$C$101)</f>
        <v>0</v>
      </c>
      <c r="E103" s="58" t="n">
        <f aca="false">E24*(Pressupostos!$C$99*Pressupostos!$C$100+Pressupostos!$C$101)</f>
        <v>0</v>
      </c>
      <c r="F103" s="58" t="n">
        <f aca="false">F24*(Pressupostos!$C$99*Pressupostos!$C$100+Pressupostos!$C$101)</f>
        <v>10000</v>
      </c>
      <c r="G103" s="58" t="n">
        <f aca="false">G24*(Pressupostos!$C$99*Pressupostos!$C$100+Pressupostos!$C$101)</f>
        <v>20000</v>
      </c>
      <c r="H103" s="2" t="s">
        <v>1197</v>
      </c>
    </row>
    <row r="104" customFormat="false" ht="15" hidden="false" customHeight="false" outlineLevel="1" collapsed="false">
      <c r="A104" s="7" t="s">
        <v>583</v>
      </c>
      <c r="B104" s="8" t="s">
        <v>10</v>
      </c>
      <c r="C104" s="50" t="n">
        <f aca="false">Pressupostos!$C$269</f>
        <v>0</v>
      </c>
      <c r="D104" s="50" t="n">
        <f aca="false">Pressupostos!$D$269</f>
        <v>0</v>
      </c>
      <c r="E104" s="50" t="n">
        <f aca="false">Pressupostos!$E$269</f>
        <v>0</v>
      </c>
      <c r="F104" s="50" t="n">
        <f aca="false">Pressupostos!$F$269</f>
        <v>0</v>
      </c>
      <c r="G104" s="50" t="n">
        <f aca="false">Pressupostos!$G$269</f>
        <v>0</v>
      </c>
      <c r="H104" s="2" t="s">
        <v>1198</v>
      </c>
    </row>
    <row r="105" customFormat="false" ht="15" hidden="false" customHeight="false" outlineLevel="1" collapsed="false">
      <c r="A105" s="52" t="s">
        <v>584</v>
      </c>
      <c r="B105" s="53" t="s">
        <v>10</v>
      </c>
      <c r="C105" s="59" t="n">
        <f aca="false">C99+C100+C102+C103+C104</f>
        <v>172122</v>
      </c>
      <c r="D105" s="59" t="n">
        <f aca="false">D99+D100+D102+D103+D104</f>
        <v>643860</v>
      </c>
      <c r="E105" s="59" t="n">
        <f aca="false">E99+E100+E102+E103+E104</f>
        <v>1372160</v>
      </c>
      <c r="F105" s="59" t="n">
        <f aca="false">F99+F100+F102+F103+F104</f>
        <v>2111120</v>
      </c>
      <c r="G105" s="59" t="n">
        <f aca="false">G99+G100+G102+G103+G104</f>
        <v>2843480</v>
      </c>
      <c r="H105" s="2" t="s">
        <v>1199</v>
      </c>
    </row>
    <row r="106" customFormat="false" ht="15" hidden="false" customHeight="false" outlineLevel="0" collapsed="false">
      <c r="A106" s="3" t="s">
        <v>1200</v>
      </c>
      <c r="B106" s="4"/>
      <c r="C106" s="4"/>
      <c r="D106" s="4"/>
      <c r="E106" s="4"/>
      <c r="F106" s="4"/>
      <c r="G106" s="4"/>
      <c r="H106" s="4"/>
    </row>
    <row r="107" customFormat="false" ht="15" hidden="false" customHeight="false" outlineLevel="1" collapsed="false">
      <c r="A107" s="52" t="s">
        <v>586</v>
      </c>
      <c r="B107" s="53" t="s">
        <v>10</v>
      </c>
      <c r="C107" s="59" t="n">
        <f aca="false">C99+C100+C101</f>
        <v>188160</v>
      </c>
      <c r="D107" s="59" t="n">
        <f aca="false">D99+D100+D101</f>
        <v>643860</v>
      </c>
      <c r="E107" s="59" t="n">
        <f aca="false">E99+E100+E101</f>
        <v>1372160</v>
      </c>
      <c r="F107" s="59" t="n">
        <f aca="false">F99+F100+F101</f>
        <v>2101120</v>
      </c>
      <c r="G107" s="59" t="n">
        <f aca="false">G99+G100+G101</f>
        <v>2823480</v>
      </c>
      <c r="H107" s="2" t="s">
        <v>1201</v>
      </c>
    </row>
    <row r="108" customFormat="false" ht="15" hidden="false" customHeight="false" outlineLevel="1" collapsed="false">
      <c r="A108" s="7" t="s">
        <v>587</v>
      </c>
      <c r="B108" s="8" t="s">
        <v>10</v>
      </c>
      <c r="C108" s="58" t="n">
        <f aca="false">C11*1000*(C27+C30)+C12*1000*(C50+C53)+C13*1000*(C73+C76)+C22*1000*Pressupostos!$C$90</f>
        <v>164600</v>
      </c>
      <c r="D108" s="58" t="n">
        <f aca="false">D11*1000*(D27+D30)+D12*1000*(D50+D53)+D13*1000*(D73+D76)+D22*1000*Pressupostos!$C$90</f>
        <v>617100</v>
      </c>
      <c r="E108" s="58" t="n">
        <f aca="false">E11*1000*(E27+E30)+E12*1000*(E50+E53)+E13*1000*(E73+E76)+E22*1000*Pressupostos!$C$90</f>
        <v>1305100</v>
      </c>
      <c r="F108" s="58" t="n">
        <f aca="false">F11*1000*(F27+F30)+F12*1000*(F50+F53)+F13*1000*(F73+F76)+F22*1000*Pressupostos!$C$90</f>
        <v>1993200</v>
      </c>
      <c r="G108" s="58" t="n">
        <f aca="false">G11*1000*(G27+G30)+G12*1000*(G50+G53)+G13*1000*(G73+G76)+G22*1000*Pressupostos!$C$90</f>
        <v>2680300</v>
      </c>
      <c r="H108" s="2" t="s">
        <v>1202</v>
      </c>
    </row>
    <row r="109" customFormat="false" ht="15" hidden="false" customHeight="false" outlineLevel="1" collapsed="false">
      <c r="A109" s="7" t="s">
        <v>588</v>
      </c>
      <c r="B109" s="8" t="s">
        <v>10</v>
      </c>
      <c r="C109" s="58" t="n">
        <f aca="false">C108*Pressupostos!$C$276</f>
        <v>0</v>
      </c>
      <c r="D109" s="58" t="n">
        <f aca="false">D108*Pressupostos!$D$276</f>
        <v>524535</v>
      </c>
      <c r="E109" s="58" t="n">
        <f aca="false">E108*Pressupostos!$E$276</f>
        <v>1109335</v>
      </c>
      <c r="F109" s="58" t="n">
        <f aca="false">F108*Pressupostos!$F$276</f>
        <v>1694220</v>
      </c>
      <c r="G109" s="58" t="n">
        <f aca="false">G108*Pressupostos!$G$276</f>
        <v>2278255</v>
      </c>
      <c r="H109" s="2" t="s">
        <v>1203</v>
      </c>
    </row>
    <row r="110" customFormat="false" ht="15" hidden="false" customHeight="false" outlineLevel="0" collapsed="false">
      <c r="A110" s="3" t="s">
        <v>1204</v>
      </c>
      <c r="B110" s="4"/>
      <c r="C110" s="4"/>
      <c r="D110" s="4"/>
      <c r="E110" s="4"/>
      <c r="F110" s="4"/>
      <c r="G110" s="4"/>
      <c r="H110" s="4"/>
    </row>
    <row r="111" customFormat="false" ht="15" hidden="false" customHeight="false" outlineLevel="1" collapsed="false">
      <c r="A111" s="7" t="s">
        <v>590</v>
      </c>
      <c r="B111" s="8" t="s">
        <v>10</v>
      </c>
      <c r="C111" s="58" t="n">
        <f aca="false">C11*1000*C46</f>
        <v>223.620000000007</v>
      </c>
      <c r="D111" s="58" t="n">
        <f aca="false">D11*1000*D46</f>
        <v>-4366.93273972601</v>
      </c>
      <c r="E111" s="58" t="n">
        <f aca="false">E11*1000*E46</f>
        <v>-10095.4080821917</v>
      </c>
      <c r="F111" s="58" t="n">
        <f aca="false">F11*1000*F46</f>
        <v>-5081.62986301362</v>
      </c>
      <c r="G111" s="58" t="n">
        <f aca="false">G11*1000*G46</f>
        <v>-684.44205479441</v>
      </c>
      <c r="H111" s="2" t="s">
        <v>1205</v>
      </c>
    </row>
    <row r="112" customFormat="false" ht="15" hidden="false" customHeight="false" outlineLevel="1" collapsed="false">
      <c r="A112" s="7" t="s">
        <v>591</v>
      </c>
      <c r="B112" s="8" t="s">
        <v>10</v>
      </c>
      <c r="C112" s="58" t="n">
        <f aca="false">C12*1000*C69</f>
        <v>-4185.96666666665</v>
      </c>
      <c r="D112" s="58" t="n">
        <f aca="false">D12*1000*D69</f>
        <v>-25383.6194716243</v>
      </c>
      <c r="E112" s="58" t="n">
        <f aca="false">E12*1000*E69</f>
        <v>-48996.2887475538</v>
      </c>
      <c r="F112" s="58" t="n">
        <f aca="false">F12*1000*F69</f>
        <v>-72412.1857795173</v>
      </c>
      <c r="G112" s="58" t="n">
        <f aca="false">G12*1000*G69</f>
        <v>-97795.8052511415</v>
      </c>
      <c r="H112" s="2" t="s">
        <v>1206</v>
      </c>
    </row>
    <row r="113" customFormat="false" ht="15" hidden="false" customHeight="false" outlineLevel="1" collapsed="false">
      <c r="A113" s="7" t="s">
        <v>592</v>
      </c>
      <c r="B113" s="8" t="s">
        <v>10</v>
      </c>
      <c r="C113" s="58" t="n">
        <f aca="false">C13*1000*C92</f>
        <v>0</v>
      </c>
      <c r="D113" s="58" t="n">
        <f aca="false">D13*1000*D92</f>
        <v>0</v>
      </c>
      <c r="E113" s="58" t="n">
        <f aca="false">E13*1000*E92</f>
        <v>0</v>
      </c>
      <c r="F113" s="58" t="n">
        <f aca="false">F13*1000*F92</f>
        <v>0</v>
      </c>
      <c r="G113" s="58" t="n">
        <f aca="false">G13*1000*G92</f>
        <v>0</v>
      </c>
      <c r="H113" s="2" t="s">
        <v>1207</v>
      </c>
    </row>
    <row r="114" customFormat="false" ht="15" hidden="false" customHeight="false" outlineLevel="1" collapsed="false">
      <c r="A114" s="7" t="s">
        <v>593</v>
      </c>
      <c r="B114" s="8" t="s">
        <v>10</v>
      </c>
      <c r="C114" s="58" t="n">
        <f aca="false">C111+C112+C113</f>
        <v>-3962.34666666665</v>
      </c>
      <c r="D114" s="58" t="n">
        <f aca="false">D111+D112+D113</f>
        <v>-29750.5522113503</v>
      </c>
      <c r="E114" s="58" t="n">
        <f aca="false">E111+E112+E113</f>
        <v>-59091.6968297455</v>
      </c>
      <c r="F114" s="58" t="n">
        <f aca="false">F111+F112+F113</f>
        <v>-77493.8156425309</v>
      </c>
      <c r="G114" s="58" t="n">
        <f aca="false">G111+G112+G113</f>
        <v>-98480.2473059359</v>
      </c>
      <c r="H114" s="2" t="s">
        <v>1208</v>
      </c>
    </row>
    <row r="115" customFormat="false" ht="15" hidden="false" customHeight="false" outlineLevel="1" collapsed="false">
      <c r="A115" s="7" t="s">
        <v>594</v>
      </c>
      <c r="B115" s="8" t="s">
        <v>59</v>
      </c>
      <c r="C115" s="60" t="n">
        <f aca="false">IF(C14&gt;0,C114/(C14*1000),0)</f>
        <v>-0.0990586666666662</v>
      </c>
      <c r="D115" s="60" t="n">
        <f aca="false">IF(D14&gt;0,D114/(D14*1000),0)</f>
        <v>-0.198337014742335</v>
      </c>
      <c r="E115" s="60" t="n">
        <f aca="false">IF(E14&gt;0,E114/(E14*1000),0)</f>
        <v>-0.196972322765818</v>
      </c>
      <c r="F115" s="60" t="n">
        <f aca="false">IF(F14&gt;0,F114/(F14*1000),0)</f>
        <v>-0.172208479205624</v>
      </c>
      <c r="G115" s="60" t="n">
        <f aca="false">IF(G14&gt;0,G114/(G14*1000),0)</f>
        <v>-0.164133745509893</v>
      </c>
      <c r="H115" s="2" t="s">
        <v>1209</v>
      </c>
    </row>
    <row r="116" customFormat="false" ht="15" hidden="false" customHeight="false" outlineLevel="1" collapsed="false">
      <c r="A116" s="7" t="s">
        <v>595</v>
      </c>
      <c r="B116" s="8" t="s">
        <v>71</v>
      </c>
      <c r="C116" s="55" t="n">
        <f aca="false">IF(C99&gt;0,C114/C99,0)</f>
        <v>-0.0230422578894315</v>
      </c>
      <c r="D116" s="55" t="n">
        <f aca="false">IF(D99&gt;0,D114/D99,0)</f>
        <v>-0.0462065545481165</v>
      </c>
      <c r="E116" s="55" t="n">
        <f aca="false">IF(E99&gt;0,E114/E99,0)</f>
        <v>-0.0456779191052869</v>
      </c>
      <c r="F116" s="55" t="n">
        <f aca="false">IF(F99&gt;0,F114/F99,0)</f>
        <v>-0.039860613358502</v>
      </c>
      <c r="G116" s="55" t="n">
        <f aca="false">IF(G99&gt;0,G114/G99,0)</f>
        <v>-0.0380529398627253</v>
      </c>
      <c r="H116" s="2" t="s">
        <v>1210</v>
      </c>
    </row>
    <row r="117" customFormat="false" ht="15" hidden="false" customHeight="false" outlineLevel="1" collapsed="false">
      <c r="A117" s="2" t="s">
        <v>596</v>
      </c>
      <c r="B117" s="8" t="s">
        <v>59</v>
      </c>
      <c r="C117" s="60" t="n">
        <f aca="false">Pressupostos!$C$282*Pressupostos!$C$90*(Pressupostos!$C$93+Pressupostos!$C$94-Pressupostos!$C$95)/365*Pressupostos!$C$276/Pressupostos!$C$31</f>
        <v>0</v>
      </c>
      <c r="D117" s="60" t="n">
        <f aca="false">Pressupostos!$D$282*Pressupostos!$C$90*(Pressupostos!$C$93+Pressupostos!$C$94-Pressupostos!$C$95)/365*Pressupostos!$D$276/Pressupostos!$C$31</f>
        <v>0.0943150684931507</v>
      </c>
      <c r="E117" s="60" t="n">
        <f aca="false">Pressupostos!$E$282*Pressupostos!$C$90*(Pressupostos!$C$93+Pressupostos!$C$94-Pressupostos!$C$95)/365*Pressupostos!$E$276/Pressupostos!$C$31</f>
        <v>0.0943150684931507</v>
      </c>
      <c r="F117" s="60" t="n">
        <f aca="false">Pressupostos!$F$282*Pressupostos!$C$90*(Pressupostos!$C$93+Pressupostos!$C$94-Pressupostos!$C$95)/365*Pressupostos!$F$276/Pressupostos!$C$31</f>
        <v>0.0943150684931507</v>
      </c>
      <c r="G117" s="60" t="n">
        <f aca="false">Pressupostos!$G$282*Pressupostos!$C$90*(Pressupostos!$C$93+Pressupostos!$C$94-Pressupostos!$C$95)/365*Pressupostos!$G$276/Pressupostos!$C$31</f>
        <v>0.0943150684931507</v>
      </c>
      <c r="H117" s="2" t="s">
        <v>1211</v>
      </c>
    </row>
    <row r="118" customFormat="false" ht="15" hidden="false" customHeight="false" outlineLevel="1" collapsed="false">
      <c r="A118" s="7" t="s">
        <v>567</v>
      </c>
      <c r="B118" s="8" t="s">
        <v>10</v>
      </c>
      <c r="C118" s="58" t="n">
        <f aca="false">C22*1000*(Pressupostos!$C$91-Pressupostos!$C$90-Pressupostos!$C$92-C117-Pressupostos!$C$96*Pressupostos!$C$91-Pressupostos!$C$97-Pressupostos!$C$29*Pressupostos!$C$90)</f>
        <v>0</v>
      </c>
      <c r="D118" s="58" t="n">
        <f aca="false">D22*1000*(Pressupostos!$C$91-Pressupostos!$C$90-Pressupostos!$C$92-D117-Pressupostos!$C$96*Pressupostos!$C$91-Pressupostos!$C$97-Pressupostos!$C$29*Pressupostos!$C$90)</f>
        <v>0</v>
      </c>
      <c r="E118" s="58" t="n">
        <f aca="false">E22*1000*(Pressupostos!$C$91-Pressupostos!$C$90-Pressupostos!$C$92-E117-Pressupostos!$C$96*Pressupostos!$C$91-Pressupostos!$C$97-Pressupostos!$C$29*Pressupostos!$C$90)</f>
        <v>5285.84931506849</v>
      </c>
      <c r="F118" s="58" t="n">
        <f aca="false">F22*1000*(Pressupostos!$C$91-Pressupostos!$C$90-Pressupostos!$C$92-F117-Pressupostos!$C$96*Pressupostos!$C$91-Pressupostos!$C$97-Pressupostos!$C$29*Pressupostos!$C$90)</f>
        <v>10571.698630137</v>
      </c>
      <c r="G118" s="58" t="n">
        <f aca="false">G22*1000*(Pressupostos!$C$91-Pressupostos!$C$90-Pressupostos!$C$92-G117-Pressupostos!$C$96*Pressupostos!$C$91-Pressupostos!$C$97-Pressupostos!$C$29*Pressupostos!$C$90)</f>
        <v>15857.5479452055</v>
      </c>
      <c r="H118" s="2" t="s">
        <v>1212</v>
      </c>
    </row>
    <row r="119" customFormat="false" ht="15" hidden="false" customHeight="false" outlineLevel="1" collapsed="false">
      <c r="A119" s="7" t="s">
        <v>597</v>
      </c>
      <c r="B119" s="8" t="s">
        <v>10</v>
      </c>
      <c r="C119" s="58" t="n">
        <f aca="false">C102</f>
        <v>162</v>
      </c>
      <c r="D119" s="58" t="n">
        <f aca="false">D102</f>
        <v>0</v>
      </c>
      <c r="E119" s="58" t="n">
        <f aca="false">E102</f>
        <v>0</v>
      </c>
      <c r="F119" s="58" t="n">
        <f aca="false">F102</f>
        <v>0</v>
      </c>
      <c r="G119" s="58" t="n">
        <f aca="false">G102</f>
        <v>0</v>
      </c>
      <c r="H119" s="2" t="s">
        <v>1213</v>
      </c>
    </row>
    <row r="120" customFormat="false" ht="15" hidden="false" customHeight="false" outlineLevel="1" collapsed="false">
      <c r="A120" s="7" t="s">
        <v>598</v>
      </c>
      <c r="B120" s="8" t="s">
        <v>10</v>
      </c>
      <c r="C120" s="58" t="n">
        <f aca="false">C103-C135</f>
        <v>0</v>
      </c>
      <c r="D120" s="58" t="n">
        <f aca="false">D103-D135</f>
        <v>0</v>
      </c>
      <c r="E120" s="58" t="n">
        <f aca="false">E103-E135</f>
        <v>0</v>
      </c>
      <c r="F120" s="58" t="n">
        <f aca="false">F103-F135</f>
        <v>1771.42857142857</v>
      </c>
      <c r="G120" s="58" t="n">
        <f aca="false">G103-G135</f>
        <v>3542.85714285715</v>
      </c>
      <c r="H120" s="2" t="s">
        <v>1214</v>
      </c>
    </row>
    <row r="121" customFormat="false" ht="15" hidden="false" customHeight="false" outlineLevel="1" collapsed="false">
      <c r="A121" s="7" t="s">
        <v>583</v>
      </c>
      <c r="B121" s="8" t="s">
        <v>10</v>
      </c>
      <c r="C121" s="58" t="n">
        <f aca="false">C104</f>
        <v>0</v>
      </c>
      <c r="D121" s="58" t="n">
        <f aca="false">D104</f>
        <v>0</v>
      </c>
      <c r="E121" s="58" t="n">
        <f aca="false">E104</f>
        <v>0</v>
      </c>
      <c r="F121" s="58" t="n">
        <f aca="false">F104</f>
        <v>0</v>
      </c>
      <c r="G121" s="58" t="n">
        <f aca="false">G104</f>
        <v>0</v>
      </c>
      <c r="H121" s="2" t="s">
        <v>1215</v>
      </c>
    </row>
    <row r="122" customFormat="false" ht="15" hidden="false" customHeight="false" outlineLevel="1" collapsed="false">
      <c r="A122" s="52" t="s">
        <v>599</v>
      </c>
      <c r="B122" s="53" t="s">
        <v>10</v>
      </c>
      <c r="C122" s="59" t="n">
        <f aca="false">C114+C118+C119+C120+C121</f>
        <v>-3800.34666666665</v>
      </c>
      <c r="D122" s="59" t="n">
        <f aca="false">D114+D118+D119+D120+D121</f>
        <v>-29750.5522113503</v>
      </c>
      <c r="E122" s="59" t="n">
        <f aca="false">E114+E118+E119+E120+E121</f>
        <v>-53805.847514677</v>
      </c>
      <c r="F122" s="59" t="n">
        <f aca="false">F114+F118+F119+F120+F121</f>
        <v>-65150.6884409653</v>
      </c>
      <c r="G122" s="59" t="n">
        <f aca="false">G114+G118+G119+G120+G121</f>
        <v>-79079.8422178733</v>
      </c>
      <c r="H122" s="2" t="s">
        <v>1216</v>
      </c>
    </row>
    <row r="123" customFormat="false" ht="15" hidden="false" customHeight="false" outlineLevel="0" collapsed="false">
      <c r="A123" s="3" t="s">
        <v>1217</v>
      </c>
      <c r="B123" s="4"/>
      <c r="C123" s="4"/>
      <c r="D123" s="4"/>
      <c r="E123" s="4"/>
      <c r="F123" s="4"/>
      <c r="G123" s="4"/>
      <c r="H123" s="4"/>
    </row>
    <row r="124" customFormat="false" ht="15" hidden="false" customHeight="false" outlineLevel="1" collapsed="false">
      <c r="A124" s="7" t="s">
        <v>647</v>
      </c>
      <c r="B124" s="8" t="s">
        <v>10</v>
      </c>
      <c r="C124" s="58" t="n">
        <f aca="false">C11*1000*(C27+C30)+C12*1000*(C50+C53)+C13*1000*(C73+C76)</f>
        <v>164600</v>
      </c>
      <c r="D124" s="58" t="n">
        <f aca="false">D11*1000*(D27+D30)+D12*1000*(D50+D53)+D13*1000*(D73+D76)</f>
        <v>617100</v>
      </c>
      <c r="E124" s="58" t="n">
        <f aca="false">E11*1000*(E27+E30)+E12*1000*(E50+E53)+E13*1000*(E73+E76)</f>
        <v>1235100</v>
      </c>
      <c r="F124" s="58" t="n">
        <f aca="false">F11*1000*(F27+F30)+F12*1000*(F50+F53)+F13*1000*(F73+F76)</f>
        <v>1853200</v>
      </c>
      <c r="G124" s="58" t="n">
        <f aca="false">G11*1000*(G27+G30)+G12*1000*(G50+G53)+G13*1000*(G73+G76)</f>
        <v>2470300</v>
      </c>
      <c r="H124" s="2" t="s">
        <v>1218</v>
      </c>
    </row>
    <row r="125" customFormat="false" ht="15" hidden="false" customHeight="false" outlineLevel="1" collapsed="false">
      <c r="A125" s="7" t="s">
        <v>648</v>
      </c>
      <c r="B125" s="8" t="s">
        <v>10</v>
      </c>
      <c r="C125" s="58" t="n">
        <f aca="false">C22*1000*Pressupostos!$C$90</f>
        <v>0</v>
      </c>
      <c r="D125" s="58" t="n">
        <f aca="false">D22*1000*Pressupostos!$C$90</f>
        <v>0</v>
      </c>
      <c r="E125" s="58" t="n">
        <f aca="false">E22*1000*Pressupostos!$C$90</f>
        <v>70000</v>
      </c>
      <c r="F125" s="58" t="n">
        <f aca="false">F22*1000*Pressupostos!$C$90</f>
        <v>140000</v>
      </c>
      <c r="G125" s="58" t="n">
        <f aca="false">G22*1000*Pressupostos!$C$90</f>
        <v>210000</v>
      </c>
      <c r="H125" s="2" t="s">
        <v>1219</v>
      </c>
    </row>
    <row r="126" customFormat="false" ht="15" hidden="false" customHeight="false" outlineLevel="1" collapsed="false">
      <c r="A126" s="7" t="s">
        <v>649</v>
      </c>
      <c r="B126" s="8" t="s">
        <v>10</v>
      </c>
      <c r="C126" s="58" t="n">
        <f aca="false">C124+C125</f>
        <v>164600</v>
      </c>
      <c r="D126" s="58" t="n">
        <f aca="false">D124+D125</f>
        <v>617100</v>
      </c>
      <c r="E126" s="58" t="n">
        <f aca="false">E124+E125</f>
        <v>1305100</v>
      </c>
      <c r="F126" s="58" t="n">
        <f aca="false">F124+F125</f>
        <v>1993200</v>
      </c>
      <c r="G126" s="58" t="n">
        <f aca="false">G124+G125</f>
        <v>2680300</v>
      </c>
      <c r="H126" s="2" t="s">
        <v>1220</v>
      </c>
    </row>
    <row r="127" customFormat="false" ht="15" hidden="false" customHeight="false" outlineLevel="1" collapsed="false">
      <c r="A127" s="7" t="s">
        <v>205</v>
      </c>
      <c r="B127" s="8" t="s">
        <v>10</v>
      </c>
      <c r="C127" s="58" t="n">
        <f aca="false">C11*1000*(C31)+C12*1000*(C54)+C13*1000*(C77)+C22*1000*Pressupostos!$C$92</f>
        <v>5660</v>
      </c>
      <c r="D127" s="58" t="n">
        <f aca="false">D11*1000*(D31)+D12*1000*(D54)+D13*1000*(D77)+D22*1000*Pressupostos!$C$92</f>
        <v>20910</v>
      </c>
      <c r="E127" s="58" t="n">
        <f aca="false">E11*1000*(E31)+E12*1000*(E54)+E13*1000*(E77)+E22*1000*Pressupostos!$C$92</f>
        <v>44700</v>
      </c>
      <c r="F127" s="58" t="n">
        <f aca="false">F11*1000*(F31)+F12*1000*(F54)+F13*1000*(F77)+F22*1000*Pressupostos!$C$92</f>
        <v>68900</v>
      </c>
      <c r="G127" s="58" t="n">
        <f aca="false">G11*1000*(G31)+G12*1000*(G54)+G13*1000*(G77)+G22*1000*Pressupostos!$C$92</f>
        <v>90070</v>
      </c>
      <c r="H127" s="2" t="s">
        <v>1221</v>
      </c>
    </row>
    <row r="128" customFormat="false" ht="15" hidden="false" customHeight="false" outlineLevel="1" collapsed="false">
      <c r="A128" s="7" t="s">
        <v>109</v>
      </c>
      <c r="B128" s="8" t="s">
        <v>10</v>
      </c>
      <c r="C128" s="58" t="n">
        <f aca="false">C11*1000*(C32)+C12*1000*(C55)+C13*1000*(C78)</f>
        <v>360</v>
      </c>
      <c r="D128" s="58" t="n">
        <f aca="false">D11*1000*(D32)+D12*1000*(D55)+D13*1000*(D78)</f>
        <v>1260</v>
      </c>
      <c r="E128" s="58" t="n">
        <f aca="false">E11*1000*(E32)+E12*1000*(E55)+E13*1000*(E78)</f>
        <v>3060</v>
      </c>
      <c r="F128" s="58" t="n">
        <f aca="false">F11*1000*(F32)+F12*1000*(F55)+F13*1000*(F78)</f>
        <v>4920</v>
      </c>
      <c r="G128" s="58" t="n">
        <f aca="false">G11*1000*(G32)+G12*1000*(G55)+G13*1000*(G78)</f>
        <v>6180</v>
      </c>
      <c r="H128" s="2" t="s">
        <v>1222</v>
      </c>
    </row>
    <row r="129" customFormat="false" ht="15" hidden="false" customHeight="false" outlineLevel="1" collapsed="false">
      <c r="A129" s="7" t="s">
        <v>650</v>
      </c>
      <c r="B129" s="8" t="s">
        <v>10</v>
      </c>
      <c r="C129" s="58" t="n">
        <f aca="false">C11*1000*(C35+C36)+C12*1000*(C58+C59)+C13*1000*(C81+C82)</f>
        <v>348.066666666667</v>
      </c>
      <c r="D129" s="58" t="n">
        <f aca="false">D11*1000*(D35+D36)+D12*1000*(D58+D59)+D13*1000*(D81+D82)</f>
        <v>1271.9</v>
      </c>
      <c r="E129" s="58" t="n">
        <f aca="false">E11*1000*(E35+E36)+E12*1000*(E58+E59)+E13*1000*(E81+E82)</f>
        <v>2743.9</v>
      </c>
      <c r="F129" s="58" t="n">
        <f aca="false">F11*1000*(F35+F36)+F12*1000*(F58+F59)+F13*1000*(F81+F82)</f>
        <v>3106.53333333333</v>
      </c>
      <c r="G129" s="58" t="n">
        <f aca="false">G11*1000*(G35+G36)+G12*1000*(G58+G59)+G13*1000*(G81+G82)</f>
        <v>3614.83333333333</v>
      </c>
      <c r="H129" s="2" t="s">
        <v>1223</v>
      </c>
    </row>
    <row r="130" customFormat="false" ht="15" hidden="false" customHeight="false" outlineLevel="1" collapsed="false">
      <c r="A130" s="7" t="s">
        <v>651</v>
      </c>
      <c r="B130" s="8" t="s">
        <v>10</v>
      </c>
      <c r="C130" s="58" t="n">
        <f aca="false">C11*1000*(C37+C38+C39)+C12*1000*(C60+C61+C62)+C13*1000*(C83+C84+C85)</f>
        <v>1817</v>
      </c>
      <c r="D130" s="58" t="n">
        <f aca="false">D11*1000*(D37+D38+D39)+D12*1000*(D60+D61+D62)+D13*1000*(D83+D84+D85)</f>
        <v>6777</v>
      </c>
      <c r="E130" s="58" t="n">
        <f aca="false">E11*1000*(E37+E38+E39)+E12*1000*(E60+E61+E62)+E13*1000*(E83+E84+E85)</f>
        <v>13774.5</v>
      </c>
      <c r="F130" s="58" t="n">
        <f aca="false">F11*1000*(F37+F38+F39)+F12*1000*(F60+F61+F62)+F13*1000*(F83+F84+F85)</f>
        <v>20058.5</v>
      </c>
      <c r="G130" s="58" t="n">
        <f aca="false">G11*1000*(G37+G38+G39)+G12*1000*(G60+G61+G62)+G13*1000*(G83+G84+G85)</f>
        <v>26337.5</v>
      </c>
      <c r="H130" s="2" t="s">
        <v>1224</v>
      </c>
    </row>
    <row r="131" customFormat="false" ht="15" hidden="false" customHeight="false" outlineLevel="1" collapsed="false">
      <c r="A131" s="7" t="s">
        <v>637</v>
      </c>
      <c r="B131" s="8" t="s">
        <v>10</v>
      </c>
      <c r="C131" s="58" t="n">
        <f aca="false">C11*1000*(C40)+C12*1000*(C63)+C13*1000*(C86)</f>
        <v>1960</v>
      </c>
      <c r="D131" s="58" t="n">
        <f aca="false">D11*1000*(D40)+D12*1000*(D63)+D13*1000*(D86)</f>
        <v>7260</v>
      </c>
      <c r="E131" s="58" t="n">
        <f aca="false">E11*1000*(E40)+E12*1000*(E63)+E13*1000*(E86)</f>
        <v>15060</v>
      </c>
      <c r="F131" s="58" t="n">
        <f aca="false">F11*1000*(F40)+F12*1000*(F63)+F13*1000*(F86)</f>
        <v>22920</v>
      </c>
      <c r="G131" s="58" t="n">
        <f aca="false">G11*1000*(G40)+G12*1000*(G63)+G13*1000*(G86)</f>
        <v>30180</v>
      </c>
      <c r="H131" s="2" t="s">
        <v>1225</v>
      </c>
    </row>
    <row r="132" customFormat="false" ht="15" hidden="false" customHeight="false" outlineLevel="1" collapsed="false">
      <c r="A132" s="7" t="s">
        <v>652</v>
      </c>
      <c r="B132" s="8" t="s">
        <v>10</v>
      </c>
      <c r="C132" s="58" t="n">
        <f aca="false">C11*1000*(C41)+C12*1000*(C64)+C13*1000*(C87)+C22*1000*Pressupostos!$C$97</f>
        <v>230</v>
      </c>
      <c r="D132" s="58" t="n">
        <f aca="false">D11*1000*(D41)+D12*1000*(D64)+D13*1000*(D87)+D22*1000*Pressupostos!$C$97</f>
        <v>855</v>
      </c>
      <c r="E132" s="58" t="n">
        <f aca="false">E11*1000*(E41)+E12*1000*(E64)+E13*1000*(E87)+E22*1000*Pressupostos!$C$97</f>
        <v>2055</v>
      </c>
      <c r="F132" s="58" t="n">
        <f aca="false">F11*1000*(F41)+F12*1000*(F64)+F13*1000*(F87)+F22*1000*Pressupostos!$C$97</f>
        <v>3260</v>
      </c>
      <c r="G132" s="58" t="n">
        <f aca="false">G11*1000*(G41)+G12*1000*(G64)+G13*1000*(G87)+G22*1000*Pressupostos!$C$97</f>
        <v>4415</v>
      </c>
      <c r="H132" s="2" t="s">
        <v>1226</v>
      </c>
    </row>
    <row r="133" customFormat="false" ht="15" hidden="false" customHeight="false" outlineLevel="1" collapsed="false">
      <c r="A133" s="7" t="s">
        <v>76</v>
      </c>
      <c r="B133" s="8" t="s">
        <v>10</v>
      </c>
      <c r="C133" s="58" t="n">
        <f aca="false">C11*1000*(C42)+C12*1000*(C65)+C13*1000*(C88)+C22*1000*Pressupostos!$C$96*Pressupostos!$C$91</f>
        <v>947.28</v>
      </c>
      <c r="D133" s="58" t="n">
        <f aca="false">D11*1000*(D42)+D12*1000*(D65)+D13*1000*(D88)+D22*1000*Pressupostos!$C$96*Pressupostos!$C$91</f>
        <v>3525.48</v>
      </c>
      <c r="E133" s="58" t="n">
        <f aca="false">E11*1000*(E42)+E12*1000*(E65)+E13*1000*(E88)+E22*1000*Pressupostos!$C$96*Pressupostos!$C$91</f>
        <v>7682.88</v>
      </c>
      <c r="F133" s="58" t="n">
        <f aca="false">F11*1000*(F42)+F12*1000*(F65)+F13*1000*(F88)+F22*1000*Pressupostos!$C$96*Pressupostos!$C$91</f>
        <v>11858.16</v>
      </c>
      <c r="G133" s="58" t="n">
        <f aca="false">G11*1000*(G42)+G12*1000*(G65)+G13*1000*(G88)+G22*1000*Pressupostos!$C$96*Pressupostos!$C$91</f>
        <v>15854.64</v>
      </c>
      <c r="H133" s="2" t="s">
        <v>1227</v>
      </c>
    </row>
    <row r="134" customFormat="false" ht="15" hidden="false" customHeight="false" outlineLevel="1" collapsed="false">
      <c r="A134" s="7" t="s">
        <v>653</v>
      </c>
      <c r="B134" s="8" t="s">
        <v>10</v>
      </c>
      <c r="C134" s="58" t="n">
        <f aca="false">C11*1000*(C43)+C12*1000*(C66)+C13*1000*(C89)+C22*1000*Pressupostos!$C$29*Pressupostos!$C$90</f>
        <v>0</v>
      </c>
      <c r="D134" s="58" t="n">
        <f aca="false">D11*1000*(D43)+D12*1000*(D66)+D13*1000*(D89)+D22*1000*Pressupostos!$C$29*Pressupostos!$C$90</f>
        <v>0</v>
      </c>
      <c r="E134" s="58" t="n">
        <f aca="false">E11*1000*(E43)+E12*1000*(E66)+E13*1000*(E89)+E22*1000*Pressupostos!$C$29*Pressupostos!$C$90</f>
        <v>0</v>
      </c>
      <c r="F134" s="58" t="n">
        <f aca="false">F11*1000*(F43)+F12*1000*(F66)+F13*1000*(F89)+F22*1000*Pressupostos!$C$29*Pressupostos!$C$90</f>
        <v>0</v>
      </c>
      <c r="G134" s="58" t="n">
        <f aca="false">G11*1000*(G43)+G12*1000*(G66)+G13*1000*(G89)+G22*1000*Pressupostos!$C$29*Pressupostos!$C$90</f>
        <v>0</v>
      </c>
      <c r="H134" s="2" t="s">
        <v>1228</v>
      </c>
    </row>
    <row r="135" customFormat="false" ht="15" hidden="false" customHeight="false" outlineLevel="1" collapsed="false">
      <c r="A135" s="7" t="s">
        <v>654</v>
      </c>
      <c r="B135" s="8" t="s">
        <v>10</v>
      </c>
      <c r="C135" s="58" t="n">
        <f aca="false">C25*1000*Pressupostos!$C$102*Pressupostos!$C$30</f>
        <v>0</v>
      </c>
      <c r="D135" s="58" t="n">
        <f aca="false">D25*1000*Pressupostos!$C$102*Pressupostos!$C$30</f>
        <v>0</v>
      </c>
      <c r="E135" s="58" t="n">
        <f aca="false">E25*1000*Pressupostos!$C$102*Pressupostos!$C$30</f>
        <v>0</v>
      </c>
      <c r="F135" s="58" t="n">
        <f aca="false">F25*1000*Pressupostos!$C$102*Pressupostos!$C$30</f>
        <v>8228.57142857143</v>
      </c>
      <c r="G135" s="58" t="n">
        <f aca="false">G25*1000*Pressupostos!$C$102*Pressupostos!$C$30</f>
        <v>16457.1428571429</v>
      </c>
      <c r="H135" s="2" t="s">
        <v>1229</v>
      </c>
    </row>
    <row r="136" customFormat="false" ht="15" hidden="false" customHeight="false" outlineLevel="1" collapsed="false">
      <c r="A136" s="7" t="s">
        <v>655</v>
      </c>
      <c r="B136" s="8" t="s">
        <v>10</v>
      </c>
      <c r="C136" s="58" t="n">
        <f aca="false">C127+C128+C129+C130+C131+C132+C133+C134+C135</f>
        <v>11322.3466666667</v>
      </c>
      <c r="D136" s="58" t="n">
        <f aca="false">D127+D128+D129+D130+D131+D132+D133+D134+D135</f>
        <v>41859.38</v>
      </c>
      <c r="E136" s="58" t="n">
        <f aca="false">E127+E128+E129+E130+E131+E132+E133+E134+E135</f>
        <v>89076.28</v>
      </c>
      <c r="F136" s="58" t="n">
        <f aca="false">F127+F128+F129+F130+F131+F132+F133+F134+F135</f>
        <v>143251.764761905</v>
      </c>
      <c r="G136" s="58" t="n">
        <f aca="false">G127+G128+G129+G130+G131+G132+G133+G134+G135</f>
        <v>193109.116190476</v>
      </c>
      <c r="H136" s="2" t="s">
        <v>1230</v>
      </c>
    </row>
    <row r="137" customFormat="false" ht="15" hidden="false" customHeight="false" outlineLevel="1" collapsed="false">
      <c r="A137" s="7" t="s">
        <v>656</v>
      </c>
      <c r="B137" s="8" t="s">
        <v>10</v>
      </c>
      <c r="C137" s="58" t="n">
        <f aca="false">C11*1000*(C44)+C12*1000*(C67)+C13*1000*(C90)</f>
        <v>0</v>
      </c>
      <c r="D137" s="58" t="n">
        <f aca="false">D11*1000*(D44)+D12*1000*(D67)+D13*1000*(D90)</f>
        <v>14651.1722113503</v>
      </c>
      <c r="E137" s="58" t="n">
        <f aca="false">E11*1000*(E44)+E12*1000*(E67)+E13*1000*(E90)</f>
        <v>30846.4168297456</v>
      </c>
      <c r="F137" s="58" t="n">
        <f aca="false">F11*1000*(F44)+F12*1000*(F67)+F13*1000*(F90)</f>
        <v>37932.6223091977</v>
      </c>
      <c r="G137" s="58" t="n">
        <f aca="false">G11*1000*(G44)+G12*1000*(G67)+G13*1000*(G90)</f>
        <v>46321.2739726027</v>
      </c>
      <c r="H137" s="2" t="s">
        <v>1231</v>
      </c>
    </row>
    <row r="138" customFormat="false" ht="15" hidden="false" customHeight="false" outlineLevel="1" collapsed="false">
      <c r="A138" s="7" t="s">
        <v>657</v>
      </c>
      <c r="B138" s="8" t="s">
        <v>10</v>
      </c>
      <c r="C138" s="58" t="n">
        <f aca="false">C22*1000*C117</f>
        <v>0</v>
      </c>
      <c r="D138" s="58" t="n">
        <f aca="false">D22*1000*D117</f>
        <v>0</v>
      </c>
      <c r="E138" s="58" t="n">
        <f aca="false">E22*1000*E117</f>
        <v>943.150684931507</v>
      </c>
      <c r="F138" s="58" t="n">
        <f aca="false">F22*1000*F117</f>
        <v>1886.30136986301</v>
      </c>
      <c r="G138" s="58" t="n">
        <f aca="false">G22*1000*G117</f>
        <v>2829.45205479452</v>
      </c>
      <c r="H138" s="2" t="s">
        <v>1232</v>
      </c>
    </row>
    <row r="139" customFormat="false" ht="15" hidden="false" customHeight="false" outlineLevel="1" collapsed="false">
      <c r="A139" s="7" t="s">
        <v>658</v>
      </c>
      <c r="B139" s="8" t="s">
        <v>10</v>
      </c>
      <c r="C139" s="58" t="n">
        <f aca="false">C137+C138</f>
        <v>0</v>
      </c>
      <c r="D139" s="58" t="n">
        <f aca="false">D137+D138</f>
        <v>14651.1722113503</v>
      </c>
      <c r="E139" s="58" t="n">
        <f aca="false">E137+E138</f>
        <v>31789.5675146771</v>
      </c>
      <c r="F139" s="58" t="n">
        <f aca="false">F137+F138</f>
        <v>39818.9236790607</v>
      </c>
      <c r="G139" s="58" t="n">
        <f aca="false">G137+G138</f>
        <v>49150.7260273973</v>
      </c>
      <c r="H139" s="2" t="s">
        <v>1233</v>
      </c>
    </row>
    <row r="140" customFormat="false" ht="15" hidden="false" customHeight="false" outlineLevel="1" collapsed="false">
      <c r="A140" s="8" t="s">
        <v>659</v>
      </c>
      <c r="B140" s="8" t="s">
        <v>10</v>
      </c>
      <c r="C140" s="66" t="n">
        <f aca="false">ROUND(C105-C126-C136-C139-C122,6)</f>
        <v>-0</v>
      </c>
      <c r="D140" s="66" t="n">
        <f aca="false">ROUND(D105-D126-D136-D139-D122,6)</f>
        <v>0</v>
      </c>
      <c r="E140" s="66" t="n">
        <f aca="false">ROUND(E105-E126-E136-E139-E122,6)</f>
        <v>0</v>
      </c>
      <c r="F140" s="66" t="n">
        <f aca="false">ROUND(F105-F126-F136-F139-F122,6)</f>
        <v>0</v>
      </c>
      <c r="G140" s="66" t="n">
        <f aca="false">ROUND(G105-G126-G136-G139-G122,6)</f>
        <v>0</v>
      </c>
      <c r="H140" s="2" t="s">
        <v>1234</v>
      </c>
    </row>
    <row r="141" customFormat="false" ht="15" hidden="false" customHeight="false" outlineLevel="0" collapsed="false">
      <c r="A141" s="3" t="s">
        <v>1235</v>
      </c>
      <c r="B141" s="4"/>
      <c r="C141" s="4"/>
      <c r="D141" s="4"/>
      <c r="E141" s="4"/>
      <c r="F141" s="4"/>
      <c r="G141" s="4"/>
      <c r="H141" s="4"/>
    </row>
    <row r="142" customFormat="false" ht="15" hidden="false" customHeight="false" outlineLevel="1" collapsed="false">
      <c r="A142" s="7" t="s">
        <v>602</v>
      </c>
      <c r="B142" s="8" t="s">
        <v>413</v>
      </c>
      <c r="C142" s="61" t="n">
        <f aca="false">Pressupostos!$C$314</f>
        <v>1</v>
      </c>
      <c r="D142" s="61" t="n">
        <f aca="false">Pressupostos!$D$314</f>
        <v>1</v>
      </c>
      <c r="E142" s="61" t="n">
        <f aca="false">Pressupostos!$E$314</f>
        <v>1</v>
      </c>
      <c r="F142" s="61" t="n">
        <f aca="false">Pressupostos!$F$314</f>
        <v>1</v>
      </c>
      <c r="G142" s="61" t="n">
        <f aca="false">Pressupostos!$G$314</f>
        <v>1</v>
      </c>
      <c r="H142" s="2" t="s">
        <v>1236</v>
      </c>
    </row>
    <row r="143" customFormat="false" ht="15" hidden="false" customHeight="false" outlineLevel="1" collapsed="false">
      <c r="A143" s="7" t="s">
        <v>603</v>
      </c>
      <c r="B143" s="8" t="s">
        <v>413</v>
      </c>
      <c r="C143" s="61" t="n">
        <f aca="false">Pressupostos!$C$320</f>
        <v>1</v>
      </c>
      <c r="D143" s="61" t="n">
        <f aca="false">Pressupostos!$D$320</f>
        <v>1</v>
      </c>
      <c r="E143" s="61" t="n">
        <f aca="false">Pressupostos!$E$320</f>
        <v>1</v>
      </c>
      <c r="F143" s="61" t="n">
        <f aca="false">Pressupostos!$F$320</f>
        <v>1</v>
      </c>
      <c r="G143" s="61" t="n">
        <f aca="false">Pressupostos!$G$320</f>
        <v>1</v>
      </c>
      <c r="H143" s="2" t="s">
        <v>1237</v>
      </c>
    </row>
    <row r="144" customFormat="false" ht="15" hidden="false" customHeight="false" outlineLevel="1" collapsed="false">
      <c r="A144" s="7" t="s">
        <v>604</v>
      </c>
      <c r="B144" s="8" t="s">
        <v>413</v>
      </c>
      <c r="C144" s="61" t="n">
        <f aca="false">Pressupostos!$C$326</f>
        <v>1</v>
      </c>
      <c r="D144" s="61" t="n">
        <f aca="false">Pressupostos!$D$326</f>
        <v>1</v>
      </c>
      <c r="E144" s="61" t="n">
        <f aca="false">Pressupostos!$E$326</f>
        <v>1</v>
      </c>
      <c r="F144" s="61" t="n">
        <f aca="false">Pressupostos!$F$326</f>
        <v>1</v>
      </c>
      <c r="G144" s="61" t="n">
        <f aca="false">Pressupostos!$G$326</f>
        <v>1</v>
      </c>
      <c r="H144" s="2" t="s">
        <v>1238</v>
      </c>
    </row>
    <row r="145" customFormat="false" ht="15" hidden="false" customHeight="false" outlineLevel="1" collapsed="false">
      <c r="A145" s="7" t="s">
        <v>605</v>
      </c>
      <c r="B145" s="8" t="s">
        <v>413</v>
      </c>
      <c r="C145" s="61" t="n">
        <f aca="false">Pressupostos!$C$332</f>
        <v>1</v>
      </c>
      <c r="D145" s="61" t="n">
        <f aca="false">Pressupostos!$D$332</f>
        <v>1</v>
      </c>
      <c r="E145" s="61" t="n">
        <f aca="false">Pressupostos!$E$332</f>
        <v>1</v>
      </c>
      <c r="F145" s="61" t="n">
        <f aca="false">Pressupostos!$F$332</f>
        <v>1</v>
      </c>
      <c r="G145" s="61" t="n">
        <f aca="false">Pressupostos!$G$332</f>
        <v>1</v>
      </c>
      <c r="H145" s="2" t="s">
        <v>1239</v>
      </c>
    </row>
    <row r="146" customFormat="false" ht="15" hidden="false" customHeight="false" outlineLevel="1" collapsed="false">
      <c r="A146" s="7" t="s">
        <v>606</v>
      </c>
      <c r="B146" s="8" t="s">
        <v>413</v>
      </c>
      <c r="C146" s="61" t="n">
        <f aca="false">Pressupostos!$C$338</f>
        <v>0.5</v>
      </c>
      <c r="D146" s="61" t="n">
        <f aca="false">Pressupostos!$D$338</f>
        <v>0.5</v>
      </c>
      <c r="E146" s="61" t="n">
        <f aca="false">Pressupostos!$E$338</f>
        <v>0.5</v>
      </c>
      <c r="F146" s="61" t="n">
        <f aca="false">Pressupostos!$F$338</f>
        <v>1</v>
      </c>
      <c r="G146" s="61" t="n">
        <f aca="false">Pressupostos!$G$338</f>
        <v>1</v>
      </c>
      <c r="H146" s="2" t="s">
        <v>1240</v>
      </c>
    </row>
    <row r="147" customFormat="false" ht="15" hidden="false" customHeight="false" outlineLevel="1" collapsed="false">
      <c r="A147" s="7" t="s">
        <v>607</v>
      </c>
      <c r="B147" s="8" t="s">
        <v>413</v>
      </c>
      <c r="C147" s="61" t="n">
        <f aca="false">Pressupostos!$C$344</f>
        <v>1</v>
      </c>
      <c r="D147" s="61" t="n">
        <f aca="false">Pressupostos!$D$344</f>
        <v>1</v>
      </c>
      <c r="E147" s="61" t="n">
        <f aca="false">Pressupostos!$E$344</f>
        <v>1</v>
      </c>
      <c r="F147" s="61" t="n">
        <f aca="false">Pressupostos!$F$344</f>
        <v>1</v>
      </c>
      <c r="G147" s="61" t="n">
        <f aca="false">Pressupostos!$G$344</f>
        <v>1</v>
      </c>
      <c r="H147" s="2" t="s">
        <v>1241</v>
      </c>
    </row>
    <row r="148" customFormat="false" ht="15" hidden="false" customHeight="false" outlineLevel="1" collapsed="false">
      <c r="A148" s="7" t="s">
        <v>608</v>
      </c>
      <c r="B148" s="8" t="s">
        <v>413</v>
      </c>
      <c r="C148" s="61" t="n">
        <f aca="false">Pressupostos!$C$350</f>
        <v>0.5</v>
      </c>
      <c r="D148" s="61" t="n">
        <f aca="false">Pressupostos!$D$350</f>
        <v>0.5</v>
      </c>
      <c r="E148" s="61" t="n">
        <f aca="false">Pressupostos!$E$350</f>
        <v>0.5</v>
      </c>
      <c r="F148" s="61" t="n">
        <f aca="false">Pressupostos!$F$350</f>
        <v>0.5</v>
      </c>
      <c r="G148" s="61" t="n">
        <f aca="false">Pressupostos!$G$350</f>
        <v>0.5</v>
      </c>
      <c r="H148" s="2" t="s">
        <v>1242</v>
      </c>
    </row>
    <row r="149" customFormat="false" ht="15" hidden="false" customHeight="false" outlineLevel="1" collapsed="false">
      <c r="A149" s="7" t="s">
        <v>609</v>
      </c>
      <c r="B149" s="8" t="s">
        <v>413</v>
      </c>
      <c r="C149" s="61" t="n">
        <f aca="false">Pressupostos!$C$356</f>
        <v>1</v>
      </c>
      <c r="D149" s="61" t="n">
        <f aca="false">Pressupostos!$D$356</f>
        <v>1</v>
      </c>
      <c r="E149" s="61" t="n">
        <f aca="false">Pressupostos!$E$356</f>
        <v>1</v>
      </c>
      <c r="F149" s="61" t="n">
        <f aca="false">Pressupostos!$F$356</f>
        <v>1</v>
      </c>
      <c r="G149" s="61" t="n">
        <f aca="false">Pressupostos!$G$356</f>
        <v>1</v>
      </c>
      <c r="H149" s="2" t="s">
        <v>1243</v>
      </c>
    </row>
    <row r="150" customFormat="false" ht="15" hidden="false" customHeight="false" outlineLevel="1" collapsed="false">
      <c r="A150" s="7" t="s">
        <v>610</v>
      </c>
      <c r="B150" s="8" t="s">
        <v>413</v>
      </c>
      <c r="C150" s="61" t="n">
        <f aca="false">Pressupostos!$C$362</f>
        <v>0</v>
      </c>
      <c r="D150" s="61" t="n">
        <f aca="false">Pressupostos!$D$362</f>
        <v>0</v>
      </c>
      <c r="E150" s="61" t="n">
        <f aca="false">Pressupostos!$E$362</f>
        <v>0</v>
      </c>
      <c r="F150" s="61" t="n">
        <f aca="false">Pressupostos!$F$362</f>
        <v>0</v>
      </c>
      <c r="G150" s="61" t="n">
        <f aca="false">Pressupostos!$G$362</f>
        <v>0</v>
      </c>
      <c r="H150" s="2" t="s">
        <v>1244</v>
      </c>
    </row>
    <row r="151" customFormat="false" ht="15" hidden="false" customHeight="false" outlineLevel="1" collapsed="false">
      <c r="A151" s="7" t="s">
        <v>611</v>
      </c>
      <c r="B151" s="8" t="s">
        <v>413</v>
      </c>
      <c r="C151" s="61" t="n">
        <f aca="false">Pressupostos!$C$368</f>
        <v>0</v>
      </c>
      <c r="D151" s="61" t="n">
        <f aca="false">Pressupostos!$D$368</f>
        <v>0</v>
      </c>
      <c r="E151" s="61" t="n">
        <f aca="false">Pressupostos!$E$368</f>
        <v>0</v>
      </c>
      <c r="F151" s="61" t="n">
        <f aca="false">Pressupostos!$F$368</f>
        <v>0</v>
      </c>
      <c r="G151" s="61" t="n">
        <f aca="false">Pressupostos!$G$368</f>
        <v>0</v>
      </c>
      <c r="H151" s="2" t="s">
        <v>1245</v>
      </c>
    </row>
    <row r="152" customFormat="false" ht="15" hidden="false" customHeight="false" outlineLevel="1" collapsed="false">
      <c r="A152" s="7" t="s">
        <v>612</v>
      </c>
      <c r="B152" s="8" t="s">
        <v>413</v>
      </c>
      <c r="C152" s="61" t="n">
        <f aca="false">Pressupostos!$C$374</f>
        <v>0</v>
      </c>
      <c r="D152" s="61" t="n">
        <f aca="false">Pressupostos!$D$374</f>
        <v>0</v>
      </c>
      <c r="E152" s="61" t="n">
        <f aca="false">Pressupostos!$E$374</f>
        <v>0</v>
      </c>
      <c r="F152" s="61" t="n">
        <f aca="false">Pressupostos!$F$374</f>
        <v>0</v>
      </c>
      <c r="G152" s="61" t="n">
        <f aca="false">Pressupostos!$G$374</f>
        <v>0</v>
      </c>
      <c r="H152" s="2" t="s">
        <v>1246</v>
      </c>
    </row>
    <row r="153" customFormat="false" ht="15" hidden="false" customHeight="false" outlineLevel="1" collapsed="false">
      <c r="A153" s="7" t="s">
        <v>613</v>
      </c>
      <c r="B153" s="8" t="s">
        <v>413</v>
      </c>
      <c r="C153" s="61" t="n">
        <f aca="false">Pressupostos!$C$380</f>
        <v>0</v>
      </c>
      <c r="D153" s="61" t="n">
        <f aca="false">Pressupostos!$D$380</f>
        <v>0</v>
      </c>
      <c r="E153" s="61" t="n">
        <f aca="false">Pressupostos!$E$380</f>
        <v>0</v>
      </c>
      <c r="F153" s="61" t="n">
        <f aca="false">Pressupostos!$F$380</f>
        <v>0</v>
      </c>
      <c r="G153" s="61" t="n">
        <f aca="false">Pressupostos!$G$380</f>
        <v>0</v>
      </c>
      <c r="H153" s="2" t="s">
        <v>1247</v>
      </c>
    </row>
    <row r="154" customFormat="false" ht="15" hidden="false" customHeight="false" outlineLevel="1" collapsed="false">
      <c r="A154" s="52" t="s">
        <v>614</v>
      </c>
      <c r="B154" s="53" t="s">
        <v>413</v>
      </c>
      <c r="C154" s="62" t="n">
        <f aca="false">C142+C143+C144+C145+C146+C147+C148+C149+C150+C151+C152+C153</f>
        <v>7</v>
      </c>
      <c r="D154" s="62" t="n">
        <f aca="false">D142+D143+D144+D145+D146+D147+D148+D149+D150+D151+D152+D153</f>
        <v>7</v>
      </c>
      <c r="E154" s="62" t="n">
        <f aca="false">E142+E143+E144+E145+E146+E147+E148+E149+E150+E151+E152+E153</f>
        <v>7</v>
      </c>
      <c r="F154" s="62" t="n">
        <f aca="false">F142+F143+F144+F145+F146+F147+F148+F149+F150+F151+F152+F153</f>
        <v>7.5</v>
      </c>
      <c r="G154" s="62" t="n">
        <f aca="false">G142+G143+G144+G145+G146+G147+G148+G149+G150+G151+G152+G153</f>
        <v>7.5</v>
      </c>
      <c r="H154" s="2" t="s">
        <v>1248</v>
      </c>
    </row>
    <row r="155" customFormat="false" ht="15" hidden="false" customHeight="false" outlineLevel="0" collapsed="false">
      <c r="A155" s="3" t="s">
        <v>1249</v>
      </c>
      <c r="B155" s="4"/>
      <c r="C155" s="4"/>
      <c r="D155" s="4"/>
      <c r="E155" s="4"/>
      <c r="F155" s="4"/>
      <c r="G155" s="4"/>
      <c r="H155" s="4"/>
    </row>
    <row r="156" customFormat="false" ht="15" hidden="false" customHeight="false" outlineLevel="1" collapsed="false">
      <c r="A156" s="7" t="s">
        <v>602</v>
      </c>
      <c r="B156" s="8" t="s">
        <v>10</v>
      </c>
      <c r="C156" s="58" t="n">
        <f aca="false">C142*Pressupostos!$C$129*(1+Pressupostos!$C$125)^0*(1+Pressupostos!$C$130)*Pressupostos!$C$126</f>
        <v>43998</v>
      </c>
      <c r="D156" s="58" t="n">
        <f aca="false">D142*Pressupostos!$C$129*(1+Pressupostos!$C$125)^1*(1+Pressupostos!$C$130)</f>
        <v>61800</v>
      </c>
      <c r="E156" s="58" t="n">
        <f aca="false">E142*Pressupostos!$C$129*(1+Pressupostos!$C$125)^2*(1+Pressupostos!$C$130)</f>
        <v>63654</v>
      </c>
      <c r="F156" s="58" t="n">
        <f aca="false">F142*Pressupostos!$C$129*(1+Pressupostos!$C$125)^3*(1+Pressupostos!$C$130)</f>
        <v>65563.62</v>
      </c>
      <c r="G156" s="58" t="n">
        <f aca="false">G142*Pressupostos!$C$129*(1+Pressupostos!$C$125)^4*(1+Pressupostos!$C$130)</f>
        <v>67530.5286</v>
      </c>
      <c r="H156" s="2" t="s">
        <v>1250</v>
      </c>
    </row>
    <row r="157" customFormat="false" ht="15" hidden="false" customHeight="false" outlineLevel="1" collapsed="false">
      <c r="A157" s="7" t="s">
        <v>603</v>
      </c>
      <c r="B157" s="8" t="s">
        <v>10</v>
      </c>
      <c r="C157" s="58" t="n">
        <f aca="false">C143*Pressupostos!$C$131*(1+Pressupostos!$C$125)^0*(1+Pressupostos!$C$132)*Pressupostos!$C$126</f>
        <v>47664.5</v>
      </c>
      <c r="D157" s="58" t="n">
        <f aca="false">D143*Pressupostos!$C$131*(1+Pressupostos!$C$125)^1*(1+Pressupostos!$C$132)</f>
        <v>66950</v>
      </c>
      <c r="E157" s="58" t="n">
        <f aca="false">E143*Pressupostos!$C$131*(1+Pressupostos!$C$125)^2*(1+Pressupostos!$C$132)</f>
        <v>68958.5</v>
      </c>
      <c r="F157" s="58" t="n">
        <f aca="false">F143*Pressupostos!$C$131*(1+Pressupostos!$C$125)^3*(1+Pressupostos!$C$132)</f>
        <v>71027.255</v>
      </c>
      <c r="G157" s="58" t="n">
        <f aca="false">G143*Pressupostos!$C$131*(1+Pressupostos!$C$125)^4*(1+Pressupostos!$C$132)</f>
        <v>73158.07265</v>
      </c>
      <c r="H157" s="2" t="s">
        <v>1251</v>
      </c>
    </row>
    <row r="158" customFormat="false" ht="15" hidden="false" customHeight="false" outlineLevel="1" collapsed="false">
      <c r="A158" s="7" t="s">
        <v>604</v>
      </c>
      <c r="B158" s="8" t="s">
        <v>10</v>
      </c>
      <c r="C158" s="58" t="n">
        <f aca="false">C144*Pressupostos!$C$133*(1+Pressupostos!$C$125)^0*(1+Pressupostos!$C$134)</f>
        <v>45000</v>
      </c>
      <c r="D158" s="58" t="n">
        <f aca="false">D144*Pressupostos!$C$133*(1+Pressupostos!$C$125)^1*(1+Pressupostos!$C$134)</f>
        <v>46350</v>
      </c>
      <c r="E158" s="58" t="n">
        <f aca="false">E144*Pressupostos!$C$133*(1+Pressupostos!$C$125)^2*(1+Pressupostos!$C$134)</f>
        <v>47740.5</v>
      </c>
      <c r="F158" s="58" t="n">
        <f aca="false">F144*Pressupostos!$C$133*(1+Pressupostos!$C$125)^3*(1+Pressupostos!$C$134)</f>
        <v>49172.715</v>
      </c>
      <c r="G158" s="58" t="n">
        <f aca="false">G144*Pressupostos!$C$133*(1+Pressupostos!$C$125)^4*(1+Pressupostos!$C$134)</f>
        <v>50647.89645</v>
      </c>
      <c r="H158" s="2" t="s">
        <v>1252</v>
      </c>
    </row>
    <row r="159" customFormat="false" ht="15" hidden="false" customHeight="false" outlineLevel="1" collapsed="false">
      <c r="A159" s="7" t="s">
        <v>605</v>
      </c>
      <c r="B159" s="8" t="s">
        <v>10</v>
      </c>
      <c r="C159" s="58" t="n">
        <f aca="false">C145*Pressupostos!$C$135*(1+Pressupostos!$C$125)^0*(1+Pressupostos!$C$136)</f>
        <v>60000</v>
      </c>
      <c r="D159" s="58" t="n">
        <f aca="false">D145*Pressupostos!$C$135*(1+Pressupostos!$C$125)^1*(1+Pressupostos!$C$136)</f>
        <v>61800</v>
      </c>
      <c r="E159" s="58" t="n">
        <f aca="false">E145*Pressupostos!$C$135*(1+Pressupostos!$C$125)^2*(1+Pressupostos!$C$136)</f>
        <v>63654</v>
      </c>
      <c r="F159" s="58" t="n">
        <f aca="false">F145*Pressupostos!$C$135*(1+Pressupostos!$C$125)^3*(1+Pressupostos!$C$136)</f>
        <v>65563.62</v>
      </c>
      <c r="G159" s="58" t="n">
        <f aca="false">G145*Pressupostos!$C$135*(1+Pressupostos!$C$125)^4*(1+Pressupostos!$C$136)</f>
        <v>67530.5286</v>
      </c>
      <c r="H159" s="2" t="s">
        <v>1253</v>
      </c>
    </row>
    <row r="160" customFormat="false" ht="15" hidden="false" customHeight="false" outlineLevel="1" collapsed="false">
      <c r="A160" s="7" t="s">
        <v>606</v>
      </c>
      <c r="B160" s="8" t="s">
        <v>10</v>
      </c>
      <c r="C160" s="58" t="n">
        <f aca="false">C146*Pressupostos!$C$137*(1+Pressupostos!$C$125)^0*(1+Pressupostos!$C$138)</f>
        <v>22500</v>
      </c>
      <c r="D160" s="58" t="n">
        <f aca="false">D146*Pressupostos!$C$137*(1+Pressupostos!$C$125)^1*(1+Pressupostos!$C$138)</f>
        <v>23175</v>
      </c>
      <c r="E160" s="58" t="n">
        <f aca="false">E146*Pressupostos!$C$137*(1+Pressupostos!$C$125)^2*(1+Pressupostos!$C$138)</f>
        <v>23870.25</v>
      </c>
      <c r="F160" s="58" t="n">
        <f aca="false">F146*Pressupostos!$C$137*(1+Pressupostos!$C$125)^3*(1+Pressupostos!$C$138)</f>
        <v>49172.715</v>
      </c>
      <c r="G160" s="58" t="n">
        <f aca="false">G146*Pressupostos!$C$137*(1+Pressupostos!$C$125)^4*(1+Pressupostos!$C$138)</f>
        <v>50647.89645</v>
      </c>
      <c r="H160" s="2" t="s">
        <v>1254</v>
      </c>
    </row>
    <row r="161" customFormat="false" ht="15" hidden="false" customHeight="false" outlineLevel="1" collapsed="false">
      <c r="A161" s="7" t="s">
        <v>607</v>
      </c>
      <c r="B161" s="8" t="s">
        <v>10</v>
      </c>
      <c r="C161" s="58" t="n">
        <f aca="false">C147*Pressupostos!$C$139*(1+Pressupostos!$C$125)^0*(1+Pressupostos!$C$140)</f>
        <v>38000</v>
      </c>
      <c r="D161" s="58" t="n">
        <f aca="false">D147*Pressupostos!$C$139*(1+Pressupostos!$C$125)^1*(1+Pressupostos!$C$140)</f>
        <v>39140</v>
      </c>
      <c r="E161" s="58" t="n">
        <f aca="false">E147*Pressupostos!$C$139*(1+Pressupostos!$C$125)^2*(1+Pressupostos!$C$140)</f>
        <v>40314.2</v>
      </c>
      <c r="F161" s="58" t="n">
        <f aca="false">F147*Pressupostos!$C$139*(1+Pressupostos!$C$125)^3*(1+Pressupostos!$C$140)</f>
        <v>41523.626</v>
      </c>
      <c r="G161" s="58" t="n">
        <f aca="false">G147*Pressupostos!$C$139*(1+Pressupostos!$C$125)^4*(1+Pressupostos!$C$140)</f>
        <v>42769.33478</v>
      </c>
      <c r="H161" s="2" t="s">
        <v>1255</v>
      </c>
    </row>
    <row r="162" customFormat="false" ht="15" hidden="false" customHeight="false" outlineLevel="1" collapsed="false">
      <c r="A162" s="7" t="s">
        <v>608</v>
      </c>
      <c r="B162" s="8" t="s">
        <v>10</v>
      </c>
      <c r="C162" s="58" t="n">
        <f aca="false">C148*Pressupostos!$C$141*(1+Pressupostos!$C$125)^0*(1+Pressupostos!$C$142)</f>
        <v>16000</v>
      </c>
      <c r="D162" s="58" t="n">
        <f aca="false">D148*Pressupostos!$C$141*(1+Pressupostos!$C$125)^1*(1+Pressupostos!$C$142)</f>
        <v>16480</v>
      </c>
      <c r="E162" s="58" t="n">
        <f aca="false">E148*Pressupostos!$C$141*(1+Pressupostos!$C$125)^2*(1+Pressupostos!$C$142)</f>
        <v>16974.4</v>
      </c>
      <c r="F162" s="58" t="n">
        <f aca="false">F148*Pressupostos!$C$141*(1+Pressupostos!$C$125)^3*(1+Pressupostos!$C$142)</f>
        <v>17483.632</v>
      </c>
      <c r="G162" s="58" t="n">
        <f aca="false">G148*Pressupostos!$C$141*(1+Pressupostos!$C$125)^4*(1+Pressupostos!$C$142)</f>
        <v>18008.14096</v>
      </c>
      <c r="H162" s="2" t="s">
        <v>1256</v>
      </c>
    </row>
    <row r="163" customFormat="false" ht="15" hidden="false" customHeight="false" outlineLevel="1" collapsed="false">
      <c r="A163" s="7" t="s">
        <v>609</v>
      </c>
      <c r="B163" s="8" t="s">
        <v>10</v>
      </c>
      <c r="C163" s="58" t="n">
        <f aca="false">C149*Pressupostos!$C$143*(1+Pressupostos!$C$125)^0*(1+Pressupostos!$C$144)</f>
        <v>34500</v>
      </c>
      <c r="D163" s="58" t="n">
        <f aca="false">D149*Pressupostos!$C$143*(1+Pressupostos!$C$125)^1*(1+Pressupostos!$C$144)</f>
        <v>35535</v>
      </c>
      <c r="E163" s="58" t="n">
        <f aca="false">E149*Pressupostos!$C$143*(1+Pressupostos!$C$125)^2*(1+Pressupostos!$C$144)</f>
        <v>36601.05</v>
      </c>
      <c r="F163" s="58" t="n">
        <f aca="false">F149*Pressupostos!$C$143*(1+Pressupostos!$C$125)^3*(1+Pressupostos!$C$144)</f>
        <v>37699.0815</v>
      </c>
      <c r="G163" s="58" t="n">
        <f aca="false">G149*Pressupostos!$C$143*(1+Pressupostos!$C$125)^4*(1+Pressupostos!$C$144)</f>
        <v>38830.053945</v>
      </c>
      <c r="H163" s="2" t="s">
        <v>1257</v>
      </c>
    </row>
    <row r="164" customFormat="false" ht="15" hidden="false" customHeight="false" outlineLevel="1" collapsed="false">
      <c r="A164" s="7" t="s">
        <v>610</v>
      </c>
      <c r="B164" s="8" t="s">
        <v>10</v>
      </c>
      <c r="C164" s="58" t="n">
        <f aca="false">C150*Pressupostos!$C$145*(1+Pressupostos!$C$125)^0*(1+Pressupostos!$C$146)</f>
        <v>0</v>
      </c>
      <c r="D164" s="58" t="n">
        <f aca="false">D150*Pressupostos!$C$145*(1+Pressupostos!$C$125)^1*(1+Pressupostos!$C$146)</f>
        <v>0</v>
      </c>
      <c r="E164" s="58" t="n">
        <f aca="false">E150*Pressupostos!$C$145*(1+Pressupostos!$C$125)^2*(1+Pressupostos!$C$146)</f>
        <v>0</v>
      </c>
      <c r="F164" s="58" t="n">
        <f aca="false">F150*Pressupostos!$C$145*(1+Pressupostos!$C$125)^3*(1+Pressupostos!$C$146)</f>
        <v>0</v>
      </c>
      <c r="G164" s="58" t="n">
        <f aca="false">G150*Pressupostos!$C$145*(1+Pressupostos!$C$125)^4*(1+Pressupostos!$C$146)</f>
        <v>0</v>
      </c>
      <c r="H164" s="2" t="s">
        <v>1258</v>
      </c>
    </row>
    <row r="165" customFormat="false" ht="15" hidden="false" customHeight="false" outlineLevel="1" collapsed="false">
      <c r="A165" s="7" t="s">
        <v>611</v>
      </c>
      <c r="B165" s="8" t="s">
        <v>10</v>
      </c>
      <c r="C165" s="58" t="n">
        <f aca="false">C151*Pressupostos!$C$147*(1+Pressupostos!$C$125)^0*(1+Pressupostos!$C$148)</f>
        <v>0</v>
      </c>
      <c r="D165" s="58" t="n">
        <f aca="false">D151*Pressupostos!$C$147*(1+Pressupostos!$C$125)^1*(1+Pressupostos!$C$148)</f>
        <v>0</v>
      </c>
      <c r="E165" s="58" t="n">
        <f aca="false">E151*Pressupostos!$C$147*(1+Pressupostos!$C$125)^2*(1+Pressupostos!$C$148)</f>
        <v>0</v>
      </c>
      <c r="F165" s="58" t="n">
        <f aca="false">F151*Pressupostos!$C$147*(1+Pressupostos!$C$125)^3*(1+Pressupostos!$C$148)</f>
        <v>0</v>
      </c>
      <c r="G165" s="58" t="n">
        <f aca="false">G151*Pressupostos!$C$147*(1+Pressupostos!$C$125)^4*(1+Pressupostos!$C$148)</f>
        <v>0</v>
      </c>
      <c r="H165" s="2" t="s">
        <v>1259</v>
      </c>
    </row>
    <row r="166" customFormat="false" ht="15" hidden="false" customHeight="false" outlineLevel="1" collapsed="false">
      <c r="A166" s="7" t="s">
        <v>612</v>
      </c>
      <c r="B166" s="8" t="s">
        <v>10</v>
      </c>
      <c r="C166" s="58" t="n">
        <f aca="false">C152*Pressupostos!$C$149*(1+Pressupostos!$C$125)^0*(1+Pressupostos!$C$150)</f>
        <v>0</v>
      </c>
      <c r="D166" s="58" t="n">
        <f aca="false">D152*Pressupostos!$C$149*(1+Pressupostos!$C$125)^1*(1+Pressupostos!$C$150)</f>
        <v>0</v>
      </c>
      <c r="E166" s="58" t="n">
        <f aca="false">E152*Pressupostos!$C$149*(1+Pressupostos!$C$125)^2*(1+Pressupostos!$C$150)</f>
        <v>0</v>
      </c>
      <c r="F166" s="58" t="n">
        <f aca="false">F152*Pressupostos!$C$149*(1+Pressupostos!$C$125)^3*(1+Pressupostos!$C$150)</f>
        <v>0</v>
      </c>
      <c r="G166" s="58" t="n">
        <f aca="false">G152*Pressupostos!$C$149*(1+Pressupostos!$C$125)^4*(1+Pressupostos!$C$150)</f>
        <v>0</v>
      </c>
      <c r="H166" s="2" t="s">
        <v>1260</v>
      </c>
    </row>
    <row r="167" customFormat="false" ht="15" hidden="false" customHeight="false" outlineLevel="1" collapsed="false">
      <c r="A167" s="7" t="s">
        <v>613</v>
      </c>
      <c r="B167" s="8" t="s">
        <v>10</v>
      </c>
      <c r="C167" s="58" t="n">
        <f aca="false">C153*Pressupostos!$C$151*(1+Pressupostos!$C$125)^0*(1+Pressupostos!$C$152)</f>
        <v>0</v>
      </c>
      <c r="D167" s="58" t="n">
        <f aca="false">D153*Pressupostos!$C$151*(1+Pressupostos!$C$125)^1*(1+Pressupostos!$C$152)</f>
        <v>0</v>
      </c>
      <c r="E167" s="58" t="n">
        <f aca="false">E153*Pressupostos!$C$151*(1+Pressupostos!$C$125)^2*(1+Pressupostos!$C$152)</f>
        <v>0</v>
      </c>
      <c r="F167" s="58" t="n">
        <f aca="false">F153*Pressupostos!$C$151*(1+Pressupostos!$C$125)^3*(1+Pressupostos!$C$152)</f>
        <v>0</v>
      </c>
      <c r="G167" s="58" t="n">
        <f aca="false">G153*Pressupostos!$C$151*(1+Pressupostos!$C$125)^4*(1+Pressupostos!$C$152)</f>
        <v>0</v>
      </c>
      <c r="H167" s="2" t="s">
        <v>1261</v>
      </c>
    </row>
    <row r="168" customFormat="false" ht="15" hidden="false" customHeight="false" outlineLevel="1" collapsed="false">
      <c r="A168" s="7" t="s">
        <v>616</v>
      </c>
      <c r="B168" s="8" t="s">
        <v>10</v>
      </c>
      <c r="C168" s="58" t="n">
        <f aca="false">C156+C157+C158+C159+C160+C161+C162+C163+C164+C165+C166+C167</f>
        <v>307662.5</v>
      </c>
      <c r="D168" s="58" t="n">
        <f aca="false">D156+D157+D158+D159+D160+D161+D162+D163+D164+D165+D166+D167</f>
        <v>351230</v>
      </c>
      <c r="E168" s="58" t="n">
        <f aca="false">E156+E157+E158+E159+E160+E161+E162+E163+E164+E165+E166+E167</f>
        <v>361766.9</v>
      </c>
      <c r="F168" s="58" t="n">
        <f aca="false">F156+F157+F158+F159+F160+F161+F162+F163+F164+F165+F166+F167</f>
        <v>397206.2645</v>
      </c>
      <c r="G168" s="58" t="n">
        <f aca="false">G156+G157+G158+G159+G160+G161+G162+G163+G164+G165+G166+G167</f>
        <v>409122.452435</v>
      </c>
      <c r="H168" s="2" t="s">
        <v>1262</v>
      </c>
    </row>
    <row r="169" customFormat="false" ht="15" hidden="false" customHeight="false" outlineLevel="1" collapsed="false">
      <c r="A169" s="7" t="s">
        <v>617</v>
      </c>
      <c r="B169" s="8" t="s">
        <v>10</v>
      </c>
      <c r="C169" s="58" t="n">
        <f aca="false">C168*(Pressupostos!$C$122+Pressupostos!$C$123)</f>
        <v>79223.09375</v>
      </c>
      <c r="D169" s="58" t="n">
        <f aca="false">D168*(Pressupostos!$C$122+Pressupostos!$C$123)</f>
        <v>90441.725</v>
      </c>
      <c r="E169" s="58" t="n">
        <f aca="false">E168*(Pressupostos!$C$122+Pressupostos!$C$123)</f>
        <v>93154.97675</v>
      </c>
      <c r="F169" s="58" t="n">
        <f aca="false">F168*(Pressupostos!$C$122+Pressupostos!$C$123)</f>
        <v>102280.61310875</v>
      </c>
      <c r="G169" s="58" t="n">
        <f aca="false">G168*(Pressupostos!$C$122+Pressupostos!$C$123)</f>
        <v>105349.031502013</v>
      </c>
      <c r="H169" s="2" t="s">
        <v>1263</v>
      </c>
    </row>
    <row r="170" customFormat="false" ht="15" hidden="false" customHeight="false" outlineLevel="1" collapsed="false">
      <c r="A170" s="7" t="s">
        <v>618</v>
      </c>
      <c r="B170" s="8" t="s">
        <v>10</v>
      </c>
      <c r="C170" s="58" t="n">
        <f aca="false">C154*Pressupostos!$C$124*(1+Pressupostos!$C$125)^0</f>
        <v>14000</v>
      </c>
      <c r="D170" s="58" t="n">
        <f aca="false">D154*Pressupostos!$C$124*(1+Pressupostos!$C$125)^1</f>
        <v>14420</v>
      </c>
      <c r="E170" s="58" t="n">
        <f aca="false">E154*Pressupostos!$C$124*(1+Pressupostos!$C$125)^2</f>
        <v>14852.6</v>
      </c>
      <c r="F170" s="58" t="n">
        <f aca="false">F154*Pressupostos!$C$124*(1+Pressupostos!$C$125)^3</f>
        <v>16390.905</v>
      </c>
      <c r="G170" s="58" t="n">
        <f aca="false">G154*Pressupostos!$C$124*(1+Pressupostos!$C$125)^4</f>
        <v>16882.63215</v>
      </c>
      <c r="H170" s="2" t="s">
        <v>1264</v>
      </c>
    </row>
    <row r="171" customFormat="false" ht="15" hidden="false" customHeight="false" outlineLevel="1" collapsed="false">
      <c r="A171" s="52" t="s">
        <v>619</v>
      </c>
      <c r="B171" s="53" t="s">
        <v>10</v>
      </c>
      <c r="C171" s="59" t="n">
        <f aca="false">C168+C169+C170</f>
        <v>400885.59375</v>
      </c>
      <c r="D171" s="59" t="n">
        <f aca="false">D168+D169+D170</f>
        <v>456091.725</v>
      </c>
      <c r="E171" s="59" t="n">
        <f aca="false">E168+E169+E170</f>
        <v>469774.47675</v>
      </c>
      <c r="F171" s="59" t="n">
        <f aca="false">F168+F169+F170</f>
        <v>515877.78260875</v>
      </c>
      <c r="G171" s="59" t="n">
        <f aca="false">G168+G169+G170</f>
        <v>531354.116087013</v>
      </c>
      <c r="H171" s="2" t="s">
        <v>1265</v>
      </c>
    </row>
    <row r="172" customFormat="false" ht="15" hidden="false" customHeight="false" outlineLevel="1" collapsed="false">
      <c r="A172" s="2" t="s">
        <v>620</v>
      </c>
      <c r="B172" s="8" t="s">
        <v>10</v>
      </c>
      <c r="C172" s="58" t="n">
        <f aca="false">IF(C154&gt;0,C171/C154,0)</f>
        <v>57269.3705357143</v>
      </c>
      <c r="D172" s="58" t="n">
        <f aca="false">IF(D154&gt;0,D171/D154,0)</f>
        <v>65155.9607142857</v>
      </c>
      <c r="E172" s="58" t="n">
        <f aca="false">IF(E154&gt;0,E171/E154,0)</f>
        <v>67110.6395357143</v>
      </c>
      <c r="F172" s="58" t="n">
        <f aca="false">IF(F154&gt;0,F171/F154,0)</f>
        <v>68783.7043478333</v>
      </c>
      <c r="G172" s="58" t="n">
        <f aca="false">IF(G154&gt;0,G171/G154,0)</f>
        <v>70847.2154782684</v>
      </c>
      <c r="H172" s="2" t="s">
        <v>1266</v>
      </c>
    </row>
    <row r="173" customFormat="false" ht="15" hidden="false" customHeight="false" outlineLevel="0" collapsed="false">
      <c r="A173" s="3" t="s">
        <v>1267</v>
      </c>
      <c r="B173" s="4"/>
      <c r="C173" s="4"/>
      <c r="D173" s="4"/>
      <c r="E173" s="4"/>
      <c r="F173" s="4"/>
      <c r="G173" s="4"/>
      <c r="H173" s="4"/>
    </row>
    <row r="174" customFormat="false" ht="15" hidden="false" customHeight="false" outlineLevel="1" collapsed="false">
      <c r="A174" s="7" t="s">
        <v>430</v>
      </c>
      <c r="B174" s="8" t="s">
        <v>10</v>
      </c>
      <c r="C174" s="58" t="n">
        <f aca="false">Pressupostos!$C$387*(1+Pressupostos!$C$154)*(1+Pressupostos!$C$155)^0</f>
        <v>94500</v>
      </c>
      <c r="D174" s="58" t="n">
        <f aca="false">Pressupostos!$D$387*(1+Pressupostos!$C$154)*(1+Pressupostos!$C$155)^1</f>
        <v>42840</v>
      </c>
      <c r="E174" s="58" t="n">
        <f aca="false">Pressupostos!$E$387*(1+Pressupostos!$C$154)*(1+Pressupostos!$C$155)^2</f>
        <v>38234.7</v>
      </c>
      <c r="F174" s="58" t="n">
        <f aca="false">Pressupostos!$F$387*(1+Pressupostos!$C$154)*(1+Pressupostos!$C$155)^3</f>
        <v>38999.394</v>
      </c>
      <c r="G174" s="58" t="n">
        <f aca="false">Pressupostos!$G$387*(1+Pressupostos!$C$154)*(1+Pressupostos!$C$155)^4</f>
        <v>39779.38188</v>
      </c>
      <c r="H174" s="2" t="s">
        <v>1268</v>
      </c>
    </row>
    <row r="175" customFormat="false" ht="15" hidden="false" customHeight="false" outlineLevel="1" collapsed="false">
      <c r="A175" s="7" t="s">
        <v>432</v>
      </c>
      <c r="B175" s="8" t="s">
        <v>10</v>
      </c>
      <c r="C175" s="58" t="n">
        <f aca="false">Pressupostos!$C$393*(1+Pressupostos!$C$154)*(1+Pressupostos!$C$155)^0</f>
        <v>10500</v>
      </c>
      <c r="D175" s="58" t="n">
        <f aca="false">Pressupostos!$D$393*(1+Pressupostos!$C$154)*(1+Pressupostos!$C$155)^1</f>
        <v>10710</v>
      </c>
      <c r="E175" s="58" t="n">
        <f aca="false">Pressupostos!$E$393*(1+Pressupostos!$C$154)*(1+Pressupostos!$C$155)^2</f>
        <v>10924.2</v>
      </c>
      <c r="F175" s="58" t="n">
        <f aca="false">Pressupostos!$F$393*(1+Pressupostos!$C$154)*(1+Pressupostos!$C$155)^3</f>
        <v>11142.684</v>
      </c>
      <c r="G175" s="58" t="n">
        <f aca="false">Pressupostos!$G$393*(1+Pressupostos!$C$154)*(1+Pressupostos!$C$155)^4</f>
        <v>11365.53768</v>
      </c>
      <c r="H175" s="2" t="s">
        <v>1269</v>
      </c>
    </row>
    <row r="176" customFormat="false" ht="15" hidden="false" customHeight="false" outlineLevel="1" collapsed="false">
      <c r="A176" s="7" t="s">
        <v>433</v>
      </c>
      <c r="B176" s="8" t="s">
        <v>10</v>
      </c>
      <c r="C176" s="58" t="n">
        <f aca="false">Pressupostos!$C$399*(1+Pressupostos!$C$154)*(1+Pressupostos!$C$155)^0</f>
        <v>12600</v>
      </c>
      <c r="D176" s="58" t="n">
        <f aca="false">Pressupostos!$D$399*(1+Pressupostos!$C$154)*(1+Pressupostos!$C$155)^1</f>
        <v>12852</v>
      </c>
      <c r="E176" s="58" t="n">
        <f aca="false">Pressupostos!$E$399*(1+Pressupostos!$C$154)*(1+Pressupostos!$C$155)^2</f>
        <v>13109.04</v>
      </c>
      <c r="F176" s="58" t="n">
        <f aca="false">Pressupostos!$F$399*(1+Pressupostos!$C$154)*(1+Pressupostos!$C$155)^3</f>
        <v>13371.2208</v>
      </c>
      <c r="G176" s="58" t="n">
        <f aca="false">Pressupostos!$G$399*(1+Pressupostos!$C$154)*(1+Pressupostos!$C$155)^4</f>
        <v>13638.645216</v>
      </c>
      <c r="H176" s="2" t="s">
        <v>1270</v>
      </c>
    </row>
    <row r="177" customFormat="false" ht="15" hidden="false" customHeight="false" outlineLevel="1" collapsed="false">
      <c r="A177" s="7" t="s">
        <v>435</v>
      </c>
      <c r="B177" s="8" t="s">
        <v>10</v>
      </c>
      <c r="C177" s="58" t="n">
        <f aca="false">Pressupostos!$C$405*(1+Pressupostos!$C$154)*(1+Pressupostos!$C$155)^0</f>
        <v>31500</v>
      </c>
      <c r="D177" s="58" t="n">
        <f aca="false">Pressupostos!$D$405*(1+Pressupostos!$C$154)*(1+Pressupostos!$C$155)^1</f>
        <v>34272</v>
      </c>
      <c r="E177" s="58" t="n">
        <f aca="false">Pressupostos!$E$405*(1+Pressupostos!$C$154)*(1+Pressupostos!$C$155)^2</f>
        <v>39327.12</v>
      </c>
      <c r="F177" s="58" t="n">
        <f aca="false">Pressupostos!$F$405*(1+Pressupostos!$C$154)*(1+Pressupostos!$C$155)^3</f>
        <v>44570.736</v>
      </c>
      <c r="G177" s="58" t="n">
        <f aca="false">Pressupostos!$G$405*(1+Pressupostos!$C$154)*(1+Pressupostos!$C$155)^4</f>
        <v>50008.365792</v>
      </c>
      <c r="H177" s="2" t="s">
        <v>1271</v>
      </c>
    </row>
    <row r="178" customFormat="false" ht="15" hidden="false" customHeight="false" outlineLevel="1" collapsed="false">
      <c r="A178" s="7" t="s">
        <v>437</v>
      </c>
      <c r="B178" s="8" t="s">
        <v>10</v>
      </c>
      <c r="C178" s="58" t="n">
        <f aca="false">Pressupostos!$C$411*(1+Pressupostos!$C$154)*(1+Pressupostos!$C$155)^0</f>
        <v>15750</v>
      </c>
      <c r="D178" s="58" t="n">
        <f aca="false">Pressupostos!$D$411*(1+Pressupostos!$C$154)*(1+Pressupostos!$C$155)^1</f>
        <v>12852</v>
      </c>
      <c r="E178" s="58" t="n">
        <f aca="false">Pressupostos!$E$411*(1+Pressupostos!$C$154)*(1+Pressupostos!$C$155)^2</f>
        <v>13109.04</v>
      </c>
      <c r="F178" s="58" t="n">
        <f aca="false">Pressupostos!$F$411*(1+Pressupostos!$C$154)*(1+Pressupostos!$C$155)^3</f>
        <v>16714.026</v>
      </c>
      <c r="G178" s="58" t="n">
        <f aca="false">Pressupostos!$G$411*(1+Pressupostos!$C$154)*(1+Pressupostos!$C$155)^4</f>
        <v>17048.30652</v>
      </c>
      <c r="H178" s="2" t="s">
        <v>1272</v>
      </c>
    </row>
    <row r="179" customFormat="false" ht="15" hidden="false" customHeight="false" outlineLevel="1" collapsed="false">
      <c r="A179" s="7" t="s">
        <v>439</v>
      </c>
      <c r="B179" s="8" t="s">
        <v>10</v>
      </c>
      <c r="C179" s="58" t="n">
        <f aca="false">Pressupostos!$C$417*(1+Pressupostos!$C$154)*(1+Pressupostos!$C$155)^0</f>
        <v>10500</v>
      </c>
      <c r="D179" s="58" t="n">
        <f aca="false">Pressupostos!$D$417*(1+Pressupostos!$C$154)*(1+Pressupostos!$C$155)^1</f>
        <v>10710</v>
      </c>
      <c r="E179" s="58" t="n">
        <f aca="false">Pressupostos!$E$417*(1+Pressupostos!$C$154)*(1+Pressupostos!$C$155)^2</f>
        <v>12016.62</v>
      </c>
      <c r="F179" s="58" t="n">
        <f aca="false">Pressupostos!$F$417*(1+Pressupostos!$C$154)*(1+Pressupostos!$C$155)^3</f>
        <v>13371.2208</v>
      </c>
      <c r="G179" s="58" t="n">
        <f aca="false">Pressupostos!$G$417*(1+Pressupostos!$C$154)*(1+Pressupostos!$C$155)^4</f>
        <v>13638.645216</v>
      </c>
      <c r="H179" s="2" t="s">
        <v>1273</v>
      </c>
    </row>
    <row r="180" customFormat="false" ht="15" hidden="false" customHeight="false" outlineLevel="1" collapsed="false">
      <c r="A180" s="7" t="s">
        <v>440</v>
      </c>
      <c r="B180" s="8" t="s">
        <v>10</v>
      </c>
      <c r="C180" s="58" t="n">
        <f aca="false">Pressupostos!$C$423*(1+Pressupostos!$C$154)*(1+Pressupostos!$C$155)^0</f>
        <v>31500</v>
      </c>
      <c r="D180" s="58" t="n">
        <f aca="false">Pressupostos!$D$423*(1+Pressupostos!$C$154)*(1+Pressupostos!$C$155)^1</f>
        <v>32130</v>
      </c>
      <c r="E180" s="58" t="n">
        <f aca="false">Pressupostos!$E$423*(1+Pressupostos!$C$154)*(1+Pressupostos!$C$155)^2</f>
        <v>38234.7</v>
      </c>
      <c r="F180" s="58" t="n">
        <f aca="false">Pressupostos!$F$423*(1+Pressupostos!$C$154)*(1+Pressupostos!$C$155)^3</f>
        <v>44570.736</v>
      </c>
      <c r="G180" s="58" t="n">
        <f aca="false">Pressupostos!$G$423*(1+Pressupostos!$C$154)*(1+Pressupostos!$C$155)^4</f>
        <v>51144.91956</v>
      </c>
      <c r="H180" s="2" t="s">
        <v>1274</v>
      </c>
    </row>
    <row r="181" customFormat="false" ht="15" hidden="false" customHeight="false" outlineLevel="1" collapsed="false">
      <c r="A181" s="7" t="s">
        <v>442</v>
      </c>
      <c r="B181" s="8" t="s">
        <v>10</v>
      </c>
      <c r="C181" s="58" t="n">
        <f aca="false">Pressupostos!$C$429*(1+Pressupostos!$C$154)*(1+Pressupostos!$C$155)^0</f>
        <v>12600</v>
      </c>
      <c r="D181" s="58" t="n">
        <f aca="false">Pressupostos!$D$429*(1+Pressupostos!$C$154)*(1+Pressupostos!$C$155)^1</f>
        <v>12852</v>
      </c>
      <c r="E181" s="58" t="n">
        <f aca="false">Pressupostos!$E$429*(1+Pressupostos!$C$154)*(1+Pressupostos!$C$155)^2</f>
        <v>13109.04</v>
      </c>
      <c r="F181" s="58" t="n">
        <f aca="false">Pressupostos!$F$429*(1+Pressupostos!$C$154)*(1+Pressupostos!$C$155)^3</f>
        <v>16714.026</v>
      </c>
      <c r="G181" s="58" t="n">
        <f aca="false">Pressupostos!$G$429*(1+Pressupostos!$C$154)*(1+Pressupostos!$C$155)^4</f>
        <v>17048.30652</v>
      </c>
      <c r="H181" s="2" t="s">
        <v>1275</v>
      </c>
    </row>
    <row r="182" customFormat="false" ht="15" hidden="false" customHeight="false" outlineLevel="1" collapsed="false">
      <c r="A182" s="7" t="s">
        <v>444</v>
      </c>
      <c r="B182" s="8" t="s">
        <v>10</v>
      </c>
      <c r="C182" s="58" t="n">
        <f aca="false">Pressupostos!$C$435*(1+Pressupostos!$C$154)*(1+Pressupostos!$C$155)^0</f>
        <v>15750</v>
      </c>
      <c r="D182" s="58" t="n">
        <f aca="false">Pressupostos!$D$435*(1+Pressupostos!$C$154)*(1+Pressupostos!$C$155)^1</f>
        <v>16065</v>
      </c>
      <c r="E182" s="58" t="n">
        <f aca="false">Pressupostos!$E$435*(1+Pressupostos!$C$154)*(1+Pressupostos!$C$155)^2</f>
        <v>19663.56</v>
      </c>
      <c r="F182" s="58" t="n">
        <f aca="false">Pressupostos!$F$435*(1+Pressupostos!$C$154)*(1+Pressupostos!$C$155)^3</f>
        <v>22285.368</v>
      </c>
      <c r="G182" s="58" t="n">
        <f aca="false">Pressupostos!$G$435*(1+Pressupostos!$C$154)*(1+Pressupostos!$C$155)^4</f>
        <v>25004.182896</v>
      </c>
      <c r="H182" s="2" t="s">
        <v>1276</v>
      </c>
    </row>
    <row r="183" customFormat="false" ht="15" hidden="false" customHeight="false" outlineLevel="1" collapsed="false">
      <c r="A183" s="7" t="s">
        <v>445</v>
      </c>
      <c r="B183" s="8" t="s">
        <v>10</v>
      </c>
      <c r="C183" s="58" t="n">
        <f aca="false">Pressupostos!$C$441*(1+Pressupostos!$C$154)*(1+Pressupostos!$C$155)^0</f>
        <v>4200</v>
      </c>
      <c r="D183" s="58" t="n">
        <f aca="false">Pressupostos!$D$441*(1+Pressupostos!$C$154)*(1+Pressupostos!$C$155)^1</f>
        <v>4284</v>
      </c>
      <c r="E183" s="58" t="n">
        <f aca="false">Pressupostos!$E$441*(1+Pressupostos!$C$154)*(1+Pressupostos!$C$155)^2</f>
        <v>5462.1</v>
      </c>
      <c r="F183" s="58" t="n">
        <f aca="false">Pressupostos!$F$441*(1+Pressupostos!$C$154)*(1+Pressupostos!$C$155)^3</f>
        <v>6685.6104</v>
      </c>
      <c r="G183" s="58" t="n">
        <f aca="false">Pressupostos!$G$441*(1+Pressupostos!$C$154)*(1+Pressupostos!$C$155)^4</f>
        <v>6819.322608</v>
      </c>
      <c r="H183" s="2" t="s">
        <v>1277</v>
      </c>
    </row>
    <row r="184" customFormat="false" ht="15" hidden="false" customHeight="false" outlineLevel="1" collapsed="false">
      <c r="A184" s="7" t="s">
        <v>661</v>
      </c>
      <c r="B184" s="8" t="s">
        <v>10</v>
      </c>
      <c r="C184" s="58" t="n">
        <f aca="false">C174+C175+C176+C177+C178+C179+C180+C181+C182+C183</f>
        <v>239400</v>
      </c>
      <c r="D184" s="58" t="n">
        <f aca="false">D174+D175+D176+D177+D178+D179+D180+D181+D182+D183</f>
        <v>189567</v>
      </c>
      <c r="E184" s="58" t="n">
        <f aca="false">E174+E175+E176+E177+E178+E179+E180+E181+E182+E183</f>
        <v>203190.12</v>
      </c>
      <c r="F184" s="58" t="n">
        <f aca="false">F174+F175+F176+F177+F178+F179+F180+F181+F182+F183</f>
        <v>228425.022</v>
      </c>
      <c r="G184" s="58" t="n">
        <f aca="false">G174+G175+G176+G177+G178+G179+G180+G181+G182+G183</f>
        <v>245495.613888</v>
      </c>
      <c r="H184" s="2" t="s">
        <v>1278</v>
      </c>
    </row>
    <row r="185" customFormat="false" ht="15" hidden="false" customHeight="false" outlineLevel="1" collapsed="false">
      <c r="A185" s="7" t="s">
        <v>662</v>
      </c>
      <c r="B185" s="8" t="s">
        <v>10</v>
      </c>
      <c r="C185" s="58" t="n">
        <f aca="false">Pressupostos!$C$112+Pressupostos!$C$113+Pressupostos!$C$114*Pressupostos!$C$288+Pressupostos!$C$449</f>
        <v>65000</v>
      </c>
      <c r="D185" s="58" t="n">
        <f aca="false">Pressupostos!$C$113+Pressupostos!$C$114*Pressupostos!$D$288+Pressupostos!$D$449</f>
        <v>60000</v>
      </c>
      <c r="E185" s="58" t="n">
        <f aca="false">Pressupostos!$C$113+Pressupostos!$C$114*Pressupostos!$E$288+Pressupostos!$E$449</f>
        <v>65000</v>
      </c>
      <c r="F185" s="58" t="n">
        <f aca="false">Pressupostos!$C$113+Pressupostos!$C$114*Pressupostos!$F$288+Pressupostos!$F$449</f>
        <v>65000</v>
      </c>
      <c r="G185" s="58" t="n">
        <f aca="false">Pressupostos!$C$113+Pressupostos!$C$114*Pressupostos!$G$288+Pressupostos!$G$449</f>
        <v>65000</v>
      </c>
      <c r="H185" s="2" t="s">
        <v>1279</v>
      </c>
    </row>
    <row r="186" customFormat="false" ht="15" hidden="false" customHeight="false" outlineLevel="1" collapsed="false">
      <c r="A186" s="7" t="s">
        <v>663</v>
      </c>
      <c r="B186" s="8" t="s">
        <v>10</v>
      </c>
      <c r="C186" s="58" t="n">
        <f aca="false">IF(C8&lt;Pressupostos!$C$118,0,MAX(Pressupostos!$C$294,Pressupostos!$C$116*(C96+C97)+Pressupostos!$C$117*C98))</f>
        <v>0</v>
      </c>
      <c r="D186" s="58" t="n">
        <f aca="false">IF(D8&lt;Pressupostos!$C$118,0,MAX(Pressupostos!$D$294,Pressupostos!$C$116*(D96+D97)+Pressupostos!$C$117*D98))</f>
        <v>2575.44</v>
      </c>
      <c r="E186" s="58" t="n">
        <f aca="false">IF(E8&lt;Pressupostos!$C$118,0,MAX(Pressupostos!$E$294,Pressupostos!$C$116*(E96+E97)+Pressupostos!$C$117*E98))</f>
        <v>5174.64</v>
      </c>
      <c r="F186" s="58" t="n">
        <f aca="false">IF(F8&lt;Pressupostos!$C$118,0,MAX(Pressupostos!$F$294,Pressupostos!$C$116*(F96+F97)+Pressupostos!$C$117*F98))</f>
        <v>7776.48</v>
      </c>
      <c r="G186" s="58" t="n">
        <f aca="false">IF(G8&lt;Pressupostos!$C$118,0,MAX(Pressupostos!$G$294,Pressupostos!$C$116*(G96+G97)+Pressupostos!$C$117*G98))</f>
        <v>10351.92</v>
      </c>
      <c r="H186" s="2" t="s">
        <v>1280</v>
      </c>
    </row>
    <row r="187" customFormat="false" ht="15" hidden="false" customHeight="false" outlineLevel="1" collapsed="false">
      <c r="A187" s="52" t="s">
        <v>664</v>
      </c>
      <c r="B187" s="53" t="s">
        <v>10</v>
      </c>
      <c r="C187" s="59" t="n">
        <f aca="false">C184+C185+C186</f>
        <v>304400</v>
      </c>
      <c r="D187" s="59" t="n">
        <f aca="false">D184+D185+D186</f>
        <v>252142.44</v>
      </c>
      <c r="E187" s="59" t="n">
        <f aca="false">E184+E185+E186</f>
        <v>273364.76</v>
      </c>
      <c r="F187" s="59" t="n">
        <f aca="false">F184+F185+F186</f>
        <v>301201.502</v>
      </c>
      <c r="G187" s="59" t="n">
        <f aca="false">G184+G185+G186</f>
        <v>320847.533888</v>
      </c>
      <c r="H187" s="2" t="s">
        <v>1281</v>
      </c>
    </row>
    <row r="188" customFormat="false" ht="15" hidden="false" customHeight="false" outlineLevel="0" collapsed="false">
      <c r="A188" s="3" t="s">
        <v>1282</v>
      </c>
      <c r="B188" s="4"/>
      <c r="C188" s="4"/>
      <c r="D188" s="4"/>
      <c r="E188" s="4"/>
      <c r="F188" s="4"/>
      <c r="G188" s="4"/>
      <c r="H188" s="4"/>
    </row>
    <row r="189" customFormat="false" ht="15" hidden="false" customHeight="false" outlineLevel="1" collapsed="false">
      <c r="A189" s="7" t="s">
        <v>666</v>
      </c>
      <c r="B189" s="8" t="s">
        <v>10</v>
      </c>
      <c r="C189" s="58" t="n">
        <f aca="false">Pressupostos!$C$163*Pressupostos!$C$301</f>
        <v>18000</v>
      </c>
      <c r="D189" s="58" t="n">
        <f aca="false">Pressupostos!$C$163*Pressupostos!$D$301</f>
        <v>0</v>
      </c>
      <c r="E189" s="58" t="n">
        <f aca="false">Pressupostos!$C$163*Pressupostos!$E$301</f>
        <v>6000</v>
      </c>
      <c r="F189" s="58" t="n">
        <f aca="false">Pressupostos!$C$163*Pressupostos!$F$301</f>
        <v>6000</v>
      </c>
      <c r="G189" s="58" t="n">
        <f aca="false">Pressupostos!$C$163*Pressupostos!$G$301</f>
        <v>6000</v>
      </c>
      <c r="H189" s="2" t="s">
        <v>1283</v>
      </c>
    </row>
    <row r="190" customFormat="false" ht="15" hidden="false" customHeight="false" outlineLevel="1" collapsed="false">
      <c r="A190" s="7" t="s">
        <v>667</v>
      </c>
      <c r="B190" s="8" t="s">
        <v>10</v>
      </c>
      <c r="C190" s="50" t="n">
        <f aca="false">Pressupostos!$C$307</f>
        <v>60000</v>
      </c>
      <c r="D190" s="50" t="n">
        <f aca="false">Pressupostos!$D$307</f>
        <v>15000</v>
      </c>
      <c r="E190" s="50" t="n">
        <f aca="false">Pressupostos!$E$307</f>
        <v>15000</v>
      </c>
      <c r="F190" s="50" t="n">
        <f aca="false">Pressupostos!$F$307</f>
        <v>15000</v>
      </c>
      <c r="G190" s="50" t="n">
        <f aca="false">Pressupostos!$G$307</f>
        <v>15000</v>
      </c>
      <c r="H190" s="2" t="s">
        <v>1284</v>
      </c>
    </row>
    <row r="191" customFormat="false" ht="15" hidden="false" customHeight="false" outlineLevel="1" collapsed="false">
      <c r="A191" s="7" t="s">
        <v>668</v>
      </c>
      <c r="B191" s="8" t="s">
        <v>10</v>
      </c>
      <c r="C191" s="58" t="n">
        <f aca="false">Pressupostos!$C$164*MAX(0,C154)</f>
        <v>14000</v>
      </c>
      <c r="D191" s="58" t="n">
        <f aca="false">Pressupostos!$C$164*MAX(0,D154-C154)</f>
        <v>0</v>
      </c>
      <c r="E191" s="58" t="n">
        <f aca="false">Pressupostos!$C$164*MAX(0,E154-D154)</f>
        <v>0</v>
      </c>
      <c r="F191" s="58" t="n">
        <f aca="false">Pressupostos!$C$164*MAX(0,F154-E154)</f>
        <v>1000</v>
      </c>
      <c r="G191" s="58" t="n">
        <f aca="false">Pressupostos!$C$164*MAX(0,G154-F154)</f>
        <v>0</v>
      </c>
      <c r="H191" s="2" t="s">
        <v>1285</v>
      </c>
    </row>
    <row r="192" customFormat="false" ht="15" hidden="false" customHeight="false" outlineLevel="1" collapsed="false">
      <c r="A192" s="7" t="s">
        <v>407</v>
      </c>
      <c r="B192" s="8" t="s">
        <v>10</v>
      </c>
      <c r="C192" s="58" t="n">
        <f aca="false">C189+C190+C191</f>
        <v>92000</v>
      </c>
      <c r="D192" s="58" t="n">
        <f aca="false">D189+D190+D191</f>
        <v>15000</v>
      </c>
      <c r="E192" s="58" t="n">
        <f aca="false">E189+E190+E191</f>
        <v>21000</v>
      </c>
      <c r="F192" s="58" t="n">
        <f aca="false">F189+F190+F191</f>
        <v>22000</v>
      </c>
      <c r="G192" s="58" t="n">
        <f aca="false">G189+G190+G191</f>
        <v>21000</v>
      </c>
      <c r="H192" s="2" t="s">
        <v>1286</v>
      </c>
    </row>
    <row r="193" customFormat="false" ht="15" hidden="false" customHeight="false" outlineLevel="1" collapsed="false">
      <c r="A193" s="7" t="s">
        <v>669</v>
      </c>
      <c r="B193" s="8" t="s">
        <v>10</v>
      </c>
      <c r="C193" s="58" t="n">
        <f aca="false">(C190*((0)&lt;Pressupostos!$C$165))/Pressupostos!$C$165</f>
        <v>20000</v>
      </c>
      <c r="D193" s="58" t="n">
        <f aca="false">(C190*((1)&lt;Pressupostos!$C$165)+D190*((0)&lt;Pressupostos!$C$165))/Pressupostos!$C$165</f>
        <v>25000</v>
      </c>
      <c r="E193" s="58" t="n">
        <f aca="false">(C190*((2)&lt;Pressupostos!$C$165)+D190*((1)&lt;Pressupostos!$C$165)+E190*((0)&lt;Pressupostos!$C$165))/Pressupostos!$C$165</f>
        <v>30000</v>
      </c>
      <c r="F193" s="58" t="n">
        <f aca="false">(C190*((3)&lt;Pressupostos!$C$165)+D190*((2)&lt;Pressupostos!$C$165)+E190*((1)&lt;Pressupostos!$C$165)+F190*((0)&lt;Pressupostos!$C$165))/Pressupostos!$C$165</f>
        <v>15000</v>
      </c>
      <c r="G193" s="58" t="n">
        <f aca="false">(C190*((4)&lt;Pressupostos!$C$165)+D190*((3)&lt;Pressupostos!$C$165)+E190*((2)&lt;Pressupostos!$C$165)+F190*((1)&lt;Pressupostos!$C$165)+G190*((0)&lt;Pressupostos!$C$165))/Pressupostos!$C$165</f>
        <v>15000</v>
      </c>
      <c r="H193" s="2" t="s">
        <v>1287</v>
      </c>
    </row>
    <row r="194" customFormat="false" ht="15" hidden="false" customHeight="false" outlineLevel="1" collapsed="false">
      <c r="A194" s="7" t="s">
        <v>670</v>
      </c>
      <c r="B194" s="8" t="s">
        <v>10</v>
      </c>
      <c r="C194" s="58" t="n">
        <f aca="false">(C189*((0)&lt;Pressupostos!$C$167))/Pressupostos!$C$167</f>
        <v>3600</v>
      </c>
      <c r="D194" s="58" t="n">
        <f aca="false">(C189*((1)&lt;Pressupostos!$C$167)+D189*((0)&lt;Pressupostos!$C$167))/Pressupostos!$C$167</f>
        <v>3600</v>
      </c>
      <c r="E194" s="58" t="n">
        <f aca="false">(C189*((2)&lt;Pressupostos!$C$167)+D189*((1)&lt;Pressupostos!$C$167)+E189*((0)&lt;Pressupostos!$C$167))/Pressupostos!$C$167</f>
        <v>4800</v>
      </c>
      <c r="F194" s="58" t="n">
        <f aca="false">(C189*((3)&lt;Pressupostos!$C$167)+D189*((2)&lt;Pressupostos!$C$167)+E189*((1)&lt;Pressupostos!$C$167)+F189*((0)&lt;Pressupostos!$C$167))/Pressupostos!$C$167</f>
        <v>6000</v>
      </c>
      <c r="G194" s="58" t="n">
        <f aca="false">(C189*((4)&lt;Pressupostos!$C$167)+D189*((3)&lt;Pressupostos!$C$167)+E189*((2)&lt;Pressupostos!$C$167)+F189*((1)&lt;Pressupostos!$C$167)+G189*((0)&lt;Pressupostos!$C$167))/Pressupostos!$C$167</f>
        <v>7200</v>
      </c>
      <c r="H194" s="2" t="s">
        <v>1288</v>
      </c>
    </row>
    <row r="195" customFormat="false" ht="15" hidden="false" customHeight="false" outlineLevel="1" collapsed="false">
      <c r="A195" s="7" t="s">
        <v>671</v>
      </c>
      <c r="B195" s="8" t="s">
        <v>10</v>
      </c>
      <c r="C195" s="58" t="n">
        <f aca="false">(C191*((0)&lt;Pressupostos!$C$166))/Pressupostos!$C$166</f>
        <v>3500</v>
      </c>
      <c r="D195" s="58" t="n">
        <f aca="false">(C191*((1)&lt;Pressupostos!$C$166)+D191*((0)&lt;Pressupostos!$C$166))/Pressupostos!$C$166</f>
        <v>3500</v>
      </c>
      <c r="E195" s="58" t="n">
        <f aca="false">(C191*((2)&lt;Pressupostos!$C$166)+D191*((1)&lt;Pressupostos!$C$166)+E191*((0)&lt;Pressupostos!$C$166))/Pressupostos!$C$166</f>
        <v>3500</v>
      </c>
      <c r="F195" s="58" t="n">
        <f aca="false">(C191*((3)&lt;Pressupostos!$C$166)+D191*((2)&lt;Pressupostos!$C$166)+E191*((1)&lt;Pressupostos!$C$166)+F191*((0)&lt;Pressupostos!$C$166))/Pressupostos!$C$166</f>
        <v>3750</v>
      </c>
      <c r="G195" s="58" t="n">
        <f aca="false">(C191*((4)&lt;Pressupostos!$C$166)+D191*((3)&lt;Pressupostos!$C$166)+E191*((2)&lt;Pressupostos!$C$166)+F191*((1)&lt;Pressupostos!$C$166)+G191*((0)&lt;Pressupostos!$C$166))/Pressupostos!$C$166</f>
        <v>250</v>
      </c>
      <c r="H195" s="2" t="s">
        <v>1289</v>
      </c>
    </row>
    <row r="196" customFormat="false" ht="15" hidden="false" customHeight="false" outlineLevel="1" collapsed="false">
      <c r="A196" s="7" t="s">
        <v>672</v>
      </c>
      <c r="B196" s="8" t="s">
        <v>10</v>
      </c>
      <c r="C196" s="58" t="n">
        <f aca="false">C193+C194+C195</f>
        <v>27100</v>
      </c>
      <c r="D196" s="58" t="n">
        <f aca="false">D193+D194+D195</f>
        <v>32100</v>
      </c>
      <c r="E196" s="58" t="n">
        <f aca="false">E193+E194+E195</f>
        <v>38300</v>
      </c>
      <c r="F196" s="58" t="n">
        <f aca="false">F193+F194+F195</f>
        <v>24750</v>
      </c>
      <c r="G196" s="58" t="n">
        <f aca="false">G193+G194+G195</f>
        <v>22450</v>
      </c>
      <c r="H196" s="2" t="s">
        <v>1290</v>
      </c>
    </row>
    <row r="197" customFormat="false" ht="15" hidden="false" customHeight="false" outlineLevel="0" collapsed="false">
      <c r="A197" s="3" t="s">
        <v>1291</v>
      </c>
      <c r="B197" s="4"/>
      <c r="C197" s="4"/>
      <c r="D197" s="4"/>
      <c r="E197" s="4"/>
      <c r="F197" s="4"/>
      <c r="G197" s="4"/>
      <c r="H197" s="4"/>
    </row>
    <row r="198" customFormat="false" ht="15" hidden="false" customHeight="false" outlineLevel="1" collapsed="false">
      <c r="A198" s="52" t="s">
        <v>676</v>
      </c>
      <c r="B198" s="53" t="s">
        <v>10</v>
      </c>
      <c r="C198" s="59" t="n">
        <f aca="false">C105</f>
        <v>172122</v>
      </c>
      <c r="D198" s="59" t="n">
        <f aca="false">D105</f>
        <v>643860</v>
      </c>
      <c r="E198" s="59" t="n">
        <f aca="false">E105</f>
        <v>1372160</v>
      </c>
      <c r="F198" s="59" t="n">
        <f aca="false">F105</f>
        <v>2111120</v>
      </c>
      <c r="G198" s="59" t="n">
        <f aca="false">G105</f>
        <v>2843480</v>
      </c>
      <c r="H198" s="2" t="s">
        <v>1292</v>
      </c>
    </row>
    <row r="199" customFormat="false" ht="15" hidden="false" customHeight="false" outlineLevel="1" collapsed="false">
      <c r="A199" s="7" t="s">
        <v>649</v>
      </c>
      <c r="B199" s="8" t="s">
        <v>10</v>
      </c>
      <c r="C199" s="58" t="n">
        <f aca="false">-C126</f>
        <v>-164600</v>
      </c>
      <c r="D199" s="58" t="n">
        <f aca="false">-D126</f>
        <v>-617100</v>
      </c>
      <c r="E199" s="58" t="n">
        <f aca="false">-E126</f>
        <v>-1305100</v>
      </c>
      <c r="F199" s="58" t="n">
        <f aca="false">-F126</f>
        <v>-1993200</v>
      </c>
      <c r="G199" s="58" t="n">
        <f aca="false">-G126</f>
        <v>-2680300</v>
      </c>
      <c r="H199" s="2" t="s">
        <v>1293</v>
      </c>
    </row>
    <row r="200" customFormat="false" ht="15" hidden="false" customHeight="false" outlineLevel="1" collapsed="false">
      <c r="A200" s="52" t="s">
        <v>677</v>
      </c>
      <c r="B200" s="53" t="s">
        <v>10</v>
      </c>
      <c r="C200" s="59" t="n">
        <f aca="false">C198+C199</f>
        <v>7522</v>
      </c>
      <c r="D200" s="59" t="n">
        <f aca="false">D198+D199</f>
        <v>26760</v>
      </c>
      <c r="E200" s="59" t="n">
        <f aca="false">E198+E199</f>
        <v>67060</v>
      </c>
      <c r="F200" s="59" t="n">
        <f aca="false">F198+F199</f>
        <v>117920</v>
      </c>
      <c r="G200" s="59" t="n">
        <f aca="false">G198+G199</f>
        <v>163180</v>
      </c>
      <c r="H200" s="2" t="s">
        <v>1294</v>
      </c>
    </row>
    <row r="201" customFormat="false" ht="15" hidden="false" customHeight="false" outlineLevel="1" collapsed="false">
      <c r="A201" s="2" t="s">
        <v>678</v>
      </c>
      <c r="B201" s="8" t="s">
        <v>71</v>
      </c>
      <c r="C201" s="55" t="n">
        <f aca="false">IF(C198&gt;0,C200/C198,0)</f>
        <v>0.0437015605210258</v>
      </c>
      <c r="D201" s="55" t="n">
        <f aca="false">IF(D198&gt;0,D200/D198,0)</f>
        <v>0.0415618302115367</v>
      </c>
      <c r="E201" s="55" t="n">
        <f aca="false">IF(E198&gt;0,E200/E198,0)</f>
        <v>0.0488718516791045</v>
      </c>
      <c r="F201" s="55" t="n">
        <f aca="false">IF(F198&gt;0,F200/F198,0)</f>
        <v>0.0558566069195499</v>
      </c>
      <c r="G201" s="55" t="n">
        <f aca="false">IF(G198&gt;0,G200/G198,0)</f>
        <v>0.0573874266743568</v>
      </c>
      <c r="H201" s="2" t="s">
        <v>1295</v>
      </c>
    </row>
    <row r="202" customFormat="false" ht="15" hidden="false" customHeight="false" outlineLevel="1" collapsed="false">
      <c r="A202" s="7" t="s">
        <v>679</v>
      </c>
      <c r="B202" s="8" t="s">
        <v>10</v>
      </c>
      <c r="C202" s="58" t="n">
        <f aca="false">-C136</f>
        <v>-11322.3466666667</v>
      </c>
      <c r="D202" s="58" t="n">
        <f aca="false">-D136</f>
        <v>-41859.38</v>
      </c>
      <c r="E202" s="58" t="n">
        <f aca="false">-E136</f>
        <v>-89076.28</v>
      </c>
      <c r="F202" s="58" t="n">
        <f aca="false">-F136</f>
        <v>-143251.764761905</v>
      </c>
      <c r="G202" s="58" t="n">
        <f aca="false">-G136</f>
        <v>-193109.116190476</v>
      </c>
      <c r="H202" s="2" t="s">
        <v>1296</v>
      </c>
    </row>
    <row r="203" customFormat="false" ht="15" hidden="false" customHeight="false" outlineLevel="1" collapsed="false">
      <c r="A203" s="7" t="s">
        <v>658</v>
      </c>
      <c r="B203" s="8" t="s">
        <v>10</v>
      </c>
      <c r="C203" s="58" t="n">
        <f aca="false">-C139</f>
        <v>-0</v>
      </c>
      <c r="D203" s="58" t="n">
        <f aca="false">-D139</f>
        <v>-14651.1722113503</v>
      </c>
      <c r="E203" s="58" t="n">
        <f aca="false">-E139</f>
        <v>-31789.5675146771</v>
      </c>
      <c r="F203" s="58" t="n">
        <f aca="false">-F139</f>
        <v>-39818.9236790607</v>
      </c>
      <c r="G203" s="58" t="n">
        <f aca="false">-G139</f>
        <v>-49150.7260273973</v>
      </c>
      <c r="H203" s="2" t="s">
        <v>1297</v>
      </c>
    </row>
    <row r="204" customFormat="false" ht="15" hidden="false" customHeight="false" outlineLevel="1" collapsed="false">
      <c r="A204" s="52" t="s">
        <v>641</v>
      </c>
      <c r="B204" s="53" t="s">
        <v>10</v>
      </c>
      <c r="C204" s="59" t="n">
        <f aca="false">C200+C202+C203</f>
        <v>-3800.34666666667</v>
      </c>
      <c r="D204" s="59" t="n">
        <f aca="false">D200+D202+D203</f>
        <v>-29750.5522113503</v>
      </c>
      <c r="E204" s="59" t="n">
        <f aca="false">E200+E202+E203</f>
        <v>-53805.8475146771</v>
      </c>
      <c r="F204" s="59" t="n">
        <f aca="false">F200+F202+F203</f>
        <v>-65150.6884409652</v>
      </c>
      <c r="G204" s="59" t="n">
        <f aca="false">G200+G202+G203</f>
        <v>-79079.8422178734</v>
      </c>
      <c r="H204" s="2" t="s">
        <v>1298</v>
      </c>
    </row>
    <row r="205" customFormat="false" ht="15" hidden="false" customHeight="false" outlineLevel="1" collapsed="false">
      <c r="A205" s="7" t="s">
        <v>251</v>
      </c>
      <c r="B205" s="8" t="s">
        <v>10</v>
      </c>
      <c r="C205" s="58" t="n">
        <f aca="false">-C171</f>
        <v>-400885.59375</v>
      </c>
      <c r="D205" s="58" t="n">
        <f aca="false">-D171</f>
        <v>-456091.725</v>
      </c>
      <c r="E205" s="58" t="n">
        <f aca="false">-E171</f>
        <v>-469774.47675</v>
      </c>
      <c r="F205" s="58" t="n">
        <f aca="false">-F171</f>
        <v>-515877.78260875</v>
      </c>
      <c r="G205" s="58" t="n">
        <f aca="false">-G171</f>
        <v>-531354.116087013</v>
      </c>
      <c r="H205" s="2" t="s">
        <v>1299</v>
      </c>
    </row>
    <row r="206" customFormat="false" ht="15" hidden="false" customHeight="false" outlineLevel="1" collapsed="false">
      <c r="A206" s="7" t="s">
        <v>680</v>
      </c>
      <c r="B206" s="8" t="s">
        <v>10</v>
      </c>
      <c r="C206" s="58" t="n">
        <f aca="false">-C187</f>
        <v>-304400</v>
      </c>
      <c r="D206" s="58" t="n">
        <f aca="false">-D187</f>
        <v>-252142.44</v>
      </c>
      <c r="E206" s="58" t="n">
        <f aca="false">-E187</f>
        <v>-273364.76</v>
      </c>
      <c r="F206" s="58" t="n">
        <f aca="false">-F187</f>
        <v>-301201.502</v>
      </c>
      <c r="G206" s="58" t="n">
        <f aca="false">-G187</f>
        <v>-320847.533888</v>
      </c>
      <c r="H206" s="2" t="s">
        <v>1300</v>
      </c>
    </row>
    <row r="207" customFormat="false" ht="15" hidden="false" customHeight="false" outlineLevel="1" collapsed="false">
      <c r="A207" s="52" t="s">
        <v>681</v>
      </c>
      <c r="B207" s="53" t="s">
        <v>10</v>
      </c>
      <c r="C207" s="59" t="n">
        <f aca="false">C204+C205+C206</f>
        <v>-709085.940416667</v>
      </c>
      <c r="D207" s="59" t="n">
        <f aca="false">D204+D205+D206</f>
        <v>-737984.71721135</v>
      </c>
      <c r="E207" s="59" t="n">
        <f aca="false">E204+E205+E206</f>
        <v>-796945.084264677</v>
      </c>
      <c r="F207" s="59" t="n">
        <f aca="false">F204+F205+F206</f>
        <v>-882229.973049715</v>
      </c>
      <c r="G207" s="59" t="n">
        <f aca="false">G204+G205+G206</f>
        <v>-931281.492192886</v>
      </c>
      <c r="H207" s="2" t="s">
        <v>1301</v>
      </c>
    </row>
    <row r="208" customFormat="false" ht="15" hidden="false" customHeight="false" outlineLevel="1" collapsed="false">
      <c r="A208" s="2" t="s">
        <v>683</v>
      </c>
      <c r="B208" s="8" t="s">
        <v>71</v>
      </c>
      <c r="C208" s="55" t="n">
        <f aca="false">IF(C198&gt;0,C207/C198,0)</f>
        <v>-4.11967058491458</v>
      </c>
      <c r="D208" s="55" t="n">
        <f aca="false">IF(D198&gt;0,D207/D198,0)</f>
        <v>-1.14618817322298</v>
      </c>
      <c r="E208" s="55" t="n">
        <f aca="false">IF(E198&gt;0,E207/E198,0)</f>
        <v>-0.58079603272554</v>
      </c>
      <c r="F208" s="55" t="n">
        <f aca="false">IF(F198&gt;0,F207/F198,0)</f>
        <v>-0.41789664872187</v>
      </c>
      <c r="G208" s="55" t="n">
        <f aca="false">IF(G198&gt;0,G207/G198,0)</f>
        <v>-0.3275146975512</v>
      </c>
      <c r="H208" s="2" t="s">
        <v>1302</v>
      </c>
    </row>
    <row r="209" customFormat="false" ht="15" hidden="false" customHeight="false" outlineLevel="1" collapsed="false">
      <c r="A209" s="2" t="s">
        <v>684</v>
      </c>
      <c r="B209" s="8" t="s">
        <v>10</v>
      </c>
      <c r="C209" s="58" t="n">
        <f aca="false">C207+C139</f>
        <v>-709085.940416667</v>
      </c>
      <c r="D209" s="58" t="n">
        <f aca="false">D207+D139</f>
        <v>-723333.545</v>
      </c>
      <c r="E209" s="58" t="n">
        <f aca="false">E207+E139</f>
        <v>-765155.51675</v>
      </c>
      <c r="F209" s="58" t="n">
        <f aca="false">F207+F139</f>
        <v>-842411.049370655</v>
      </c>
      <c r="G209" s="58" t="n">
        <f aca="false">G207+G139</f>
        <v>-882130.766165489</v>
      </c>
      <c r="H209" s="2" t="s">
        <v>1303</v>
      </c>
    </row>
    <row r="210" customFormat="false" ht="15" hidden="false" customHeight="false" outlineLevel="1" collapsed="false">
      <c r="A210" s="7" t="s">
        <v>672</v>
      </c>
      <c r="B210" s="8" t="s">
        <v>10</v>
      </c>
      <c r="C210" s="58" t="n">
        <f aca="false">-C196</f>
        <v>-27100</v>
      </c>
      <c r="D210" s="58" t="n">
        <f aca="false">-D196</f>
        <v>-32100</v>
      </c>
      <c r="E210" s="58" t="n">
        <f aca="false">-E196</f>
        <v>-38300</v>
      </c>
      <c r="F210" s="58" t="n">
        <f aca="false">-F196</f>
        <v>-24750</v>
      </c>
      <c r="G210" s="58" t="n">
        <f aca="false">-G196</f>
        <v>-22450</v>
      </c>
      <c r="H210" s="2" t="s">
        <v>1304</v>
      </c>
    </row>
    <row r="211" customFormat="false" ht="15" hidden="false" customHeight="false" outlineLevel="1" collapsed="false">
      <c r="A211" s="52" t="s">
        <v>685</v>
      </c>
      <c r="B211" s="53" t="s">
        <v>10</v>
      </c>
      <c r="C211" s="59" t="n">
        <f aca="false">C207+C210</f>
        <v>-736185.940416667</v>
      </c>
      <c r="D211" s="59" t="n">
        <f aca="false">D207+D210</f>
        <v>-770084.71721135</v>
      </c>
      <c r="E211" s="59" t="n">
        <f aca="false">E207+E210</f>
        <v>-835245.084264677</v>
      </c>
      <c r="F211" s="59" t="n">
        <f aca="false">F207+F210</f>
        <v>-906979.973049715</v>
      </c>
      <c r="G211" s="59" t="n">
        <f aca="false">G207+G210</f>
        <v>-953731.492192886</v>
      </c>
      <c r="H211" s="2" t="s">
        <v>1305</v>
      </c>
    </row>
    <row r="212" customFormat="false" ht="15" hidden="false" customHeight="false" outlineLevel="0" collapsed="false">
      <c r="A212" s="3" t="s">
        <v>1306</v>
      </c>
      <c r="B212" s="4"/>
      <c r="C212" s="4"/>
      <c r="D212" s="4"/>
      <c r="E212" s="4"/>
      <c r="F212" s="4"/>
      <c r="G212" s="4"/>
      <c r="H212" s="4"/>
    </row>
    <row r="213" customFormat="false" ht="15" hidden="false" customHeight="false" outlineLevel="1" collapsed="false">
      <c r="A213" s="7" t="s">
        <v>687</v>
      </c>
      <c r="B213" s="8" t="s">
        <v>10</v>
      </c>
      <c r="C213" s="58" t="n">
        <f aca="false">C211</f>
        <v>-736185.940416667</v>
      </c>
      <c r="D213" s="58" t="n">
        <f aca="false">D211</f>
        <v>-770084.71721135</v>
      </c>
      <c r="E213" s="58" t="n">
        <f aca="false">E211</f>
        <v>-835245.084264677</v>
      </c>
      <c r="F213" s="58" t="n">
        <f aca="false">F211</f>
        <v>-906979.973049715</v>
      </c>
      <c r="G213" s="58" t="n">
        <f aca="false">G211</f>
        <v>-953731.492192886</v>
      </c>
      <c r="H213" s="2" t="s">
        <v>1307</v>
      </c>
    </row>
    <row r="214" customFormat="false" ht="15" hidden="false" customHeight="false" outlineLevel="1" collapsed="false">
      <c r="A214" s="7" t="s">
        <v>688</v>
      </c>
      <c r="B214" s="8" t="s">
        <v>10</v>
      </c>
      <c r="C214" s="58" t="n">
        <f aca="false">0</f>
        <v>0</v>
      </c>
      <c r="D214" s="58" t="n">
        <f aca="false">C217</f>
        <v>736185.940416667</v>
      </c>
      <c r="E214" s="58" t="n">
        <f aca="false">D217</f>
        <v>1506270.65762802</v>
      </c>
      <c r="F214" s="58" t="n">
        <f aca="false">E217</f>
        <v>2341515.74189269</v>
      </c>
      <c r="G214" s="58" t="n">
        <f aca="false">F217</f>
        <v>3248495.71494241</v>
      </c>
      <c r="H214" s="2" t="s">
        <v>1308</v>
      </c>
    </row>
    <row r="215" customFormat="false" ht="15" hidden="false" customHeight="false" outlineLevel="1" collapsed="false">
      <c r="A215" s="7" t="s">
        <v>689</v>
      </c>
      <c r="B215" s="8" t="s">
        <v>10</v>
      </c>
      <c r="C215" s="58" t="n">
        <f aca="false">MAX(0,-C213)</f>
        <v>736185.940416667</v>
      </c>
      <c r="D215" s="58" t="n">
        <f aca="false">MAX(0,-D213)</f>
        <v>770084.71721135</v>
      </c>
      <c r="E215" s="58" t="n">
        <f aca="false">MAX(0,-E213)</f>
        <v>835245.084264677</v>
      </c>
      <c r="F215" s="58" t="n">
        <f aca="false">MAX(0,-F213)</f>
        <v>906979.973049715</v>
      </c>
      <c r="G215" s="58" t="n">
        <f aca="false">MAX(0,-G213)</f>
        <v>953731.492192886</v>
      </c>
      <c r="H215" s="2" t="s">
        <v>1309</v>
      </c>
    </row>
    <row r="216" customFormat="false" ht="15" hidden="false" customHeight="false" outlineLevel="1" collapsed="false">
      <c r="A216" s="7" t="s">
        <v>690</v>
      </c>
      <c r="B216" s="8" t="s">
        <v>10</v>
      </c>
      <c r="C216" s="58" t="n">
        <f aca="false">MIN(C214,Pressupostos!$C$179*MAX(0,C213))</f>
        <v>0</v>
      </c>
      <c r="D216" s="58" t="n">
        <f aca="false">MIN(D214,Pressupostos!$C$179*MAX(0,D213))</f>
        <v>0</v>
      </c>
      <c r="E216" s="58" t="n">
        <f aca="false">MIN(E214,Pressupostos!$C$179*MAX(0,E213))</f>
        <v>0</v>
      </c>
      <c r="F216" s="58" t="n">
        <f aca="false">MIN(F214,Pressupostos!$C$179*MAX(0,F213))</f>
        <v>0</v>
      </c>
      <c r="G216" s="58" t="n">
        <f aca="false">MIN(G214,Pressupostos!$C$179*MAX(0,G213))</f>
        <v>0</v>
      </c>
      <c r="H216" s="2" t="s">
        <v>1310</v>
      </c>
    </row>
    <row r="217" customFormat="false" ht="15" hidden="false" customHeight="false" outlineLevel="1" collapsed="false">
      <c r="A217" s="7" t="s">
        <v>691</v>
      </c>
      <c r="B217" s="8" t="s">
        <v>10</v>
      </c>
      <c r="C217" s="58" t="n">
        <f aca="false">C214+C215-C216</f>
        <v>736185.940416667</v>
      </c>
      <c r="D217" s="58" t="n">
        <f aca="false">D214+D215-D216</f>
        <v>1506270.65762802</v>
      </c>
      <c r="E217" s="58" t="n">
        <f aca="false">E214+E215-E216</f>
        <v>2341515.74189269</v>
      </c>
      <c r="F217" s="58" t="n">
        <f aca="false">F214+F215-F216</f>
        <v>3248495.71494241</v>
      </c>
      <c r="G217" s="58" t="n">
        <f aca="false">G214+G215-G216</f>
        <v>4202227.2071353</v>
      </c>
      <c r="H217" s="2" t="s">
        <v>1311</v>
      </c>
    </row>
    <row r="218" customFormat="false" ht="15" hidden="false" customHeight="false" outlineLevel="1" collapsed="false">
      <c r="A218" s="7" t="s">
        <v>692</v>
      </c>
      <c r="B218" s="8" t="s">
        <v>10</v>
      </c>
      <c r="C218" s="58" t="n">
        <f aca="false">MAX(0,C213)-C216</f>
        <v>0</v>
      </c>
      <c r="D218" s="58" t="n">
        <f aca="false">MAX(0,D213)-D216</f>
        <v>0</v>
      </c>
      <c r="E218" s="58" t="n">
        <f aca="false">MAX(0,E213)-E216</f>
        <v>0</v>
      </c>
      <c r="F218" s="58" t="n">
        <f aca="false">MAX(0,F213)-F216</f>
        <v>0</v>
      </c>
      <c r="G218" s="58" t="n">
        <f aca="false">MAX(0,G213)-G216</f>
        <v>0</v>
      </c>
      <c r="H218" s="2" t="s">
        <v>1312</v>
      </c>
    </row>
    <row r="219" customFormat="false" ht="15" hidden="false" customHeight="false" outlineLevel="1" collapsed="false">
      <c r="A219" s="7" t="s">
        <v>693</v>
      </c>
      <c r="B219" s="8" t="s">
        <v>10</v>
      </c>
      <c r="C219" s="58" t="n">
        <f aca="false">Pressupostos!$C$170*MIN(C218,Pressupostos!$C$171)+Pressupostos!$C$450*MAX(0,C218-Pressupostos!$C$171)</f>
        <v>0</v>
      </c>
      <c r="D219" s="58" t="n">
        <f aca="false">Pressupostos!$C$170*MIN(D218,Pressupostos!$C$171)+Pressupostos!$D$450*MAX(0,D218-Pressupostos!$C$171)</f>
        <v>0</v>
      </c>
      <c r="E219" s="58" t="n">
        <f aca="false">Pressupostos!$C$170*MIN(E218,Pressupostos!$C$171)+Pressupostos!$E$450*MAX(0,E218-Pressupostos!$C$171)</f>
        <v>0</v>
      </c>
      <c r="F219" s="58" t="n">
        <f aca="false">Pressupostos!$C$170*MIN(F218,Pressupostos!$C$171)+Pressupostos!$F$450*MAX(0,F218-Pressupostos!$C$171)</f>
        <v>0</v>
      </c>
      <c r="G219" s="58" t="n">
        <f aca="false">Pressupostos!$C$170*MIN(G218,Pressupostos!$C$171)+Pressupostos!$G$450*MAX(0,G218-Pressupostos!$C$171)</f>
        <v>0</v>
      </c>
      <c r="H219" s="2" t="s">
        <v>1313</v>
      </c>
    </row>
    <row r="220" customFormat="false" ht="15" hidden="false" customHeight="false" outlineLevel="1" collapsed="false">
      <c r="A220" s="7" t="s">
        <v>694</v>
      </c>
      <c r="B220" s="8" t="s">
        <v>10</v>
      </c>
      <c r="C220" s="58" t="n">
        <f aca="false">Pressupostos!$C$172*MAX(0,C213)</f>
        <v>0</v>
      </c>
      <c r="D220" s="58" t="n">
        <f aca="false">Pressupostos!$C$172*MAX(0,D213)</f>
        <v>0</v>
      </c>
      <c r="E220" s="58" t="n">
        <f aca="false">Pressupostos!$C$172*MAX(0,E213)</f>
        <v>0</v>
      </c>
      <c r="F220" s="58" t="n">
        <f aca="false">Pressupostos!$C$172*MAX(0,F213)</f>
        <v>0</v>
      </c>
      <c r="G220" s="58" t="n">
        <f aca="false">Pressupostos!$C$172*MAX(0,G213)</f>
        <v>0</v>
      </c>
      <c r="H220" s="2" t="s">
        <v>1314</v>
      </c>
    </row>
    <row r="221" customFormat="false" ht="15" hidden="false" customHeight="false" outlineLevel="1" collapsed="false">
      <c r="A221" s="7" t="s">
        <v>695</v>
      </c>
      <c r="B221" s="8" t="s">
        <v>10</v>
      </c>
      <c r="C221" s="58" t="n">
        <f aca="false">Pressupostos!$C$174*MAX(0,MIN(C213,Pressupostos!$C$175)-Pressupostos!$C$173)+Pressupostos!$C$176*MAX(0,MIN(C213,Pressupostos!$C$177)-Pressupostos!$C$175)+Pressupostos!$C$178*MAX(0,C213-Pressupostos!$C$177)</f>
        <v>0</v>
      </c>
      <c r="D221" s="58" t="n">
        <f aca="false">Pressupostos!$C$174*MAX(0,MIN(D213,Pressupostos!$C$175)-Pressupostos!$C$173)+Pressupostos!$C$176*MAX(0,MIN(D213,Pressupostos!$C$177)-Pressupostos!$C$175)+Pressupostos!$C$178*MAX(0,D213-Pressupostos!$C$177)</f>
        <v>0</v>
      </c>
      <c r="E221" s="58" t="n">
        <f aca="false">Pressupostos!$C$174*MAX(0,MIN(E213,Pressupostos!$C$175)-Pressupostos!$C$173)+Pressupostos!$C$176*MAX(0,MIN(E213,Pressupostos!$C$177)-Pressupostos!$C$175)+Pressupostos!$C$178*MAX(0,E213-Pressupostos!$C$177)</f>
        <v>0</v>
      </c>
      <c r="F221" s="58" t="n">
        <f aca="false">Pressupostos!$C$174*MAX(0,MIN(F213,Pressupostos!$C$175)-Pressupostos!$C$173)+Pressupostos!$C$176*MAX(0,MIN(F213,Pressupostos!$C$177)-Pressupostos!$C$175)+Pressupostos!$C$178*MAX(0,F213-Pressupostos!$C$177)</f>
        <v>0</v>
      </c>
      <c r="G221" s="58" t="n">
        <f aca="false">Pressupostos!$C$174*MAX(0,MIN(G213,Pressupostos!$C$175)-Pressupostos!$C$173)+Pressupostos!$C$176*MAX(0,MIN(G213,Pressupostos!$C$177)-Pressupostos!$C$175)+Pressupostos!$C$178*MAX(0,G213-Pressupostos!$C$177)</f>
        <v>0</v>
      </c>
      <c r="H221" s="2" t="s">
        <v>1315</v>
      </c>
    </row>
    <row r="222" customFormat="false" ht="15" hidden="false" customHeight="false" outlineLevel="1" collapsed="false">
      <c r="A222" s="7" t="s">
        <v>696</v>
      </c>
      <c r="B222" s="8" t="s">
        <v>10</v>
      </c>
      <c r="C222" s="58" t="n">
        <f aca="false">C219+C220+C221</f>
        <v>0</v>
      </c>
      <c r="D222" s="58" t="n">
        <f aca="false">D219+D220+D221</f>
        <v>0</v>
      </c>
      <c r="E222" s="58" t="n">
        <f aca="false">E219+E220+E221</f>
        <v>0</v>
      </c>
      <c r="F222" s="58" t="n">
        <f aca="false">F219+F220+F221</f>
        <v>0</v>
      </c>
      <c r="G222" s="58" t="n">
        <f aca="false">G219+G220+G221</f>
        <v>0</v>
      </c>
      <c r="H222" s="2" t="s">
        <v>1316</v>
      </c>
    </row>
    <row r="223" customFormat="false" ht="15" hidden="false" customHeight="false" outlineLevel="0" collapsed="false">
      <c r="A223" s="3" t="s">
        <v>1317</v>
      </c>
      <c r="B223" s="4"/>
      <c r="C223" s="4"/>
      <c r="D223" s="4"/>
      <c r="E223" s="4"/>
      <c r="F223" s="4"/>
      <c r="G223" s="4"/>
      <c r="H223" s="4"/>
    </row>
    <row r="224" customFormat="false" ht="15" hidden="false" customHeight="false" outlineLevel="1" collapsed="false">
      <c r="A224" s="7" t="s">
        <v>696</v>
      </c>
      <c r="B224" s="8" t="s">
        <v>10</v>
      </c>
      <c r="C224" s="58" t="n">
        <f aca="false">-C222</f>
        <v>-0</v>
      </c>
      <c r="D224" s="58" t="n">
        <f aca="false">-D222</f>
        <v>-0</v>
      </c>
      <c r="E224" s="58" t="n">
        <f aca="false">-E222</f>
        <v>-0</v>
      </c>
      <c r="F224" s="58" t="n">
        <f aca="false">-F222</f>
        <v>-0</v>
      </c>
      <c r="G224" s="58" t="n">
        <f aca="false">-G222</f>
        <v>-0</v>
      </c>
      <c r="H224" s="2" t="s">
        <v>1318</v>
      </c>
    </row>
    <row r="225" customFormat="false" ht="15" hidden="false" customHeight="false" outlineLevel="1" collapsed="false">
      <c r="A225" s="52" t="s">
        <v>698</v>
      </c>
      <c r="B225" s="53" t="s">
        <v>10</v>
      </c>
      <c r="C225" s="59" t="n">
        <f aca="false">C211+C224</f>
        <v>-736185.940416667</v>
      </c>
      <c r="D225" s="59" t="n">
        <f aca="false">D211+D224</f>
        <v>-770084.71721135</v>
      </c>
      <c r="E225" s="59" t="n">
        <f aca="false">E211+E224</f>
        <v>-835245.084264677</v>
      </c>
      <c r="F225" s="59" t="n">
        <f aca="false">F211+F224</f>
        <v>-906979.973049715</v>
      </c>
      <c r="G225" s="59" t="n">
        <f aca="false">G211+G224</f>
        <v>-953731.492192886</v>
      </c>
      <c r="H225" s="2" t="s">
        <v>1319</v>
      </c>
    </row>
    <row r="226" customFormat="false" ht="15" hidden="false" customHeight="false" outlineLevel="0" collapsed="false">
      <c r="A226" s="3" t="s">
        <v>1320</v>
      </c>
      <c r="B226" s="4"/>
      <c r="C226" s="4"/>
      <c r="D226" s="4"/>
      <c r="E226" s="4"/>
      <c r="F226" s="4"/>
      <c r="G226" s="4"/>
      <c r="H226" s="4"/>
    </row>
    <row r="227" customFormat="false" ht="15" hidden="false" customHeight="false" outlineLevel="1" collapsed="false">
      <c r="A227" s="7" t="s">
        <v>702</v>
      </c>
      <c r="B227" s="8" t="s">
        <v>10</v>
      </c>
      <c r="C227" s="58" t="n">
        <f aca="false">C11*1000*((C27+C30)*C33/365)+C12*1000*((C50+C53)*C56/365)+C13*1000*((C73+C76)*C79/365)</f>
        <v>25794.5205479452</v>
      </c>
      <c r="D227" s="58" t="n">
        <f aca="false">D11*1000*((D27+D30)*D33/365)+D12*1000*((D50+D53)*D56/365)+D13*1000*((D73+D76)*D79/365)</f>
        <v>94212.3287671233</v>
      </c>
      <c r="E227" s="58" t="n">
        <f aca="false">E11*1000*((E27+E30)*E33/365)+E12*1000*((E50+E53)*E56/365)+E13*1000*((E73+E76)*E79/365)</f>
        <v>203527.397260274</v>
      </c>
      <c r="F227" s="58" t="n">
        <f aca="false">F11*1000*((F27+F30)*F33/365)+F12*1000*((F50+F53)*F56/365)+F13*1000*((F73+F76)*F79/365)</f>
        <v>229600</v>
      </c>
      <c r="G227" s="58" t="n">
        <f aca="false">G11*1000*((G27+G30)*G33/365)+G12*1000*((G50+G53)*G56/365)+G13*1000*((G73+G76)*G79/365)</f>
        <v>266508.219178082</v>
      </c>
      <c r="H227" s="2" t="s">
        <v>1321</v>
      </c>
    </row>
    <row r="228" customFormat="false" ht="15" hidden="false" customHeight="false" outlineLevel="1" collapsed="false">
      <c r="A228" s="7" t="s">
        <v>703</v>
      </c>
      <c r="B228" s="8" t="s">
        <v>10</v>
      </c>
      <c r="C228" s="58" t="n">
        <f aca="false">C227+C22*1000*Pressupostos!$C$90*Pressupostos!$C$93/365</f>
        <v>25794.5205479452</v>
      </c>
      <c r="D228" s="58" t="n">
        <f aca="false">D227+D22*1000*Pressupostos!$C$90*Pressupostos!$C$93/365</f>
        <v>94212.3287671233</v>
      </c>
      <c r="E228" s="58" t="n">
        <f aca="false">E227+E22*1000*Pressupostos!$C$90*Pressupostos!$C$93/365</f>
        <v>212157.534246575</v>
      </c>
      <c r="F228" s="58" t="n">
        <f aca="false">F227+F22*1000*Pressupostos!$C$90*Pressupostos!$C$93/365</f>
        <v>246860.273972603</v>
      </c>
      <c r="G228" s="58" t="n">
        <f aca="false">G227+G22*1000*Pressupostos!$C$90*Pressupostos!$C$93/365</f>
        <v>292398.630136986</v>
      </c>
      <c r="H228" s="2" t="s">
        <v>1322</v>
      </c>
    </row>
    <row r="229" customFormat="false" ht="15" hidden="false" customHeight="false" outlineLevel="1" collapsed="false">
      <c r="A229" s="7" t="s">
        <v>704</v>
      </c>
      <c r="B229" s="8" t="s">
        <v>10</v>
      </c>
      <c r="C229" s="58" t="n">
        <f aca="false">C11*1000*(C29*C34/365)+C12*1000*(C52*C57/365)+C13*1000*(C75*C80/365)+C100*Pressupostos!$C$94/365+C102*Pressupostos!$C$80/365</f>
        <v>25126.1917808219</v>
      </c>
      <c r="D229" s="58" t="n">
        <f aca="false">D11*1000*(D29*D34/365)+D12*1000*(D52*D57/365)+D13*1000*(D75*D80/365)+D100*Pressupostos!$C$94/365+D102*Pressupostos!$C$80/365</f>
        <v>94223.8356164384</v>
      </c>
      <c r="E229" s="58" t="n">
        <f aca="false">E11*1000*(E29*E34/365)+E12*1000*(E52*E57/365)+E13*1000*(E75*E80/365)+E100*Pressupostos!$C$94/365+E102*Pressupostos!$C$80/365</f>
        <v>194596.438356164</v>
      </c>
      <c r="F229" s="58" t="n">
        <f aca="false">F11*1000*(F29*F34/365)+F12*1000*(F52*F57/365)+F13*1000*(F75*F80/365)+F100*Pressupostos!$C$94/365+F102*Pressupostos!$C$80/365</f>
        <v>294935.342465753</v>
      </c>
      <c r="G229" s="58" t="n">
        <f aca="false">G11*1000*(G29*G34/365)+G12*1000*(G52*G57/365)+G13*1000*(G75*G80/365)+G100*Pressupostos!$C$94/365+G102*Pressupostos!$C$80/365</f>
        <v>395611.232876712</v>
      </c>
      <c r="H229" s="2" t="s">
        <v>1323</v>
      </c>
    </row>
    <row r="230" customFormat="false" ht="15" hidden="false" customHeight="false" outlineLevel="1" collapsed="false">
      <c r="A230" s="7" t="s">
        <v>705</v>
      </c>
      <c r="B230" s="8" t="s">
        <v>10</v>
      </c>
      <c r="C230" s="58" t="n">
        <f aca="false">C11*1000*((C27+C30)*Pressupostos!$C$70/365)+C12*1000*((C50+C53)*Pressupostos!$C$70/365)+C13*1000*((C73+C76)*Pressupostos!$C$70/365)+C22*1000*Pressupostos!$C$90*Pressupostos!$C$95/365</f>
        <v>13528.7671232877</v>
      </c>
      <c r="D230" s="58" t="n">
        <f aca="false">D11*1000*((D27+D30)*Pressupostos!$C$70/365)+D12*1000*((D50+D53)*Pressupostos!$C$70/365)+D13*1000*((D73+D76)*Pressupostos!$C$70/365)+D22*1000*Pressupostos!$C$90*Pressupostos!$C$95/365</f>
        <v>50720.5479452055</v>
      </c>
      <c r="E230" s="58" t="n">
        <f aca="false">E11*1000*((E27+E30)*Pressupostos!$C$70/365)+E12*1000*((E50+E53)*Pressupostos!$C$70/365)+E13*1000*((E73+E76)*Pressupostos!$C$70/365)+E22*1000*Pressupostos!$C$90*Pressupostos!$C$95/365</f>
        <v>107268.493150685</v>
      </c>
      <c r="F230" s="58" t="n">
        <f aca="false">F11*1000*((F27+F30)*Pressupostos!$C$70/365)+F12*1000*((F50+F53)*Pressupostos!$C$70/365)+F13*1000*((F73+F76)*Pressupostos!$C$70/365)+F22*1000*Pressupostos!$C$90*Pressupostos!$C$95/365</f>
        <v>163824.657534247</v>
      </c>
      <c r="G230" s="58" t="n">
        <f aca="false">G11*1000*((G27+G30)*Pressupostos!$C$70/365)+G12*1000*((G50+G53)*Pressupostos!$C$70/365)+G13*1000*((G73+G76)*Pressupostos!$C$70/365)+G22*1000*Pressupostos!$C$90*Pressupostos!$C$95/365</f>
        <v>220298.630136986</v>
      </c>
      <c r="H230" s="2" t="s">
        <v>1324</v>
      </c>
    </row>
    <row r="231" customFormat="false" ht="15" hidden="false" customHeight="false" outlineLevel="1" collapsed="false">
      <c r="A231" s="52" t="s">
        <v>706</v>
      </c>
      <c r="B231" s="53" t="s">
        <v>10</v>
      </c>
      <c r="C231" s="59" t="n">
        <f aca="false">C228+C229-C230</f>
        <v>37391.9452054795</v>
      </c>
      <c r="D231" s="59" t="n">
        <f aca="false">D228+D229-D230</f>
        <v>137715.616438356</v>
      </c>
      <c r="E231" s="59" t="n">
        <f aca="false">E228+E229-E230</f>
        <v>299485.479452055</v>
      </c>
      <c r="F231" s="59" t="n">
        <f aca="false">F228+F229-F230</f>
        <v>377970.95890411</v>
      </c>
      <c r="G231" s="59" t="n">
        <f aca="false">G228+G229-G230</f>
        <v>467711.232876712</v>
      </c>
      <c r="H231" s="2" t="s">
        <v>1325</v>
      </c>
    </row>
    <row r="232" customFormat="false" ht="15" hidden="false" customHeight="false" outlineLevel="0" collapsed="false">
      <c r="A232" s="3" t="s">
        <v>1326</v>
      </c>
      <c r="B232" s="4"/>
      <c r="C232" s="4"/>
      <c r="D232" s="4"/>
      <c r="E232" s="4"/>
      <c r="F232" s="4"/>
      <c r="G232" s="4"/>
      <c r="H232" s="4"/>
    </row>
    <row r="233" customFormat="false" ht="15" hidden="false" customHeight="false" outlineLevel="1" collapsed="false">
      <c r="A233" s="52" t="s">
        <v>708</v>
      </c>
      <c r="B233" s="53" t="s">
        <v>10</v>
      </c>
      <c r="C233" s="59" t="n">
        <f aca="false">Pressupostos!$C$276*C231/Pressupostos!$C$31</f>
        <v>0</v>
      </c>
      <c r="D233" s="59" t="n">
        <f aca="false">Pressupostos!$D$276*D231/Pressupostos!$C$31</f>
        <v>167226.105675147</v>
      </c>
      <c r="E233" s="59" t="n">
        <f aca="false">Pressupostos!$E$276*E231/Pressupostos!$C$31</f>
        <v>363660.939334638</v>
      </c>
      <c r="F233" s="59" t="n">
        <f aca="false">Pressupostos!$F$276*F231/Pressupostos!$C$31</f>
        <v>458964.735812133</v>
      </c>
      <c r="G233" s="59" t="n">
        <f aca="false">Pressupostos!$G$276*G231/Pressupostos!$C$31</f>
        <v>567935.068493151</v>
      </c>
      <c r="H233" s="2" t="s">
        <v>1327</v>
      </c>
    </row>
    <row r="234" customFormat="false" ht="15" hidden="false" customHeight="false" outlineLevel="1" collapsed="false">
      <c r="A234" s="7" t="s">
        <v>709</v>
      </c>
      <c r="B234" s="8" t="s">
        <v>10</v>
      </c>
      <c r="C234" s="58" t="n">
        <f aca="false">Pressupostos!$C$276*C231</f>
        <v>0</v>
      </c>
      <c r="D234" s="58" t="n">
        <f aca="false">Pressupostos!$D$276*D231</f>
        <v>117058.273972603</v>
      </c>
      <c r="E234" s="58" t="n">
        <f aca="false">Pressupostos!$E$276*E231</f>
        <v>254562.657534247</v>
      </c>
      <c r="F234" s="58" t="n">
        <f aca="false">Pressupostos!$F$276*F231</f>
        <v>321275.315068493</v>
      </c>
      <c r="G234" s="58" t="n">
        <f aca="false">Pressupostos!$G$276*G231</f>
        <v>397554.547945206</v>
      </c>
      <c r="H234" s="2" t="s">
        <v>1328</v>
      </c>
    </row>
    <row r="235" customFormat="false" ht="15" hidden="false" customHeight="false" outlineLevel="1" collapsed="false">
      <c r="A235" s="7" t="s">
        <v>710</v>
      </c>
      <c r="B235" s="8" t="s">
        <v>10</v>
      </c>
      <c r="C235" s="58" t="n">
        <f aca="false">C233-C234</f>
        <v>0</v>
      </c>
      <c r="D235" s="58" t="n">
        <f aca="false">D233-D234</f>
        <v>50167.831702544</v>
      </c>
      <c r="E235" s="58" t="n">
        <f aca="false">E233-E234</f>
        <v>109098.281800391</v>
      </c>
      <c r="F235" s="58" t="n">
        <f aca="false">F233-F234</f>
        <v>137689.42074364</v>
      </c>
      <c r="G235" s="58" t="n">
        <f aca="false">G233-G234</f>
        <v>170380.520547945</v>
      </c>
      <c r="H235" s="2" t="s">
        <v>1329</v>
      </c>
    </row>
    <row r="236" customFormat="false" ht="15" hidden="false" customHeight="false" outlineLevel="1" collapsed="false">
      <c r="A236" s="7" t="s">
        <v>711</v>
      </c>
      <c r="B236" s="8" t="s">
        <v>10</v>
      </c>
      <c r="C236" s="58" t="n">
        <f aca="false">C231-C234</f>
        <v>37391.9452054795</v>
      </c>
      <c r="D236" s="58" t="n">
        <f aca="false">D231-D234</f>
        <v>20657.3424657534</v>
      </c>
      <c r="E236" s="58" t="n">
        <f aca="false">E231-E234</f>
        <v>44922.8219178082</v>
      </c>
      <c r="F236" s="58" t="n">
        <f aca="false">F231-F234</f>
        <v>56695.6438356165</v>
      </c>
      <c r="G236" s="58" t="n">
        <f aca="false">G231-G234</f>
        <v>70156.6849315069</v>
      </c>
      <c r="H236" s="2" t="s">
        <v>1330</v>
      </c>
    </row>
    <row r="237" customFormat="false" ht="15" hidden="false" customHeight="false" outlineLevel="1" collapsed="false">
      <c r="A237" s="7" t="s">
        <v>712</v>
      </c>
      <c r="B237" s="8" t="s">
        <v>10</v>
      </c>
      <c r="C237" s="58" t="n">
        <f aca="false">MAX(0,Pressupostos!$C$106-C236)</f>
        <v>12608.0547945205</v>
      </c>
      <c r="D237" s="58" t="n">
        <f aca="false">MAX(0,Pressupostos!$C$106-D236)</f>
        <v>29342.6575342466</v>
      </c>
      <c r="E237" s="58" t="n">
        <f aca="false">MAX(0,Pressupostos!$C$106-E236)</f>
        <v>5077.17808219176</v>
      </c>
      <c r="F237" s="58" t="n">
        <f aca="false">MAX(0,Pressupostos!$C$106-F236)</f>
        <v>0</v>
      </c>
      <c r="G237" s="58" t="n">
        <f aca="false">MAX(0,Pressupostos!$C$106-G236)</f>
        <v>0</v>
      </c>
      <c r="H237" s="2" t="s">
        <v>1331</v>
      </c>
    </row>
    <row r="238" customFormat="false" ht="15" hidden="false" customHeight="false" outlineLevel="1" collapsed="false">
      <c r="A238" s="7" t="s">
        <v>713</v>
      </c>
      <c r="B238" s="8" t="s">
        <v>10</v>
      </c>
      <c r="C238" s="58" t="n">
        <f aca="false">Pressupostos!$C$107*C233</f>
        <v>0</v>
      </c>
      <c r="D238" s="58" t="n">
        <f aca="false">Pressupostos!$C$107*D233</f>
        <v>8361.30528375734</v>
      </c>
      <c r="E238" s="58" t="n">
        <f aca="false">Pressupostos!$C$107*E233</f>
        <v>18183.0469667319</v>
      </c>
      <c r="F238" s="58" t="n">
        <f aca="false">Pressupostos!$C$107*F233</f>
        <v>22948.2367906067</v>
      </c>
      <c r="G238" s="58" t="n">
        <f aca="false">Pressupostos!$C$107*G233</f>
        <v>28396.7534246575</v>
      </c>
      <c r="H238" s="2" t="s">
        <v>1332</v>
      </c>
    </row>
    <row r="239" customFormat="false" ht="15" hidden="false" customHeight="false" outlineLevel="1" collapsed="false">
      <c r="A239" s="2" t="s">
        <v>714</v>
      </c>
      <c r="B239" s="8" t="s">
        <v>115</v>
      </c>
      <c r="C239" s="58" t="n">
        <f aca="false">C233/Pressupostos!$C$110</f>
        <v>0</v>
      </c>
      <c r="D239" s="58" t="n">
        <f aca="false">D233/Pressupostos!$C$110</f>
        <v>3.34452211350294</v>
      </c>
      <c r="E239" s="58" t="n">
        <f aca="false">E233/Pressupostos!$C$110</f>
        <v>7.27321878669276</v>
      </c>
      <c r="F239" s="58" t="n">
        <f aca="false">F233/Pressupostos!$C$110</f>
        <v>9.17929471624266</v>
      </c>
      <c r="G239" s="58" t="n">
        <f aca="false">G233/Pressupostos!$C$110</f>
        <v>11.358701369863</v>
      </c>
      <c r="H239" s="2" t="s">
        <v>1333</v>
      </c>
    </row>
    <row r="240" customFormat="false" ht="15" hidden="false" customHeight="false" outlineLevel="0" collapsed="false">
      <c r="A240" s="3" t="s">
        <v>1334</v>
      </c>
      <c r="B240" s="4"/>
      <c r="C240" s="4"/>
      <c r="D240" s="4"/>
      <c r="E240" s="4"/>
      <c r="F240" s="4"/>
      <c r="G240" s="4"/>
      <c r="H240" s="4"/>
    </row>
    <row r="241" customFormat="false" ht="15" hidden="false" customHeight="false" outlineLevel="1" collapsed="false">
      <c r="A241" s="7" t="s">
        <v>681</v>
      </c>
      <c r="B241" s="8" t="s">
        <v>10</v>
      </c>
      <c r="C241" s="58" t="n">
        <f aca="false">C207</f>
        <v>-709085.940416667</v>
      </c>
      <c r="D241" s="58" t="n">
        <f aca="false">D207</f>
        <v>-737984.71721135</v>
      </c>
      <c r="E241" s="58" t="n">
        <f aca="false">E207</f>
        <v>-796945.084264677</v>
      </c>
      <c r="F241" s="58" t="n">
        <f aca="false">F207</f>
        <v>-882229.973049715</v>
      </c>
      <c r="G241" s="58" t="n">
        <f aca="false">G207</f>
        <v>-931281.492192886</v>
      </c>
      <c r="H241" s="2" t="s">
        <v>1335</v>
      </c>
    </row>
    <row r="242" customFormat="false" ht="15" hidden="false" customHeight="false" outlineLevel="1" collapsed="false">
      <c r="A242" s="7" t="s">
        <v>716</v>
      </c>
      <c r="B242" s="8" t="s">
        <v>10</v>
      </c>
      <c r="C242" s="58" t="n">
        <f aca="false">-C222</f>
        <v>-0</v>
      </c>
      <c r="D242" s="58" t="n">
        <f aca="false">-D222</f>
        <v>-0</v>
      </c>
      <c r="E242" s="58" t="n">
        <f aca="false">-E222</f>
        <v>-0</v>
      </c>
      <c r="F242" s="58" t="n">
        <f aca="false">-F222</f>
        <v>-0</v>
      </c>
      <c r="G242" s="58" t="n">
        <f aca="false">-G222</f>
        <v>-0</v>
      </c>
      <c r="H242" s="2" t="s">
        <v>1336</v>
      </c>
    </row>
    <row r="243" customFormat="false" ht="15" hidden="false" customHeight="false" outlineLevel="1" collapsed="false">
      <c r="A243" s="7" t="s">
        <v>717</v>
      </c>
      <c r="B243" s="8" t="s">
        <v>10</v>
      </c>
      <c r="C243" s="58" t="n">
        <f aca="false">-C231</f>
        <v>-37391.9452054795</v>
      </c>
      <c r="D243" s="58" t="n">
        <f aca="false">-(D231-C231)</f>
        <v>-100323.671232877</v>
      </c>
      <c r="E243" s="58" t="n">
        <f aca="false">-(E231-D231)</f>
        <v>-161769.863013699</v>
      </c>
      <c r="F243" s="58" t="n">
        <f aca="false">-(F231-E231)</f>
        <v>-78485.4794520549</v>
      </c>
      <c r="G243" s="58" t="n">
        <f aca="false">-(G231-F231)</f>
        <v>-89740.2739726028</v>
      </c>
      <c r="H243" s="2" t="s">
        <v>1337</v>
      </c>
    </row>
    <row r="244" customFormat="false" ht="15" hidden="false" customHeight="false" outlineLevel="1" collapsed="false">
      <c r="A244" s="7" t="s">
        <v>407</v>
      </c>
      <c r="B244" s="8" t="s">
        <v>10</v>
      </c>
      <c r="C244" s="58" t="n">
        <f aca="false">-C192</f>
        <v>-92000</v>
      </c>
      <c r="D244" s="58" t="n">
        <f aca="false">-D192</f>
        <v>-15000</v>
      </c>
      <c r="E244" s="58" t="n">
        <f aca="false">-E192</f>
        <v>-21000</v>
      </c>
      <c r="F244" s="58" t="n">
        <f aca="false">-F192</f>
        <v>-22000</v>
      </c>
      <c r="G244" s="58" t="n">
        <f aca="false">-G192</f>
        <v>-21000</v>
      </c>
      <c r="H244" s="2" t="s">
        <v>1338</v>
      </c>
    </row>
    <row r="245" customFormat="false" ht="15" hidden="false" customHeight="false" outlineLevel="1" collapsed="false">
      <c r="A245" s="7" t="s">
        <v>718</v>
      </c>
      <c r="B245" s="8" t="s">
        <v>10</v>
      </c>
      <c r="C245" s="58" t="n">
        <f aca="false">C241+C242+C243+C244</f>
        <v>-838477.885622146</v>
      </c>
      <c r="D245" s="58" t="n">
        <f aca="false">D241+D242+D243+D244</f>
        <v>-853308.388444227</v>
      </c>
      <c r="E245" s="58" t="n">
        <f aca="false">E241+E242+E243+E244</f>
        <v>-979714.947278376</v>
      </c>
      <c r="F245" s="58" t="n">
        <f aca="false">F241+F242+F243+F244</f>
        <v>-982715.45250177</v>
      </c>
      <c r="G245" s="58" t="n">
        <f aca="false">G241+G242+G243+G244</f>
        <v>-1042021.76616549</v>
      </c>
      <c r="H245" s="2" t="s">
        <v>1339</v>
      </c>
    </row>
    <row r="246" customFormat="false" ht="15" hidden="false" customHeight="false" outlineLevel="1" collapsed="false">
      <c r="A246" s="7" t="s">
        <v>719</v>
      </c>
      <c r="B246" s="8" t="s">
        <v>10</v>
      </c>
      <c r="C246" s="58" t="n">
        <f aca="false">C233</f>
        <v>0</v>
      </c>
      <c r="D246" s="58" t="n">
        <f aca="false">D233-C233</f>
        <v>167226.105675147</v>
      </c>
      <c r="E246" s="58" t="n">
        <f aca="false">E233-D233</f>
        <v>196434.833659491</v>
      </c>
      <c r="F246" s="58" t="n">
        <f aca="false">F233-E233</f>
        <v>95303.7964774952</v>
      </c>
      <c r="G246" s="58" t="n">
        <f aca="false">G233-F233</f>
        <v>108970.332681018</v>
      </c>
      <c r="H246" s="2" t="s">
        <v>1340</v>
      </c>
    </row>
    <row r="247" customFormat="false" ht="15" hidden="false" customHeight="false" outlineLevel="1" collapsed="false">
      <c r="A247" s="7" t="s">
        <v>720</v>
      </c>
      <c r="B247" s="8" t="s">
        <v>10</v>
      </c>
      <c r="C247" s="58" t="n">
        <f aca="false">-C235</f>
        <v>-0</v>
      </c>
      <c r="D247" s="58" t="n">
        <f aca="false">-(D235-C235)</f>
        <v>-50167.831702544</v>
      </c>
      <c r="E247" s="58" t="n">
        <f aca="false">-(E235-D235)</f>
        <v>-58930.4500978474</v>
      </c>
      <c r="F247" s="58" t="n">
        <f aca="false">-(F235-E235)</f>
        <v>-28591.1389432486</v>
      </c>
      <c r="G247" s="58" t="n">
        <f aca="false">-(G235-F235)</f>
        <v>-32691.0998043053</v>
      </c>
      <c r="H247" s="2" t="s">
        <v>1341</v>
      </c>
    </row>
    <row r="248" customFormat="false" ht="15" hidden="false" customHeight="false" outlineLevel="1" collapsed="false">
      <c r="A248" s="7" t="s">
        <v>721</v>
      </c>
      <c r="B248" s="8" t="s">
        <v>10</v>
      </c>
      <c r="C248" s="58" t="n">
        <f aca="false">-C238</f>
        <v>-0</v>
      </c>
      <c r="D248" s="58" t="n">
        <f aca="false">-(D238-C238)</f>
        <v>-8361.30528375734</v>
      </c>
      <c r="E248" s="58" t="n">
        <f aca="false">-(E238-D238)</f>
        <v>-9821.74168297456</v>
      </c>
      <c r="F248" s="58" t="n">
        <f aca="false">-(F238-E238)</f>
        <v>-4765.18982387476</v>
      </c>
      <c r="G248" s="58" t="n">
        <f aca="false">-(G238-F238)</f>
        <v>-5448.51663405088</v>
      </c>
      <c r="H248" s="2" t="s">
        <v>1342</v>
      </c>
    </row>
    <row r="249" customFormat="false" ht="15" hidden="false" customHeight="false" outlineLevel="1" collapsed="false">
      <c r="A249" s="7" t="s">
        <v>722</v>
      </c>
      <c r="B249" s="8" t="s">
        <v>10</v>
      </c>
      <c r="C249" s="58" t="n">
        <f aca="false">-(C237-Pressupostos!$C$106)</f>
        <v>37391.9452054795</v>
      </c>
      <c r="D249" s="58" t="n">
        <f aca="false">-(D237-C237)</f>
        <v>-16734.602739726</v>
      </c>
      <c r="E249" s="58" t="n">
        <f aca="false">-(E237-D237)</f>
        <v>24265.4794520548</v>
      </c>
      <c r="F249" s="58" t="n">
        <f aca="false">-(F237-E237)</f>
        <v>5077.17808219176</v>
      </c>
      <c r="G249" s="58" t="n">
        <f aca="false">-(G237-F237)</f>
        <v>-0</v>
      </c>
      <c r="H249" s="2" t="s">
        <v>1343</v>
      </c>
    </row>
    <row r="250" customFormat="false" ht="15" hidden="false" customHeight="false" outlineLevel="1" collapsed="false">
      <c r="A250" s="52" t="s">
        <v>723</v>
      </c>
      <c r="B250" s="53" t="s">
        <v>10</v>
      </c>
      <c r="C250" s="59" t="n">
        <f aca="false">C245+C246+C247+C248+C249</f>
        <v>-801085.940416667</v>
      </c>
      <c r="D250" s="59" t="n">
        <f aca="false">D245+D246+D247+D248+D249</f>
        <v>-761346.022495108</v>
      </c>
      <c r="E250" s="59" t="n">
        <f aca="false">E245+E246+E247+E248+E249</f>
        <v>-827766.825947652</v>
      </c>
      <c r="F250" s="59" t="n">
        <f aca="false">F245+F246+F247+F248+F249</f>
        <v>-915690.806709206</v>
      </c>
      <c r="G250" s="59" t="n">
        <f aca="false">G245+G246+G247+G248+G249</f>
        <v>-971191.049922827</v>
      </c>
      <c r="H250" s="2" t="s">
        <v>1344</v>
      </c>
    </row>
    <row r="251" customFormat="false" ht="15" hidden="false" customHeight="false" outlineLevel="1" collapsed="false">
      <c r="A251" s="52" t="s">
        <v>724</v>
      </c>
      <c r="B251" s="53" t="s">
        <v>10</v>
      </c>
      <c r="C251" s="59" t="n">
        <f aca="false">C250</f>
        <v>-801085.940416667</v>
      </c>
      <c r="D251" s="59" t="n">
        <f aca="false">C251+D250</f>
        <v>-1562431.96291177</v>
      </c>
      <c r="E251" s="59" t="n">
        <f aca="false">D251+E250</f>
        <v>-2390198.78885943</v>
      </c>
      <c r="F251" s="59" t="n">
        <f aca="false">E251+F250</f>
        <v>-3305889.59556863</v>
      </c>
      <c r="G251" s="59" t="n">
        <f aca="false">F251+G250</f>
        <v>-4277080.64549146</v>
      </c>
      <c r="H251" s="2" t="s">
        <v>1345</v>
      </c>
    </row>
    <row r="252" customFormat="false" ht="15" hidden="false" customHeight="false" outlineLevel="1" collapsed="false">
      <c r="A252" s="8" t="s">
        <v>725</v>
      </c>
      <c r="B252" s="8" t="s">
        <v>10</v>
      </c>
      <c r="C252" s="66" t="n">
        <f aca="false">ROUND(C207-C192-C222-(MAX(C236,Pressupostos!$C$106)-Pressupostos!$C$106)-(C238)-C250,6)</f>
        <v>0</v>
      </c>
      <c r="D252" s="66" t="n">
        <f aca="false">ROUND(D207-D192-D222-(MAX(D236,Pressupostos!$C$106)-MAX(C236,Pressupostos!$C$106))-(D238-C238)-D250,6)</f>
        <v>0</v>
      </c>
      <c r="E252" s="66" t="n">
        <f aca="false">ROUND(E207-E192-E222-(MAX(E236,Pressupostos!$C$106)-MAX(D236,Pressupostos!$C$106))-(E238-D238)-E250,6)</f>
        <v>0</v>
      </c>
      <c r="F252" s="66" t="n">
        <f aca="false">ROUND(F207-F192-F222-(MAX(F236,Pressupostos!$C$106)-MAX(E236,Pressupostos!$C$106))-(F238-E238)-F250,6)</f>
        <v>0</v>
      </c>
      <c r="G252" s="66" t="n">
        <f aca="false">ROUND(G207-G192-G222-(MAX(G236,Pressupostos!$C$106)-MAX(F236,Pressupostos!$C$106))-(G238-F238)-G250,6)</f>
        <v>0</v>
      </c>
      <c r="H252" s="2" t="s">
        <v>1346</v>
      </c>
    </row>
    <row r="253" customFormat="false" ht="15" hidden="false" customHeight="false" outlineLevel="0" collapsed="false">
      <c r="A253" s="3" t="s">
        <v>1347</v>
      </c>
      <c r="B253" s="4"/>
      <c r="C253" s="4"/>
      <c r="D253" s="4"/>
      <c r="E253" s="4"/>
      <c r="F253" s="4"/>
      <c r="G253" s="4"/>
      <c r="H253" s="4"/>
    </row>
    <row r="254" customFormat="false" ht="15" hidden="false" customHeight="false" outlineLevel="1" collapsed="false">
      <c r="A254" s="7" t="s">
        <v>727</v>
      </c>
      <c r="B254" s="8" t="s">
        <v>10</v>
      </c>
      <c r="C254" s="58" t="n">
        <f aca="false">0</f>
        <v>0</v>
      </c>
      <c r="D254" s="58" t="n">
        <f aca="false">C259</f>
        <v>153914.059583333</v>
      </c>
      <c r="E254" s="58" t="n">
        <f aca="false">D259</f>
        <v>150000</v>
      </c>
      <c r="F254" s="58" t="n">
        <f aca="false">E259</f>
        <v>150000</v>
      </c>
      <c r="G254" s="58" t="n">
        <f aca="false">F259</f>
        <v>150000</v>
      </c>
      <c r="H254" s="2" t="s">
        <v>1348</v>
      </c>
    </row>
    <row r="255" customFormat="false" ht="15" hidden="false" customHeight="false" outlineLevel="1" collapsed="false">
      <c r="A255" s="7" t="s">
        <v>728</v>
      </c>
      <c r="B255" s="8" t="s">
        <v>10</v>
      </c>
      <c r="C255" s="58" t="n">
        <f aca="false">-(Pressupostos!$C$157+Pressupostos!$C$158+Pressupostos!$C$159+Pressupostos!$C$160+Pressupostos!$C$161+Pressupostos!$C$106)</f>
        <v>-145000</v>
      </c>
      <c r="D255" s="58" t="n">
        <f aca="false">0</f>
        <v>0</v>
      </c>
      <c r="E255" s="58" t="n">
        <f aca="false">0</f>
        <v>0</v>
      </c>
      <c r="F255" s="58" t="n">
        <f aca="false">0</f>
        <v>0</v>
      </c>
      <c r="G255" s="58" t="n">
        <f aca="false">0</f>
        <v>0</v>
      </c>
      <c r="H255" s="2" t="s">
        <v>1349</v>
      </c>
    </row>
    <row r="256" customFormat="false" ht="15" hidden="false" customHeight="false" outlineLevel="1" collapsed="false">
      <c r="A256" s="7" t="s">
        <v>729</v>
      </c>
      <c r="B256" s="8" t="s">
        <v>10</v>
      </c>
      <c r="C256" s="50" t="n">
        <f aca="false">Pressupostos!$C$32</f>
        <v>1100000</v>
      </c>
      <c r="D256" s="58" t="n">
        <f aca="false">0</f>
        <v>0</v>
      </c>
      <c r="E256" s="58" t="n">
        <f aca="false">0</f>
        <v>0</v>
      </c>
      <c r="F256" s="58" t="n">
        <f aca="false">0</f>
        <v>0</v>
      </c>
      <c r="G256" s="58" t="n">
        <f aca="false">0</f>
        <v>0</v>
      </c>
      <c r="H256" s="2" t="s">
        <v>1350</v>
      </c>
    </row>
    <row r="257" customFormat="false" ht="15" hidden="false" customHeight="false" outlineLevel="1" collapsed="false">
      <c r="A257" s="7" t="s">
        <v>730</v>
      </c>
      <c r="B257" s="8" t="s">
        <v>10</v>
      </c>
      <c r="C257" s="58" t="n">
        <f aca="false">C254+C255+C256+C250</f>
        <v>153914.059583333</v>
      </c>
      <c r="D257" s="58" t="n">
        <f aca="false">D254+D255+D256+D250</f>
        <v>-607431.962911774</v>
      </c>
      <c r="E257" s="58" t="n">
        <f aca="false">E254+E255+E256+E250</f>
        <v>-677766.825947652</v>
      </c>
      <c r="F257" s="58" t="n">
        <f aca="false">F254+F255+F256+F250</f>
        <v>-765690.806709206</v>
      </c>
      <c r="G257" s="58" t="n">
        <f aca="false">G254+G255+G256+G250</f>
        <v>-821191.049922827</v>
      </c>
      <c r="H257" s="2" t="s">
        <v>1351</v>
      </c>
    </row>
    <row r="258" customFormat="false" ht="15" hidden="false" customHeight="false" outlineLevel="1" collapsed="false">
      <c r="A258" s="52" t="s">
        <v>731</v>
      </c>
      <c r="B258" s="53" t="s">
        <v>10</v>
      </c>
      <c r="C258" s="59" t="n">
        <f aca="false">MAX(0,Pressupostos!$C$168-C257)</f>
        <v>0</v>
      </c>
      <c r="D258" s="59" t="n">
        <f aca="false">MAX(0,Pressupostos!$C$168-D257)</f>
        <v>757431.962911774</v>
      </c>
      <c r="E258" s="59" t="n">
        <f aca="false">MAX(0,Pressupostos!$C$168-E257)</f>
        <v>827766.825947652</v>
      </c>
      <c r="F258" s="59" t="n">
        <f aca="false">MAX(0,Pressupostos!$C$168-F257)</f>
        <v>915690.806709206</v>
      </c>
      <c r="G258" s="59" t="n">
        <f aca="false">MAX(0,Pressupostos!$C$168-G257)</f>
        <v>971191.049922827</v>
      </c>
      <c r="H258" s="2" t="s">
        <v>1352</v>
      </c>
    </row>
    <row r="259" customFormat="false" ht="15" hidden="false" customHeight="false" outlineLevel="1" collapsed="false">
      <c r="A259" s="52" t="s">
        <v>732</v>
      </c>
      <c r="B259" s="53" t="s">
        <v>10</v>
      </c>
      <c r="C259" s="59" t="n">
        <f aca="false">C257+C258</f>
        <v>153914.059583333</v>
      </c>
      <c r="D259" s="59" t="n">
        <f aca="false">D257+D258</f>
        <v>150000</v>
      </c>
      <c r="E259" s="59" t="n">
        <f aca="false">E257+E258</f>
        <v>150000</v>
      </c>
      <c r="F259" s="59" t="n">
        <f aca="false">F257+F258</f>
        <v>150000</v>
      </c>
      <c r="G259" s="59" t="n">
        <f aca="false">G257+G258</f>
        <v>150000</v>
      </c>
      <c r="H259" s="2" t="s">
        <v>1353</v>
      </c>
    </row>
    <row r="260" customFormat="false" ht="15" hidden="false" customHeight="false" outlineLevel="1" collapsed="false">
      <c r="A260" s="7" t="s">
        <v>733</v>
      </c>
      <c r="B260" s="8" t="s">
        <v>10</v>
      </c>
      <c r="C260" s="58" t="n">
        <f aca="false">C235+C238+C237</f>
        <v>12608.0547945205</v>
      </c>
      <c r="D260" s="58" t="n">
        <f aca="false">D235+D238+D237</f>
        <v>87871.7945205479</v>
      </c>
      <c r="E260" s="58" t="n">
        <f aca="false">E235+E238+E237</f>
        <v>132358.506849315</v>
      </c>
      <c r="F260" s="58" t="n">
        <f aca="false">F235+F238+F237</f>
        <v>160637.657534247</v>
      </c>
      <c r="G260" s="58" t="n">
        <f aca="false">G235+G238+G237</f>
        <v>198777.273972603</v>
      </c>
      <c r="H260" s="2" t="s">
        <v>1354</v>
      </c>
    </row>
    <row r="261" customFormat="false" ht="15" hidden="false" customHeight="false" outlineLevel="1" collapsed="false">
      <c r="A261" s="7" t="s">
        <v>734</v>
      </c>
      <c r="B261" s="8" t="s">
        <v>10</v>
      </c>
      <c r="C261" s="58" t="n">
        <f aca="false">C259+C260</f>
        <v>166522.114377854</v>
      </c>
      <c r="D261" s="58" t="n">
        <f aca="false">D259+D260</f>
        <v>237871.794520548</v>
      </c>
      <c r="E261" s="58" t="n">
        <f aca="false">E259+E260</f>
        <v>282358.506849315</v>
      </c>
      <c r="F261" s="58" t="n">
        <f aca="false">F259+F260</f>
        <v>310637.657534247</v>
      </c>
      <c r="G261" s="58" t="n">
        <f aca="false">G259+G260</f>
        <v>348777.273972603</v>
      </c>
      <c r="H261" s="2" t="s">
        <v>1355</v>
      </c>
    </row>
    <row r="262" customFormat="false" ht="15" hidden="false" customHeight="false" outlineLevel="1" collapsed="false">
      <c r="A262" s="7" t="s">
        <v>735</v>
      </c>
      <c r="B262" s="8" t="s">
        <v>10</v>
      </c>
      <c r="C262" s="58" t="n">
        <f aca="false">C256+C258</f>
        <v>1100000</v>
      </c>
      <c r="D262" s="58" t="n">
        <f aca="false">C262+D256+D258</f>
        <v>1857431.96291177</v>
      </c>
      <c r="E262" s="58" t="n">
        <f aca="false">D262+E256+E258</f>
        <v>2685198.78885943</v>
      </c>
      <c r="F262" s="58" t="n">
        <f aca="false">E262+F256+F258</f>
        <v>3600889.59556863</v>
      </c>
      <c r="G262" s="58" t="n">
        <f aca="false">F262+G256+G258</f>
        <v>4572080.64549146</v>
      </c>
      <c r="H262" s="2" t="s">
        <v>1356</v>
      </c>
    </row>
    <row r="263" customFormat="false" ht="15" hidden="false" customHeight="false" outlineLevel="0" collapsed="false">
      <c r="A263" s="3" t="s">
        <v>1357</v>
      </c>
      <c r="B263" s="4"/>
      <c r="C263" s="4"/>
      <c r="D263" s="4"/>
      <c r="E263" s="4"/>
      <c r="F263" s="4"/>
      <c r="G263" s="4"/>
      <c r="H263" s="4"/>
    </row>
    <row r="264" customFormat="false" ht="15" hidden="false" customHeight="false" outlineLevel="1" collapsed="false">
      <c r="A264" s="7" t="s">
        <v>739</v>
      </c>
      <c r="B264" s="8" t="s">
        <v>10</v>
      </c>
      <c r="C264" s="68" t="n">
        <f aca="false">Pressupostos!$C$157+Pressupostos!$C$158+Pressupostos!$C$159+Pressupostos!$C$160+Pressupostos!$C$161</f>
        <v>95000</v>
      </c>
      <c r="H264" s="2" t="s">
        <v>1358</v>
      </c>
    </row>
    <row r="265" customFormat="false" ht="15" hidden="false" customHeight="false" outlineLevel="1" collapsed="false">
      <c r="A265" s="7" t="s">
        <v>740</v>
      </c>
      <c r="B265" s="8" t="s">
        <v>10</v>
      </c>
      <c r="C265" s="69" t="n">
        <f aca="false">Pressupostos!$C$106</f>
        <v>50000</v>
      </c>
      <c r="H265" s="2" t="s">
        <v>1359</v>
      </c>
    </row>
    <row r="266" customFormat="false" ht="15" hidden="false" customHeight="false" outlineLevel="1" collapsed="false">
      <c r="A266" s="7" t="s">
        <v>312</v>
      </c>
      <c r="B266" s="8" t="s">
        <v>10</v>
      </c>
      <c r="C266" s="69" t="n">
        <f aca="false">Pressupostos!$C$168</f>
        <v>150000</v>
      </c>
      <c r="H266" s="2" t="s">
        <v>1360</v>
      </c>
    </row>
    <row r="267" customFormat="false" ht="15" hidden="false" customHeight="false" outlineLevel="1" collapsed="false">
      <c r="A267" s="7" t="s">
        <v>741</v>
      </c>
      <c r="B267" s="8" t="s">
        <v>10</v>
      </c>
      <c r="C267" s="68" t="n">
        <f aca="false">MAX(0,-MIN($C$251:$G$251))</f>
        <v>4277080.64549146</v>
      </c>
      <c r="H267" s="2" t="s">
        <v>1361</v>
      </c>
    </row>
    <row r="268" customFormat="false" ht="15" hidden="false" customHeight="false" outlineLevel="1" collapsed="false">
      <c r="A268" s="52" t="s">
        <v>14</v>
      </c>
      <c r="B268" s="53" t="s">
        <v>10</v>
      </c>
      <c r="C268" s="70" t="n">
        <f aca="false">C264+C265+C266+C267</f>
        <v>4572080.64549146</v>
      </c>
      <c r="H268" s="2" t="s">
        <v>1362</v>
      </c>
    </row>
    <row r="269" customFormat="false" ht="15" hidden="false" customHeight="false" outlineLevel="1" collapsed="false">
      <c r="A269" s="7" t="s">
        <v>742</v>
      </c>
      <c r="B269" s="8" t="s">
        <v>18</v>
      </c>
      <c r="C269" s="71" t="n">
        <f aca="false">INDEX($C$8:$G$8,1,MATCH(MIN($C$251:$G$251),$C$251:$G$251,0))</f>
        <v>2031</v>
      </c>
      <c r="H269" s="2" t="s">
        <v>1363</v>
      </c>
    </row>
    <row r="270" customFormat="false" ht="15" hidden="false" customHeight="false" outlineLevel="1" collapsed="false">
      <c r="A270" s="7" t="s">
        <v>743</v>
      </c>
      <c r="B270" s="8"/>
      <c r="C270" s="72" t="str">
        <f aca="false">IF(G250&lt;0,"sim","não")</f>
        <v>sim</v>
      </c>
      <c r="H270" s="2" t="s">
        <v>1364</v>
      </c>
    </row>
    <row r="271" customFormat="false" ht="15" hidden="false" customHeight="false" outlineLevel="1" collapsed="false">
      <c r="A271" s="7" t="s">
        <v>744</v>
      </c>
      <c r="B271" s="8" t="s">
        <v>10</v>
      </c>
      <c r="C271" s="68" t="n">
        <f aca="false">G262</f>
        <v>4572080.64549146</v>
      </c>
      <c r="H271" s="2" t="s">
        <v>1365</v>
      </c>
    </row>
    <row r="272" customFormat="false" ht="15" hidden="false" customHeight="false" outlineLevel="0" collapsed="false">
      <c r="A272" s="3" t="s">
        <v>1366</v>
      </c>
      <c r="B272" s="4"/>
      <c r="C272" s="4"/>
      <c r="D272" s="4"/>
      <c r="E272" s="4"/>
      <c r="F272" s="4"/>
      <c r="G272" s="4"/>
      <c r="H272" s="4"/>
    </row>
    <row r="273" customFormat="false" ht="15" hidden="false" customHeight="false" outlineLevel="1" collapsed="false">
      <c r="A273" s="7" t="s">
        <v>746</v>
      </c>
      <c r="B273" s="8" t="s">
        <v>10</v>
      </c>
      <c r="C273" s="68" t="n">
        <f aca="false">C264+C265</f>
        <v>145000</v>
      </c>
      <c r="H273" s="2" t="s">
        <v>1367</v>
      </c>
    </row>
    <row r="274" customFormat="false" ht="15" hidden="false" customHeight="false" outlineLevel="1" collapsed="false">
      <c r="A274" s="7" t="s">
        <v>747</v>
      </c>
      <c r="B274" s="8" t="s">
        <v>10</v>
      </c>
      <c r="C274" s="68" t="n">
        <f aca="false">-SUMPRODUCT(($C$8:$G$8&lt;=C269)*$C$207:$G$207)</f>
        <v>4057527.2071353</v>
      </c>
      <c r="H274" s="2" t="s">
        <v>1368</v>
      </c>
    </row>
    <row r="275" customFormat="false" ht="15" hidden="false" customHeight="false" outlineLevel="1" collapsed="false">
      <c r="A275" s="7" t="s">
        <v>407</v>
      </c>
      <c r="B275" s="8" t="s">
        <v>10</v>
      </c>
      <c r="C275" s="68" t="n">
        <f aca="false">SUMPRODUCT(($C$8:$G$8&lt;=C269)*$C$192:$G$192)</f>
        <v>171000</v>
      </c>
      <c r="H275" s="2" t="s">
        <v>1369</v>
      </c>
    </row>
    <row r="276" customFormat="false" ht="15" hidden="false" customHeight="false" outlineLevel="1" collapsed="false">
      <c r="A276" s="7" t="s">
        <v>748</v>
      </c>
      <c r="B276" s="8" t="s">
        <v>10</v>
      </c>
      <c r="C276" s="68" t="n">
        <f aca="false">SUMPRODUCT(($C$8:$G$8&lt;=C269)*$C$222:$G$222)</f>
        <v>0</v>
      </c>
      <c r="H276" s="2" t="s">
        <v>1370</v>
      </c>
    </row>
    <row r="277" customFormat="false" ht="15" hidden="false" customHeight="false" outlineLevel="1" collapsed="false">
      <c r="A277" s="7" t="s">
        <v>749</v>
      </c>
      <c r="B277" s="8" t="s">
        <v>10</v>
      </c>
      <c r="C277" s="68" t="n">
        <f aca="false">C267-C274-C275-C276</f>
        <v>48553.4383561648</v>
      </c>
      <c r="H277" s="2" t="s">
        <v>1371</v>
      </c>
    </row>
    <row r="278" customFormat="false" ht="15" hidden="false" customHeight="false" outlineLevel="1" collapsed="false">
      <c r="A278" s="7" t="s">
        <v>312</v>
      </c>
      <c r="B278" s="8" t="s">
        <v>10</v>
      </c>
      <c r="C278" s="68" t="n">
        <f aca="false">C266</f>
        <v>150000</v>
      </c>
      <c r="H278" s="2" t="s">
        <v>1372</v>
      </c>
    </row>
    <row r="279" customFormat="false" ht="15" hidden="false" customHeight="false" outlineLevel="1" collapsed="false">
      <c r="A279" s="52" t="s">
        <v>750</v>
      </c>
      <c r="B279" s="53" t="s">
        <v>10</v>
      </c>
      <c r="C279" s="70" t="n">
        <f aca="false">C273+C274+C275+C276+C277+C278</f>
        <v>4572080.64549146</v>
      </c>
      <c r="H279" s="2" t="s">
        <v>1373</v>
      </c>
    </row>
    <row r="280" customFormat="false" ht="15" hidden="false" customHeight="false" outlineLevel="0" collapsed="false">
      <c r="A280" s="3" t="s">
        <v>1374</v>
      </c>
      <c r="B280" s="4"/>
      <c r="C280" s="4"/>
      <c r="D280" s="4"/>
      <c r="E280" s="4"/>
      <c r="F280" s="4"/>
      <c r="G280" s="4"/>
      <c r="H280" s="4"/>
    </row>
    <row r="281" customFormat="false" ht="15" hidden="false" customHeight="false" outlineLevel="1" collapsed="false">
      <c r="A281" s="7" t="s">
        <v>729</v>
      </c>
      <c r="B281" s="8" t="s">
        <v>10</v>
      </c>
      <c r="C281" s="69" t="n">
        <f aca="false">Pressupostos!$C$32</f>
        <v>1100000</v>
      </c>
      <c r="H281" s="2" t="s">
        <v>1375</v>
      </c>
    </row>
    <row r="282" customFormat="false" ht="15" hidden="false" customHeight="false" outlineLevel="1" collapsed="false">
      <c r="A282" s="7" t="s">
        <v>752</v>
      </c>
      <c r="B282" s="8" t="s">
        <v>10</v>
      </c>
      <c r="C282" s="68" t="n">
        <f aca="false">C264+Pressupostos!$C$106+Pressupostos!$C$128/12*((C168-C156-C157+(C156+C157)/Pressupostos!$C$126*Pressupostos!$C$127)*(1+Pressupostos!$C$122+Pressupostos!$C$123)+C154*Pressupostos!$C$124+C187)+C192+MAX(0,Pressupostos!$C$181*1000*(C27+C30)+Pressupostos!$C$182*1000*(C50+C53)-Pressupostos!$C$106)</f>
        <v>725621.666666667</v>
      </c>
      <c r="H282" s="2" t="s">
        <v>1376</v>
      </c>
    </row>
    <row r="283" customFormat="false" ht="15" hidden="false" customHeight="false" outlineLevel="1" collapsed="false">
      <c r="A283" s="7" t="s">
        <v>754</v>
      </c>
      <c r="B283" s="8" t="s">
        <v>10</v>
      </c>
      <c r="C283" s="68" t="n">
        <f aca="false">C264+Pressupostos!$C$106-C250</f>
        <v>946085.940416667</v>
      </c>
      <c r="H283" s="2" t="s">
        <v>1377</v>
      </c>
    </row>
    <row r="284" customFormat="false" ht="15" hidden="false" customHeight="false" outlineLevel="1" collapsed="false">
      <c r="A284" s="7" t="s">
        <v>755</v>
      </c>
      <c r="B284" s="8" t="s">
        <v>10</v>
      </c>
      <c r="C284" s="58" t="n">
        <f aca="false">Pressupostos!$C$32-C264-Pressupostos!$C$106+C251</f>
        <v>153914.059583333</v>
      </c>
      <c r="D284" s="58" t="n">
        <f aca="false">Pressupostos!$C$32-C264-Pressupostos!$C$106+D251</f>
        <v>-607431.962911774</v>
      </c>
      <c r="E284" s="58" t="n">
        <f aca="false">Pressupostos!$C$32-C264-Pressupostos!$C$106+E251</f>
        <v>-1435198.78885943</v>
      </c>
      <c r="F284" s="58" t="n">
        <f aca="false">Pressupostos!$C$32-C264-Pressupostos!$C$106+F251</f>
        <v>-2350889.59556863</v>
      </c>
      <c r="G284" s="58" t="n">
        <f aca="false">Pressupostos!$C$32-C264-Pressupostos!$C$106+G251</f>
        <v>-3322080.64549146</v>
      </c>
      <c r="H284" s="2" t="s">
        <v>1378</v>
      </c>
    </row>
    <row r="285" customFormat="false" ht="15" hidden="false" customHeight="false" outlineLevel="1" collapsed="false">
      <c r="A285" s="7" t="s">
        <v>756</v>
      </c>
      <c r="B285" s="8" t="s">
        <v>16</v>
      </c>
      <c r="C285" s="73" t="str">
        <f aca="false">IF(AND(Pressupostos!$C$32-C264-Pressupostos!$C$106&gt;0,C284&lt;=0),12*(Pressupostos!$C$32-C264-Pressupostos!$C$106)/(Pressupostos!$C$32-C264-Pressupostos!$C$106-C284),"")</f>
        <v/>
      </c>
      <c r="D285" s="73" t="n">
        <f aca="false">IF(AND(C284&gt;0,D284&lt;=0),12+12*C284/(C284-D284),"")</f>
        <v>14.4259254799113</v>
      </c>
      <c r="E285" s="73" t="str">
        <f aca="false">IF(AND(D284&gt;0,E284&lt;=0),24+12*D284/(D284-E284),"")</f>
        <v/>
      </c>
      <c r="F285" s="73" t="str">
        <f aca="false">IF(AND(E284&gt;0,F284&lt;=0),36+12*E284/(E284-F284),"")</f>
        <v/>
      </c>
      <c r="G285" s="73" t="str">
        <f aca="false">IF(AND(F284&gt;0,G284&lt;=0),48+12*F284/(F284-G284),"")</f>
        <v/>
      </c>
      <c r="H285" s="2" t="s">
        <v>1379</v>
      </c>
    </row>
    <row r="286" customFormat="false" ht="15" hidden="false" customHeight="false" outlineLevel="1" collapsed="false">
      <c r="A286" s="52" t="s">
        <v>757</v>
      </c>
      <c r="B286" s="53" t="s">
        <v>264</v>
      </c>
      <c r="C286" s="74" t="n">
        <f aca="false">IF(COUNT($C$285:$G$285)=0,"&gt; 60",MIN($C$285:$G$285))</f>
        <v>14.4259254799113</v>
      </c>
      <c r="H286" s="2" t="s">
        <v>1380</v>
      </c>
    </row>
    <row r="287" customFormat="false" ht="15" hidden="false" customHeight="false" outlineLevel="0" collapsed="false">
      <c r="A287" s="3" t="s">
        <v>1381</v>
      </c>
      <c r="B287" s="4"/>
      <c r="C287" s="4"/>
      <c r="D287" s="4"/>
      <c r="E287" s="4"/>
      <c r="F287" s="4"/>
      <c r="G287" s="4"/>
      <c r="H287" s="4"/>
    </row>
    <row r="288" customFormat="false" ht="15" hidden="false" customHeight="false" outlineLevel="1" collapsed="false">
      <c r="A288" s="7" t="s">
        <v>759</v>
      </c>
      <c r="B288" s="8" t="s">
        <v>16</v>
      </c>
      <c r="C288" s="73" t="str">
        <f aca="false">IF(C207&gt;=0,1,"")</f>
        <v/>
      </c>
      <c r="D288" s="73" t="str">
        <f aca="false">IF(AND(C207&lt;0,D207&gt;=0),6.5+12*(-C207)/(D207-C207),"")</f>
        <v/>
      </c>
      <c r="E288" s="73" t="str">
        <f aca="false">IF(AND(D207&lt;0,E207&gt;=0),18.5+12*(-D207)/(E207-D207),"")</f>
        <v/>
      </c>
      <c r="F288" s="73" t="str">
        <f aca="false">IF(AND(E207&lt;0,F207&gt;=0),30.5+12*(-E207)/(F207-E207),"")</f>
        <v/>
      </c>
      <c r="G288" s="73" t="str">
        <f aca="false">IF(AND(F207&lt;0,G207&gt;=0),42.5+12*(-F207)/(G207-F207),"")</f>
        <v/>
      </c>
      <c r="H288" s="2" t="s">
        <v>1382</v>
      </c>
    </row>
    <row r="289" customFormat="false" ht="15" hidden="false" customHeight="false" outlineLevel="1" collapsed="false">
      <c r="A289" s="7" t="s">
        <v>760</v>
      </c>
      <c r="B289" s="8" t="s">
        <v>16</v>
      </c>
      <c r="C289" s="75" t="str">
        <f aca="false">IF(COUNT($C$288:$G$288)=0,"não atinge até 2031",ROUNDUP(MIN($C$288:$G$288),0))</f>
        <v>não atinge até 2031</v>
      </c>
      <c r="H289" s="2" t="s">
        <v>1383</v>
      </c>
    </row>
    <row r="290" customFormat="false" ht="15" hidden="false" customHeight="false" outlineLevel="1" collapsed="false">
      <c r="A290" s="52" t="s">
        <v>761</v>
      </c>
      <c r="B290" s="53" t="s">
        <v>762</v>
      </c>
      <c r="C290" s="76" t="str">
        <f aca="false">IF(ISNUMBER(C289),DATE(2027,C289,1),"não atinge até 2031")</f>
        <v>não atinge até 2031</v>
      </c>
      <c r="H290" s="2" t="s">
        <v>1384</v>
      </c>
    </row>
    <row r="291" customFormat="false" ht="15" hidden="false" customHeight="false" outlineLevel="1" collapsed="false">
      <c r="A291" s="7" t="s">
        <v>763</v>
      </c>
      <c r="B291" s="8" t="s">
        <v>18</v>
      </c>
      <c r="C291" s="77" t="str">
        <f aca="false">IF(C207&gt;=0,C8,"")</f>
        <v/>
      </c>
      <c r="D291" s="77" t="str">
        <f aca="false">IF(D207&gt;=0,D8,"")</f>
        <v/>
      </c>
      <c r="E291" s="77" t="str">
        <f aca="false">IF(E207&gt;=0,E8,"")</f>
        <v/>
      </c>
      <c r="F291" s="77" t="str">
        <f aca="false">IF(F207&gt;=0,F8,"")</f>
        <v/>
      </c>
      <c r="G291" s="77" t="str">
        <f aca="false">IF(G207&gt;=0,G8,"")</f>
        <v/>
      </c>
      <c r="H291" s="2" t="s">
        <v>1385</v>
      </c>
    </row>
    <row r="292" customFormat="false" ht="15" hidden="false" customHeight="false" outlineLevel="1" collapsed="false">
      <c r="A292" s="7" t="s">
        <v>764</v>
      </c>
      <c r="B292" s="8" t="s">
        <v>18</v>
      </c>
      <c r="C292" s="71" t="str">
        <f aca="false">IF(COUNT($C$291:$G$291)=0,"não atinge até 2031",MIN($C$291:$G$291))</f>
        <v>não atinge até 2031</v>
      </c>
      <c r="H292" s="2" t="s">
        <v>1386</v>
      </c>
    </row>
    <row r="293" customFormat="false" ht="15" hidden="false" customHeight="false" outlineLevel="1" collapsed="false">
      <c r="A293" s="7" t="s">
        <v>765</v>
      </c>
      <c r="B293" s="8" t="s">
        <v>18</v>
      </c>
      <c r="C293" s="77" t="str">
        <f aca="false">IF(C225&gt;=0,C8,"")</f>
        <v/>
      </c>
      <c r="D293" s="77" t="str">
        <f aca="false">IF(D225&gt;=0,D8,"")</f>
        <v/>
      </c>
      <c r="E293" s="77" t="str">
        <f aca="false">IF(E225&gt;=0,E8,"")</f>
        <v/>
      </c>
      <c r="F293" s="77" t="str">
        <f aca="false">IF(F225&gt;=0,F8,"")</f>
        <v/>
      </c>
      <c r="G293" s="77" t="str">
        <f aca="false">IF(G225&gt;=0,G8,"")</f>
        <v/>
      </c>
      <c r="H293" s="2" t="s">
        <v>1387</v>
      </c>
    </row>
    <row r="294" customFormat="false" ht="15" hidden="false" customHeight="false" outlineLevel="1" collapsed="false">
      <c r="A294" s="7" t="s">
        <v>766</v>
      </c>
      <c r="B294" s="8" t="s">
        <v>18</v>
      </c>
      <c r="C294" s="71" t="str">
        <f aca="false">IF(COUNT($C$293:$G$293)=0,"não atinge até 2031",MIN($C$293:$G$293))</f>
        <v>não atinge até 2031</v>
      </c>
      <c r="H294" s="2" t="s">
        <v>1388</v>
      </c>
    </row>
    <row r="295" customFormat="false" ht="15" hidden="false" customHeight="false" outlineLevel="1" collapsed="false">
      <c r="A295" s="7" t="s">
        <v>767</v>
      </c>
      <c r="B295" s="8" t="s">
        <v>18</v>
      </c>
      <c r="C295" s="77" t="str">
        <f aca="false">IF(C250&gt;=0,C8,"")</f>
        <v/>
      </c>
      <c r="D295" s="77" t="str">
        <f aca="false">IF(D250&gt;=0,D8,"")</f>
        <v/>
      </c>
      <c r="E295" s="77" t="str">
        <f aca="false">IF(E250&gt;=0,E8,"")</f>
        <v/>
      </c>
      <c r="F295" s="77" t="str">
        <f aca="false">IF(F250&gt;=0,F8,"")</f>
        <v/>
      </c>
      <c r="G295" s="77" t="str">
        <f aca="false">IF(G250&gt;=0,G8,"")</f>
        <v/>
      </c>
      <c r="H295" s="2" t="s">
        <v>1389</v>
      </c>
    </row>
    <row r="296" customFormat="false" ht="15" hidden="false" customHeight="false" outlineLevel="1" collapsed="false">
      <c r="A296" s="7" t="s">
        <v>17</v>
      </c>
      <c r="B296" s="8" t="s">
        <v>18</v>
      </c>
      <c r="C296" s="71" t="str">
        <f aca="false">IF(COUNT($C$295:$G$295)=0,"não atinge até 2031",MIN($C$295:$G$295))</f>
        <v>não atinge até 2031</v>
      </c>
      <c r="H296" s="2" t="s">
        <v>1390</v>
      </c>
    </row>
    <row r="297" customFormat="false" ht="15" hidden="false" customHeight="false" outlineLevel="0" collapsed="false">
      <c r="A297" s="3" t="s">
        <v>1391</v>
      </c>
      <c r="B297" s="4"/>
      <c r="C297" s="4"/>
      <c r="D297" s="4"/>
      <c r="E297" s="4"/>
      <c r="F297" s="4"/>
      <c r="G297" s="4"/>
      <c r="H297" s="4"/>
    </row>
    <row r="298" customFormat="false" ht="15" hidden="false" customHeight="false" outlineLevel="1" collapsed="false">
      <c r="A298" s="7" t="s">
        <v>769</v>
      </c>
      <c r="B298" s="8" t="s">
        <v>10</v>
      </c>
      <c r="C298" s="58" t="n">
        <f aca="false">C233</f>
        <v>0</v>
      </c>
      <c r="D298" s="58" t="n">
        <f aca="false">D233</f>
        <v>167226.105675147</v>
      </c>
      <c r="E298" s="58" t="n">
        <f aca="false">E233</f>
        <v>363660.939334638</v>
      </c>
      <c r="F298" s="58" t="n">
        <f aca="false">F233</f>
        <v>458964.735812133</v>
      </c>
      <c r="G298" s="58" t="n">
        <f aca="false">G233</f>
        <v>567935.068493151</v>
      </c>
      <c r="H298" s="2" t="s">
        <v>1392</v>
      </c>
    </row>
    <row r="299" customFormat="false" ht="15" hidden="false" customHeight="false" outlineLevel="1" collapsed="false">
      <c r="A299" s="7" t="s">
        <v>487</v>
      </c>
      <c r="B299" s="8" t="s">
        <v>71</v>
      </c>
      <c r="C299" s="78" t="n">
        <f aca="false">Pressupostos!$C$282</f>
        <v>0.09</v>
      </c>
      <c r="D299" s="78" t="n">
        <f aca="false">Pressupostos!$D$282</f>
        <v>0.09</v>
      </c>
      <c r="E299" s="78" t="n">
        <f aca="false">Pressupostos!$E$282</f>
        <v>0.09</v>
      </c>
      <c r="F299" s="78" t="n">
        <f aca="false">Pressupostos!$F$282</f>
        <v>0.09</v>
      </c>
      <c r="G299" s="78" t="n">
        <f aca="false">Pressupostos!$G$282</f>
        <v>0.09</v>
      </c>
      <c r="H299" s="2" t="s">
        <v>1393</v>
      </c>
    </row>
    <row r="300" customFormat="false" ht="15" hidden="false" customHeight="false" outlineLevel="1" collapsed="false">
      <c r="A300" s="7" t="s">
        <v>770</v>
      </c>
      <c r="B300" s="8" t="s">
        <v>71</v>
      </c>
      <c r="C300" s="56" t="n">
        <f aca="false">Pressupostos!$C$282*(1-Pressupostos!$C$109)</f>
        <v>0.0648</v>
      </c>
      <c r="D300" s="56" t="n">
        <f aca="false">Pressupostos!$D$282*(1-Pressupostos!$C$109)</f>
        <v>0.0648</v>
      </c>
      <c r="E300" s="56" t="n">
        <f aca="false">Pressupostos!$E$282*(1-Pressupostos!$C$109)</f>
        <v>0.0648</v>
      </c>
      <c r="F300" s="56" t="n">
        <f aca="false">Pressupostos!$F$282*(1-Pressupostos!$C$109)</f>
        <v>0.0648</v>
      </c>
      <c r="G300" s="56" t="n">
        <f aca="false">Pressupostos!$G$282*(1-Pressupostos!$C$109)</f>
        <v>0.0648</v>
      </c>
      <c r="H300" s="2" t="s">
        <v>1394</v>
      </c>
    </row>
    <row r="301" customFormat="false" ht="15" hidden="false" customHeight="false" outlineLevel="1" collapsed="false">
      <c r="A301" s="7" t="s">
        <v>771</v>
      </c>
      <c r="B301" s="8" t="s">
        <v>10</v>
      </c>
      <c r="C301" s="58" t="n">
        <f aca="false">C139</f>
        <v>0</v>
      </c>
      <c r="D301" s="58" t="n">
        <f aca="false">D139</f>
        <v>14651.1722113503</v>
      </c>
      <c r="E301" s="58" t="n">
        <f aca="false">E139</f>
        <v>31789.5675146771</v>
      </c>
      <c r="F301" s="58" t="n">
        <f aca="false">F139</f>
        <v>39818.9236790607</v>
      </c>
      <c r="G301" s="58" t="n">
        <f aca="false">G139</f>
        <v>49150.7260273973</v>
      </c>
      <c r="H301" s="2" t="s">
        <v>1395</v>
      </c>
    </row>
    <row r="302" customFormat="false" ht="15" hidden="false" customHeight="false" outlineLevel="1" collapsed="false">
      <c r="A302" s="7" t="s">
        <v>772</v>
      </c>
      <c r="B302" s="8" t="s">
        <v>71</v>
      </c>
      <c r="C302" s="55" t="n">
        <f aca="false">IF(C233&gt;0,(C236+C238)/C233,0)</f>
        <v>0</v>
      </c>
      <c r="D302" s="55" t="n">
        <f aca="false">IF(D233&gt;0,(D236+D238)/D233,0)</f>
        <v>0.173529411764706</v>
      </c>
      <c r="E302" s="55" t="n">
        <f aca="false">IF(E233&gt;0,(E236+E238)/E233,0)</f>
        <v>0.173529411764706</v>
      </c>
      <c r="F302" s="55" t="n">
        <f aca="false">IF(F233&gt;0,(F236+F238)/F233,0)</f>
        <v>0.173529411764706</v>
      </c>
      <c r="G302" s="55" t="n">
        <f aca="false">IF(G233&gt;0,(G236+G238)/G233,0)</f>
        <v>0.173529411764706</v>
      </c>
      <c r="H302" s="2" t="s">
        <v>1396</v>
      </c>
    </row>
    <row r="303" customFormat="false" ht="15" hidden="false" customHeight="false" outlineLevel="1" collapsed="false">
      <c r="A303" s="7" t="s">
        <v>773</v>
      </c>
      <c r="B303" s="8" t="s">
        <v>115</v>
      </c>
      <c r="C303" s="58" t="n">
        <f aca="false">C239</f>
        <v>0</v>
      </c>
      <c r="D303" s="58" t="n">
        <f aca="false">D239</f>
        <v>3.34452211350294</v>
      </c>
      <c r="E303" s="58" t="n">
        <f aca="false">E239</f>
        <v>7.27321878669276</v>
      </c>
      <c r="F303" s="58" t="n">
        <f aca="false">F239</f>
        <v>9.17929471624266</v>
      </c>
      <c r="G303" s="58" t="n">
        <f aca="false">G239</f>
        <v>11.358701369863</v>
      </c>
      <c r="H303" s="2" t="s">
        <v>1397</v>
      </c>
    </row>
    <row r="304" customFormat="false" ht="15" hidden="false" customHeight="false" outlineLevel="0" collapsed="false">
      <c r="A304" s="3" t="s">
        <v>1398</v>
      </c>
      <c r="B304" s="4"/>
      <c r="C304" s="4"/>
      <c r="D304" s="4"/>
      <c r="E304" s="4"/>
      <c r="F304" s="4"/>
      <c r="G304" s="4"/>
      <c r="H304" s="4"/>
    </row>
    <row r="305" customFormat="false" ht="15" hidden="false" customHeight="false" outlineLevel="1" collapsed="false">
      <c r="A305" s="7" t="s">
        <v>775</v>
      </c>
      <c r="B305" s="8" t="s">
        <v>10</v>
      </c>
      <c r="C305" s="58" t="n">
        <f aca="false">MAX(0,-C207)</f>
        <v>709085.940416667</v>
      </c>
      <c r="D305" s="58" t="n">
        <f aca="false">MAX(0,-D207)</f>
        <v>737984.71721135</v>
      </c>
      <c r="E305" s="58" t="n">
        <f aca="false">MAX(0,-E207)</f>
        <v>796945.084264677</v>
      </c>
      <c r="F305" s="58" t="n">
        <f aca="false">MAX(0,-F207)</f>
        <v>882229.973049715</v>
      </c>
      <c r="G305" s="58" t="n">
        <f aca="false">MAX(0,-G207)</f>
        <v>931281.492192886</v>
      </c>
      <c r="H305" s="2" t="s">
        <v>1399</v>
      </c>
    </row>
    <row r="306" customFormat="false" ht="15" hidden="false" customHeight="false" outlineLevel="1" collapsed="false">
      <c r="A306" s="2" t="s">
        <v>776</v>
      </c>
      <c r="B306" s="8"/>
      <c r="C306" s="58" t="n">
        <f aca="false">IF(AND(C8&gt;=Pressupostos!$C$118,Pressupostos!$C$116*(C96+C97)+Pressupostos!$C$117*C98&gt;Pressupostos!$C$294),1,0)</f>
        <v>0</v>
      </c>
      <c r="D306" s="58" t="n">
        <f aca="false">IF(AND(D8&gt;=Pressupostos!$C$118,Pressupostos!$C$116*(D96+D97)+Pressupostos!$C$117*D98&gt;Pressupostos!$D$294),1,0)</f>
        <v>1</v>
      </c>
      <c r="E306" s="58" t="n">
        <f aca="false">IF(AND(E8&gt;=Pressupostos!$C$118,Pressupostos!$C$116*(E96+E97)+Pressupostos!$C$117*E98&gt;Pressupostos!$E$294),1,0)</f>
        <v>1</v>
      </c>
      <c r="F306" s="58" t="n">
        <f aca="false">IF(AND(F8&gt;=Pressupostos!$C$118,Pressupostos!$C$116*(F96+F97)+Pressupostos!$C$117*F98&gt;Pressupostos!$F$294),1,0)</f>
        <v>1</v>
      </c>
      <c r="G306" s="58" t="n">
        <f aca="false">IF(AND(G8&gt;=Pressupostos!$C$118,Pressupostos!$C$116*(G96+G97)+Pressupostos!$C$117*G98&gt;Pressupostos!$G$294),1,0)</f>
        <v>1</v>
      </c>
      <c r="H306" s="2" t="s">
        <v>1400</v>
      </c>
    </row>
    <row r="307" customFormat="false" ht="15" hidden="false" customHeight="false" outlineLevel="1" collapsed="false">
      <c r="A307" s="7" t="s">
        <v>777</v>
      </c>
      <c r="B307" s="8" t="s">
        <v>59</v>
      </c>
      <c r="C307" s="60" t="n">
        <f aca="false">IF(C12&gt;0,C305/(C12*1000*(1-Pressupostos!$C$22)*(1-Pressupostos!$C$25-C306*Pressupostos!$C$116)),"n/a")</f>
        <v>20.9602701867179</v>
      </c>
      <c r="D307" s="60" t="n">
        <f aca="false">IF(D12&gt;0,D305/(D12*1000*(1-Pressupostos!$C$22)*(1-Pressupostos!$C$25-D306*Pressupostos!$C$116)),"n/a")</f>
        <v>5.77276666127982</v>
      </c>
      <c r="E307" s="60" t="n">
        <f aca="false">IF(E12&gt;0,E305/(E12*1000*(1-Pressupostos!$C$22)*(1-Pressupostos!$C$25-E306*Pressupostos!$C$116)),"n/a")</f>
        <v>3.22964951334978</v>
      </c>
      <c r="F307" s="60" t="n">
        <f aca="false">IF(F12&gt;0,F305/(F12*1000*(1-Pressupostos!$C$22)*(1-Pressupostos!$C$25-F306*Pressupostos!$C$116)),"n/a")</f>
        <v>2.4191362837541</v>
      </c>
      <c r="G307" s="60" t="n">
        <f aca="false">IF(G12&gt;0,G305/(G12*1000*(1-Pressupostos!$C$22)*(1-Pressupostos!$C$25-G306*Pressupostos!$C$116)),"n/a")</f>
        <v>1.89082322835679</v>
      </c>
      <c r="H307" s="2" t="s">
        <v>1401</v>
      </c>
    </row>
    <row r="308" customFormat="false" ht="15" hidden="false" customHeight="false" outlineLevel="1" collapsed="false">
      <c r="A308" s="7" t="s">
        <v>778</v>
      </c>
      <c r="B308" s="8" t="s">
        <v>59</v>
      </c>
      <c r="C308" s="60" t="n">
        <f aca="false">IF(C11&gt;0,Pressupostos!$C$15+C305/(C11*1000*(1-Pressupostos!$C$16)*(1-Pressupostos!$C$18-C306*Pressupostos!$C$116)),"n/a")</f>
        <v>137.771180633338</v>
      </c>
      <c r="D308" s="60" t="n">
        <f aca="false">IF(D11&gt;0,Pressupostos!$C$15+D305/(D11*1000*(1-Pressupostos!$C$16)*(1-Pressupostos!$C$18-D306*Pressupostos!$C$116)),"n/a")</f>
        <v>44.9210631927763</v>
      </c>
      <c r="E308" s="60" t="n">
        <f aca="false">IF(E11&gt;0,Pressupostos!$C$15+E305/(E11*1000*(1-Pressupostos!$C$16)*(1-Pressupostos!$C$18-E306*Pressupostos!$C$116)),"n/a")</f>
        <v>22.9735202443412</v>
      </c>
      <c r="F308" s="60" t="n">
        <f aca="false">IF(F11&gt;0,Pressupostos!$C$15+F305/(F11*1000*(1-Pressupostos!$C$16)*(1-Pressupostos!$C$18-F306*Pressupostos!$C$116)),"n/a")</f>
        <v>17.4995300386442</v>
      </c>
      <c r="G308" s="60" t="n">
        <f aca="false">IF(G11&gt;0,Pressupostos!$C$15+G305/(G11*1000*(1-Pressupostos!$C$16)*(1-Pressupostos!$C$18-G306*Pressupostos!$C$116)),"n/a")</f>
        <v>15.5682049992891</v>
      </c>
      <c r="H308" s="2" t="s">
        <v>1402</v>
      </c>
    </row>
    <row r="309" customFormat="false" ht="15" hidden="false" customHeight="false" outlineLevel="1" collapsed="false">
      <c r="A309" s="7" t="s">
        <v>779</v>
      </c>
      <c r="B309" s="8" t="s">
        <v>59</v>
      </c>
      <c r="C309" s="60" t="n">
        <f aca="false">C92-C306*Pressupostos!$C$117*C75</f>
        <v>0.058762328767124</v>
      </c>
      <c r="D309" s="60" t="n">
        <f aca="false">D92-D306*Pressupostos!$C$117*D75</f>
        <v>0.0200239726027406</v>
      </c>
      <c r="E309" s="60" t="n">
        <f aca="false">E92-E306*Pressupostos!$C$117*E75</f>
        <v>0.0200239726027406</v>
      </c>
      <c r="F309" s="60" t="n">
        <f aca="false">F92-F306*Pressupostos!$C$117*F75</f>
        <v>0.0200239726027406</v>
      </c>
      <c r="G309" s="60" t="n">
        <f aca="false">G92-G306*Pressupostos!$C$117*G75</f>
        <v>0.0200239726027406</v>
      </c>
      <c r="H309" s="2" t="s">
        <v>1403</v>
      </c>
    </row>
    <row r="310" customFormat="false" ht="15" hidden="false" customHeight="false" outlineLevel="1" collapsed="false">
      <c r="A310" s="7" t="s">
        <v>780</v>
      </c>
      <c r="B310" s="8" t="s">
        <v>112</v>
      </c>
      <c r="C310" s="57" t="n">
        <f aca="false">IF(C309&gt;0,C13+C305/(C309*1000),"n/a")</f>
        <v>12067.0156423988</v>
      </c>
      <c r="D310" s="57" t="n">
        <f aca="false">IF(D309&gt;0,D13+D305/(D309*1000),"n/a")</f>
        <v>36855.0602746204</v>
      </c>
      <c r="E310" s="57" t="n">
        <f aca="false">IF(E309&gt;0,E13+E305/(E309*1000),"n/a")</f>
        <v>39799.5492740339</v>
      </c>
      <c r="F310" s="57" t="n">
        <f aca="false">IF(F309&gt;0,F13+F305/(F309*1000),"n/a")</f>
        <v>44058.6885805552</v>
      </c>
      <c r="G310" s="57" t="n">
        <f aca="false">IF(G309&gt;0,G13+G305/(G309*1000),"n/a")</f>
        <v>46508.3283256904</v>
      </c>
      <c r="H310" s="2" t="s">
        <v>1404</v>
      </c>
    </row>
    <row r="311" customFormat="false" ht="15" hidden="false" customHeight="false" outlineLevel="1" collapsed="false">
      <c r="A311" s="7" t="s">
        <v>781</v>
      </c>
      <c r="B311" s="8" t="s">
        <v>71</v>
      </c>
      <c r="C311" s="55" t="n">
        <f aca="false">C305/(C171+C184+C185)</f>
        <v>1.00538837982846</v>
      </c>
      <c r="D311" s="55" t="n">
        <f aca="false">D305/(D171+D184+D185)</f>
        <v>1.04580966842201</v>
      </c>
      <c r="E311" s="55" t="n">
        <f aca="false">E305/(E171+E184+E185)</f>
        <v>1.07992319384213</v>
      </c>
      <c r="F311" s="55" t="n">
        <f aca="false">F305/(F171+F184+F185)</f>
        <v>1.09011110307003</v>
      </c>
      <c r="G311" s="55" t="n">
        <f aca="false">G305/(G171+G184+G185)</f>
        <v>1.1062324534101</v>
      </c>
      <c r="H311" s="2" t="s">
        <v>1405</v>
      </c>
    </row>
    <row r="312" customFormat="false" ht="15" hidden="false" customHeight="false" outlineLevel="1" collapsed="false">
      <c r="A312" s="2" t="s">
        <v>782</v>
      </c>
      <c r="B312" s="8" t="s">
        <v>71</v>
      </c>
      <c r="C312" s="56" t="n">
        <f aca="false">Pressupostos!$C$99*Pressupostos!$C$100+Pressupostos!$C$101-Pressupostos!$C$30*Pressupostos!$C$102*Pressupostos!$C$100/(Pressupostos!$C$103*Pressupostos!$C$104)</f>
        <v>0.00354285714285715</v>
      </c>
      <c r="D312" s="56" t="n">
        <f aca="false">Pressupostos!$C$99*Pressupostos!$C$100+Pressupostos!$C$101-Pressupostos!$C$30*Pressupostos!$C$102*Pressupostos!$C$100/(Pressupostos!$C$103*Pressupostos!$C$104)</f>
        <v>0.00354285714285715</v>
      </c>
      <c r="E312" s="56" t="n">
        <f aca="false">Pressupostos!$C$99*Pressupostos!$C$100+Pressupostos!$C$101-Pressupostos!$C$30*Pressupostos!$C$102*Pressupostos!$C$100/(Pressupostos!$C$103*Pressupostos!$C$104)</f>
        <v>0.00354285714285715</v>
      </c>
      <c r="F312" s="56" t="n">
        <f aca="false">Pressupostos!$C$99*Pressupostos!$C$100+Pressupostos!$C$101-Pressupostos!$C$30*Pressupostos!$C$102*Pressupostos!$C$100/(Pressupostos!$C$103*Pressupostos!$C$104)</f>
        <v>0.00354285714285715</v>
      </c>
      <c r="G312" s="56" t="n">
        <f aca="false">Pressupostos!$C$99*Pressupostos!$C$100+Pressupostos!$C$101-Pressupostos!$C$30*Pressupostos!$C$102*Pressupostos!$C$100/(Pressupostos!$C$103*Pressupostos!$C$104)</f>
        <v>0.00354285714285715</v>
      </c>
      <c r="H312" s="2" t="s">
        <v>1406</v>
      </c>
    </row>
    <row r="313" customFormat="false" ht="15" hidden="false" customHeight="false" outlineLevel="1" collapsed="false">
      <c r="A313" s="7" t="s">
        <v>783</v>
      </c>
      <c r="B313" s="8" t="s">
        <v>10</v>
      </c>
      <c r="C313" s="58" t="n">
        <f aca="false">IF(C312&gt;0,C24+C305/C312,"n/a")</f>
        <v>200145225.117607</v>
      </c>
      <c r="D313" s="58" t="n">
        <f aca="false">IF(D312&gt;0,D24+D305/D312,"n/a")</f>
        <v>208302137.922558</v>
      </c>
      <c r="E313" s="58" t="n">
        <f aca="false">IF(E312&gt;0,E24+E305/E312,"n/a")</f>
        <v>224944177.010191</v>
      </c>
      <c r="F313" s="58" t="n">
        <f aca="false">IF(F312&gt;0,F24+F305/F312,"n/a")</f>
        <v>249516524.651129</v>
      </c>
      <c r="G313" s="58" t="n">
        <f aca="false">IF(G312&gt;0,G24+G305/G312,"n/a")</f>
        <v>263861711.506056</v>
      </c>
      <c r="H313" s="2" t="s">
        <v>1407</v>
      </c>
    </row>
    <row r="316" customFormat="false" ht="15" hidden="false" customHeight="false" outlineLevel="0" collapsed="false">
      <c r="A316" s="104" t="s">
        <v>1408</v>
      </c>
      <c r="B316" s="105"/>
      <c r="C316" s="105"/>
      <c r="D316" s="105"/>
      <c r="E316" s="105"/>
      <c r="F316" s="105"/>
      <c r="G316" s="105"/>
      <c r="H316" s="105"/>
    </row>
    <row r="317" customFormat="false" ht="15" hidden="false" customHeight="false" outlineLevel="0" collapsed="false">
      <c r="A317" s="3" t="s">
        <v>1102</v>
      </c>
      <c r="B317" s="4"/>
      <c r="C317" s="4"/>
      <c r="D317" s="4"/>
      <c r="E317" s="4"/>
      <c r="F317" s="4"/>
      <c r="G317" s="4"/>
      <c r="H317" s="4"/>
    </row>
    <row r="318" customFormat="false" ht="15" hidden="false" customHeight="false" outlineLevel="1" collapsed="false">
      <c r="A318" s="7" t="s">
        <v>557</v>
      </c>
      <c r="B318" s="8"/>
      <c r="C318" s="49" t="n">
        <v>2027</v>
      </c>
      <c r="D318" s="49" t="n">
        <v>2028</v>
      </c>
      <c r="E318" s="49" t="n">
        <v>2029</v>
      </c>
      <c r="F318" s="49" t="n">
        <v>2030</v>
      </c>
      <c r="G318" s="49" t="n">
        <v>2031</v>
      </c>
      <c r="H318" s="2" t="s">
        <v>18</v>
      </c>
    </row>
    <row r="319" customFormat="false" ht="15" hidden="false" customHeight="false" outlineLevel="0" collapsed="false">
      <c r="A319" s="3" t="s">
        <v>1103</v>
      </c>
      <c r="B319" s="4"/>
      <c r="C319" s="4"/>
      <c r="D319" s="4"/>
      <c r="E319" s="4"/>
      <c r="F319" s="4"/>
      <c r="G319" s="4"/>
      <c r="H319" s="4"/>
    </row>
    <row r="320" customFormat="false" ht="15" hidden="false" customHeight="false" outlineLevel="1" collapsed="false">
      <c r="A320" s="7" t="s">
        <v>372</v>
      </c>
      <c r="B320" s="8" t="s">
        <v>115</v>
      </c>
      <c r="C320" s="50" t="n">
        <f aca="false">Pressupostos!$C$208</f>
        <v>40</v>
      </c>
      <c r="D320" s="50" t="n">
        <f aca="false">Pressupostos!$D$208</f>
        <v>180</v>
      </c>
      <c r="E320" s="50" t="n">
        <f aca="false">Pressupostos!$E$208</f>
        <v>650</v>
      </c>
      <c r="F320" s="50" t="n">
        <f aca="false">Pressupostos!$F$208</f>
        <v>1300</v>
      </c>
      <c r="G320" s="50" t="n">
        <f aca="false">Pressupostos!$G$208</f>
        <v>2000</v>
      </c>
      <c r="H320" s="2" t="s">
        <v>1104</v>
      </c>
    </row>
    <row r="321" customFormat="false" ht="15" hidden="false" customHeight="false" outlineLevel="1" collapsed="false">
      <c r="A321" s="7" t="s">
        <v>559</v>
      </c>
      <c r="B321" s="8" t="s">
        <v>112</v>
      </c>
      <c r="C321" s="51" t="n">
        <f aca="false">Pressupostos!$C$214</f>
        <v>8</v>
      </c>
      <c r="D321" s="51" t="n">
        <f aca="false">Pressupostos!$D$214</f>
        <v>37</v>
      </c>
      <c r="E321" s="51" t="n">
        <f aca="false">Pressupostos!$E$214</f>
        <v>133</v>
      </c>
      <c r="F321" s="51" t="n">
        <f aca="false">Pressupostos!$F$214</f>
        <v>267</v>
      </c>
      <c r="G321" s="51" t="n">
        <f aca="false">Pressupostos!$G$214</f>
        <v>410</v>
      </c>
      <c r="H321" s="2" t="s">
        <v>1105</v>
      </c>
    </row>
    <row r="322" customFormat="false" ht="15" hidden="false" customHeight="false" outlineLevel="1" collapsed="false">
      <c r="A322" s="7" t="s">
        <v>560</v>
      </c>
      <c r="B322" s="8" t="s">
        <v>112</v>
      </c>
      <c r="C322" s="51" t="n">
        <f aca="false">Pressupostos!$C$220</f>
        <v>52</v>
      </c>
      <c r="D322" s="51" t="n">
        <f aca="false">Pressupostos!$D$220</f>
        <v>363</v>
      </c>
      <c r="E322" s="51" t="n">
        <f aca="false">Pressupostos!$E$220</f>
        <v>717</v>
      </c>
      <c r="F322" s="51" t="n">
        <f aca="false">Pressupostos!$F$220</f>
        <v>1183</v>
      </c>
      <c r="G322" s="51" t="n">
        <f aca="false">Pressupostos!$G$220</f>
        <v>1790</v>
      </c>
      <c r="H322" s="2" t="s">
        <v>1106</v>
      </c>
    </row>
    <row r="323" customFormat="false" ht="15" hidden="false" customHeight="false" outlineLevel="1" collapsed="false">
      <c r="A323" s="7" t="s">
        <v>383</v>
      </c>
      <c r="B323" s="8" t="s">
        <v>112</v>
      </c>
      <c r="C323" s="51" t="n">
        <f aca="false">Pressupostos!$C$226</f>
        <v>0</v>
      </c>
      <c r="D323" s="51" t="n">
        <f aca="false">Pressupostos!$D$226</f>
        <v>0</v>
      </c>
      <c r="E323" s="51" t="n">
        <f aca="false">Pressupostos!$E$226</f>
        <v>0</v>
      </c>
      <c r="F323" s="51" t="n">
        <f aca="false">Pressupostos!$F$226</f>
        <v>0</v>
      </c>
      <c r="G323" s="51" t="n">
        <f aca="false">Pressupostos!$G$226</f>
        <v>0</v>
      </c>
      <c r="H323" s="2" t="s">
        <v>1107</v>
      </c>
    </row>
    <row r="324" customFormat="false" ht="15" hidden="false" customHeight="false" outlineLevel="1" collapsed="false">
      <c r="A324" s="52" t="s">
        <v>561</v>
      </c>
      <c r="B324" s="53" t="s">
        <v>112</v>
      </c>
      <c r="C324" s="54" t="n">
        <f aca="false">C321+C322+C323</f>
        <v>60</v>
      </c>
      <c r="D324" s="54" t="n">
        <f aca="false">D321+D322+D323</f>
        <v>400</v>
      </c>
      <c r="E324" s="54" t="n">
        <f aca="false">E321+E322+E323</f>
        <v>850</v>
      </c>
      <c r="F324" s="54" t="n">
        <f aca="false">F321+F322+F323</f>
        <v>1450</v>
      </c>
      <c r="G324" s="54" t="n">
        <f aca="false">G321+G322+G323</f>
        <v>2200</v>
      </c>
      <c r="H324" s="2" t="s">
        <v>1108</v>
      </c>
    </row>
    <row r="325" customFormat="false" ht="15" hidden="false" customHeight="false" outlineLevel="1" collapsed="false">
      <c r="A325" s="7" t="s">
        <v>562</v>
      </c>
      <c r="B325" s="8" t="s">
        <v>71</v>
      </c>
      <c r="C325" s="55" t="n">
        <f aca="false">IF(C324&gt;0,C321/C324,0)</f>
        <v>0.133333333333333</v>
      </c>
      <c r="D325" s="55" t="n">
        <f aca="false">IF(D324&gt;0,D321/D324,0)</f>
        <v>0.0925</v>
      </c>
      <c r="E325" s="55" t="n">
        <f aca="false">IF(E324&gt;0,E321/E324,0)</f>
        <v>0.156470588235294</v>
      </c>
      <c r="F325" s="55" t="n">
        <f aca="false">IF(F324&gt;0,F321/F324,0)</f>
        <v>0.184137931034483</v>
      </c>
      <c r="G325" s="55" t="n">
        <f aca="false">IF(G324&gt;0,G321/G324,0)</f>
        <v>0.186363636363636</v>
      </c>
      <c r="H325" s="2" t="s">
        <v>1109</v>
      </c>
    </row>
    <row r="326" customFormat="false" ht="15" hidden="false" customHeight="false" outlineLevel="1" collapsed="false">
      <c r="A326" s="7" t="s">
        <v>563</v>
      </c>
      <c r="B326" s="8" t="s">
        <v>71</v>
      </c>
      <c r="C326" s="56" t="n">
        <f aca="false">C324/(Pressupostos!$C$74*1000)</f>
        <v>0.000342857142857143</v>
      </c>
      <c r="D326" s="56" t="n">
        <f aca="false">D324/(Pressupostos!$C$74*1000)</f>
        <v>0.00228571428571429</v>
      </c>
      <c r="E326" s="56" t="n">
        <f aca="false">E324/(Pressupostos!$C$74*1000)</f>
        <v>0.00485714285714286</v>
      </c>
      <c r="F326" s="56" t="n">
        <f aca="false">F324/(Pressupostos!$C$74*1000)</f>
        <v>0.00828571428571429</v>
      </c>
      <c r="G326" s="56" t="n">
        <f aca="false">G324/(Pressupostos!$C$74*1000)</f>
        <v>0.0125714285714286</v>
      </c>
      <c r="H326" s="2" t="s">
        <v>1110</v>
      </c>
    </row>
    <row r="327" customFormat="false" ht="15" hidden="false" customHeight="false" outlineLevel="1" collapsed="false">
      <c r="A327" s="7" t="s">
        <v>564</v>
      </c>
      <c r="B327" s="8" t="s">
        <v>115</v>
      </c>
      <c r="C327" s="57" t="n">
        <f aca="false">C321/Pressupostos!$C$39+C322/Pressupostos!$C$46+C323/Pressupostos!$C$58</f>
        <v>2.13333333333333</v>
      </c>
      <c r="D327" s="57" t="n">
        <f aca="false">D321/Pressupostos!$C$39+D322/Pressupostos!$C$46+D323/Pressupostos!$C$58</f>
        <v>13.95</v>
      </c>
      <c r="E327" s="57" t="n">
        <f aca="false">E321/Pressupostos!$C$39+E322/Pressupostos!$C$46+E323/Pressupostos!$C$58</f>
        <v>30.55</v>
      </c>
      <c r="F327" s="57" t="n">
        <f aca="false">F321/Pressupostos!$C$39+F322/Pressupostos!$C$46+F323/Pressupostos!$C$58</f>
        <v>52.7833333333333</v>
      </c>
      <c r="G327" s="57" t="n">
        <f aca="false">G321/Pressupostos!$C$39+G322/Pressupostos!$C$46+G323/Pressupostos!$C$58</f>
        <v>80.1666666666667</v>
      </c>
      <c r="H327" s="2" t="s">
        <v>1111</v>
      </c>
    </row>
    <row r="328" customFormat="false" ht="15" hidden="false" customHeight="false" outlineLevel="0" collapsed="false">
      <c r="A328" s="3" t="s">
        <v>1112</v>
      </c>
      <c r="B328" s="4"/>
      <c r="C328" s="4"/>
      <c r="D328" s="4"/>
      <c r="E328" s="4"/>
      <c r="F328" s="4"/>
      <c r="G328" s="4"/>
      <c r="H328" s="4"/>
    </row>
    <row r="329" customFormat="false" ht="15" hidden="false" customHeight="false" outlineLevel="1" collapsed="false">
      <c r="A329" s="7" t="s">
        <v>566</v>
      </c>
      <c r="B329" s="8" t="s">
        <v>192</v>
      </c>
      <c r="C329" s="50" t="n">
        <f aca="false">Pressupostos!$C$252</f>
        <v>150</v>
      </c>
      <c r="D329" s="50" t="n">
        <f aca="false">Pressupostos!$D$252</f>
        <v>600</v>
      </c>
      <c r="E329" s="50" t="n">
        <f aca="false">Pressupostos!$E$252</f>
        <v>1000</v>
      </c>
      <c r="F329" s="50" t="n">
        <f aca="false">Pressupostos!$F$252</f>
        <v>1400</v>
      </c>
      <c r="G329" s="50" t="n">
        <f aca="false">Pressupostos!$G$252</f>
        <v>1800</v>
      </c>
      <c r="H329" s="2" t="s">
        <v>1113</v>
      </c>
    </row>
    <row r="330" customFormat="false" ht="15" hidden="false" customHeight="false" outlineLevel="1" collapsed="false">
      <c r="A330" s="7" t="s">
        <v>566</v>
      </c>
      <c r="B330" s="8" t="s">
        <v>179</v>
      </c>
      <c r="C330" s="58" t="n">
        <f aca="false">C329*Pressupostos!$C$76</f>
        <v>112500</v>
      </c>
      <c r="D330" s="58" t="n">
        <f aca="false">D329*Pressupostos!$C$76</f>
        <v>450000</v>
      </c>
      <c r="E330" s="58" t="n">
        <f aca="false">E329*Pressupostos!$C$76</f>
        <v>750000</v>
      </c>
      <c r="F330" s="58" t="n">
        <f aca="false">F329*Pressupostos!$C$76</f>
        <v>1050000</v>
      </c>
      <c r="G330" s="58" t="n">
        <f aca="false">G329*Pressupostos!$C$76</f>
        <v>1350000</v>
      </c>
      <c r="H330" s="2" t="s">
        <v>1114</v>
      </c>
    </row>
    <row r="331" customFormat="false" ht="15" hidden="false" customHeight="false" outlineLevel="0" collapsed="false">
      <c r="A331" s="3" t="s">
        <v>1115</v>
      </c>
      <c r="B331" s="4"/>
      <c r="C331" s="4"/>
      <c r="D331" s="4"/>
      <c r="E331" s="4"/>
      <c r="F331" s="4"/>
      <c r="G331" s="4"/>
      <c r="H331" s="4"/>
    </row>
    <row r="332" customFormat="false" ht="15" hidden="false" customHeight="false" outlineLevel="1" collapsed="false">
      <c r="A332" s="7" t="s">
        <v>568</v>
      </c>
      <c r="B332" s="8" t="s">
        <v>112</v>
      </c>
      <c r="C332" s="57" t="n">
        <f aca="false">IF(C318&lt;Pressupostos!$D$28,0,Pressupostos!$C$258)</f>
        <v>0</v>
      </c>
      <c r="D332" s="57" t="n">
        <f aca="false">IF(D318&lt;Pressupostos!$D$28,0,Pressupostos!$D$258)</f>
        <v>0</v>
      </c>
      <c r="E332" s="57" t="n">
        <f aca="false">IF(E318&lt;Pressupostos!$D$28,0,Pressupostos!$E$258)</f>
        <v>30</v>
      </c>
      <c r="F332" s="57" t="n">
        <f aca="false">IF(F318&lt;Pressupostos!$D$28,0,Pressupostos!$F$258)</f>
        <v>60</v>
      </c>
      <c r="G332" s="57" t="n">
        <f aca="false">IF(G318&lt;Pressupostos!$D$28,0,Pressupostos!$G$258)</f>
        <v>100</v>
      </c>
      <c r="H332" s="2" t="s">
        <v>1116</v>
      </c>
    </row>
    <row r="333" customFormat="false" ht="15" hidden="false" customHeight="false" outlineLevel="0" collapsed="false">
      <c r="A333" s="3" t="s">
        <v>1117</v>
      </c>
      <c r="B333" s="4"/>
      <c r="C333" s="4"/>
      <c r="D333" s="4"/>
      <c r="E333" s="4"/>
      <c r="F333" s="4"/>
      <c r="G333" s="4"/>
      <c r="H333" s="4"/>
    </row>
    <row r="334" customFormat="false" ht="15" hidden="false" customHeight="false" outlineLevel="1" collapsed="false">
      <c r="A334" s="7" t="s">
        <v>570</v>
      </c>
      <c r="B334" s="8" t="s">
        <v>10</v>
      </c>
      <c r="C334" s="50" t="n">
        <f aca="false">Pressupostos!$C$264</f>
        <v>0</v>
      </c>
      <c r="D334" s="50" t="n">
        <f aca="false">Pressupostos!$D$264</f>
        <v>500000</v>
      </c>
      <c r="E334" s="50" t="n">
        <f aca="false">Pressupostos!$E$264</f>
        <v>1500000</v>
      </c>
      <c r="F334" s="50" t="n">
        <f aca="false">Pressupostos!$F$264</f>
        <v>3000000</v>
      </c>
      <c r="G334" s="50" t="n">
        <f aca="false">Pressupostos!$G$264</f>
        <v>5000000</v>
      </c>
      <c r="H334" s="2" t="s">
        <v>1118</v>
      </c>
    </row>
    <row r="335" customFormat="false" ht="15" hidden="false" customHeight="false" outlineLevel="1" collapsed="false">
      <c r="A335" s="7" t="s">
        <v>571</v>
      </c>
      <c r="B335" s="8" t="s">
        <v>112</v>
      </c>
      <c r="C335" s="57" t="n">
        <f aca="false">C334/(Pressupostos!$C$103*Pressupostos!$C$104)*Pressupostos!$C$100/1000</f>
        <v>0</v>
      </c>
      <c r="D335" s="57" t="n">
        <f aca="false">D334/(Pressupostos!$C$103*Pressupostos!$C$104)*Pressupostos!$C$100/1000</f>
        <v>457.142857142857</v>
      </c>
      <c r="E335" s="57" t="n">
        <f aca="false">E334/(Pressupostos!$C$103*Pressupostos!$C$104)*Pressupostos!$C$100/1000</f>
        <v>1371.42857142857</v>
      </c>
      <c r="F335" s="57" t="n">
        <f aca="false">F334/(Pressupostos!$C$103*Pressupostos!$C$104)*Pressupostos!$C$100/1000</f>
        <v>2742.85714285714</v>
      </c>
      <c r="G335" s="57" t="n">
        <f aca="false">G334/(Pressupostos!$C$103*Pressupostos!$C$104)*Pressupostos!$C$100/1000</f>
        <v>4571.42857142857</v>
      </c>
      <c r="H335" s="2" t="s">
        <v>1119</v>
      </c>
    </row>
    <row r="336" customFormat="false" ht="15" hidden="false" customHeight="false" outlineLevel="0" collapsed="false">
      <c r="A336" s="3" t="s">
        <v>1120</v>
      </c>
      <c r="B336" s="4"/>
      <c r="C336" s="4"/>
      <c r="D336" s="4"/>
      <c r="E336" s="4"/>
      <c r="F336" s="4"/>
      <c r="G336" s="4"/>
      <c r="H336" s="4"/>
    </row>
    <row r="337" customFormat="false" ht="15" hidden="false" customHeight="false" outlineLevel="1" collapsed="false">
      <c r="A337" s="7" t="s">
        <v>633</v>
      </c>
      <c r="B337" s="8" t="s">
        <v>59</v>
      </c>
      <c r="C337" s="60" t="n">
        <f aca="false">Pressupostos!$D$10+Pressupostos!$D$11</f>
        <v>3.6</v>
      </c>
      <c r="D337" s="60" t="n">
        <f aca="false">Pressupostos!$D$10+Pressupostos!$D$11</f>
        <v>3.6</v>
      </c>
      <c r="E337" s="60" t="n">
        <f aca="false">Pressupostos!$D$10+Pressupostos!$D$11</f>
        <v>3.6</v>
      </c>
      <c r="F337" s="60" t="n">
        <f aca="false">Pressupostos!$D$10+Pressupostos!$D$11</f>
        <v>3.6</v>
      </c>
      <c r="G337" s="60" t="n">
        <f aca="false">Pressupostos!$D$10+Pressupostos!$D$11</f>
        <v>3.6</v>
      </c>
      <c r="H337" s="2" t="s">
        <v>1121</v>
      </c>
    </row>
    <row r="338" customFormat="false" ht="15" hidden="false" customHeight="false" outlineLevel="1" collapsed="false">
      <c r="A338" s="7" t="s">
        <v>634</v>
      </c>
      <c r="B338" s="8" t="s">
        <v>59</v>
      </c>
      <c r="C338" s="63" t="n">
        <f aca="false">Pressupostos!$D$15</f>
        <v>5.65</v>
      </c>
      <c r="D338" s="63" t="n">
        <f aca="false">Pressupostos!$D$15</f>
        <v>5.65</v>
      </c>
      <c r="E338" s="63" t="n">
        <f aca="false">Pressupostos!$D$15</f>
        <v>5.65</v>
      </c>
      <c r="F338" s="63" t="n">
        <f aca="false">Pressupostos!$D$15</f>
        <v>5.65</v>
      </c>
      <c r="G338" s="63" t="n">
        <f aca="false">Pressupostos!$D$15</f>
        <v>5.65</v>
      </c>
      <c r="H338" s="2" t="s">
        <v>1122</v>
      </c>
    </row>
    <row r="339" customFormat="false" ht="15" hidden="false" customHeight="false" outlineLevel="1" collapsed="false">
      <c r="A339" s="52" t="s">
        <v>635</v>
      </c>
      <c r="B339" s="53" t="s">
        <v>59</v>
      </c>
      <c r="C339" s="64" t="n">
        <f aca="false">C338*(1-Pressupostos!$D$16)</f>
        <v>5.085</v>
      </c>
      <c r="D339" s="64" t="n">
        <f aca="false">D338*(1-Pressupostos!$D$16)</f>
        <v>5.085</v>
      </c>
      <c r="E339" s="64" t="n">
        <f aca="false">E338*(1-Pressupostos!$D$16)</f>
        <v>5.085</v>
      </c>
      <c r="F339" s="64" t="n">
        <f aca="false">F338*(1-Pressupostos!$D$16)</f>
        <v>5.085</v>
      </c>
      <c r="G339" s="64" t="n">
        <f aca="false">G338*(1-Pressupostos!$D$16)</f>
        <v>5.085</v>
      </c>
      <c r="H339" s="2" t="s">
        <v>1123</v>
      </c>
    </row>
    <row r="340" customFormat="false" ht="15" hidden="false" customHeight="false" outlineLevel="1" collapsed="false">
      <c r="A340" s="7" t="s">
        <v>136</v>
      </c>
      <c r="B340" s="8" t="s">
        <v>59</v>
      </c>
      <c r="C340" s="63" t="n">
        <f aca="false">Pressupostos!$C$37</f>
        <v>0.55</v>
      </c>
      <c r="D340" s="63" t="n">
        <f aca="false">Pressupostos!$C$37</f>
        <v>0.55</v>
      </c>
      <c r="E340" s="63" t="n">
        <f aca="false">Pressupostos!$C$37</f>
        <v>0.55</v>
      </c>
      <c r="F340" s="63" t="n">
        <f aca="false">Pressupostos!$C$37</f>
        <v>0.55</v>
      </c>
      <c r="G340" s="63" t="n">
        <f aca="false">Pressupostos!$C$37</f>
        <v>0.55</v>
      </c>
      <c r="H340" s="2" t="s">
        <v>1124</v>
      </c>
    </row>
    <row r="341" customFormat="false" ht="15" hidden="false" customHeight="false" outlineLevel="1" collapsed="false">
      <c r="A341" s="7" t="s">
        <v>205</v>
      </c>
      <c r="B341" s="8" t="s">
        <v>59</v>
      </c>
      <c r="C341" s="63" t="n">
        <f aca="false">Pressupostos!$C$233</f>
        <v>0.3</v>
      </c>
      <c r="D341" s="63" t="n">
        <f aca="false">Pressupostos!$D$233</f>
        <v>0.3</v>
      </c>
      <c r="E341" s="63" t="n">
        <f aca="false">Pressupostos!$E$233</f>
        <v>0.28</v>
      </c>
      <c r="F341" s="63" t="n">
        <f aca="false">Pressupostos!$F$233</f>
        <v>0.27</v>
      </c>
      <c r="G341" s="63" t="n">
        <f aca="false">Pressupostos!$G$233</f>
        <v>0.27</v>
      </c>
      <c r="H341" s="2" t="s">
        <v>1125</v>
      </c>
    </row>
    <row r="342" customFormat="false" ht="15" hidden="false" customHeight="false" outlineLevel="1" collapsed="false">
      <c r="A342" s="7" t="s">
        <v>109</v>
      </c>
      <c r="B342" s="8" t="s">
        <v>59</v>
      </c>
      <c r="C342" s="63" t="n">
        <f aca="false">Pressupostos!$C$38</f>
        <v>0.06</v>
      </c>
      <c r="D342" s="63" t="n">
        <f aca="false">Pressupostos!$C$38</f>
        <v>0.06</v>
      </c>
      <c r="E342" s="63" t="n">
        <f aca="false">Pressupostos!$C$38</f>
        <v>0.06</v>
      </c>
      <c r="F342" s="63" t="n">
        <f aca="false">Pressupostos!$C$38</f>
        <v>0.06</v>
      </c>
      <c r="G342" s="63" t="n">
        <f aca="false">Pressupostos!$C$38</f>
        <v>0.06</v>
      </c>
      <c r="H342" s="2" t="s">
        <v>1126</v>
      </c>
    </row>
    <row r="343" customFormat="false" ht="15" hidden="false" customHeight="false" outlineLevel="1" collapsed="false">
      <c r="A343" s="7" t="s">
        <v>86</v>
      </c>
      <c r="B343" s="8" t="s">
        <v>74</v>
      </c>
      <c r="C343" s="65" t="n">
        <f aca="false">Pressupostos!$C$239</f>
        <v>180</v>
      </c>
      <c r="D343" s="65" t="n">
        <f aca="false">Pressupostos!$D$239</f>
        <v>180</v>
      </c>
      <c r="E343" s="65" t="n">
        <f aca="false">Pressupostos!$E$239</f>
        <v>45</v>
      </c>
      <c r="F343" s="65" t="n">
        <f aca="false">Pressupostos!$F$239</f>
        <v>45</v>
      </c>
      <c r="G343" s="65" t="n">
        <f aca="false">Pressupostos!$G$239</f>
        <v>45</v>
      </c>
      <c r="H343" s="2" t="s">
        <v>1127</v>
      </c>
    </row>
    <row r="344" customFormat="false" ht="15" hidden="false" customHeight="false" outlineLevel="1" collapsed="false">
      <c r="A344" s="7" t="s">
        <v>73</v>
      </c>
      <c r="B344" s="8" t="s">
        <v>74</v>
      </c>
      <c r="C344" s="65" t="n">
        <f aca="false">Pressupostos!$D$17</f>
        <v>35</v>
      </c>
      <c r="D344" s="65" t="n">
        <f aca="false">Pressupostos!$D$17</f>
        <v>35</v>
      </c>
      <c r="E344" s="65" t="n">
        <f aca="false">Pressupostos!$D$17</f>
        <v>35</v>
      </c>
      <c r="F344" s="65" t="n">
        <f aca="false">Pressupostos!$D$17</f>
        <v>35</v>
      </c>
      <c r="G344" s="65" t="n">
        <f aca="false">Pressupostos!$D$17</f>
        <v>35</v>
      </c>
      <c r="H344" s="2" t="s">
        <v>1128</v>
      </c>
    </row>
    <row r="345" customFormat="false" ht="15" hidden="false" customHeight="false" outlineLevel="1" collapsed="false">
      <c r="A345" s="7" t="s">
        <v>471</v>
      </c>
      <c r="B345" s="8" t="s">
        <v>59</v>
      </c>
      <c r="C345" s="60" t="n">
        <f aca="false">Pressupostos!$C$64*C343/30/1000</f>
        <v>0.024</v>
      </c>
      <c r="D345" s="60" t="n">
        <f aca="false">Pressupostos!$C$64*D343/30/1000</f>
        <v>0.024</v>
      </c>
      <c r="E345" s="60" t="n">
        <f aca="false">Pressupostos!$C$64*E343/30/1000</f>
        <v>0.006</v>
      </c>
      <c r="F345" s="60" t="n">
        <f aca="false">Pressupostos!$C$64*F343/30/1000</f>
        <v>0.006</v>
      </c>
      <c r="G345" s="60" t="n">
        <f aca="false">Pressupostos!$C$64*G343/30/1000</f>
        <v>0.006</v>
      </c>
      <c r="H345" s="2" t="s">
        <v>1129</v>
      </c>
    </row>
    <row r="346" customFormat="false" ht="15" hidden="false" customHeight="false" outlineLevel="1" collapsed="false">
      <c r="A346" s="7" t="s">
        <v>154</v>
      </c>
      <c r="B346" s="8" t="s">
        <v>59</v>
      </c>
      <c r="C346" s="60" t="n">
        <f aca="false">C337*Pressupostos!$C$65*C343/365</f>
        <v>0.00355068493150685</v>
      </c>
      <c r="D346" s="60" t="n">
        <f aca="false">D337*Pressupostos!$C$65*D343/365</f>
        <v>0.00355068493150685</v>
      </c>
      <c r="E346" s="60" t="n">
        <f aca="false">E337*Pressupostos!$C$65*E343/365</f>
        <v>0.000887671232876712</v>
      </c>
      <c r="F346" s="60" t="n">
        <f aca="false">F337*Pressupostos!$C$65*F343/365</f>
        <v>0.000887671232876712</v>
      </c>
      <c r="G346" s="60" t="n">
        <f aca="false">G337*Pressupostos!$C$65*G343/365</f>
        <v>0.000887671232876712</v>
      </c>
      <c r="H346" s="2" t="s">
        <v>1130</v>
      </c>
    </row>
    <row r="347" customFormat="false" ht="15" hidden="false" customHeight="false" outlineLevel="1" collapsed="false">
      <c r="A347" s="7" t="s">
        <v>636</v>
      </c>
      <c r="B347" s="8" t="s">
        <v>59</v>
      </c>
      <c r="C347" s="60" t="n">
        <f aca="false">Pressupostos!$C$40*Pressupostos!$C$66/(Pressupostos!$C$39*1000)</f>
        <v>0.03</v>
      </c>
      <c r="D347" s="60" t="n">
        <f aca="false">Pressupostos!$C$40*Pressupostos!$C$66/(Pressupostos!$C$39*1000)</f>
        <v>0.03</v>
      </c>
      <c r="E347" s="60" t="n">
        <f aca="false">Pressupostos!$C$40*Pressupostos!$C$66/(Pressupostos!$C$39*1000)</f>
        <v>0.03</v>
      </c>
      <c r="F347" s="60" t="n">
        <f aca="false">Pressupostos!$C$40*Pressupostos!$C$66/(Pressupostos!$C$39*1000)</f>
        <v>0.03</v>
      </c>
      <c r="G347" s="60" t="n">
        <f aca="false">Pressupostos!$C$40*Pressupostos!$C$66/(Pressupostos!$C$39*1000)</f>
        <v>0.03</v>
      </c>
      <c r="H347" s="2" t="s">
        <v>1131</v>
      </c>
    </row>
    <row r="348" customFormat="false" ht="15" hidden="false" customHeight="false" outlineLevel="1" collapsed="false">
      <c r="A348" s="7" t="s">
        <v>473</v>
      </c>
      <c r="B348" s="8" t="s">
        <v>59</v>
      </c>
      <c r="C348" s="60" t="n">
        <f aca="false">Pressupostos!$C$67*C337</f>
        <v>0.018</v>
      </c>
      <c r="D348" s="60" t="n">
        <f aca="false">Pressupostos!$C$67*D337</f>
        <v>0.018</v>
      </c>
      <c r="E348" s="60" t="n">
        <f aca="false">Pressupostos!$C$67*E337</f>
        <v>0.018</v>
      </c>
      <c r="F348" s="60" t="n">
        <f aca="false">Pressupostos!$C$67*F337</f>
        <v>0.018</v>
      </c>
      <c r="G348" s="60" t="n">
        <f aca="false">Pressupostos!$C$67*G337</f>
        <v>0.018</v>
      </c>
      <c r="H348" s="2" t="s">
        <v>1132</v>
      </c>
    </row>
    <row r="349" customFormat="false" ht="15" hidden="false" customHeight="false" outlineLevel="1" collapsed="false">
      <c r="A349" s="7" t="s">
        <v>474</v>
      </c>
      <c r="B349" s="8" t="s">
        <v>59</v>
      </c>
      <c r="C349" s="60" t="n">
        <f aca="false">Pressupostos!$C$68*Pressupostos!$C$69*C343/90</f>
        <v>0.018</v>
      </c>
      <c r="D349" s="60" t="n">
        <f aca="false">Pressupostos!$C$68*Pressupostos!$C$69*D343/90</f>
        <v>0.018</v>
      </c>
      <c r="E349" s="60" t="n">
        <f aca="false">Pressupostos!$C$68*Pressupostos!$C$69*E343/90</f>
        <v>0.0045</v>
      </c>
      <c r="F349" s="60" t="n">
        <f aca="false">Pressupostos!$C$68*Pressupostos!$C$69*F343/90</f>
        <v>0.0045</v>
      </c>
      <c r="G349" s="60" t="n">
        <f aca="false">Pressupostos!$C$68*Pressupostos!$C$69*G343/90</f>
        <v>0.0045</v>
      </c>
      <c r="H349" s="2" t="s">
        <v>1133</v>
      </c>
    </row>
    <row r="350" customFormat="false" ht="15" hidden="false" customHeight="false" outlineLevel="1" collapsed="false">
      <c r="A350" s="7" t="s">
        <v>637</v>
      </c>
      <c r="B350" s="8" t="s">
        <v>59</v>
      </c>
      <c r="C350" s="60" t="n">
        <f aca="false">Pressupostos!$C$41/(Pressupostos!$C$39*1000)</f>
        <v>0.1</v>
      </c>
      <c r="D350" s="60" t="n">
        <f aca="false">Pressupostos!$C$41/(Pressupostos!$C$39*1000)</f>
        <v>0.1</v>
      </c>
      <c r="E350" s="60" t="n">
        <f aca="false">Pressupostos!$C$41/(Pressupostos!$C$39*1000)</f>
        <v>0.1</v>
      </c>
      <c r="F350" s="60" t="n">
        <f aca="false">Pressupostos!$C$41/(Pressupostos!$C$39*1000)</f>
        <v>0.1</v>
      </c>
      <c r="G350" s="60" t="n">
        <f aca="false">Pressupostos!$C$41/(Pressupostos!$C$39*1000)</f>
        <v>0.1</v>
      </c>
      <c r="H350" s="2" t="s">
        <v>1134</v>
      </c>
    </row>
    <row r="351" customFormat="false" ht="15" hidden="false" customHeight="false" outlineLevel="1" collapsed="false">
      <c r="A351" s="7" t="s">
        <v>131</v>
      </c>
      <c r="B351" s="8" t="s">
        <v>59</v>
      </c>
      <c r="C351" s="63" t="n">
        <f aca="false">Pressupostos!$C$42</f>
        <v>0.01</v>
      </c>
      <c r="D351" s="63" t="n">
        <f aca="false">Pressupostos!$C$42</f>
        <v>0.01</v>
      </c>
      <c r="E351" s="63" t="n">
        <f aca="false">Pressupostos!$C$42</f>
        <v>0.01</v>
      </c>
      <c r="F351" s="63" t="n">
        <f aca="false">Pressupostos!$C$42</f>
        <v>0.01</v>
      </c>
      <c r="G351" s="63" t="n">
        <f aca="false">Pressupostos!$C$42</f>
        <v>0.01</v>
      </c>
      <c r="H351" s="2" t="s">
        <v>1135</v>
      </c>
    </row>
    <row r="352" customFormat="false" ht="15" hidden="false" customHeight="false" outlineLevel="1" collapsed="false">
      <c r="A352" s="7" t="s">
        <v>76</v>
      </c>
      <c r="B352" s="8" t="s">
        <v>59</v>
      </c>
      <c r="C352" s="60" t="n">
        <f aca="false">Pressupostos!$D$18*C339</f>
        <v>0.03051</v>
      </c>
      <c r="D352" s="60" t="n">
        <f aca="false">Pressupostos!$D$18*D339</f>
        <v>0.03051</v>
      </c>
      <c r="E352" s="60" t="n">
        <f aca="false">Pressupostos!$D$18*E339</f>
        <v>0.03051</v>
      </c>
      <c r="F352" s="60" t="n">
        <f aca="false">Pressupostos!$D$18*F339</f>
        <v>0.03051</v>
      </c>
      <c r="G352" s="60" t="n">
        <f aca="false">Pressupostos!$D$18*G339</f>
        <v>0.03051</v>
      </c>
      <c r="H352" s="2" t="s">
        <v>1136</v>
      </c>
    </row>
    <row r="353" customFormat="false" ht="15" hidden="false" customHeight="false" outlineLevel="1" collapsed="false">
      <c r="A353" s="7" t="s">
        <v>638</v>
      </c>
      <c r="B353" s="8" t="s">
        <v>59</v>
      </c>
      <c r="C353" s="60" t="n">
        <f aca="false">Pressupostos!$C$71*C339</f>
        <v>0</v>
      </c>
      <c r="D353" s="60" t="n">
        <f aca="false">Pressupostos!$C$71*D339</f>
        <v>0</v>
      </c>
      <c r="E353" s="60" t="n">
        <f aca="false">Pressupostos!$C$71*E339</f>
        <v>0</v>
      </c>
      <c r="F353" s="60" t="n">
        <f aca="false">Pressupostos!$C$71*F339</f>
        <v>0</v>
      </c>
      <c r="G353" s="60" t="n">
        <f aca="false">Pressupostos!$C$71*G339</f>
        <v>0</v>
      </c>
      <c r="H353" s="2" t="s">
        <v>1137</v>
      </c>
    </row>
    <row r="354" customFormat="false" ht="15" hidden="false" customHeight="false" outlineLevel="1" collapsed="false">
      <c r="A354" s="7" t="s">
        <v>639</v>
      </c>
      <c r="B354" s="8" t="s">
        <v>59</v>
      </c>
      <c r="C354" s="60" t="n">
        <f aca="false">Pressupostos!$C$283*(C337+C340)*(C343+C344-Pressupostos!$C$70)/365*Pressupostos!$C$277/Pressupostos!$D$31</f>
        <v>0</v>
      </c>
      <c r="D354" s="60" t="n">
        <f aca="false">Pressupostos!$D$283*(D337+D340)*(D343+D344-Pressupostos!$C$70)/365*Pressupostos!$D$277/Pressupostos!$D$31</f>
        <v>0.189308219178082</v>
      </c>
      <c r="E354" s="60" t="n">
        <f aca="false">Pressupostos!$E$283*(E337+E340)*(E343+E344-Pressupostos!$C$70)/365*Pressupostos!$E$277/Pressupostos!$D$31</f>
        <v>0.0479666095890411</v>
      </c>
      <c r="F354" s="60" t="n">
        <f aca="false">Pressupostos!$F$283*(F337+F340)*(F343+F344-Pressupostos!$C$70)/365*Pressupostos!$F$277/Pressupostos!$D$31</f>
        <v>0.0447688356164384</v>
      </c>
      <c r="G354" s="60" t="n">
        <f aca="false">Pressupostos!$G$283*(G337+G340)*(G343+G344-Pressupostos!$C$70)/365*Pressupostos!$G$277/Pressupostos!$D$31</f>
        <v>0.0447688356164384</v>
      </c>
      <c r="H354" s="2" t="s">
        <v>1138</v>
      </c>
    </row>
    <row r="355" customFormat="false" ht="15" hidden="false" customHeight="false" outlineLevel="1" collapsed="false">
      <c r="A355" s="7" t="s">
        <v>640</v>
      </c>
      <c r="B355" s="8" t="s">
        <v>59</v>
      </c>
      <c r="C355" s="60" t="n">
        <f aca="false">C337+C340+C341+C342+C345+C346+C347+C348+C349+C350+C351+C352+C353+C354</f>
        <v>4.74406068493151</v>
      </c>
      <c r="D355" s="60" t="n">
        <f aca="false">D337+D340+D341+D342+D345+D346+D347+D348+D349+D350+D351+D352+D353+D354</f>
        <v>4.93336890410959</v>
      </c>
      <c r="E355" s="60" t="n">
        <f aca="false">E337+E340+E341+E342+E345+E346+E347+E348+E349+E350+E351+E352+E353+E354</f>
        <v>4.73786428082192</v>
      </c>
      <c r="F355" s="60" t="n">
        <f aca="false">F337+F340+F341+F342+F345+F346+F347+F348+F349+F350+F351+F352+F353+F354</f>
        <v>4.72466650684931</v>
      </c>
      <c r="G355" s="60" t="n">
        <f aca="false">G337+G340+G341+G342+G345+G346+G347+G348+G349+G350+G351+G352+G353+G354</f>
        <v>4.72466650684931</v>
      </c>
      <c r="H355" s="2" t="s">
        <v>1139</v>
      </c>
    </row>
    <row r="356" customFormat="false" ht="15" hidden="false" customHeight="false" outlineLevel="1" collapsed="false">
      <c r="A356" s="52" t="s">
        <v>641</v>
      </c>
      <c r="B356" s="53" t="s">
        <v>59</v>
      </c>
      <c r="C356" s="64" t="n">
        <f aca="false">C339-C355</f>
        <v>0.340939315068495</v>
      </c>
      <c r="D356" s="64" t="n">
        <f aca="false">D339-D355</f>
        <v>0.151631095890413</v>
      </c>
      <c r="E356" s="64" t="n">
        <f aca="false">E339-E355</f>
        <v>0.347135719178083</v>
      </c>
      <c r="F356" s="64" t="n">
        <f aca="false">F339-F355</f>
        <v>0.360333493150686</v>
      </c>
      <c r="G356" s="64" t="n">
        <f aca="false">G339-G355</f>
        <v>0.360333493150686</v>
      </c>
      <c r="H356" s="2" t="s">
        <v>1140</v>
      </c>
    </row>
    <row r="357" customFormat="false" ht="15" hidden="false" customHeight="false" outlineLevel="1" collapsed="false">
      <c r="A357" s="7" t="s">
        <v>642</v>
      </c>
      <c r="B357" s="8" t="s">
        <v>71</v>
      </c>
      <c r="C357" s="55" t="n">
        <f aca="false">IF(C339&gt;0,C356/C339,0)</f>
        <v>0.067048046227826</v>
      </c>
      <c r="D357" s="55" t="n">
        <f aca="false">IF(D339&gt;0,D356/D339,0)</f>
        <v>0.0298192912272199</v>
      </c>
      <c r="E357" s="55" t="n">
        <f aca="false">IF(E339&gt;0,E356/E339,0)</f>
        <v>0.0682666114411176</v>
      </c>
      <c r="F357" s="55" t="n">
        <f aca="false">IF(F339&gt;0,F356/F339,0)</f>
        <v>0.0708620438841074</v>
      </c>
      <c r="G357" s="55" t="n">
        <f aca="false">IF(G339&gt;0,G356/G339,0)</f>
        <v>0.0708620438841074</v>
      </c>
      <c r="H357" s="2" t="s">
        <v>1141</v>
      </c>
    </row>
    <row r="358" customFormat="false" ht="15" hidden="false" customHeight="false" outlineLevel="1" collapsed="false">
      <c r="A358" s="7" t="s">
        <v>643</v>
      </c>
      <c r="B358" s="8" t="s">
        <v>59</v>
      </c>
      <c r="C358" s="60" t="n">
        <f aca="false">(C337+C340)*(C343-Pressupostos!$C$70)/365+C339*C344/365</f>
        <v>2.19308219178082</v>
      </c>
      <c r="D358" s="60" t="n">
        <f aca="false">(D337+D340)*(D343-Pressupostos!$C$70)/365+D339*D344/365</f>
        <v>2.19308219178082</v>
      </c>
      <c r="E358" s="60" t="n">
        <f aca="false">(E337+E340)*(E343-Pressupostos!$C$70)/365+E339*E344/365</f>
        <v>0.658150684931507</v>
      </c>
      <c r="F358" s="60" t="n">
        <f aca="false">(F337+F340)*(F343-Pressupostos!$C$70)/365+F339*F344/365</f>
        <v>0.658150684931507</v>
      </c>
      <c r="G358" s="60" t="n">
        <f aca="false">(G337+G340)*(G343-Pressupostos!$C$70)/365+G339*G344/365</f>
        <v>0.658150684931507</v>
      </c>
      <c r="H358" s="2" t="s">
        <v>1142</v>
      </c>
    </row>
    <row r="359" customFormat="false" ht="15" hidden="false" customHeight="false" outlineLevel="0" collapsed="false">
      <c r="A359" s="3" t="s">
        <v>1143</v>
      </c>
      <c r="B359" s="4"/>
      <c r="C359" s="4"/>
      <c r="D359" s="4"/>
      <c r="E359" s="4"/>
      <c r="F359" s="4"/>
      <c r="G359" s="4"/>
      <c r="H359" s="4"/>
    </row>
    <row r="360" customFormat="false" ht="15" hidden="false" customHeight="false" outlineLevel="1" collapsed="false">
      <c r="A360" s="7" t="s">
        <v>633</v>
      </c>
      <c r="B360" s="8" t="s">
        <v>59</v>
      </c>
      <c r="C360" s="60" t="n">
        <f aca="false">Pressupostos!$D$10+Pressupostos!$D$12</f>
        <v>3.6</v>
      </c>
      <c r="D360" s="60" t="n">
        <f aca="false">Pressupostos!$D$10+Pressupostos!$D$12</f>
        <v>3.6</v>
      </c>
      <c r="E360" s="60" t="n">
        <f aca="false">Pressupostos!$D$10+Pressupostos!$D$12</f>
        <v>3.6</v>
      </c>
      <c r="F360" s="60" t="n">
        <f aca="false">Pressupostos!$D$10+Pressupostos!$D$12</f>
        <v>3.6</v>
      </c>
      <c r="G360" s="60" t="n">
        <f aca="false">Pressupostos!$D$10+Pressupostos!$D$12</f>
        <v>3.6</v>
      </c>
      <c r="H360" s="2" t="s">
        <v>1144</v>
      </c>
    </row>
    <row r="361" customFormat="false" ht="15" hidden="false" customHeight="false" outlineLevel="1" collapsed="false">
      <c r="A361" s="7" t="s">
        <v>634</v>
      </c>
      <c r="B361" s="8" t="s">
        <v>59</v>
      </c>
      <c r="C361" s="60" t="n">
        <f aca="false">Pressupostos!$D$20+Pressupostos!$D$21</f>
        <v>4.35</v>
      </c>
      <c r="D361" s="60" t="n">
        <f aca="false">Pressupostos!$D$20+Pressupostos!$D$21</f>
        <v>4.35</v>
      </c>
      <c r="E361" s="60" t="n">
        <f aca="false">Pressupostos!$D$20+Pressupostos!$D$21</f>
        <v>4.35</v>
      </c>
      <c r="F361" s="60" t="n">
        <f aca="false">Pressupostos!$D$20+Pressupostos!$D$21</f>
        <v>4.35</v>
      </c>
      <c r="G361" s="60" t="n">
        <f aca="false">Pressupostos!$D$20+Pressupostos!$D$21</f>
        <v>4.35</v>
      </c>
      <c r="H361" s="2" t="s">
        <v>1145</v>
      </c>
    </row>
    <row r="362" customFormat="false" ht="15" hidden="false" customHeight="false" outlineLevel="1" collapsed="false">
      <c r="A362" s="52" t="s">
        <v>635</v>
      </c>
      <c r="B362" s="53" t="s">
        <v>59</v>
      </c>
      <c r="C362" s="64" t="n">
        <f aca="false">C361*(1-Pressupostos!$D$22)</f>
        <v>4.35</v>
      </c>
      <c r="D362" s="64" t="n">
        <f aca="false">D361*(1-Pressupostos!$D$22)</f>
        <v>4.35</v>
      </c>
      <c r="E362" s="64" t="n">
        <f aca="false">E361*(1-Pressupostos!$D$22)</f>
        <v>4.35</v>
      </c>
      <c r="F362" s="64" t="n">
        <f aca="false">F361*(1-Pressupostos!$D$22)</f>
        <v>4.35</v>
      </c>
      <c r="G362" s="64" t="n">
        <f aca="false">G361*(1-Pressupostos!$D$22)</f>
        <v>4.35</v>
      </c>
      <c r="H362" s="2" t="s">
        <v>1146</v>
      </c>
    </row>
    <row r="363" customFormat="false" ht="15" hidden="false" customHeight="false" outlineLevel="1" collapsed="false">
      <c r="A363" s="7" t="s">
        <v>136</v>
      </c>
      <c r="B363" s="8" t="s">
        <v>59</v>
      </c>
      <c r="C363" s="63" t="n">
        <f aca="false">Pressupostos!$C$44</f>
        <v>0.45</v>
      </c>
      <c r="D363" s="63" t="n">
        <f aca="false">Pressupostos!$C$44</f>
        <v>0.45</v>
      </c>
      <c r="E363" s="63" t="n">
        <f aca="false">Pressupostos!$C$44</f>
        <v>0.45</v>
      </c>
      <c r="F363" s="63" t="n">
        <f aca="false">Pressupostos!$C$44</f>
        <v>0.45</v>
      </c>
      <c r="G363" s="63" t="n">
        <f aca="false">Pressupostos!$C$44</f>
        <v>0.45</v>
      </c>
      <c r="H363" s="2" t="s">
        <v>1147</v>
      </c>
    </row>
    <row r="364" customFormat="false" ht="15" hidden="false" customHeight="false" outlineLevel="1" collapsed="false">
      <c r="A364" s="7" t="s">
        <v>205</v>
      </c>
      <c r="B364" s="8" t="s">
        <v>59</v>
      </c>
      <c r="C364" s="63" t="n">
        <f aca="false">Pressupostos!$C$245</f>
        <v>0.1</v>
      </c>
      <c r="D364" s="63" t="n">
        <f aca="false">Pressupostos!$D$245</f>
        <v>0.1</v>
      </c>
      <c r="E364" s="63" t="n">
        <f aca="false">Pressupostos!$E$245</f>
        <v>0.09</v>
      </c>
      <c r="F364" s="63" t="n">
        <f aca="false">Pressupostos!$F$245</f>
        <v>0.09</v>
      </c>
      <c r="G364" s="63" t="n">
        <f aca="false">Pressupostos!$G$245</f>
        <v>0.09</v>
      </c>
      <c r="H364" s="2" t="s">
        <v>1148</v>
      </c>
    </row>
    <row r="365" customFormat="false" ht="15" hidden="false" customHeight="false" outlineLevel="1" collapsed="false">
      <c r="A365" s="7" t="s">
        <v>109</v>
      </c>
      <c r="B365" s="8" t="s">
        <v>59</v>
      </c>
      <c r="C365" s="63" t="n">
        <f aca="false">Pressupostos!$C$45</f>
        <v>0</v>
      </c>
      <c r="D365" s="63" t="n">
        <f aca="false">Pressupostos!$C$45</f>
        <v>0</v>
      </c>
      <c r="E365" s="63" t="n">
        <f aca="false">Pressupostos!$C$45</f>
        <v>0</v>
      </c>
      <c r="F365" s="63" t="n">
        <f aca="false">Pressupostos!$C$45</f>
        <v>0</v>
      </c>
      <c r="G365" s="63" t="n">
        <f aca="false">Pressupostos!$C$45</f>
        <v>0</v>
      </c>
      <c r="H365" s="2" t="s">
        <v>1149</v>
      </c>
    </row>
    <row r="366" customFormat="false" ht="15" hidden="false" customHeight="false" outlineLevel="1" collapsed="false">
      <c r="A366" s="7" t="s">
        <v>86</v>
      </c>
      <c r="B366" s="8" t="s">
        <v>74</v>
      </c>
      <c r="C366" s="65" t="n">
        <f aca="false">Pressupostos!$D$23</f>
        <v>30</v>
      </c>
      <c r="D366" s="65" t="n">
        <f aca="false">Pressupostos!$D$23</f>
        <v>30</v>
      </c>
      <c r="E366" s="65" t="n">
        <f aca="false">Pressupostos!$D$23</f>
        <v>30</v>
      </c>
      <c r="F366" s="65" t="n">
        <f aca="false">Pressupostos!$D$23</f>
        <v>30</v>
      </c>
      <c r="G366" s="65" t="n">
        <f aca="false">Pressupostos!$D$23</f>
        <v>30</v>
      </c>
      <c r="H366" s="2" t="s">
        <v>1150</v>
      </c>
    </row>
    <row r="367" customFormat="false" ht="15" hidden="false" customHeight="false" outlineLevel="1" collapsed="false">
      <c r="A367" s="7" t="s">
        <v>73</v>
      </c>
      <c r="B367" s="8" t="s">
        <v>74</v>
      </c>
      <c r="C367" s="65" t="n">
        <f aca="false">Pressupostos!$D$24</f>
        <v>45</v>
      </c>
      <c r="D367" s="65" t="n">
        <f aca="false">Pressupostos!$D$24</f>
        <v>45</v>
      </c>
      <c r="E367" s="65" t="n">
        <f aca="false">Pressupostos!$D$24</f>
        <v>45</v>
      </c>
      <c r="F367" s="65" t="n">
        <f aca="false">Pressupostos!$D$24</f>
        <v>45</v>
      </c>
      <c r="G367" s="65" t="n">
        <f aca="false">Pressupostos!$D$24</f>
        <v>45</v>
      </c>
      <c r="H367" s="2" t="s">
        <v>1151</v>
      </c>
    </row>
    <row r="368" customFormat="false" ht="15" hidden="false" customHeight="false" outlineLevel="1" collapsed="false">
      <c r="A368" s="7" t="s">
        <v>471</v>
      </c>
      <c r="B368" s="8" t="s">
        <v>59</v>
      </c>
      <c r="C368" s="60" t="n">
        <f aca="false">Pressupostos!$C$64*C366/30/1000</f>
        <v>0.004</v>
      </c>
      <c r="D368" s="60" t="n">
        <f aca="false">Pressupostos!$C$64*D366/30/1000</f>
        <v>0.004</v>
      </c>
      <c r="E368" s="60" t="n">
        <f aca="false">Pressupostos!$C$64*E366/30/1000</f>
        <v>0.004</v>
      </c>
      <c r="F368" s="60" t="n">
        <f aca="false">Pressupostos!$C$64*F366/30/1000</f>
        <v>0.004</v>
      </c>
      <c r="G368" s="60" t="n">
        <f aca="false">Pressupostos!$C$64*G366/30/1000</f>
        <v>0.004</v>
      </c>
      <c r="H368" s="2" t="s">
        <v>1152</v>
      </c>
    </row>
    <row r="369" customFormat="false" ht="15" hidden="false" customHeight="false" outlineLevel="1" collapsed="false">
      <c r="A369" s="7" t="s">
        <v>154</v>
      </c>
      <c r="B369" s="8" t="s">
        <v>59</v>
      </c>
      <c r="C369" s="60" t="n">
        <f aca="false">C360*Pressupostos!$C$65*C366/365</f>
        <v>0.000591780821917808</v>
      </c>
      <c r="D369" s="60" t="n">
        <f aca="false">D360*Pressupostos!$C$65*D366/365</f>
        <v>0.000591780821917808</v>
      </c>
      <c r="E369" s="60" t="n">
        <f aca="false">E360*Pressupostos!$C$65*E366/365</f>
        <v>0.000591780821917808</v>
      </c>
      <c r="F369" s="60" t="n">
        <f aca="false">F360*Pressupostos!$C$65*F366/365</f>
        <v>0.000591780821917808</v>
      </c>
      <c r="G369" s="60" t="n">
        <f aca="false">G360*Pressupostos!$C$65*G366/365</f>
        <v>0.000591780821917808</v>
      </c>
      <c r="H369" s="2" t="s">
        <v>1153</v>
      </c>
    </row>
    <row r="370" customFormat="false" ht="15" hidden="false" customHeight="false" outlineLevel="1" collapsed="false">
      <c r="A370" s="7" t="s">
        <v>636</v>
      </c>
      <c r="B370" s="8" t="s">
        <v>59</v>
      </c>
      <c r="C370" s="60" t="n">
        <f aca="false">Pressupostos!$C$47*Pressupostos!$C$66/(Pressupostos!$C$46*1000)</f>
        <v>0.02</v>
      </c>
      <c r="D370" s="60" t="n">
        <f aca="false">Pressupostos!$C$47*Pressupostos!$C$66/(Pressupostos!$C$46*1000)</f>
        <v>0.02</v>
      </c>
      <c r="E370" s="60" t="n">
        <f aca="false">Pressupostos!$C$47*Pressupostos!$C$66/(Pressupostos!$C$46*1000)</f>
        <v>0.02</v>
      </c>
      <c r="F370" s="60" t="n">
        <f aca="false">Pressupostos!$C$47*Pressupostos!$C$66/(Pressupostos!$C$46*1000)</f>
        <v>0.02</v>
      </c>
      <c r="G370" s="60" t="n">
        <f aca="false">Pressupostos!$C$47*Pressupostos!$C$66/(Pressupostos!$C$46*1000)</f>
        <v>0.02</v>
      </c>
      <c r="H370" s="2" t="s">
        <v>1154</v>
      </c>
    </row>
    <row r="371" customFormat="false" ht="15" hidden="false" customHeight="false" outlineLevel="1" collapsed="false">
      <c r="A371" s="7" t="s">
        <v>473</v>
      </c>
      <c r="B371" s="8" t="s">
        <v>59</v>
      </c>
      <c r="C371" s="60" t="n">
        <f aca="false">Pressupostos!$C$67*C360</f>
        <v>0.018</v>
      </c>
      <c r="D371" s="60" t="n">
        <f aca="false">Pressupostos!$C$67*D360</f>
        <v>0.018</v>
      </c>
      <c r="E371" s="60" t="n">
        <f aca="false">Pressupostos!$C$67*E360</f>
        <v>0.018</v>
      </c>
      <c r="F371" s="60" t="n">
        <f aca="false">Pressupostos!$C$67*F360</f>
        <v>0.018</v>
      </c>
      <c r="G371" s="60" t="n">
        <f aca="false">Pressupostos!$C$67*G360</f>
        <v>0.018</v>
      </c>
      <c r="H371" s="2" t="s">
        <v>1155</v>
      </c>
    </row>
    <row r="372" customFormat="false" ht="15" hidden="false" customHeight="false" outlineLevel="1" collapsed="false">
      <c r="A372" s="7" t="s">
        <v>474</v>
      </c>
      <c r="B372" s="8" t="s">
        <v>59</v>
      </c>
      <c r="C372" s="60" t="n">
        <f aca="false">Pressupostos!$C$68*Pressupostos!$C$69*C366/90</f>
        <v>0.003</v>
      </c>
      <c r="D372" s="60" t="n">
        <f aca="false">Pressupostos!$C$68*Pressupostos!$C$69*D366/90</f>
        <v>0.003</v>
      </c>
      <c r="E372" s="60" t="n">
        <f aca="false">Pressupostos!$C$68*Pressupostos!$C$69*E366/90</f>
        <v>0.003</v>
      </c>
      <c r="F372" s="60" t="n">
        <f aca="false">Pressupostos!$C$68*Pressupostos!$C$69*F366/90</f>
        <v>0.003</v>
      </c>
      <c r="G372" s="60" t="n">
        <f aca="false">Pressupostos!$C$68*Pressupostos!$C$69*G366/90</f>
        <v>0.003</v>
      </c>
      <c r="H372" s="2" t="s">
        <v>1156</v>
      </c>
    </row>
    <row r="373" customFormat="false" ht="15" hidden="false" customHeight="false" outlineLevel="1" collapsed="false">
      <c r="A373" s="7" t="s">
        <v>637</v>
      </c>
      <c r="B373" s="8" t="s">
        <v>59</v>
      </c>
      <c r="C373" s="60" t="n">
        <f aca="false">Pressupostos!$C$48/(Pressupostos!$C$46*1000)</f>
        <v>0.04</v>
      </c>
      <c r="D373" s="60" t="n">
        <f aca="false">Pressupostos!$C$48/(Pressupostos!$C$46*1000)</f>
        <v>0.04</v>
      </c>
      <c r="E373" s="60" t="n">
        <f aca="false">Pressupostos!$C$48/(Pressupostos!$C$46*1000)</f>
        <v>0.04</v>
      </c>
      <c r="F373" s="60" t="n">
        <f aca="false">Pressupostos!$C$48/(Pressupostos!$C$46*1000)</f>
        <v>0.04</v>
      </c>
      <c r="G373" s="60" t="n">
        <f aca="false">Pressupostos!$C$48/(Pressupostos!$C$46*1000)</f>
        <v>0.04</v>
      </c>
      <c r="H373" s="2" t="s">
        <v>1157</v>
      </c>
    </row>
    <row r="374" customFormat="false" ht="15" hidden="false" customHeight="false" outlineLevel="1" collapsed="false">
      <c r="A374" s="7" t="s">
        <v>131</v>
      </c>
      <c r="B374" s="8" t="s">
        <v>59</v>
      </c>
      <c r="C374" s="63" t="n">
        <f aca="false">Pressupostos!$C$49</f>
        <v>0.005</v>
      </c>
      <c r="D374" s="63" t="n">
        <f aca="false">Pressupostos!$C$49</f>
        <v>0.005</v>
      </c>
      <c r="E374" s="63" t="n">
        <f aca="false">Pressupostos!$C$49</f>
        <v>0.005</v>
      </c>
      <c r="F374" s="63" t="n">
        <f aca="false">Pressupostos!$C$49</f>
        <v>0.005</v>
      </c>
      <c r="G374" s="63" t="n">
        <f aca="false">Pressupostos!$C$49</f>
        <v>0.005</v>
      </c>
      <c r="H374" s="2" t="s">
        <v>1158</v>
      </c>
    </row>
    <row r="375" customFormat="false" ht="15" hidden="false" customHeight="false" outlineLevel="1" collapsed="false">
      <c r="A375" s="7" t="s">
        <v>76</v>
      </c>
      <c r="B375" s="8" t="s">
        <v>59</v>
      </c>
      <c r="C375" s="60" t="n">
        <f aca="false">Pressupostos!$D$25*C362</f>
        <v>0.01305</v>
      </c>
      <c r="D375" s="60" t="n">
        <f aca="false">Pressupostos!$D$25*D362</f>
        <v>0.01305</v>
      </c>
      <c r="E375" s="60" t="n">
        <f aca="false">Pressupostos!$D$25*E362</f>
        <v>0.01305</v>
      </c>
      <c r="F375" s="60" t="n">
        <f aca="false">Pressupostos!$D$25*F362</f>
        <v>0.01305</v>
      </c>
      <c r="G375" s="60" t="n">
        <f aca="false">Pressupostos!$D$25*G362</f>
        <v>0.01305</v>
      </c>
      <c r="H375" s="2" t="s">
        <v>1159</v>
      </c>
    </row>
    <row r="376" customFormat="false" ht="15" hidden="false" customHeight="false" outlineLevel="1" collapsed="false">
      <c r="A376" s="7" t="s">
        <v>638</v>
      </c>
      <c r="B376" s="8" t="s">
        <v>59</v>
      </c>
      <c r="C376" s="60" t="n">
        <f aca="false">Pressupostos!$C$71*C362</f>
        <v>0</v>
      </c>
      <c r="D376" s="60" t="n">
        <f aca="false">Pressupostos!$C$71*D362</f>
        <v>0</v>
      </c>
      <c r="E376" s="60" t="n">
        <f aca="false">Pressupostos!$C$71*E362</f>
        <v>0</v>
      </c>
      <c r="F376" s="60" t="n">
        <f aca="false">Pressupostos!$C$71*F362</f>
        <v>0</v>
      </c>
      <c r="G376" s="60" t="n">
        <f aca="false">Pressupostos!$C$71*G362</f>
        <v>0</v>
      </c>
      <c r="H376" s="2" t="s">
        <v>1160</v>
      </c>
    </row>
    <row r="377" customFormat="false" ht="15" hidden="false" customHeight="false" outlineLevel="1" collapsed="false">
      <c r="A377" s="7" t="s">
        <v>639</v>
      </c>
      <c r="B377" s="8" t="s">
        <v>59</v>
      </c>
      <c r="C377" s="60" t="n">
        <f aca="false">Pressupostos!$C$283*(C360+C363)*(C366+C367-Pressupostos!$C$70)/365*Pressupostos!$C$277/Pressupostos!$D$31</f>
        <v>0</v>
      </c>
      <c r="D377" s="60" t="n">
        <f aca="false">Pressupostos!$D$283*(D360+D363)*(D366+D367-Pressupostos!$C$70)/365*Pressupostos!$D$277/Pressupostos!$D$31</f>
        <v>0.0449383561643836</v>
      </c>
      <c r="E377" s="60" t="n">
        <f aca="false">Pressupostos!$E$283*(E360+E363)*(E366+E367-Pressupostos!$C$70)/365*Pressupostos!$E$277/Pressupostos!$D$31</f>
        <v>0.0421297089041096</v>
      </c>
      <c r="F377" s="60" t="n">
        <f aca="false">Pressupostos!$F$283*(F360+F363)*(F366+F367-Pressupostos!$C$70)/365*Pressupostos!$F$277/Pressupostos!$D$31</f>
        <v>0.0393210616438356</v>
      </c>
      <c r="G377" s="60" t="n">
        <f aca="false">Pressupostos!$G$283*(G360+G363)*(G366+G367-Pressupostos!$C$70)/365*Pressupostos!$G$277/Pressupostos!$D$31</f>
        <v>0.0393210616438356</v>
      </c>
      <c r="H377" s="2" t="s">
        <v>1161</v>
      </c>
    </row>
    <row r="378" customFormat="false" ht="15" hidden="false" customHeight="false" outlineLevel="1" collapsed="false">
      <c r="A378" s="7" t="s">
        <v>640</v>
      </c>
      <c r="B378" s="8" t="s">
        <v>59</v>
      </c>
      <c r="C378" s="60" t="n">
        <f aca="false">C360+C363+C364+C365+C368+C369+C370+C371+C372+C373+C374+C375+C376+C377</f>
        <v>4.25364178082192</v>
      </c>
      <c r="D378" s="60" t="n">
        <f aca="false">D360+D363+D364+D365+D368+D369+D370+D371+D372+D373+D374+D375+D376+D377</f>
        <v>4.2985801369863</v>
      </c>
      <c r="E378" s="60" t="n">
        <f aca="false">E360+E363+E364+E365+E368+E369+E370+E371+E372+E373+E374+E375+E376+E377</f>
        <v>4.28577148972603</v>
      </c>
      <c r="F378" s="60" t="n">
        <f aca="false">F360+F363+F364+F365+F368+F369+F370+F371+F372+F373+F374+F375+F376+F377</f>
        <v>4.28296284246575</v>
      </c>
      <c r="G378" s="60" t="n">
        <f aca="false">G360+G363+G364+G365+G368+G369+G370+G371+G372+G373+G374+G375+G376+G377</f>
        <v>4.28296284246575</v>
      </c>
      <c r="H378" s="2" t="s">
        <v>1162</v>
      </c>
    </row>
    <row r="379" customFormat="false" ht="15" hidden="false" customHeight="false" outlineLevel="1" collapsed="false">
      <c r="A379" s="52" t="s">
        <v>641</v>
      </c>
      <c r="B379" s="53" t="s">
        <v>59</v>
      </c>
      <c r="C379" s="64" t="n">
        <f aca="false">C362-C378</f>
        <v>0.0963582191780832</v>
      </c>
      <c r="D379" s="64" t="n">
        <f aca="false">D362-D378</f>
        <v>0.0514198630136997</v>
      </c>
      <c r="E379" s="64" t="n">
        <f aca="false">E362-E378</f>
        <v>0.0642285102739733</v>
      </c>
      <c r="F379" s="64" t="n">
        <f aca="false">F362-F378</f>
        <v>0.067037157534247</v>
      </c>
      <c r="G379" s="64" t="n">
        <f aca="false">G362-G378</f>
        <v>0.067037157534247</v>
      </c>
      <c r="H379" s="2" t="s">
        <v>1163</v>
      </c>
    </row>
    <row r="380" customFormat="false" ht="15" hidden="false" customHeight="false" outlineLevel="1" collapsed="false">
      <c r="A380" s="7" t="s">
        <v>642</v>
      </c>
      <c r="B380" s="8" t="s">
        <v>71</v>
      </c>
      <c r="C380" s="55" t="n">
        <f aca="false">IF(C362&gt;0,C379/C362,0)</f>
        <v>0.0221513147535823</v>
      </c>
      <c r="D380" s="55" t="n">
        <f aca="false">IF(D362&gt;0,D379/D362,0)</f>
        <v>0.0118206581640689</v>
      </c>
      <c r="E380" s="55" t="n">
        <f aca="false">IF(E362&gt;0,E379/E362,0)</f>
        <v>0.014765174775626</v>
      </c>
      <c r="F380" s="55" t="n">
        <f aca="false">IF(F362&gt;0,F379/F362,0)</f>
        <v>0.0154108408124706</v>
      </c>
      <c r="G380" s="55" t="n">
        <f aca="false">IF(G362&gt;0,G379/G362,0)</f>
        <v>0.0154108408124706</v>
      </c>
      <c r="H380" s="2" t="s">
        <v>1164</v>
      </c>
    </row>
    <row r="381" customFormat="false" ht="15" hidden="false" customHeight="false" outlineLevel="1" collapsed="false">
      <c r="A381" s="7" t="s">
        <v>643</v>
      </c>
      <c r="B381" s="8" t="s">
        <v>59</v>
      </c>
      <c r="C381" s="60" t="n">
        <f aca="false">(C360+C363)*(C366-Pressupostos!$C$70)/365+C362*C367/365</f>
        <v>0.536301369863014</v>
      </c>
      <c r="D381" s="60" t="n">
        <f aca="false">(D360+D363)*(D366-Pressupostos!$C$70)/365+D362*D367/365</f>
        <v>0.536301369863014</v>
      </c>
      <c r="E381" s="60" t="n">
        <f aca="false">(E360+E363)*(E366-Pressupostos!$C$70)/365+E362*E367/365</f>
        <v>0.536301369863014</v>
      </c>
      <c r="F381" s="60" t="n">
        <f aca="false">(F360+F363)*(F366-Pressupostos!$C$70)/365+F362*F367/365</f>
        <v>0.536301369863014</v>
      </c>
      <c r="G381" s="60" t="n">
        <f aca="false">(G360+G363)*(G366-Pressupostos!$C$70)/365+G362*G367/365</f>
        <v>0.536301369863014</v>
      </c>
      <c r="H381" s="2" t="s">
        <v>1165</v>
      </c>
    </row>
    <row r="382" customFormat="false" ht="15" hidden="false" customHeight="false" outlineLevel="0" collapsed="false">
      <c r="A382" s="3" t="s">
        <v>1166</v>
      </c>
      <c r="B382" s="4"/>
      <c r="C382" s="4"/>
      <c r="D382" s="4"/>
      <c r="E382" s="4"/>
      <c r="F382" s="4"/>
      <c r="G382" s="4"/>
      <c r="H382" s="4"/>
    </row>
    <row r="383" customFormat="false" ht="15" hidden="false" customHeight="false" outlineLevel="1" collapsed="false">
      <c r="A383" s="7" t="s">
        <v>633</v>
      </c>
      <c r="B383" s="8" t="s">
        <v>59</v>
      </c>
      <c r="C383" s="60" t="n">
        <f aca="false">Pressupostos!$D$10+Pressupostos!$D$13</f>
        <v>3.5</v>
      </c>
      <c r="D383" s="60" t="n">
        <f aca="false">Pressupostos!$D$10+Pressupostos!$D$13</f>
        <v>3.5</v>
      </c>
      <c r="E383" s="60" t="n">
        <f aca="false">Pressupostos!$D$10+Pressupostos!$D$13</f>
        <v>3.5</v>
      </c>
      <c r="F383" s="60" t="n">
        <f aca="false">Pressupostos!$D$10+Pressupostos!$D$13</f>
        <v>3.5</v>
      </c>
      <c r="G383" s="60" t="n">
        <f aca="false">Pressupostos!$D$10+Pressupostos!$D$13</f>
        <v>3.5</v>
      </c>
      <c r="H383" s="2" t="s">
        <v>1167</v>
      </c>
    </row>
    <row r="384" customFormat="false" ht="15" hidden="false" customHeight="false" outlineLevel="1" collapsed="false">
      <c r="A384" s="7" t="s">
        <v>634</v>
      </c>
      <c r="B384" s="8" t="s">
        <v>59</v>
      </c>
      <c r="C384" s="60" t="n">
        <f aca="false">Pressupostos!$D$10+Pressupostos!$C$51</f>
        <v>3.65</v>
      </c>
      <c r="D384" s="60" t="n">
        <f aca="false">Pressupostos!$D$10+Pressupostos!$C$51</f>
        <v>3.65</v>
      </c>
      <c r="E384" s="60" t="n">
        <f aca="false">Pressupostos!$D$10+Pressupostos!$C$51</f>
        <v>3.65</v>
      </c>
      <c r="F384" s="60" t="n">
        <f aca="false">Pressupostos!$D$10+Pressupostos!$C$51</f>
        <v>3.65</v>
      </c>
      <c r="G384" s="60" t="n">
        <f aca="false">Pressupostos!$D$10+Pressupostos!$C$51</f>
        <v>3.65</v>
      </c>
      <c r="H384" s="2" t="s">
        <v>1168</v>
      </c>
    </row>
    <row r="385" customFormat="false" ht="15" hidden="false" customHeight="false" outlineLevel="1" collapsed="false">
      <c r="A385" s="52" t="s">
        <v>635</v>
      </c>
      <c r="B385" s="53" t="s">
        <v>59</v>
      </c>
      <c r="C385" s="64" t="n">
        <f aca="false">C384*(1-Pressupostos!$C$52)</f>
        <v>3.65</v>
      </c>
      <c r="D385" s="64" t="n">
        <f aca="false">D384*(1-Pressupostos!$C$52)</f>
        <v>3.65</v>
      </c>
      <c r="E385" s="64" t="n">
        <f aca="false">E384*(1-Pressupostos!$C$52)</f>
        <v>3.65</v>
      </c>
      <c r="F385" s="64" t="n">
        <f aca="false">F384*(1-Pressupostos!$C$52)</f>
        <v>3.65</v>
      </c>
      <c r="G385" s="64" t="n">
        <f aca="false">G384*(1-Pressupostos!$C$52)</f>
        <v>3.65</v>
      </c>
      <c r="H385" s="2" t="s">
        <v>1169</v>
      </c>
    </row>
    <row r="386" customFormat="false" ht="15" hidden="false" customHeight="false" outlineLevel="1" collapsed="false">
      <c r="A386" s="7" t="s">
        <v>136</v>
      </c>
      <c r="B386" s="8" t="s">
        <v>59</v>
      </c>
      <c r="C386" s="63" t="n">
        <f aca="false">Pressupostos!$C$53</f>
        <v>0</v>
      </c>
      <c r="D386" s="63" t="n">
        <f aca="false">Pressupostos!$C$53</f>
        <v>0</v>
      </c>
      <c r="E386" s="63" t="n">
        <f aca="false">Pressupostos!$C$53</f>
        <v>0</v>
      </c>
      <c r="F386" s="63" t="n">
        <f aca="false">Pressupostos!$C$53</f>
        <v>0</v>
      </c>
      <c r="G386" s="63" t="n">
        <f aca="false">Pressupostos!$C$53</f>
        <v>0</v>
      </c>
      <c r="H386" s="2" t="s">
        <v>1170</v>
      </c>
    </row>
    <row r="387" customFormat="false" ht="15" hidden="false" customHeight="false" outlineLevel="1" collapsed="false">
      <c r="A387" s="7" t="s">
        <v>205</v>
      </c>
      <c r="B387" s="8" t="s">
        <v>59</v>
      </c>
      <c r="C387" s="63" t="n">
        <f aca="false">Pressupostos!$C$54</f>
        <v>0.04</v>
      </c>
      <c r="D387" s="63" t="n">
        <f aca="false">Pressupostos!$C$54</f>
        <v>0.04</v>
      </c>
      <c r="E387" s="63" t="n">
        <f aca="false">Pressupostos!$C$54</f>
        <v>0.04</v>
      </c>
      <c r="F387" s="63" t="n">
        <f aca="false">Pressupostos!$C$54</f>
        <v>0.04</v>
      </c>
      <c r="G387" s="63" t="n">
        <f aca="false">Pressupostos!$C$54</f>
        <v>0.04</v>
      </c>
      <c r="H387" s="2" t="s">
        <v>1171</v>
      </c>
    </row>
    <row r="388" customFormat="false" ht="15" hidden="false" customHeight="false" outlineLevel="1" collapsed="false">
      <c r="A388" s="7" t="s">
        <v>109</v>
      </c>
      <c r="B388" s="8" t="s">
        <v>59</v>
      </c>
      <c r="C388" s="63" t="n">
        <f aca="false">Pressupostos!$C$55</f>
        <v>0</v>
      </c>
      <c r="D388" s="63" t="n">
        <f aca="false">Pressupostos!$C$55</f>
        <v>0</v>
      </c>
      <c r="E388" s="63" t="n">
        <f aca="false">Pressupostos!$C$55</f>
        <v>0</v>
      </c>
      <c r="F388" s="63" t="n">
        <f aca="false">Pressupostos!$C$55</f>
        <v>0</v>
      </c>
      <c r="G388" s="63" t="n">
        <f aca="false">Pressupostos!$C$55</f>
        <v>0</v>
      </c>
      <c r="H388" s="2" t="s">
        <v>1172</v>
      </c>
    </row>
    <row r="389" customFormat="false" ht="15" hidden="false" customHeight="false" outlineLevel="1" collapsed="false">
      <c r="A389" s="7" t="s">
        <v>86</v>
      </c>
      <c r="B389" s="8" t="s">
        <v>74</v>
      </c>
      <c r="C389" s="65" t="n">
        <f aca="false">Pressupostos!$C$56</f>
        <v>15</v>
      </c>
      <c r="D389" s="65" t="n">
        <f aca="false">Pressupostos!$C$56</f>
        <v>15</v>
      </c>
      <c r="E389" s="65" t="n">
        <f aca="false">Pressupostos!$C$56</f>
        <v>15</v>
      </c>
      <c r="F389" s="65" t="n">
        <f aca="false">Pressupostos!$C$56</f>
        <v>15</v>
      </c>
      <c r="G389" s="65" t="n">
        <f aca="false">Pressupostos!$C$56</f>
        <v>15</v>
      </c>
      <c r="H389" s="2" t="s">
        <v>1173</v>
      </c>
    </row>
    <row r="390" customFormat="false" ht="15" hidden="false" customHeight="false" outlineLevel="1" collapsed="false">
      <c r="A390" s="7" t="s">
        <v>73</v>
      </c>
      <c r="B390" s="8" t="s">
        <v>74</v>
      </c>
      <c r="C390" s="65" t="n">
        <f aca="false">Pressupostos!$C$57</f>
        <v>45</v>
      </c>
      <c r="D390" s="65" t="n">
        <f aca="false">Pressupostos!$C$57</f>
        <v>45</v>
      </c>
      <c r="E390" s="65" t="n">
        <f aca="false">Pressupostos!$C$57</f>
        <v>45</v>
      </c>
      <c r="F390" s="65" t="n">
        <f aca="false">Pressupostos!$C$57</f>
        <v>45</v>
      </c>
      <c r="G390" s="65" t="n">
        <f aca="false">Pressupostos!$C$57</f>
        <v>45</v>
      </c>
      <c r="H390" s="2" t="s">
        <v>1174</v>
      </c>
    </row>
    <row r="391" customFormat="false" ht="15" hidden="false" customHeight="false" outlineLevel="1" collapsed="false">
      <c r="A391" s="7" t="s">
        <v>471</v>
      </c>
      <c r="B391" s="8" t="s">
        <v>59</v>
      </c>
      <c r="C391" s="60" t="n">
        <f aca="false">Pressupostos!$C$64*C389/30/1000</f>
        <v>0.002</v>
      </c>
      <c r="D391" s="60" t="n">
        <f aca="false">Pressupostos!$C$64*D389/30/1000</f>
        <v>0.002</v>
      </c>
      <c r="E391" s="60" t="n">
        <f aca="false">Pressupostos!$C$64*E389/30/1000</f>
        <v>0.002</v>
      </c>
      <c r="F391" s="60" t="n">
        <f aca="false">Pressupostos!$C$64*F389/30/1000</f>
        <v>0.002</v>
      </c>
      <c r="G391" s="60" t="n">
        <f aca="false">Pressupostos!$C$64*G389/30/1000</f>
        <v>0.002</v>
      </c>
      <c r="H391" s="2" t="s">
        <v>1175</v>
      </c>
    </row>
    <row r="392" customFormat="false" ht="15" hidden="false" customHeight="false" outlineLevel="1" collapsed="false">
      <c r="A392" s="7" t="s">
        <v>154</v>
      </c>
      <c r="B392" s="8" t="s">
        <v>59</v>
      </c>
      <c r="C392" s="60" t="n">
        <f aca="false">C383*Pressupostos!$C$65*C389/365</f>
        <v>0.000287671232876712</v>
      </c>
      <c r="D392" s="60" t="n">
        <f aca="false">D383*Pressupostos!$C$65*D389/365</f>
        <v>0.000287671232876712</v>
      </c>
      <c r="E392" s="60" t="n">
        <f aca="false">E383*Pressupostos!$C$65*E389/365</f>
        <v>0.000287671232876712</v>
      </c>
      <c r="F392" s="60" t="n">
        <f aca="false">F383*Pressupostos!$C$65*F389/365</f>
        <v>0.000287671232876712</v>
      </c>
      <c r="G392" s="60" t="n">
        <f aca="false">G383*Pressupostos!$C$65*G389/365</f>
        <v>0.000287671232876712</v>
      </c>
      <c r="H392" s="2" t="s">
        <v>1176</v>
      </c>
    </row>
    <row r="393" customFormat="false" ht="15" hidden="false" customHeight="false" outlineLevel="1" collapsed="false">
      <c r="A393" s="7" t="s">
        <v>636</v>
      </c>
      <c r="B393" s="8" t="s">
        <v>59</v>
      </c>
      <c r="C393" s="60" t="n">
        <f aca="false">Pressupostos!$C$59*Pressupostos!$C$66/(Pressupostos!$C$58*1000)</f>
        <v>0.006</v>
      </c>
      <c r="D393" s="60" t="n">
        <f aca="false">Pressupostos!$C$59*Pressupostos!$C$66/(Pressupostos!$C$58*1000)</f>
        <v>0.006</v>
      </c>
      <c r="E393" s="60" t="n">
        <f aca="false">Pressupostos!$C$59*Pressupostos!$C$66/(Pressupostos!$C$58*1000)</f>
        <v>0.006</v>
      </c>
      <c r="F393" s="60" t="n">
        <f aca="false">Pressupostos!$C$59*Pressupostos!$C$66/(Pressupostos!$C$58*1000)</f>
        <v>0.006</v>
      </c>
      <c r="G393" s="60" t="n">
        <f aca="false">Pressupostos!$C$59*Pressupostos!$C$66/(Pressupostos!$C$58*1000)</f>
        <v>0.006</v>
      </c>
      <c r="H393" s="2" t="s">
        <v>1177</v>
      </c>
    </row>
    <row r="394" customFormat="false" ht="15" hidden="false" customHeight="false" outlineLevel="1" collapsed="false">
      <c r="A394" s="7" t="s">
        <v>473</v>
      </c>
      <c r="B394" s="8" t="s">
        <v>59</v>
      </c>
      <c r="C394" s="60" t="n">
        <f aca="false">Pressupostos!$C$67*C383</f>
        <v>0.0175</v>
      </c>
      <c r="D394" s="60" t="n">
        <f aca="false">Pressupostos!$C$67*D383</f>
        <v>0.0175</v>
      </c>
      <c r="E394" s="60" t="n">
        <f aca="false">Pressupostos!$C$67*E383</f>
        <v>0.0175</v>
      </c>
      <c r="F394" s="60" t="n">
        <f aca="false">Pressupostos!$C$67*F383</f>
        <v>0.0175</v>
      </c>
      <c r="G394" s="60" t="n">
        <f aca="false">Pressupostos!$C$67*G383</f>
        <v>0.0175</v>
      </c>
      <c r="H394" s="2" t="s">
        <v>1178</v>
      </c>
    </row>
    <row r="395" customFormat="false" ht="15" hidden="false" customHeight="false" outlineLevel="1" collapsed="false">
      <c r="A395" s="7" t="s">
        <v>474</v>
      </c>
      <c r="B395" s="8" t="s">
        <v>59</v>
      </c>
      <c r="C395" s="60" t="n">
        <f aca="false">Pressupostos!$C$68*Pressupostos!$C$69*C389/90</f>
        <v>0.0015</v>
      </c>
      <c r="D395" s="60" t="n">
        <f aca="false">Pressupostos!$C$68*Pressupostos!$C$69*D389/90</f>
        <v>0.0015</v>
      </c>
      <c r="E395" s="60" t="n">
        <f aca="false">Pressupostos!$C$68*Pressupostos!$C$69*E389/90</f>
        <v>0.0015</v>
      </c>
      <c r="F395" s="60" t="n">
        <f aca="false">Pressupostos!$C$68*Pressupostos!$C$69*F389/90</f>
        <v>0.0015</v>
      </c>
      <c r="G395" s="60" t="n">
        <f aca="false">Pressupostos!$C$68*Pressupostos!$C$69*G389/90</f>
        <v>0.0015</v>
      </c>
      <c r="H395" s="2" t="s">
        <v>1179</v>
      </c>
    </row>
    <row r="396" customFormat="false" ht="15" hidden="false" customHeight="false" outlineLevel="1" collapsed="false">
      <c r="A396" s="7" t="s">
        <v>637</v>
      </c>
      <c r="B396" s="8" t="s">
        <v>59</v>
      </c>
      <c r="C396" s="60" t="n">
        <f aca="false">Pressupostos!$C$60/(Pressupostos!$C$58*1000)</f>
        <v>0.012</v>
      </c>
      <c r="D396" s="60" t="n">
        <f aca="false">Pressupostos!$C$60/(Pressupostos!$C$58*1000)</f>
        <v>0.012</v>
      </c>
      <c r="E396" s="60" t="n">
        <f aca="false">Pressupostos!$C$60/(Pressupostos!$C$58*1000)</f>
        <v>0.012</v>
      </c>
      <c r="F396" s="60" t="n">
        <f aca="false">Pressupostos!$C$60/(Pressupostos!$C$58*1000)</f>
        <v>0.012</v>
      </c>
      <c r="G396" s="60" t="n">
        <f aca="false">Pressupostos!$C$60/(Pressupostos!$C$58*1000)</f>
        <v>0.012</v>
      </c>
      <c r="H396" s="2" t="s">
        <v>1180</v>
      </c>
    </row>
    <row r="397" customFormat="false" ht="15" hidden="false" customHeight="false" outlineLevel="1" collapsed="false">
      <c r="A397" s="7" t="s">
        <v>131</v>
      </c>
      <c r="B397" s="8" t="s">
        <v>59</v>
      </c>
      <c r="C397" s="63" t="n">
        <f aca="false">Pressupostos!$C$61</f>
        <v>0.001</v>
      </c>
      <c r="D397" s="63" t="n">
        <f aca="false">Pressupostos!$C$61</f>
        <v>0.001</v>
      </c>
      <c r="E397" s="63" t="n">
        <f aca="false">Pressupostos!$C$61</f>
        <v>0.001</v>
      </c>
      <c r="F397" s="63" t="n">
        <f aca="false">Pressupostos!$C$61</f>
        <v>0.001</v>
      </c>
      <c r="G397" s="63" t="n">
        <f aca="false">Pressupostos!$C$61</f>
        <v>0.001</v>
      </c>
      <c r="H397" s="2" t="s">
        <v>1181</v>
      </c>
    </row>
    <row r="398" customFormat="false" ht="15" hidden="false" customHeight="false" outlineLevel="1" collapsed="false">
      <c r="A398" s="7" t="s">
        <v>76</v>
      </c>
      <c r="B398" s="8" t="s">
        <v>59</v>
      </c>
      <c r="C398" s="60" t="n">
        <f aca="false">Pressupostos!$C$62*C385</f>
        <v>0.01095</v>
      </c>
      <c r="D398" s="60" t="n">
        <f aca="false">Pressupostos!$C$62*D385</f>
        <v>0.01095</v>
      </c>
      <c r="E398" s="60" t="n">
        <f aca="false">Pressupostos!$C$62*E385</f>
        <v>0.01095</v>
      </c>
      <c r="F398" s="60" t="n">
        <f aca="false">Pressupostos!$C$62*F385</f>
        <v>0.01095</v>
      </c>
      <c r="G398" s="60" t="n">
        <f aca="false">Pressupostos!$C$62*G385</f>
        <v>0.01095</v>
      </c>
      <c r="H398" s="2" t="s">
        <v>1182</v>
      </c>
    </row>
    <row r="399" customFormat="false" ht="15" hidden="false" customHeight="false" outlineLevel="1" collapsed="false">
      <c r="A399" s="7" t="s">
        <v>638</v>
      </c>
      <c r="B399" s="8" t="s">
        <v>59</v>
      </c>
      <c r="C399" s="60" t="n">
        <f aca="false">Pressupostos!$C$71*C385</f>
        <v>0</v>
      </c>
      <c r="D399" s="60" t="n">
        <f aca="false">Pressupostos!$C$71*D385</f>
        <v>0</v>
      </c>
      <c r="E399" s="60" t="n">
        <f aca="false">Pressupostos!$C$71*E385</f>
        <v>0</v>
      </c>
      <c r="F399" s="60" t="n">
        <f aca="false">Pressupostos!$C$71*F385</f>
        <v>0</v>
      </c>
      <c r="G399" s="60" t="n">
        <f aca="false">Pressupostos!$C$71*G385</f>
        <v>0</v>
      </c>
      <c r="H399" s="2" t="s">
        <v>1183</v>
      </c>
    </row>
    <row r="400" customFormat="false" ht="15" hidden="false" customHeight="false" outlineLevel="1" collapsed="false">
      <c r="A400" s="7" t="s">
        <v>639</v>
      </c>
      <c r="B400" s="8" t="s">
        <v>59</v>
      </c>
      <c r="C400" s="60" t="n">
        <f aca="false">Pressupostos!$C$283*(C383+C386)*(C389+C390-Pressupostos!$C$70)/365*Pressupostos!$C$277/Pressupostos!$D$31</f>
        <v>0</v>
      </c>
      <c r="D400" s="60" t="n">
        <f aca="false">Pressupostos!$D$283*(D383+D386)*(D389+D390-Pressupostos!$C$70)/365*Pressupostos!$D$277/Pressupostos!$D$31</f>
        <v>0.0258904109589041</v>
      </c>
      <c r="E400" s="60" t="n">
        <f aca="false">Pressupostos!$E$283*(E383+E386)*(E389+E390-Pressupostos!$C$70)/365*Pressupostos!$E$277/Pressupostos!$D$31</f>
        <v>0.0242722602739726</v>
      </c>
      <c r="F400" s="60" t="n">
        <f aca="false">Pressupostos!$F$283*(F383+F386)*(F389+F390-Pressupostos!$C$70)/365*Pressupostos!$F$277/Pressupostos!$D$31</f>
        <v>0.0226541095890411</v>
      </c>
      <c r="G400" s="60" t="n">
        <f aca="false">Pressupostos!$G$283*(G383+G386)*(G389+G390-Pressupostos!$C$70)/365*Pressupostos!$G$277/Pressupostos!$D$31</f>
        <v>0.0226541095890411</v>
      </c>
      <c r="H400" s="2" t="s">
        <v>1184</v>
      </c>
    </row>
    <row r="401" customFormat="false" ht="15" hidden="false" customHeight="false" outlineLevel="1" collapsed="false">
      <c r="A401" s="7" t="s">
        <v>640</v>
      </c>
      <c r="B401" s="8" t="s">
        <v>59</v>
      </c>
      <c r="C401" s="60" t="n">
        <f aca="false">C383+C386+C387+C388+C391+C392+C393+C394+C395+C396+C397+C398+C399+C400</f>
        <v>3.59123767123288</v>
      </c>
      <c r="D401" s="60" t="n">
        <f aca="false">D383+D386+D387+D388+D391+D392+D393+D394+D395+D396+D397+D398+D399+D400</f>
        <v>3.61712808219178</v>
      </c>
      <c r="E401" s="60" t="n">
        <f aca="false">E383+E386+E387+E388+E391+E392+E393+E394+E395+E396+E397+E398+E399+E400</f>
        <v>3.61550993150685</v>
      </c>
      <c r="F401" s="60" t="n">
        <f aca="false">F383+F386+F387+F388+F391+F392+F393+F394+F395+F396+F397+F398+F399+F400</f>
        <v>3.61389178082192</v>
      </c>
      <c r="G401" s="60" t="n">
        <f aca="false">G383+G386+G387+G388+G391+G392+G393+G394+G395+G396+G397+G398+G399+G400</f>
        <v>3.61389178082192</v>
      </c>
      <c r="H401" s="2" t="s">
        <v>1185</v>
      </c>
    </row>
    <row r="402" customFormat="false" ht="15" hidden="false" customHeight="false" outlineLevel="1" collapsed="false">
      <c r="A402" s="52" t="s">
        <v>641</v>
      </c>
      <c r="B402" s="53" t="s">
        <v>59</v>
      </c>
      <c r="C402" s="64" t="n">
        <f aca="false">C385-C401</f>
        <v>0.058762328767124</v>
      </c>
      <c r="D402" s="64" t="n">
        <f aca="false">D385-D401</f>
        <v>0.0328719178082197</v>
      </c>
      <c r="E402" s="64" t="n">
        <f aca="false">E385-E401</f>
        <v>0.0344900684931515</v>
      </c>
      <c r="F402" s="64" t="n">
        <f aca="false">F385-F401</f>
        <v>0.0361082191780828</v>
      </c>
      <c r="G402" s="64" t="n">
        <f aca="false">G385-G401</f>
        <v>0.0361082191780828</v>
      </c>
      <c r="H402" s="2" t="s">
        <v>1186</v>
      </c>
    </row>
    <row r="403" customFormat="false" ht="15" hidden="false" customHeight="false" outlineLevel="1" collapsed="false">
      <c r="A403" s="7" t="s">
        <v>642</v>
      </c>
      <c r="B403" s="8" t="s">
        <v>71</v>
      </c>
      <c r="C403" s="55" t="n">
        <f aca="false">IF(C385&gt;0,C402/C385,0)</f>
        <v>0.0160992681553764</v>
      </c>
      <c r="D403" s="55" t="n">
        <f aca="false">IF(D385&gt;0,D402/D385,0)</f>
        <v>0.00900600487896431</v>
      </c>
      <c r="E403" s="55" t="n">
        <f aca="false">IF(E385&gt;0,E402/E385,0)</f>
        <v>0.00944933383374014</v>
      </c>
      <c r="F403" s="55" t="n">
        <f aca="false">IF(F385&gt;0,F402/F385,0)</f>
        <v>0.00989266278851584</v>
      </c>
      <c r="G403" s="55" t="n">
        <f aca="false">IF(G385&gt;0,G402/G385,0)</f>
        <v>0.00989266278851584</v>
      </c>
      <c r="H403" s="2" t="s">
        <v>1187</v>
      </c>
    </row>
    <row r="404" customFormat="false" ht="15" hidden="false" customHeight="false" outlineLevel="1" collapsed="false">
      <c r="A404" s="7" t="s">
        <v>643</v>
      </c>
      <c r="B404" s="8" t="s">
        <v>59</v>
      </c>
      <c r="C404" s="60" t="n">
        <f aca="false">(C383+C386)*(C389-Pressupostos!$C$70)/365+C385*C390/365</f>
        <v>0.306164383561644</v>
      </c>
      <c r="D404" s="60" t="n">
        <f aca="false">(D383+D386)*(D389-Pressupostos!$C$70)/365+D385*D390/365</f>
        <v>0.306164383561644</v>
      </c>
      <c r="E404" s="60" t="n">
        <f aca="false">(E383+E386)*(E389-Pressupostos!$C$70)/365+E385*E390/365</f>
        <v>0.306164383561644</v>
      </c>
      <c r="F404" s="60" t="n">
        <f aca="false">(F383+F386)*(F389-Pressupostos!$C$70)/365+F385*F390/365</f>
        <v>0.306164383561644</v>
      </c>
      <c r="G404" s="60" t="n">
        <f aca="false">(G383+G386)*(G389-Pressupostos!$C$70)/365+G385*G390/365</f>
        <v>0.306164383561644</v>
      </c>
      <c r="H404" s="2" t="s">
        <v>1188</v>
      </c>
    </row>
    <row r="405" customFormat="false" ht="15" hidden="false" customHeight="false" outlineLevel="0" collapsed="false">
      <c r="A405" s="3" t="s">
        <v>1189</v>
      </c>
      <c r="B405" s="4"/>
      <c r="C405" s="4"/>
      <c r="D405" s="4"/>
      <c r="E405" s="4"/>
      <c r="F405" s="4"/>
      <c r="G405" s="4"/>
      <c r="H405" s="4"/>
    </row>
    <row r="406" customFormat="false" ht="15" hidden="false" customHeight="false" outlineLevel="1" collapsed="false">
      <c r="A406" s="7" t="s">
        <v>575</v>
      </c>
      <c r="B406" s="8" t="s">
        <v>10</v>
      </c>
      <c r="C406" s="58" t="n">
        <f aca="false">C321*1000*C339</f>
        <v>40680</v>
      </c>
      <c r="D406" s="58" t="n">
        <f aca="false">D321*1000*D339</f>
        <v>188145</v>
      </c>
      <c r="E406" s="58" t="n">
        <f aca="false">E321*1000*E339</f>
        <v>676305</v>
      </c>
      <c r="F406" s="58" t="n">
        <f aca="false">F321*1000*F339</f>
        <v>1357695</v>
      </c>
      <c r="G406" s="58" t="n">
        <f aca="false">G321*1000*G339</f>
        <v>2084850</v>
      </c>
      <c r="H406" s="2" t="s">
        <v>1190</v>
      </c>
    </row>
    <row r="407" customFormat="false" ht="15" hidden="false" customHeight="false" outlineLevel="1" collapsed="false">
      <c r="A407" s="7" t="s">
        <v>576</v>
      </c>
      <c r="B407" s="8" t="s">
        <v>10</v>
      </c>
      <c r="C407" s="58" t="n">
        <f aca="false">C322*1000*C362</f>
        <v>226200</v>
      </c>
      <c r="D407" s="58" t="n">
        <f aca="false">D322*1000*D362</f>
        <v>1579050</v>
      </c>
      <c r="E407" s="58" t="n">
        <f aca="false">E322*1000*E362</f>
        <v>3118950</v>
      </c>
      <c r="F407" s="58" t="n">
        <f aca="false">F322*1000*F362</f>
        <v>5146050</v>
      </c>
      <c r="G407" s="58" t="n">
        <f aca="false">G322*1000*G362</f>
        <v>7786500</v>
      </c>
      <c r="H407" s="2" t="s">
        <v>1191</v>
      </c>
    </row>
    <row r="408" customFormat="false" ht="15" hidden="false" customHeight="false" outlineLevel="1" collapsed="false">
      <c r="A408" s="7" t="s">
        <v>577</v>
      </c>
      <c r="B408" s="8" t="s">
        <v>10</v>
      </c>
      <c r="C408" s="58" t="n">
        <f aca="false">C323*1000*C385</f>
        <v>0</v>
      </c>
      <c r="D408" s="58" t="n">
        <f aca="false">D323*1000*D385</f>
        <v>0</v>
      </c>
      <c r="E408" s="58" t="n">
        <f aca="false">E323*1000*E385</f>
        <v>0</v>
      </c>
      <c r="F408" s="58" t="n">
        <f aca="false">F323*1000*F385</f>
        <v>0</v>
      </c>
      <c r="G408" s="58" t="n">
        <f aca="false">G323*1000*G385</f>
        <v>0</v>
      </c>
      <c r="H408" s="2" t="s">
        <v>1192</v>
      </c>
    </row>
    <row r="409" customFormat="false" ht="15" hidden="false" customHeight="false" outlineLevel="1" collapsed="false">
      <c r="A409" s="7" t="s">
        <v>578</v>
      </c>
      <c r="B409" s="8" t="s">
        <v>10</v>
      </c>
      <c r="C409" s="58" t="n">
        <f aca="false">C406+C407+C408</f>
        <v>266880</v>
      </c>
      <c r="D409" s="58" t="n">
        <f aca="false">D406+D407+D408</f>
        <v>1767195</v>
      </c>
      <c r="E409" s="58" t="n">
        <f aca="false">E406+E407+E408</f>
        <v>3795255</v>
      </c>
      <c r="F409" s="58" t="n">
        <f aca="false">F406+F407+F408</f>
        <v>6503745</v>
      </c>
      <c r="G409" s="58" t="n">
        <f aca="false">G406+G407+G408</f>
        <v>9871350</v>
      </c>
      <c r="H409" s="2" t="s">
        <v>1193</v>
      </c>
    </row>
    <row r="410" customFormat="false" ht="15" hidden="false" customHeight="false" outlineLevel="1" collapsed="false">
      <c r="A410" s="7" t="s">
        <v>579</v>
      </c>
      <c r="B410" s="8" t="s">
        <v>10</v>
      </c>
      <c r="C410" s="58" t="n">
        <f aca="false">C332*1000*Pressupostos!$C$91</f>
        <v>0</v>
      </c>
      <c r="D410" s="58" t="n">
        <f aca="false">D332*1000*Pressupostos!$C$91</f>
        <v>0</v>
      </c>
      <c r="E410" s="58" t="n">
        <f aca="false">E332*1000*Pressupostos!$C$91</f>
        <v>235500</v>
      </c>
      <c r="F410" s="58" t="n">
        <f aca="false">F332*1000*Pressupostos!$C$91</f>
        <v>471000</v>
      </c>
      <c r="G410" s="58" t="n">
        <f aca="false">G332*1000*Pressupostos!$C$91</f>
        <v>785000</v>
      </c>
      <c r="H410" s="2" t="s">
        <v>1194</v>
      </c>
    </row>
    <row r="411" customFormat="false" ht="15" hidden="false" customHeight="false" outlineLevel="1" collapsed="false">
      <c r="A411" s="2" t="s">
        <v>580</v>
      </c>
      <c r="B411" s="8" t="s">
        <v>10</v>
      </c>
      <c r="C411" s="58" t="n">
        <f aca="false">C330*Pressupostos!$C$78*(1-Pressupostos!$C$79)</f>
        <v>40500</v>
      </c>
      <c r="D411" s="58" t="n">
        <f aca="false">D330*Pressupostos!$C$78*(1-Pressupostos!$C$79)</f>
        <v>162000</v>
      </c>
      <c r="E411" s="58" t="n">
        <f aca="false">E330*Pressupostos!$C$78*(1-Pressupostos!$C$79)</f>
        <v>270000</v>
      </c>
      <c r="F411" s="58" t="n">
        <f aca="false">F330*Pressupostos!$C$78*(1-Pressupostos!$C$79)</f>
        <v>378000</v>
      </c>
      <c r="G411" s="58" t="n">
        <f aca="false">G330*Pressupostos!$C$78*(1-Pressupostos!$C$79)</f>
        <v>486000</v>
      </c>
      <c r="H411" s="2" t="s">
        <v>1195</v>
      </c>
    </row>
    <row r="412" customFormat="false" ht="15" hidden="false" customHeight="false" outlineLevel="1" collapsed="false">
      <c r="A412" s="7" t="s">
        <v>581</v>
      </c>
      <c r="B412" s="8" t="s">
        <v>10</v>
      </c>
      <c r="C412" s="58" t="n">
        <f aca="false">C411*Pressupostos!$D$27</f>
        <v>810</v>
      </c>
      <c r="D412" s="58" t="n">
        <f aca="false">D411*Pressupostos!$D$27</f>
        <v>3240</v>
      </c>
      <c r="E412" s="58" t="n">
        <f aca="false">E411*Pressupostos!$D$27</f>
        <v>5400</v>
      </c>
      <c r="F412" s="58" t="n">
        <f aca="false">F411*Pressupostos!$D$27</f>
        <v>7560</v>
      </c>
      <c r="G412" s="58" t="n">
        <f aca="false">G411*Pressupostos!$D$27</f>
        <v>9720</v>
      </c>
      <c r="H412" s="2" t="s">
        <v>1196</v>
      </c>
    </row>
    <row r="413" customFormat="false" ht="15" hidden="false" customHeight="false" outlineLevel="1" collapsed="false">
      <c r="A413" s="7" t="s">
        <v>582</v>
      </c>
      <c r="B413" s="8" t="s">
        <v>10</v>
      </c>
      <c r="C413" s="58" t="n">
        <f aca="false">C334*(Pressupostos!$C$99*Pressupostos!$C$100+Pressupostos!$C$101)</f>
        <v>0</v>
      </c>
      <c r="D413" s="58" t="n">
        <f aca="false">D334*(Pressupostos!$C$99*Pressupostos!$C$100+Pressupostos!$C$101)</f>
        <v>10000</v>
      </c>
      <c r="E413" s="58" t="n">
        <f aca="false">E334*(Pressupostos!$C$99*Pressupostos!$C$100+Pressupostos!$C$101)</f>
        <v>30000</v>
      </c>
      <c r="F413" s="58" t="n">
        <f aca="false">F334*(Pressupostos!$C$99*Pressupostos!$C$100+Pressupostos!$C$101)</f>
        <v>60000</v>
      </c>
      <c r="G413" s="58" t="n">
        <f aca="false">G334*(Pressupostos!$C$99*Pressupostos!$C$100+Pressupostos!$C$101)</f>
        <v>100000</v>
      </c>
      <c r="H413" s="2" t="s">
        <v>1197</v>
      </c>
    </row>
    <row r="414" customFormat="false" ht="15" hidden="false" customHeight="false" outlineLevel="1" collapsed="false">
      <c r="A414" s="7" t="s">
        <v>583</v>
      </c>
      <c r="B414" s="8" t="s">
        <v>10</v>
      </c>
      <c r="C414" s="50" t="n">
        <f aca="false">Pressupostos!$C$270</f>
        <v>0</v>
      </c>
      <c r="D414" s="50" t="n">
        <f aca="false">Pressupostos!$D$270</f>
        <v>0</v>
      </c>
      <c r="E414" s="50" t="n">
        <f aca="false">Pressupostos!$E$270</f>
        <v>0</v>
      </c>
      <c r="F414" s="50" t="n">
        <f aca="false">Pressupostos!$F$270</f>
        <v>10000</v>
      </c>
      <c r="G414" s="50" t="n">
        <f aca="false">Pressupostos!$G$270</f>
        <v>30000</v>
      </c>
      <c r="H414" s="2" t="s">
        <v>1198</v>
      </c>
    </row>
    <row r="415" customFormat="false" ht="15" hidden="false" customHeight="false" outlineLevel="1" collapsed="false">
      <c r="A415" s="52" t="s">
        <v>584</v>
      </c>
      <c r="B415" s="53" t="s">
        <v>10</v>
      </c>
      <c r="C415" s="59" t="n">
        <f aca="false">C409+C410+C412+C413+C414</f>
        <v>267690</v>
      </c>
      <c r="D415" s="59" t="n">
        <f aca="false">D409+D410+D412+D413+D414</f>
        <v>1780435</v>
      </c>
      <c r="E415" s="59" t="n">
        <f aca="false">E409+E410+E412+E413+E414</f>
        <v>4066155</v>
      </c>
      <c r="F415" s="59" t="n">
        <f aca="false">F409+F410+F412+F413+F414</f>
        <v>7052305</v>
      </c>
      <c r="G415" s="59" t="n">
        <f aca="false">G409+G410+G412+G413+G414</f>
        <v>10796070</v>
      </c>
      <c r="H415" s="2" t="s">
        <v>1199</v>
      </c>
    </row>
    <row r="416" customFormat="false" ht="15" hidden="false" customHeight="false" outlineLevel="0" collapsed="false">
      <c r="A416" s="3" t="s">
        <v>1200</v>
      </c>
      <c r="B416" s="4"/>
      <c r="C416" s="4"/>
      <c r="D416" s="4"/>
      <c r="E416" s="4"/>
      <c r="F416" s="4"/>
      <c r="G416" s="4"/>
      <c r="H416" s="4"/>
    </row>
    <row r="417" customFormat="false" ht="15" hidden="false" customHeight="false" outlineLevel="1" collapsed="false">
      <c r="A417" s="52" t="s">
        <v>586</v>
      </c>
      <c r="B417" s="53" t="s">
        <v>10</v>
      </c>
      <c r="C417" s="59" t="n">
        <f aca="false">C409+C410+C411</f>
        <v>307380</v>
      </c>
      <c r="D417" s="59" t="n">
        <f aca="false">D409+D410+D411</f>
        <v>1929195</v>
      </c>
      <c r="E417" s="59" t="n">
        <f aca="false">E409+E410+E411</f>
        <v>4300755</v>
      </c>
      <c r="F417" s="59" t="n">
        <f aca="false">F409+F410+F411</f>
        <v>7352745</v>
      </c>
      <c r="G417" s="59" t="n">
        <f aca="false">G409+G410+G411</f>
        <v>11142350</v>
      </c>
      <c r="H417" s="2" t="s">
        <v>1201</v>
      </c>
    </row>
    <row r="418" customFormat="false" ht="15" hidden="false" customHeight="false" outlineLevel="1" collapsed="false">
      <c r="A418" s="7" t="s">
        <v>587</v>
      </c>
      <c r="B418" s="8" t="s">
        <v>10</v>
      </c>
      <c r="C418" s="58" t="n">
        <f aca="false">C321*1000*(C337+C340)+C322*1000*(C360+C363)+C323*1000*(C383+C386)+C332*1000*Pressupostos!$C$90</f>
        <v>243800</v>
      </c>
      <c r="D418" s="58" t="n">
        <f aca="false">D321*1000*(D337+D340)+D322*1000*(D360+D363)+D323*1000*(D383+D386)+D332*1000*Pressupostos!$C$90</f>
        <v>1623700</v>
      </c>
      <c r="E418" s="58" t="n">
        <f aca="false">E321*1000*(E337+E340)+E322*1000*(E360+E363)+E323*1000*(E383+E386)+E332*1000*Pressupostos!$C$90</f>
        <v>3665800</v>
      </c>
      <c r="F418" s="58" t="n">
        <f aca="false">F321*1000*(F337+F340)+F322*1000*(F360+F363)+F323*1000*(F383+F386)+F332*1000*Pressupostos!$C$90</f>
        <v>6319200</v>
      </c>
      <c r="G418" s="58" t="n">
        <f aca="false">G321*1000*(G337+G340)+G322*1000*(G360+G363)+G323*1000*(G383+G386)+G332*1000*Pressupostos!$C$90</f>
        <v>9651000</v>
      </c>
      <c r="H418" s="2" t="s">
        <v>1202</v>
      </c>
    </row>
    <row r="419" customFormat="false" ht="15" hidden="false" customHeight="false" outlineLevel="1" collapsed="false">
      <c r="A419" s="7" t="s">
        <v>588</v>
      </c>
      <c r="B419" s="8" t="s">
        <v>10</v>
      </c>
      <c r="C419" s="58" t="n">
        <f aca="false">C418*Pressupostos!$C$277</f>
        <v>0</v>
      </c>
      <c r="D419" s="58" t="n">
        <f aca="false">D418*Pressupostos!$D$277</f>
        <v>1461330</v>
      </c>
      <c r="E419" s="58" t="n">
        <f aca="false">E418*Pressupostos!$E$277</f>
        <v>3299220</v>
      </c>
      <c r="F419" s="58" t="n">
        <f aca="false">F418*Pressupostos!$F$277</f>
        <v>5687280</v>
      </c>
      <c r="G419" s="58" t="n">
        <f aca="false">G418*Pressupostos!$G$277</f>
        <v>8685900</v>
      </c>
      <c r="H419" s="2" t="s">
        <v>1203</v>
      </c>
    </row>
    <row r="420" customFormat="false" ht="15" hidden="false" customHeight="false" outlineLevel="0" collapsed="false">
      <c r="A420" s="3" t="s">
        <v>1204</v>
      </c>
      <c r="B420" s="4"/>
      <c r="C420" s="4"/>
      <c r="D420" s="4"/>
      <c r="E420" s="4"/>
      <c r="F420" s="4"/>
      <c r="G420" s="4"/>
      <c r="H420" s="4"/>
    </row>
    <row r="421" customFormat="false" ht="15" hidden="false" customHeight="false" outlineLevel="1" collapsed="false">
      <c r="A421" s="7" t="s">
        <v>590</v>
      </c>
      <c r="B421" s="8" t="s">
        <v>10</v>
      </c>
      <c r="C421" s="58" t="n">
        <f aca="false">C321*1000*C356</f>
        <v>2727.51452054796</v>
      </c>
      <c r="D421" s="58" t="n">
        <f aca="false">D321*1000*D356</f>
        <v>5610.35054794528</v>
      </c>
      <c r="E421" s="58" t="n">
        <f aca="false">E321*1000*E356</f>
        <v>46169.050650685</v>
      </c>
      <c r="F421" s="58" t="n">
        <f aca="false">F321*1000*F356</f>
        <v>96209.0426712332</v>
      </c>
      <c r="G421" s="58" t="n">
        <f aca="false">G321*1000*G356</f>
        <v>147736.732191781</v>
      </c>
      <c r="H421" s="2" t="s">
        <v>1205</v>
      </c>
    </row>
    <row r="422" customFormat="false" ht="15" hidden="false" customHeight="false" outlineLevel="1" collapsed="false">
      <c r="A422" s="7" t="s">
        <v>591</v>
      </c>
      <c r="B422" s="8" t="s">
        <v>10</v>
      </c>
      <c r="C422" s="58" t="n">
        <f aca="false">C322*1000*C379</f>
        <v>5010.62739726033</v>
      </c>
      <c r="D422" s="58" t="n">
        <f aca="false">D322*1000*D379</f>
        <v>18665.410273973</v>
      </c>
      <c r="E422" s="58" t="n">
        <f aca="false">E322*1000*E379</f>
        <v>46051.8418664388</v>
      </c>
      <c r="F422" s="58" t="n">
        <f aca="false">F322*1000*F379</f>
        <v>79304.9573630142</v>
      </c>
      <c r="G422" s="58" t="n">
        <f aca="false">G322*1000*G379</f>
        <v>119996.511986302</v>
      </c>
      <c r="H422" s="2" t="s">
        <v>1206</v>
      </c>
    </row>
    <row r="423" customFormat="false" ht="15" hidden="false" customHeight="false" outlineLevel="1" collapsed="false">
      <c r="A423" s="7" t="s">
        <v>592</v>
      </c>
      <c r="B423" s="8" t="s">
        <v>10</v>
      </c>
      <c r="C423" s="58" t="n">
        <f aca="false">C323*1000*C402</f>
        <v>0</v>
      </c>
      <c r="D423" s="58" t="n">
        <f aca="false">D323*1000*D402</f>
        <v>0</v>
      </c>
      <c r="E423" s="58" t="n">
        <f aca="false">E323*1000*E402</f>
        <v>0</v>
      </c>
      <c r="F423" s="58" t="n">
        <f aca="false">F323*1000*F402</f>
        <v>0</v>
      </c>
      <c r="G423" s="58" t="n">
        <f aca="false">G323*1000*G402</f>
        <v>0</v>
      </c>
      <c r="H423" s="2" t="s">
        <v>1207</v>
      </c>
    </row>
    <row r="424" customFormat="false" ht="15" hidden="false" customHeight="false" outlineLevel="1" collapsed="false">
      <c r="A424" s="7" t="s">
        <v>593</v>
      </c>
      <c r="B424" s="8" t="s">
        <v>10</v>
      </c>
      <c r="C424" s="58" t="n">
        <f aca="false">C421+C422+C423</f>
        <v>7738.14191780829</v>
      </c>
      <c r="D424" s="58" t="n">
        <f aca="false">D421+D422+D423</f>
        <v>24275.7608219183</v>
      </c>
      <c r="E424" s="58" t="n">
        <f aca="false">E421+E422+E423</f>
        <v>92220.8925171239</v>
      </c>
      <c r="F424" s="58" t="n">
        <f aca="false">F421+F422+F423</f>
        <v>175514.000034247</v>
      </c>
      <c r="G424" s="58" t="n">
        <f aca="false">G421+G422+G423</f>
        <v>267733.244178084</v>
      </c>
      <c r="H424" s="2" t="s">
        <v>1208</v>
      </c>
    </row>
    <row r="425" customFormat="false" ht="15" hidden="false" customHeight="false" outlineLevel="1" collapsed="false">
      <c r="A425" s="7" t="s">
        <v>594</v>
      </c>
      <c r="B425" s="8" t="s">
        <v>59</v>
      </c>
      <c r="C425" s="60" t="n">
        <f aca="false">IF(C324&gt;0,C424/(C324*1000),0)</f>
        <v>0.128969031963471</v>
      </c>
      <c r="D425" s="60" t="n">
        <f aca="false">IF(D324&gt;0,D424/(D324*1000),0)</f>
        <v>0.0606894020547957</v>
      </c>
      <c r="E425" s="60" t="n">
        <f aca="false">IF(E324&gt;0,E424/(E324*1000),0)</f>
        <v>0.108495167667205</v>
      </c>
      <c r="F425" s="60" t="n">
        <f aca="false">IF(F324&gt;0,F424/(F324*1000),0)</f>
        <v>0.121044137954653</v>
      </c>
      <c r="G425" s="60" t="n">
        <f aca="false">IF(G324&gt;0,G424/(G324*1000),0)</f>
        <v>0.121696929171856</v>
      </c>
      <c r="H425" s="2" t="s">
        <v>1209</v>
      </c>
    </row>
    <row r="426" customFormat="false" ht="15" hidden="false" customHeight="false" outlineLevel="1" collapsed="false">
      <c r="A426" s="7" t="s">
        <v>595</v>
      </c>
      <c r="B426" s="8" t="s">
        <v>71</v>
      </c>
      <c r="C426" s="55" t="n">
        <f aca="false">IF(C409&gt;0,C424/C409,0)</f>
        <v>0.0289948363227229</v>
      </c>
      <c r="D426" s="55" t="n">
        <f aca="false">IF(D409&gt;0,D424/D409,0)</f>
        <v>0.0137368885844054</v>
      </c>
      <c r="E426" s="55" t="n">
        <f aca="false">IF(E409&gt;0,E424/E409,0)</f>
        <v>0.0242989977003189</v>
      </c>
      <c r="F426" s="55" t="n">
        <f aca="false">IF(F409&gt;0,F424/F409,0)</f>
        <v>0.0269866054149182</v>
      </c>
      <c r="G426" s="55" t="n">
        <f aca="false">IF(G409&gt;0,G424/G409,0)</f>
        <v>0.0271222521922618</v>
      </c>
      <c r="H426" s="2" t="s">
        <v>1210</v>
      </c>
    </row>
    <row r="427" customFormat="false" ht="15" hidden="false" customHeight="false" outlineLevel="1" collapsed="false">
      <c r="A427" s="2" t="s">
        <v>596</v>
      </c>
      <c r="B427" s="8" t="s">
        <v>59</v>
      </c>
      <c r="C427" s="60" t="n">
        <f aca="false">Pressupostos!$C$283*Pressupostos!$C$90*(Pressupostos!$C$93+Pressupostos!$C$94-Pressupostos!$C$95)/365*Pressupostos!$C$277/Pressupostos!$D$31</f>
        <v>0</v>
      </c>
      <c r="D427" s="60" t="n">
        <f aca="false">Pressupostos!$D$283*Pressupostos!$C$90*(Pressupostos!$C$93+Pressupostos!$C$94-Pressupostos!$C$95)/365*Pressupostos!$D$277/Pressupostos!$D$31</f>
        <v>0.0776712328767123</v>
      </c>
      <c r="E427" s="60" t="n">
        <f aca="false">Pressupostos!$E$283*Pressupostos!$C$90*(Pressupostos!$C$93+Pressupostos!$C$94-Pressupostos!$C$95)/365*Pressupostos!$E$277/Pressupostos!$D$31</f>
        <v>0.0728167808219178</v>
      </c>
      <c r="F427" s="60" t="n">
        <f aca="false">Pressupostos!$F$283*Pressupostos!$C$90*(Pressupostos!$C$93+Pressupostos!$C$94-Pressupostos!$C$95)/365*Pressupostos!$F$277/Pressupostos!$D$31</f>
        <v>0.0679623287671233</v>
      </c>
      <c r="G427" s="60" t="n">
        <f aca="false">Pressupostos!$G$283*Pressupostos!$C$90*(Pressupostos!$C$93+Pressupostos!$C$94-Pressupostos!$C$95)/365*Pressupostos!$G$277/Pressupostos!$D$31</f>
        <v>0.0679623287671233</v>
      </c>
      <c r="H427" s="2" t="s">
        <v>1211</v>
      </c>
    </row>
    <row r="428" customFormat="false" ht="15" hidden="false" customHeight="false" outlineLevel="1" collapsed="false">
      <c r="A428" s="7" t="s">
        <v>567</v>
      </c>
      <c r="B428" s="8" t="s">
        <v>10</v>
      </c>
      <c r="C428" s="58" t="n">
        <f aca="false">C332*1000*(Pressupostos!$C$91-Pressupostos!$C$90-Pressupostos!$C$92-C427-Pressupostos!$C$96*Pressupostos!$C$91-Pressupostos!$C$97-Pressupostos!$D$29*Pressupostos!$C$90)</f>
        <v>0</v>
      </c>
      <c r="D428" s="58" t="n">
        <f aca="false">D332*1000*(Pressupostos!$C$91-Pressupostos!$C$90-Pressupostos!$C$92-D427-Pressupostos!$C$96*Pressupostos!$C$91-Pressupostos!$C$97-Pressupostos!$D$29*Pressupostos!$C$90)</f>
        <v>0</v>
      </c>
      <c r="E428" s="58" t="n">
        <f aca="false">E332*1000*(Pressupostos!$C$91-Pressupostos!$C$90-Pressupostos!$C$92-E427-Pressupostos!$C$96*Pressupostos!$C$91-Pressupostos!$C$97-Pressupostos!$D$29*Pressupostos!$C$90)</f>
        <v>16502.4965753425</v>
      </c>
      <c r="F428" s="58" t="n">
        <f aca="false">F332*1000*(Pressupostos!$C$91-Pressupostos!$C$90-Pressupostos!$C$92-F427-Pressupostos!$C$96*Pressupostos!$C$91-Pressupostos!$C$97-Pressupostos!$D$29*Pressupostos!$C$90)</f>
        <v>33296.2602739726</v>
      </c>
      <c r="G428" s="58" t="n">
        <f aca="false">G332*1000*(Pressupostos!$C$91-Pressupostos!$C$90-Pressupostos!$C$92-G427-Pressupostos!$C$96*Pressupostos!$C$91-Pressupostos!$C$97-Pressupostos!$D$29*Pressupostos!$C$90)</f>
        <v>55493.7671232876</v>
      </c>
      <c r="H428" s="2" t="s">
        <v>1212</v>
      </c>
    </row>
    <row r="429" customFormat="false" ht="15" hidden="false" customHeight="false" outlineLevel="1" collapsed="false">
      <c r="A429" s="7" t="s">
        <v>597</v>
      </c>
      <c r="B429" s="8" t="s">
        <v>10</v>
      </c>
      <c r="C429" s="58" t="n">
        <f aca="false">C412</f>
        <v>810</v>
      </c>
      <c r="D429" s="58" t="n">
        <f aca="false">D412</f>
        <v>3240</v>
      </c>
      <c r="E429" s="58" t="n">
        <f aca="false">E412</f>
        <v>5400</v>
      </c>
      <c r="F429" s="58" t="n">
        <f aca="false">F412</f>
        <v>7560</v>
      </c>
      <c r="G429" s="58" t="n">
        <f aca="false">G412</f>
        <v>9720</v>
      </c>
      <c r="H429" s="2" t="s">
        <v>1213</v>
      </c>
    </row>
    <row r="430" customFormat="false" ht="15" hidden="false" customHeight="false" outlineLevel="1" collapsed="false">
      <c r="A430" s="7" t="s">
        <v>598</v>
      </c>
      <c r="B430" s="8" t="s">
        <v>10</v>
      </c>
      <c r="C430" s="58" t="n">
        <f aca="false">C413-C445</f>
        <v>0</v>
      </c>
      <c r="D430" s="58" t="n">
        <f aca="false">D413-D445</f>
        <v>1771.42857142857</v>
      </c>
      <c r="E430" s="58" t="n">
        <f aca="false">E413-E445</f>
        <v>5314.28571428572</v>
      </c>
      <c r="F430" s="58" t="n">
        <f aca="false">F413-F445</f>
        <v>10628.5714285714</v>
      </c>
      <c r="G430" s="58" t="n">
        <f aca="false">G413-G445</f>
        <v>17714.2857142857</v>
      </c>
      <c r="H430" s="2" t="s">
        <v>1214</v>
      </c>
    </row>
    <row r="431" customFormat="false" ht="15" hidden="false" customHeight="false" outlineLevel="1" collapsed="false">
      <c r="A431" s="7" t="s">
        <v>583</v>
      </c>
      <c r="B431" s="8" t="s">
        <v>10</v>
      </c>
      <c r="C431" s="58" t="n">
        <f aca="false">C414</f>
        <v>0</v>
      </c>
      <c r="D431" s="58" t="n">
        <f aca="false">D414</f>
        <v>0</v>
      </c>
      <c r="E431" s="58" t="n">
        <f aca="false">E414</f>
        <v>0</v>
      </c>
      <c r="F431" s="58" t="n">
        <f aca="false">F414</f>
        <v>10000</v>
      </c>
      <c r="G431" s="58" t="n">
        <f aca="false">G414</f>
        <v>30000</v>
      </c>
      <c r="H431" s="2" t="s">
        <v>1215</v>
      </c>
    </row>
    <row r="432" customFormat="false" ht="15" hidden="false" customHeight="false" outlineLevel="1" collapsed="false">
      <c r="A432" s="52" t="s">
        <v>599</v>
      </c>
      <c r="B432" s="53" t="s">
        <v>10</v>
      </c>
      <c r="C432" s="59" t="n">
        <f aca="false">C424+C428+C429+C430+C431</f>
        <v>8548.14191780829</v>
      </c>
      <c r="D432" s="59" t="n">
        <f aca="false">D424+D428+D429+D430+D431</f>
        <v>29287.1893933469</v>
      </c>
      <c r="E432" s="59" t="n">
        <f aca="false">E424+E428+E429+E430+E431</f>
        <v>119437.674806752</v>
      </c>
      <c r="F432" s="59" t="n">
        <f aca="false">F424+F428+F429+F430+F431</f>
        <v>236998.831736791</v>
      </c>
      <c r="G432" s="59" t="n">
        <f aca="false">G424+G428+G429+G430+G431</f>
        <v>380661.297015657</v>
      </c>
      <c r="H432" s="2" t="s">
        <v>1216</v>
      </c>
    </row>
    <row r="433" customFormat="false" ht="15" hidden="false" customHeight="false" outlineLevel="0" collapsed="false">
      <c r="A433" s="3" t="s">
        <v>1217</v>
      </c>
      <c r="B433" s="4"/>
      <c r="C433" s="4"/>
      <c r="D433" s="4"/>
      <c r="E433" s="4"/>
      <c r="F433" s="4"/>
      <c r="G433" s="4"/>
      <c r="H433" s="4"/>
    </row>
    <row r="434" customFormat="false" ht="15" hidden="false" customHeight="false" outlineLevel="1" collapsed="false">
      <c r="A434" s="7" t="s">
        <v>647</v>
      </c>
      <c r="B434" s="8" t="s">
        <v>10</v>
      </c>
      <c r="C434" s="58" t="n">
        <f aca="false">C321*1000*(C337+C340)+C322*1000*(C360+C363)+C323*1000*(C383+C386)</f>
        <v>243800</v>
      </c>
      <c r="D434" s="58" t="n">
        <f aca="false">D321*1000*(D337+D340)+D322*1000*(D360+D363)+D323*1000*(D383+D386)</f>
        <v>1623700</v>
      </c>
      <c r="E434" s="58" t="n">
        <f aca="false">E321*1000*(E337+E340)+E322*1000*(E360+E363)+E323*1000*(E383+E386)</f>
        <v>3455800</v>
      </c>
      <c r="F434" s="58" t="n">
        <f aca="false">F321*1000*(F337+F340)+F322*1000*(F360+F363)+F323*1000*(F383+F386)</f>
        <v>5899200</v>
      </c>
      <c r="G434" s="58" t="n">
        <f aca="false">G321*1000*(G337+G340)+G322*1000*(G360+G363)+G323*1000*(G383+G386)</f>
        <v>8951000</v>
      </c>
      <c r="H434" s="2" t="s">
        <v>1218</v>
      </c>
    </row>
    <row r="435" customFormat="false" ht="15" hidden="false" customHeight="false" outlineLevel="1" collapsed="false">
      <c r="A435" s="7" t="s">
        <v>648</v>
      </c>
      <c r="B435" s="8" t="s">
        <v>10</v>
      </c>
      <c r="C435" s="58" t="n">
        <f aca="false">C332*1000*Pressupostos!$C$90</f>
        <v>0</v>
      </c>
      <c r="D435" s="58" t="n">
        <f aca="false">D332*1000*Pressupostos!$C$90</f>
        <v>0</v>
      </c>
      <c r="E435" s="58" t="n">
        <f aca="false">E332*1000*Pressupostos!$C$90</f>
        <v>210000</v>
      </c>
      <c r="F435" s="58" t="n">
        <f aca="false">F332*1000*Pressupostos!$C$90</f>
        <v>420000</v>
      </c>
      <c r="G435" s="58" t="n">
        <f aca="false">G332*1000*Pressupostos!$C$90</f>
        <v>700000</v>
      </c>
      <c r="H435" s="2" t="s">
        <v>1219</v>
      </c>
    </row>
    <row r="436" customFormat="false" ht="15" hidden="false" customHeight="false" outlineLevel="1" collapsed="false">
      <c r="A436" s="7" t="s">
        <v>649</v>
      </c>
      <c r="B436" s="8" t="s">
        <v>10</v>
      </c>
      <c r="C436" s="58" t="n">
        <f aca="false">C434+C435</f>
        <v>243800</v>
      </c>
      <c r="D436" s="58" t="n">
        <f aca="false">D434+D435</f>
        <v>1623700</v>
      </c>
      <c r="E436" s="58" t="n">
        <f aca="false">E434+E435</f>
        <v>3665800</v>
      </c>
      <c r="F436" s="58" t="n">
        <f aca="false">F434+F435</f>
        <v>6319200</v>
      </c>
      <c r="G436" s="58" t="n">
        <f aca="false">G434+G435</f>
        <v>9651000</v>
      </c>
      <c r="H436" s="2" t="s">
        <v>1220</v>
      </c>
    </row>
    <row r="437" customFormat="false" ht="15" hidden="false" customHeight="false" outlineLevel="1" collapsed="false">
      <c r="A437" s="7" t="s">
        <v>205</v>
      </c>
      <c r="B437" s="8" t="s">
        <v>10</v>
      </c>
      <c r="C437" s="58" t="n">
        <f aca="false">C321*1000*(C341)+C322*1000*(C364)+C323*1000*(C387)+C332*1000*Pressupostos!$C$92</f>
        <v>7600</v>
      </c>
      <c r="D437" s="58" t="n">
        <f aca="false">D321*1000*(D341)+D322*1000*(D364)+D323*1000*(D387)+D332*1000*Pressupostos!$C$92</f>
        <v>47400</v>
      </c>
      <c r="E437" s="58" t="n">
        <f aca="false">E321*1000*(E341)+E322*1000*(E364)+E323*1000*(E387)+E332*1000*Pressupostos!$C$92</f>
        <v>106270</v>
      </c>
      <c r="F437" s="58" t="n">
        <f aca="false">F321*1000*(F341)+F322*1000*(F364)+F323*1000*(F387)+F332*1000*Pressupostos!$C$92</f>
        <v>187560</v>
      </c>
      <c r="G437" s="58" t="n">
        <f aca="false">G321*1000*(G341)+G322*1000*(G364)+G323*1000*(G387)+G332*1000*Pressupostos!$C$92</f>
        <v>286800</v>
      </c>
      <c r="H437" s="2" t="s">
        <v>1221</v>
      </c>
    </row>
    <row r="438" customFormat="false" ht="15" hidden="false" customHeight="false" outlineLevel="1" collapsed="false">
      <c r="A438" s="7" t="s">
        <v>109</v>
      </c>
      <c r="B438" s="8" t="s">
        <v>10</v>
      </c>
      <c r="C438" s="58" t="n">
        <f aca="false">C321*1000*(C342)+C322*1000*(C365)+C323*1000*(C388)</f>
        <v>480</v>
      </c>
      <c r="D438" s="58" t="n">
        <f aca="false">D321*1000*(D342)+D322*1000*(D365)+D323*1000*(D388)</f>
        <v>2220</v>
      </c>
      <c r="E438" s="58" t="n">
        <f aca="false">E321*1000*(E342)+E322*1000*(E365)+E323*1000*(E388)</f>
        <v>7980</v>
      </c>
      <c r="F438" s="58" t="n">
        <f aca="false">F321*1000*(F342)+F322*1000*(F365)+F323*1000*(F388)</f>
        <v>16020</v>
      </c>
      <c r="G438" s="58" t="n">
        <f aca="false">G321*1000*(G342)+G322*1000*(G365)+G323*1000*(G388)</f>
        <v>24600</v>
      </c>
      <c r="H438" s="2" t="s">
        <v>1222</v>
      </c>
    </row>
    <row r="439" customFormat="false" ht="15" hidden="false" customHeight="false" outlineLevel="1" collapsed="false">
      <c r="A439" s="7" t="s">
        <v>650</v>
      </c>
      <c r="B439" s="8" t="s">
        <v>10</v>
      </c>
      <c r="C439" s="58" t="n">
        <f aca="false">C321*1000*(C345+C346)+C322*1000*(C368+C369)+C323*1000*(C391+C392)</f>
        <v>459.178082191781</v>
      </c>
      <c r="D439" s="58" t="n">
        <f aca="false">D321*1000*(D345+D346)+D322*1000*(D368+D369)+D323*1000*(D391+D392)</f>
        <v>2686.19178082192</v>
      </c>
      <c r="E439" s="58" t="n">
        <f aca="false">E321*1000*(E345+E346)+E322*1000*(E368+E369)+E323*1000*(E391+E392)</f>
        <v>4208.36712328767</v>
      </c>
      <c r="F439" s="58" t="n">
        <f aca="false">F321*1000*(F345+F346)+F322*1000*(F368+F369)+F323*1000*(F391+F392)</f>
        <v>7271.08493150685</v>
      </c>
      <c r="G439" s="58" t="n">
        <f aca="false">G321*1000*(G345+G346)+G322*1000*(G368+G369)+G323*1000*(G391+G392)</f>
        <v>11043.2328767123</v>
      </c>
      <c r="H439" s="2" t="s">
        <v>1223</v>
      </c>
    </row>
    <row r="440" customFormat="false" ht="15" hidden="false" customHeight="false" outlineLevel="1" collapsed="false">
      <c r="A440" s="7" t="s">
        <v>651</v>
      </c>
      <c r="B440" s="8" t="s">
        <v>10</v>
      </c>
      <c r="C440" s="58" t="n">
        <f aca="false">C321*1000*(C347+C348+C349)+C322*1000*(C370+C371+C372)+C323*1000*(C393+C394+C395)</f>
        <v>2660</v>
      </c>
      <c r="D440" s="58" t="n">
        <f aca="false">D321*1000*(D347+D348+D349)+D322*1000*(D370+D371+D372)+D323*1000*(D393+D394+D395)</f>
        <v>17325</v>
      </c>
      <c r="E440" s="58" t="n">
        <f aca="false">E321*1000*(E347+E348+E349)+E322*1000*(E370+E371+E372)+E323*1000*(E393+E394+E395)</f>
        <v>36379.5</v>
      </c>
      <c r="F440" s="58" t="n">
        <f aca="false">F321*1000*(F347+F348+F349)+F322*1000*(F370+F371+F372)+F323*1000*(F393+F394+F395)</f>
        <v>62520.5</v>
      </c>
      <c r="G440" s="58" t="n">
        <f aca="false">G321*1000*(G347+G348+G349)+G322*1000*(G370+G371+G372)+G323*1000*(G393+G394+G395)</f>
        <v>94915</v>
      </c>
      <c r="H440" s="2" t="s">
        <v>1224</v>
      </c>
    </row>
    <row r="441" customFormat="false" ht="15" hidden="false" customHeight="false" outlineLevel="1" collapsed="false">
      <c r="A441" s="7" t="s">
        <v>637</v>
      </c>
      <c r="B441" s="8" t="s">
        <v>10</v>
      </c>
      <c r="C441" s="58" t="n">
        <f aca="false">C321*1000*(C350)+C322*1000*(C373)+C323*1000*(C396)</f>
        <v>2880</v>
      </c>
      <c r="D441" s="58" t="n">
        <f aca="false">D321*1000*(D350)+D322*1000*(D373)+D323*1000*(D396)</f>
        <v>18220</v>
      </c>
      <c r="E441" s="58" t="n">
        <f aca="false">E321*1000*(E350)+E322*1000*(E373)+E323*1000*(E396)</f>
        <v>41980</v>
      </c>
      <c r="F441" s="58" t="n">
        <f aca="false">F321*1000*(F350)+F322*1000*(F373)+F323*1000*(F396)</f>
        <v>74020</v>
      </c>
      <c r="G441" s="58" t="n">
        <f aca="false">G321*1000*(G350)+G322*1000*(G373)+G323*1000*(G396)</f>
        <v>112600</v>
      </c>
      <c r="H441" s="2" t="s">
        <v>1225</v>
      </c>
    </row>
    <row r="442" customFormat="false" ht="15" hidden="false" customHeight="false" outlineLevel="1" collapsed="false">
      <c r="A442" s="7" t="s">
        <v>652</v>
      </c>
      <c r="B442" s="8" t="s">
        <v>10</v>
      </c>
      <c r="C442" s="58" t="n">
        <f aca="false">C321*1000*(C351)+C322*1000*(C374)+C323*1000*(C397)+C332*1000*Pressupostos!$C$97</f>
        <v>340</v>
      </c>
      <c r="D442" s="58" t="n">
        <f aca="false">D321*1000*(D351)+D322*1000*(D374)+D323*1000*(D397)+D332*1000*Pressupostos!$C$97</f>
        <v>2185</v>
      </c>
      <c r="E442" s="58" t="n">
        <f aca="false">E321*1000*(E351)+E322*1000*(E374)+E323*1000*(E397)+E332*1000*Pressupostos!$C$97</f>
        <v>5815</v>
      </c>
      <c r="F442" s="58" t="n">
        <f aca="false">F321*1000*(F351)+F322*1000*(F374)+F323*1000*(F397)+F332*1000*Pressupostos!$C$97</f>
        <v>10385</v>
      </c>
      <c r="G442" s="58" t="n">
        <f aca="false">G321*1000*(G351)+G322*1000*(G374)+G323*1000*(G397)+G332*1000*Pressupostos!$C$97</f>
        <v>16050</v>
      </c>
      <c r="H442" s="2" t="s">
        <v>1226</v>
      </c>
    </row>
    <row r="443" customFormat="false" ht="15" hidden="false" customHeight="false" outlineLevel="1" collapsed="false">
      <c r="A443" s="7" t="s">
        <v>76</v>
      </c>
      <c r="B443" s="8" t="s">
        <v>10</v>
      </c>
      <c r="C443" s="58" t="n">
        <f aca="false">C321*1000*(C352)+C322*1000*(C375)+C323*1000*(C398)+C332*1000*Pressupostos!$C$96*Pressupostos!$C$91</f>
        <v>922.68</v>
      </c>
      <c r="D443" s="58" t="n">
        <f aca="false">D321*1000*(D352)+D322*1000*(D375)+D323*1000*(D398)+D332*1000*Pressupostos!$C$96*Pressupostos!$C$91</f>
        <v>5866.02</v>
      </c>
      <c r="E443" s="58" t="n">
        <f aca="false">E321*1000*(E352)+E322*1000*(E375)+E323*1000*(E398)+E332*1000*Pressupostos!$C$96*Pressupostos!$C$91</f>
        <v>14827.68</v>
      </c>
      <c r="F443" s="58" t="n">
        <f aca="false">F321*1000*(F352)+F322*1000*(F375)+F323*1000*(F398)+F332*1000*Pressupostos!$C$96*Pressupostos!$C$91</f>
        <v>26410.32</v>
      </c>
      <c r="G443" s="58" t="n">
        <f aca="false">G321*1000*(G352)+G322*1000*(G375)+G323*1000*(G398)+G332*1000*Pressupostos!$C$96*Pressupostos!$C$91</f>
        <v>40578.6</v>
      </c>
      <c r="H443" s="2" t="s">
        <v>1227</v>
      </c>
    </row>
    <row r="444" customFormat="false" ht="15" hidden="false" customHeight="false" outlineLevel="1" collapsed="false">
      <c r="A444" s="7" t="s">
        <v>653</v>
      </c>
      <c r="B444" s="8" t="s">
        <v>10</v>
      </c>
      <c r="C444" s="58" t="n">
        <f aca="false">C321*1000*(C353)+C322*1000*(C376)+C323*1000*(C399)+C332*1000*Pressupostos!$D$29*Pressupostos!$C$90</f>
        <v>0</v>
      </c>
      <c r="D444" s="58" t="n">
        <f aca="false">D321*1000*(D353)+D322*1000*(D376)+D323*1000*(D399)+D332*1000*Pressupostos!$D$29*Pressupostos!$C$90</f>
        <v>0</v>
      </c>
      <c r="E444" s="58" t="n">
        <f aca="false">E321*1000*(E353)+E322*1000*(E376)+E323*1000*(E399)+E332*1000*Pressupostos!$D$29*Pressupostos!$C$90</f>
        <v>0</v>
      </c>
      <c r="F444" s="58" t="n">
        <f aca="false">F321*1000*(F353)+F322*1000*(F376)+F323*1000*(F399)+F332*1000*Pressupostos!$D$29*Pressupostos!$C$90</f>
        <v>0</v>
      </c>
      <c r="G444" s="58" t="n">
        <f aca="false">G321*1000*(G353)+G322*1000*(G376)+G323*1000*(G399)+G332*1000*Pressupostos!$D$29*Pressupostos!$C$90</f>
        <v>0</v>
      </c>
      <c r="H444" s="2" t="s">
        <v>1228</v>
      </c>
    </row>
    <row r="445" customFormat="false" ht="15" hidden="false" customHeight="false" outlineLevel="1" collapsed="false">
      <c r="A445" s="7" t="s">
        <v>654</v>
      </c>
      <c r="B445" s="8" t="s">
        <v>10</v>
      </c>
      <c r="C445" s="58" t="n">
        <f aca="false">C335*1000*Pressupostos!$C$102*Pressupostos!$D$30</f>
        <v>0</v>
      </c>
      <c r="D445" s="58" t="n">
        <f aca="false">D335*1000*Pressupostos!$C$102*Pressupostos!$D$30</f>
        <v>8228.57142857143</v>
      </c>
      <c r="E445" s="58" t="n">
        <f aca="false">E335*1000*Pressupostos!$C$102*Pressupostos!$D$30</f>
        <v>24685.7142857143</v>
      </c>
      <c r="F445" s="58" t="n">
        <f aca="false">F335*1000*Pressupostos!$C$102*Pressupostos!$D$30</f>
        <v>49371.4285714286</v>
      </c>
      <c r="G445" s="58" t="n">
        <f aca="false">G335*1000*Pressupostos!$C$102*Pressupostos!$D$30</f>
        <v>82285.7142857143</v>
      </c>
      <c r="H445" s="2" t="s">
        <v>1229</v>
      </c>
    </row>
    <row r="446" customFormat="false" ht="15" hidden="false" customHeight="false" outlineLevel="1" collapsed="false">
      <c r="A446" s="7" t="s">
        <v>655</v>
      </c>
      <c r="B446" s="8" t="s">
        <v>10</v>
      </c>
      <c r="C446" s="58" t="n">
        <f aca="false">C437+C438+C439+C440+C441+C442+C443+C444+C445</f>
        <v>15341.8580821918</v>
      </c>
      <c r="D446" s="58" t="n">
        <f aca="false">D437+D438+D439+D440+D441+D442+D443+D444+D445</f>
        <v>104130.783209393</v>
      </c>
      <c r="E446" s="58" t="n">
        <f aca="false">E437+E438+E439+E440+E441+E442+E443+E444+E445</f>
        <v>242146.261409002</v>
      </c>
      <c r="F446" s="58" t="n">
        <f aca="false">F437+F438+F439+F440+F441+F442+F443+F444+F445</f>
        <v>433558.333502936</v>
      </c>
      <c r="G446" s="58" t="n">
        <f aca="false">G437+G438+G439+G440+G441+G442+G443+G444+G445</f>
        <v>668872.547162427</v>
      </c>
      <c r="H446" s="2" t="s">
        <v>1230</v>
      </c>
    </row>
    <row r="447" customFormat="false" ht="15" hidden="false" customHeight="false" outlineLevel="1" collapsed="false">
      <c r="A447" s="7" t="s">
        <v>656</v>
      </c>
      <c r="B447" s="8" t="s">
        <v>10</v>
      </c>
      <c r="C447" s="58" t="n">
        <f aca="false">C321*1000*(C354)+C322*1000*(C377)+C323*1000*(C400)</f>
        <v>0</v>
      </c>
      <c r="D447" s="58" t="n">
        <f aca="false">D321*1000*(D354)+D322*1000*(D377)+D323*1000*(D400)</f>
        <v>23317.0273972603</v>
      </c>
      <c r="E447" s="58" t="n">
        <f aca="false">E321*1000*(E354)+E322*1000*(E377)+E323*1000*(E400)</f>
        <v>36586.560359589</v>
      </c>
      <c r="F447" s="58" t="n">
        <f aca="false">F321*1000*(F354)+F322*1000*(F377)+F323*1000*(F400)</f>
        <v>58470.0950342466</v>
      </c>
      <c r="G447" s="58" t="n">
        <f aca="false">G321*1000*(G354)+G322*1000*(G377)+G323*1000*(G400)</f>
        <v>88739.9229452055</v>
      </c>
      <c r="H447" s="2" t="s">
        <v>1231</v>
      </c>
    </row>
    <row r="448" customFormat="false" ht="15" hidden="false" customHeight="false" outlineLevel="1" collapsed="false">
      <c r="A448" s="7" t="s">
        <v>657</v>
      </c>
      <c r="B448" s="8" t="s">
        <v>10</v>
      </c>
      <c r="C448" s="58" t="n">
        <f aca="false">C332*1000*C427</f>
        <v>0</v>
      </c>
      <c r="D448" s="58" t="n">
        <f aca="false">D332*1000*D427</f>
        <v>0</v>
      </c>
      <c r="E448" s="58" t="n">
        <f aca="false">E332*1000*E427</f>
        <v>2184.50342465753</v>
      </c>
      <c r="F448" s="58" t="n">
        <f aca="false">F332*1000*F427</f>
        <v>4077.7397260274</v>
      </c>
      <c r="G448" s="58" t="n">
        <f aca="false">G332*1000*G427</f>
        <v>6796.23287671233</v>
      </c>
      <c r="H448" s="2" t="s">
        <v>1232</v>
      </c>
    </row>
    <row r="449" customFormat="false" ht="15" hidden="false" customHeight="false" outlineLevel="1" collapsed="false">
      <c r="A449" s="7" t="s">
        <v>658</v>
      </c>
      <c r="B449" s="8" t="s">
        <v>10</v>
      </c>
      <c r="C449" s="58" t="n">
        <f aca="false">C447+C448</f>
        <v>0</v>
      </c>
      <c r="D449" s="58" t="n">
        <f aca="false">D447+D448</f>
        <v>23317.0273972603</v>
      </c>
      <c r="E449" s="58" t="n">
        <f aca="false">E447+E448</f>
        <v>38771.0637842466</v>
      </c>
      <c r="F449" s="58" t="n">
        <f aca="false">F447+F448</f>
        <v>62547.834760274</v>
      </c>
      <c r="G449" s="58" t="n">
        <f aca="false">G447+G448</f>
        <v>95536.1558219178</v>
      </c>
      <c r="H449" s="2" t="s">
        <v>1233</v>
      </c>
    </row>
    <row r="450" customFormat="false" ht="15" hidden="false" customHeight="false" outlineLevel="1" collapsed="false">
      <c r="A450" s="8" t="s">
        <v>659</v>
      </c>
      <c r="B450" s="8" t="s">
        <v>10</v>
      </c>
      <c r="C450" s="66" t="n">
        <f aca="false">ROUND(C415-C436-C446-C449-C432,6)</f>
        <v>-0</v>
      </c>
      <c r="D450" s="66" t="n">
        <f aca="false">ROUND(D415-D436-D446-D449-D432,6)</f>
        <v>-0</v>
      </c>
      <c r="E450" s="66" t="n">
        <f aca="false">ROUND(E415-E436-E446-E449-E432,6)</f>
        <v>-0</v>
      </c>
      <c r="F450" s="66" t="n">
        <f aca="false">ROUND(F415-F436-F446-F449-F432,6)</f>
        <v>-0</v>
      </c>
      <c r="G450" s="66" t="n">
        <f aca="false">ROUND(G415-G436-G446-G449-G432,6)</f>
        <v>0</v>
      </c>
      <c r="H450" s="2" t="s">
        <v>1234</v>
      </c>
    </row>
    <row r="451" customFormat="false" ht="15" hidden="false" customHeight="false" outlineLevel="0" collapsed="false">
      <c r="A451" s="3" t="s">
        <v>1235</v>
      </c>
      <c r="B451" s="4"/>
      <c r="C451" s="4"/>
      <c r="D451" s="4"/>
      <c r="E451" s="4"/>
      <c r="F451" s="4"/>
      <c r="G451" s="4"/>
      <c r="H451" s="4"/>
    </row>
    <row r="452" customFormat="false" ht="15" hidden="false" customHeight="false" outlineLevel="1" collapsed="false">
      <c r="A452" s="7" t="s">
        <v>602</v>
      </c>
      <c r="B452" s="8" t="s">
        <v>413</v>
      </c>
      <c r="C452" s="61" t="n">
        <f aca="false">Pressupostos!$C$315</f>
        <v>1</v>
      </c>
      <c r="D452" s="61" t="n">
        <f aca="false">Pressupostos!$D$315</f>
        <v>1</v>
      </c>
      <c r="E452" s="61" t="n">
        <f aca="false">Pressupostos!$E$315</f>
        <v>1</v>
      </c>
      <c r="F452" s="61" t="n">
        <f aca="false">Pressupostos!$F$315</f>
        <v>1</v>
      </c>
      <c r="G452" s="61" t="n">
        <f aca="false">Pressupostos!$G$315</f>
        <v>1</v>
      </c>
      <c r="H452" s="2" t="s">
        <v>1236</v>
      </c>
    </row>
    <row r="453" customFormat="false" ht="15" hidden="false" customHeight="false" outlineLevel="1" collapsed="false">
      <c r="A453" s="7" t="s">
        <v>603</v>
      </c>
      <c r="B453" s="8" t="s">
        <v>413</v>
      </c>
      <c r="C453" s="61" t="n">
        <f aca="false">Pressupostos!$C$321</f>
        <v>1</v>
      </c>
      <c r="D453" s="61" t="n">
        <f aca="false">Pressupostos!$D$321</f>
        <v>1</v>
      </c>
      <c r="E453" s="61" t="n">
        <f aca="false">Pressupostos!$E$321</f>
        <v>1</v>
      </c>
      <c r="F453" s="61" t="n">
        <f aca="false">Pressupostos!$F$321</f>
        <v>1</v>
      </c>
      <c r="G453" s="61" t="n">
        <f aca="false">Pressupostos!$G$321</f>
        <v>1</v>
      </c>
      <c r="H453" s="2" t="s">
        <v>1237</v>
      </c>
    </row>
    <row r="454" customFormat="false" ht="15" hidden="false" customHeight="false" outlineLevel="1" collapsed="false">
      <c r="A454" s="7" t="s">
        <v>604</v>
      </c>
      <c r="B454" s="8" t="s">
        <v>413</v>
      </c>
      <c r="C454" s="61" t="n">
        <f aca="false">Pressupostos!$C$327</f>
        <v>1</v>
      </c>
      <c r="D454" s="61" t="n">
        <f aca="false">Pressupostos!$D$327</f>
        <v>1</v>
      </c>
      <c r="E454" s="61" t="n">
        <f aca="false">Pressupostos!$E$327</f>
        <v>2</v>
      </c>
      <c r="F454" s="61" t="n">
        <f aca="false">Pressupostos!$F$327</f>
        <v>2</v>
      </c>
      <c r="G454" s="61" t="n">
        <f aca="false">Pressupostos!$G$327</f>
        <v>2</v>
      </c>
      <c r="H454" s="2" t="s">
        <v>1238</v>
      </c>
    </row>
    <row r="455" customFormat="false" ht="15" hidden="false" customHeight="false" outlineLevel="1" collapsed="false">
      <c r="A455" s="7" t="s">
        <v>605</v>
      </c>
      <c r="B455" s="8" t="s">
        <v>413</v>
      </c>
      <c r="C455" s="61" t="n">
        <f aca="false">Pressupostos!$C$333</f>
        <v>1</v>
      </c>
      <c r="D455" s="61" t="n">
        <f aca="false">Pressupostos!$D$333</f>
        <v>1</v>
      </c>
      <c r="E455" s="61" t="n">
        <f aca="false">Pressupostos!$E$333</f>
        <v>1</v>
      </c>
      <c r="F455" s="61" t="n">
        <f aca="false">Pressupostos!$F$333</f>
        <v>1</v>
      </c>
      <c r="G455" s="61" t="n">
        <f aca="false">Pressupostos!$G$333</f>
        <v>1</v>
      </c>
      <c r="H455" s="2" t="s">
        <v>1239</v>
      </c>
    </row>
    <row r="456" customFormat="false" ht="15" hidden="false" customHeight="false" outlineLevel="1" collapsed="false">
      <c r="A456" s="7" t="s">
        <v>606</v>
      </c>
      <c r="B456" s="8" t="s">
        <v>413</v>
      </c>
      <c r="C456" s="61" t="n">
        <f aca="false">Pressupostos!$C$339</f>
        <v>0.5</v>
      </c>
      <c r="D456" s="61" t="n">
        <f aca="false">Pressupostos!$D$339</f>
        <v>1</v>
      </c>
      <c r="E456" s="61" t="n">
        <f aca="false">Pressupostos!$E$339</f>
        <v>1</v>
      </c>
      <c r="F456" s="61" t="n">
        <f aca="false">Pressupostos!$F$339</f>
        <v>1</v>
      </c>
      <c r="G456" s="61" t="n">
        <f aca="false">Pressupostos!$G$339</f>
        <v>1</v>
      </c>
      <c r="H456" s="2" t="s">
        <v>1240</v>
      </c>
    </row>
    <row r="457" customFormat="false" ht="15" hidden="false" customHeight="false" outlineLevel="1" collapsed="false">
      <c r="A457" s="7" t="s">
        <v>607</v>
      </c>
      <c r="B457" s="8" t="s">
        <v>413</v>
      </c>
      <c r="C457" s="61" t="n">
        <f aca="false">Pressupostos!$C$345</f>
        <v>1</v>
      </c>
      <c r="D457" s="61" t="n">
        <f aca="false">Pressupostos!$D$345</f>
        <v>1</v>
      </c>
      <c r="E457" s="61" t="n">
        <f aca="false">Pressupostos!$E$345</f>
        <v>1</v>
      </c>
      <c r="F457" s="61" t="n">
        <f aca="false">Pressupostos!$F$345</f>
        <v>2</v>
      </c>
      <c r="G457" s="61" t="n">
        <f aca="false">Pressupostos!$G$345</f>
        <v>2</v>
      </c>
      <c r="H457" s="2" t="s">
        <v>1241</v>
      </c>
    </row>
    <row r="458" customFormat="false" ht="15" hidden="false" customHeight="false" outlineLevel="1" collapsed="false">
      <c r="A458" s="7" t="s">
        <v>608</v>
      </c>
      <c r="B458" s="8" t="s">
        <v>413</v>
      </c>
      <c r="C458" s="61" t="n">
        <f aca="false">Pressupostos!$C$351</f>
        <v>0.5</v>
      </c>
      <c r="D458" s="61" t="n">
        <f aca="false">Pressupostos!$D$351</f>
        <v>1</v>
      </c>
      <c r="E458" s="61" t="n">
        <f aca="false">Pressupostos!$E$351</f>
        <v>1</v>
      </c>
      <c r="F458" s="61" t="n">
        <f aca="false">Pressupostos!$F$351</f>
        <v>1</v>
      </c>
      <c r="G458" s="61" t="n">
        <f aca="false">Pressupostos!$G$351</f>
        <v>1</v>
      </c>
      <c r="H458" s="2" t="s">
        <v>1242</v>
      </c>
    </row>
    <row r="459" customFormat="false" ht="15" hidden="false" customHeight="false" outlineLevel="1" collapsed="false">
      <c r="A459" s="7" t="s">
        <v>609</v>
      </c>
      <c r="B459" s="8" t="s">
        <v>413</v>
      </c>
      <c r="C459" s="61" t="n">
        <f aca="false">Pressupostos!$C$357</f>
        <v>1</v>
      </c>
      <c r="D459" s="61" t="n">
        <f aca="false">Pressupostos!$D$357</f>
        <v>1</v>
      </c>
      <c r="E459" s="61" t="n">
        <f aca="false">Pressupostos!$E$357</f>
        <v>2</v>
      </c>
      <c r="F459" s="61" t="n">
        <f aca="false">Pressupostos!$F$357</f>
        <v>3</v>
      </c>
      <c r="G459" s="61" t="n">
        <f aca="false">Pressupostos!$G$357</f>
        <v>5</v>
      </c>
      <c r="H459" s="2" t="s">
        <v>1243</v>
      </c>
    </row>
    <row r="460" customFormat="false" ht="15" hidden="false" customHeight="false" outlineLevel="1" collapsed="false">
      <c r="A460" s="7" t="s">
        <v>610</v>
      </c>
      <c r="B460" s="8" t="s">
        <v>413</v>
      </c>
      <c r="C460" s="61" t="n">
        <f aca="false">Pressupostos!$C$363</f>
        <v>0</v>
      </c>
      <c r="D460" s="61" t="n">
        <f aca="false">Pressupostos!$D$363</f>
        <v>0</v>
      </c>
      <c r="E460" s="61" t="n">
        <f aca="false">Pressupostos!$E$363</f>
        <v>0</v>
      </c>
      <c r="F460" s="61" t="n">
        <f aca="false">Pressupostos!$F$363</f>
        <v>1</v>
      </c>
      <c r="G460" s="61" t="n">
        <f aca="false">Pressupostos!$G$363</f>
        <v>1</v>
      </c>
      <c r="H460" s="2" t="s">
        <v>1244</v>
      </c>
    </row>
    <row r="461" customFormat="false" ht="15" hidden="false" customHeight="false" outlineLevel="1" collapsed="false">
      <c r="A461" s="7" t="s">
        <v>611</v>
      </c>
      <c r="B461" s="8" t="s">
        <v>413</v>
      </c>
      <c r="C461" s="61" t="n">
        <f aca="false">Pressupostos!$C$369</f>
        <v>0</v>
      </c>
      <c r="D461" s="61" t="n">
        <f aca="false">Pressupostos!$D$369</f>
        <v>0</v>
      </c>
      <c r="E461" s="61" t="n">
        <f aca="false">Pressupostos!$E$369</f>
        <v>0</v>
      </c>
      <c r="F461" s="61" t="n">
        <f aca="false">Pressupostos!$F$369</f>
        <v>0</v>
      </c>
      <c r="G461" s="61" t="n">
        <f aca="false">Pressupostos!$G$369</f>
        <v>1</v>
      </c>
      <c r="H461" s="2" t="s">
        <v>1245</v>
      </c>
    </row>
    <row r="462" customFormat="false" ht="15" hidden="false" customHeight="false" outlineLevel="1" collapsed="false">
      <c r="A462" s="7" t="s">
        <v>612</v>
      </c>
      <c r="B462" s="8" t="s">
        <v>413</v>
      </c>
      <c r="C462" s="61" t="n">
        <f aca="false">Pressupostos!$C$375</f>
        <v>0</v>
      </c>
      <c r="D462" s="61" t="n">
        <f aca="false">Pressupostos!$D$375</f>
        <v>0</v>
      </c>
      <c r="E462" s="61" t="n">
        <f aca="false">Pressupostos!$E$375</f>
        <v>1</v>
      </c>
      <c r="F462" s="61" t="n">
        <f aca="false">Pressupostos!$F$375</f>
        <v>1</v>
      </c>
      <c r="G462" s="61" t="n">
        <f aca="false">Pressupostos!$G$375</f>
        <v>1</v>
      </c>
      <c r="H462" s="2" t="s">
        <v>1246</v>
      </c>
    </row>
    <row r="463" customFormat="false" ht="15" hidden="false" customHeight="false" outlineLevel="1" collapsed="false">
      <c r="A463" s="7" t="s">
        <v>613</v>
      </c>
      <c r="B463" s="8" t="s">
        <v>413</v>
      </c>
      <c r="C463" s="61" t="n">
        <f aca="false">Pressupostos!$C$381</f>
        <v>0</v>
      </c>
      <c r="D463" s="61" t="n">
        <f aca="false">Pressupostos!$D$381</f>
        <v>0</v>
      </c>
      <c r="E463" s="61" t="n">
        <f aca="false">Pressupostos!$E$381</f>
        <v>0</v>
      </c>
      <c r="F463" s="61" t="n">
        <f aca="false">Pressupostos!$F$381</f>
        <v>0</v>
      </c>
      <c r="G463" s="61" t="n">
        <f aca="false">Pressupostos!$G$381</f>
        <v>0</v>
      </c>
      <c r="H463" s="2" t="s">
        <v>1247</v>
      </c>
    </row>
    <row r="464" customFormat="false" ht="15" hidden="false" customHeight="false" outlineLevel="1" collapsed="false">
      <c r="A464" s="52" t="s">
        <v>614</v>
      </c>
      <c r="B464" s="53" t="s">
        <v>413</v>
      </c>
      <c r="C464" s="62" t="n">
        <f aca="false">C452+C453+C454+C455+C456+C457+C458+C459+C460+C461+C462+C463</f>
        <v>7</v>
      </c>
      <c r="D464" s="62" t="n">
        <f aca="false">D452+D453+D454+D455+D456+D457+D458+D459+D460+D461+D462+D463</f>
        <v>8</v>
      </c>
      <c r="E464" s="62" t="n">
        <f aca="false">E452+E453+E454+E455+E456+E457+E458+E459+E460+E461+E462+E463</f>
        <v>11</v>
      </c>
      <c r="F464" s="62" t="n">
        <f aca="false">F452+F453+F454+F455+F456+F457+F458+F459+F460+F461+F462+F463</f>
        <v>14</v>
      </c>
      <c r="G464" s="62" t="n">
        <f aca="false">G452+G453+G454+G455+G456+G457+G458+G459+G460+G461+G462+G463</f>
        <v>17</v>
      </c>
      <c r="H464" s="2" t="s">
        <v>1248</v>
      </c>
    </row>
    <row r="465" customFormat="false" ht="15" hidden="false" customHeight="false" outlineLevel="0" collapsed="false">
      <c r="A465" s="3" t="s">
        <v>1249</v>
      </c>
      <c r="B465" s="4"/>
      <c r="C465" s="4"/>
      <c r="D465" s="4"/>
      <c r="E465" s="4"/>
      <c r="F465" s="4"/>
      <c r="G465" s="4"/>
      <c r="H465" s="4"/>
    </row>
    <row r="466" customFormat="false" ht="15" hidden="false" customHeight="false" outlineLevel="1" collapsed="false">
      <c r="A466" s="7" t="s">
        <v>602</v>
      </c>
      <c r="B466" s="8" t="s">
        <v>10</v>
      </c>
      <c r="C466" s="58" t="n">
        <f aca="false">C452*Pressupostos!$C$129*(1+Pressupostos!$C$125)^0*(1+Pressupostos!$C$130)*Pressupostos!$C$126</f>
        <v>43998</v>
      </c>
      <c r="D466" s="58" t="n">
        <f aca="false">D452*Pressupostos!$C$129*(1+Pressupostos!$C$125)^1*(1+Pressupostos!$C$130)</f>
        <v>61800</v>
      </c>
      <c r="E466" s="58" t="n">
        <f aca="false">E452*Pressupostos!$C$129*(1+Pressupostos!$C$125)^2*(1+Pressupostos!$C$130)</f>
        <v>63654</v>
      </c>
      <c r="F466" s="58" t="n">
        <f aca="false">F452*Pressupostos!$C$129*(1+Pressupostos!$C$125)^3*(1+Pressupostos!$C$130)</f>
        <v>65563.62</v>
      </c>
      <c r="G466" s="58" t="n">
        <f aca="false">G452*Pressupostos!$C$129*(1+Pressupostos!$C$125)^4*(1+Pressupostos!$C$130)</f>
        <v>67530.5286</v>
      </c>
      <c r="H466" s="2" t="s">
        <v>1250</v>
      </c>
    </row>
    <row r="467" customFormat="false" ht="15" hidden="false" customHeight="false" outlineLevel="1" collapsed="false">
      <c r="A467" s="7" t="s">
        <v>603</v>
      </c>
      <c r="B467" s="8" t="s">
        <v>10</v>
      </c>
      <c r="C467" s="58" t="n">
        <f aca="false">C453*Pressupostos!$C$131*(1+Pressupostos!$C$125)^0*(1+Pressupostos!$C$132)*Pressupostos!$C$126</f>
        <v>47664.5</v>
      </c>
      <c r="D467" s="58" t="n">
        <f aca="false">D453*Pressupostos!$C$131*(1+Pressupostos!$C$125)^1*(1+Pressupostos!$C$132)</f>
        <v>66950</v>
      </c>
      <c r="E467" s="58" t="n">
        <f aca="false">E453*Pressupostos!$C$131*(1+Pressupostos!$C$125)^2*(1+Pressupostos!$C$132)</f>
        <v>68958.5</v>
      </c>
      <c r="F467" s="58" t="n">
        <f aca="false">F453*Pressupostos!$C$131*(1+Pressupostos!$C$125)^3*(1+Pressupostos!$C$132)</f>
        <v>71027.255</v>
      </c>
      <c r="G467" s="58" t="n">
        <f aca="false">G453*Pressupostos!$C$131*(1+Pressupostos!$C$125)^4*(1+Pressupostos!$C$132)</f>
        <v>73158.07265</v>
      </c>
      <c r="H467" s="2" t="s">
        <v>1251</v>
      </c>
    </row>
    <row r="468" customFormat="false" ht="15" hidden="false" customHeight="false" outlineLevel="1" collapsed="false">
      <c r="A468" s="7" t="s">
        <v>604</v>
      </c>
      <c r="B468" s="8" t="s">
        <v>10</v>
      </c>
      <c r="C468" s="58" t="n">
        <f aca="false">C454*Pressupostos!$C$133*(1+Pressupostos!$C$125)^0*(1+Pressupostos!$C$134)</f>
        <v>45000</v>
      </c>
      <c r="D468" s="58" t="n">
        <f aca="false">D454*Pressupostos!$C$133*(1+Pressupostos!$C$125)^1*(1+Pressupostos!$C$134)</f>
        <v>46350</v>
      </c>
      <c r="E468" s="58" t="n">
        <f aca="false">E454*Pressupostos!$C$133*(1+Pressupostos!$C$125)^2*(1+Pressupostos!$C$134)</f>
        <v>95481</v>
      </c>
      <c r="F468" s="58" t="n">
        <f aca="false">F454*Pressupostos!$C$133*(1+Pressupostos!$C$125)^3*(1+Pressupostos!$C$134)</f>
        <v>98345.43</v>
      </c>
      <c r="G468" s="58" t="n">
        <f aca="false">G454*Pressupostos!$C$133*(1+Pressupostos!$C$125)^4*(1+Pressupostos!$C$134)</f>
        <v>101295.7929</v>
      </c>
      <c r="H468" s="2" t="s">
        <v>1252</v>
      </c>
    </row>
    <row r="469" customFormat="false" ht="15" hidden="false" customHeight="false" outlineLevel="1" collapsed="false">
      <c r="A469" s="7" t="s">
        <v>605</v>
      </c>
      <c r="B469" s="8" t="s">
        <v>10</v>
      </c>
      <c r="C469" s="58" t="n">
        <f aca="false">C455*Pressupostos!$C$135*(1+Pressupostos!$C$125)^0*(1+Pressupostos!$C$136)</f>
        <v>60000</v>
      </c>
      <c r="D469" s="58" t="n">
        <f aca="false">D455*Pressupostos!$C$135*(1+Pressupostos!$C$125)^1*(1+Pressupostos!$C$136)</f>
        <v>61800</v>
      </c>
      <c r="E469" s="58" t="n">
        <f aca="false">E455*Pressupostos!$C$135*(1+Pressupostos!$C$125)^2*(1+Pressupostos!$C$136)</f>
        <v>63654</v>
      </c>
      <c r="F469" s="58" t="n">
        <f aca="false">F455*Pressupostos!$C$135*(1+Pressupostos!$C$125)^3*(1+Pressupostos!$C$136)</f>
        <v>65563.62</v>
      </c>
      <c r="G469" s="58" t="n">
        <f aca="false">G455*Pressupostos!$C$135*(1+Pressupostos!$C$125)^4*(1+Pressupostos!$C$136)</f>
        <v>67530.5286</v>
      </c>
      <c r="H469" s="2" t="s">
        <v>1253</v>
      </c>
    </row>
    <row r="470" customFormat="false" ht="15" hidden="false" customHeight="false" outlineLevel="1" collapsed="false">
      <c r="A470" s="7" t="s">
        <v>606</v>
      </c>
      <c r="B470" s="8" t="s">
        <v>10</v>
      </c>
      <c r="C470" s="58" t="n">
        <f aca="false">C456*Pressupostos!$C$137*(1+Pressupostos!$C$125)^0*(1+Pressupostos!$C$138)</f>
        <v>22500</v>
      </c>
      <c r="D470" s="58" t="n">
        <f aca="false">D456*Pressupostos!$C$137*(1+Pressupostos!$C$125)^1*(1+Pressupostos!$C$138)</f>
        <v>46350</v>
      </c>
      <c r="E470" s="58" t="n">
        <f aca="false">E456*Pressupostos!$C$137*(1+Pressupostos!$C$125)^2*(1+Pressupostos!$C$138)</f>
        <v>47740.5</v>
      </c>
      <c r="F470" s="58" t="n">
        <f aca="false">F456*Pressupostos!$C$137*(1+Pressupostos!$C$125)^3*(1+Pressupostos!$C$138)</f>
        <v>49172.715</v>
      </c>
      <c r="G470" s="58" t="n">
        <f aca="false">G456*Pressupostos!$C$137*(1+Pressupostos!$C$125)^4*(1+Pressupostos!$C$138)</f>
        <v>50647.89645</v>
      </c>
      <c r="H470" s="2" t="s">
        <v>1254</v>
      </c>
    </row>
    <row r="471" customFormat="false" ht="15" hidden="false" customHeight="false" outlineLevel="1" collapsed="false">
      <c r="A471" s="7" t="s">
        <v>607</v>
      </c>
      <c r="B471" s="8" t="s">
        <v>10</v>
      </c>
      <c r="C471" s="58" t="n">
        <f aca="false">C457*Pressupostos!$C$139*(1+Pressupostos!$C$125)^0*(1+Pressupostos!$C$140)</f>
        <v>38000</v>
      </c>
      <c r="D471" s="58" t="n">
        <f aca="false">D457*Pressupostos!$C$139*(1+Pressupostos!$C$125)^1*(1+Pressupostos!$C$140)</f>
        <v>39140</v>
      </c>
      <c r="E471" s="58" t="n">
        <f aca="false">E457*Pressupostos!$C$139*(1+Pressupostos!$C$125)^2*(1+Pressupostos!$C$140)</f>
        <v>40314.2</v>
      </c>
      <c r="F471" s="58" t="n">
        <f aca="false">F457*Pressupostos!$C$139*(1+Pressupostos!$C$125)^3*(1+Pressupostos!$C$140)</f>
        <v>83047.252</v>
      </c>
      <c r="G471" s="58" t="n">
        <f aca="false">G457*Pressupostos!$C$139*(1+Pressupostos!$C$125)^4*(1+Pressupostos!$C$140)</f>
        <v>85538.66956</v>
      </c>
      <c r="H471" s="2" t="s">
        <v>1255</v>
      </c>
    </row>
    <row r="472" customFormat="false" ht="15" hidden="false" customHeight="false" outlineLevel="1" collapsed="false">
      <c r="A472" s="7" t="s">
        <v>608</v>
      </c>
      <c r="B472" s="8" t="s">
        <v>10</v>
      </c>
      <c r="C472" s="58" t="n">
        <f aca="false">C458*Pressupostos!$C$141*(1+Pressupostos!$C$125)^0*(1+Pressupostos!$C$142)</f>
        <v>16000</v>
      </c>
      <c r="D472" s="58" t="n">
        <f aca="false">D458*Pressupostos!$C$141*(1+Pressupostos!$C$125)^1*(1+Pressupostos!$C$142)</f>
        <v>32960</v>
      </c>
      <c r="E472" s="58" t="n">
        <f aca="false">E458*Pressupostos!$C$141*(1+Pressupostos!$C$125)^2*(1+Pressupostos!$C$142)</f>
        <v>33948.8</v>
      </c>
      <c r="F472" s="58" t="n">
        <f aca="false">F458*Pressupostos!$C$141*(1+Pressupostos!$C$125)^3*(1+Pressupostos!$C$142)</f>
        <v>34967.264</v>
      </c>
      <c r="G472" s="58" t="n">
        <f aca="false">G458*Pressupostos!$C$141*(1+Pressupostos!$C$125)^4*(1+Pressupostos!$C$142)</f>
        <v>36016.28192</v>
      </c>
      <c r="H472" s="2" t="s">
        <v>1256</v>
      </c>
    </row>
    <row r="473" customFormat="false" ht="15" hidden="false" customHeight="false" outlineLevel="1" collapsed="false">
      <c r="A473" s="7" t="s">
        <v>609</v>
      </c>
      <c r="B473" s="8" t="s">
        <v>10</v>
      </c>
      <c r="C473" s="58" t="n">
        <f aca="false">C459*Pressupostos!$C$143*(1+Pressupostos!$C$125)^0*(1+Pressupostos!$C$144)</f>
        <v>34500</v>
      </c>
      <c r="D473" s="58" t="n">
        <f aca="false">D459*Pressupostos!$C$143*(1+Pressupostos!$C$125)^1*(1+Pressupostos!$C$144)</f>
        <v>35535</v>
      </c>
      <c r="E473" s="58" t="n">
        <f aca="false">E459*Pressupostos!$C$143*(1+Pressupostos!$C$125)^2*(1+Pressupostos!$C$144)</f>
        <v>73202.1</v>
      </c>
      <c r="F473" s="58" t="n">
        <f aca="false">F459*Pressupostos!$C$143*(1+Pressupostos!$C$125)^3*(1+Pressupostos!$C$144)</f>
        <v>113097.2445</v>
      </c>
      <c r="G473" s="58" t="n">
        <f aca="false">G459*Pressupostos!$C$143*(1+Pressupostos!$C$125)^4*(1+Pressupostos!$C$144)</f>
        <v>194150.269725</v>
      </c>
      <c r="H473" s="2" t="s">
        <v>1257</v>
      </c>
    </row>
    <row r="474" customFormat="false" ht="15" hidden="false" customHeight="false" outlineLevel="1" collapsed="false">
      <c r="A474" s="7" t="s">
        <v>610</v>
      </c>
      <c r="B474" s="8" t="s">
        <v>10</v>
      </c>
      <c r="C474" s="58" t="n">
        <f aca="false">C460*Pressupostos!$C$145*(1+Pressupostos!$C$125)^0*(1+Pressupostos!$C$146)</f>
        <v>0</v>
      </c>
      <c r="D474" s="58" t="n">
        <f aca="false">D460*Pressupostos!$C$145*(1+Pressupostos!$C$125)^1*(1+Pressupostos!$C$146)</f>
        <v>0</v>
      </c>
      <c r="E474" s="58" t="n">
        <f aca="false">E460*Pressupostos!$C$145*(1+Pressupostos!$C$125)^2*(1+Pressupostos!$C$146)</f>
        <v>0</v>
      </c>
      <c r="F474" s="58" t="n">
        <f aca="false">F460*Pressupostos!$C$145*(1+Pressupostos!$C$125)^3*(1+Pressupostos!$C$146)</f>
        <v>49172.715</v>
      </c>
      <c r="G474" s="58" t="n">
        <f aca="false">G460*Pressupostos!$C$145*(1+Pressupostos!$C$125)^4*(1+Pressupostos!$C$146)</f>
        <v>50647.89645</v>
      </c>
      <c r="H474" s="2" t="s">
        <v>1258</v>
      </c>
    </row>
    <row r="475" customFormat="false" ht="15" hidden="false" customHeight="false" outlineLevel="1" collapsed="false">
      <c r="A475" s="7" t="s">
        <v>611</v>
      </c>
      <c r="B475" s="8" t="s">
        <v>10</v>
      </c>
      <c r="C475" s="58" t="n">
        <f aca="false">C461*Pressupostos!$C$147*(1+Pressupostos!$C$125)^0*(1+Pressupostos!$C$148)</f>
        <v>0</v>
      </c>
      <c r="D475" s="58" t="n">
        <f aca="false">D461*Pressupostos!$C$147*(1+Pressupostos!$C$125)^1*(1+Pressupostos!$C$148)</f>
        <v>0</v>
      </c>
      <c r="E475" s="58" t="n">
        <f aca="false">E461*Pressupostos!$C$147*(1+Pressupostos!$C$125)^2*(1+Pressupostos!$C$148)</f>
        <v>0</v>
      </c>
      <c r="F475" s="58" t="n">
        <f aca="false">F461*Pressupostos!$C$147*(1+Pressupostos!$C$125)^3*(1+Pressupostos!$C$148)</f>
        <v>0</v>
      </c>
      <c r="G475" s="58" t="n">
        <f aca="false">G461*Pressupostos!$C$147*(1+Pressupostos!$C$125)^4*(1+Pressupostos!$C$148)</f>
        <v>45020.3524</v>
      </c>
      <c r="H475" s="2" t="s">
        <v>1259</v>
      </c>
    </row>
    <row r="476" customFormat="false" ht="15" hidden="false" customHeight="false" outlineLevel="1" collapsed="false">
      <c r="A476" s="7" t="s">
        <v>612</v>
      </c>
      <c r="B476" s="8" t="s">
        <v>10</v>
      </c>
      <c r="C476" s="58" t="n">
        <f aca="false">C462*Pressupostos!$C$149*(1+Pressupostos!$C$125)^0*(1+Pressupostos!$C$150)</f>
        <v>0</v>
      </c>
      <c r="D476" s="58" t="n">
        <f aca="false">D462*Pressupostos!$C$149*(1+Pressupostos!$C$125)^1*(1+Pressupostos!$C$150)</f>
        <v>0</v>
      </c>
      <c r="E476" s="58" t="n">
        <f aca="false">E462*Pressupostos!$C$149*(1+Pressupostos!$C$125)^2*(1+Pressupostos!$C$150)</f>
        <v>25461.6</v>
      </c>
      <c r="F476" s="58" t="n">
        <f aca="false">F462*Pressupostos!$C$149*(1+Pressupostos!$C$125)^3*(1+Pressupostos!$C$150)</f>
        <v>26225.448</v>
      </c>
      <c r="G476" s="58" t="n">
        <f aca="false">G462*Pressupostos!$C$149*(1+Pressupostos!$C$125)^4*(1+Pressupostos!$C$150)</f>
        <v>27012.21144</v>
      </c>
      <c r="H476" s="2" t="s">
        <v>1260</v>
      </c>
    </row>
    <row r="477" customFormat="false" ht="15" hidden="false" customHeight="false" outlineLevel="1" collapsed="false">
      <c r="A477" s="7" t="s">
        <v>613</v>
      </c>
      <c r="B477" s="8" t="s">
        <v>10</v>
      </c>
      <c r="C477" s="58" t="n">
        <f aca="false">C463*Pressupostos!$C$151*(1+Pressupostos!$C$125)^0*(1+Pressupostos!$C$152)</f>
        <v>0</v>
      </c>
      <c r="D477" s="58" t="n">
        <f aca="false">D463*Pressupostos!$C$151*(1+Pressupostos!$C$125)^1*(1+Pressupostos!$C$152)</f>
        <v>0</v>
      </c>
      <c r="E477" s="58" t="n">
        <f aca="false">E463*Pressupostos!$C$151*(1+Pressupostos!$C$125)^2*(1+Pressupostos!$C$152)</f>
        <v>0</v>
      </c>
      <c r="F477" s="58" t="n">
        <f aca="false">F463*Pressupostos!$C$151*(1+Pressupostos!$C$125)^3*(1+Pressupostos!$C$152)</f>
        <v>0</v>
      </c>
      <c r="G477" s="58" t="n">
        <f aca="false">G463*Pressupostos!$C$151*(1+Pressupostos!$C$125)^4*(1+Pressupostos!$C$152)</f>
        <v>0</v>
      </c>
      <c r="H477" s="2" t="s">
        <v>1261</v>
      </c>
    </row>
    <row r="478" customFormat="false" ht="15" hidden="false" customHeight="false" outlineLevel="1" collapsed="false">
      <c r="A478" s="7" t="s">
        <v>616</v>
      </c>
      <c r="B478" s="8" t="s">
        <v>10</v>
      </c>
      <c r="C478" s="58" t="n">
        <f aca="false">C466+C467+C468+C469+C470+C471+C472+C473+C474+C475+C476+C477</f>
        <v>307662.5</v>
      </c>
      <c r="D478" s="58" t="n">
        <f aca="false">D466+D467+D468+D469+D470+D471+D472+D473+D474+D475+D476+D477</f>
        <v>390885</v>
      </c>
      <c r="E478" s="58" t="n">
        <f aca="false">E466+E467+E468+E469+E470+E471+E472+E473+E474+E475+E476+E477</f>
        <v>512414.7</v>
      </c>
      <c r="F478" s="58" t="n">
        <f aca="false">F466+F467+F468+F469+F470+F471+F472+F473+F474+F475+F476+F477</f>
        <v>656182.5635</v>
      </c>
      <c r="G478" s="58" t="n">
        <f aca="false">G466+G467+G468+G469+G470+G471+G472+G473+G474+G475+G476+G477</f>
        <v>798548.500695</v>
      </c>
      <c r="H478" s="2" t="s">
        <v>1262</v>
      </c>
    </row>
    <row r="479" customFormat="false" ht="15" hidden="false" customHeight="false" outlineLevel="1" collapsed="false">
      <c r="A479" s="7" t="s">
        <v>617</v>
      </c>
      <c r="B479" s="8" t="s">
        <v>10</v>
      </c>
      <c r="C479" s="58" t="n">
        <f aca="false">C478*(Pressupostos!$C$122+Pressupostos!$C$123)</f>
        <v>79223.09375</v>
      </c>
      <c r="D479" s="58" t="n">
        <f aca="false">D478*(Pressupostos!$C$122+Pressupostos!$C$123)</f>
        <v>100652.8875</v>
      </c>
      <c r="E479" s="58" t="n">
        <f aca="false">E478*(Pressupostos!$C$122+Pressupostos!$C$123)</f>
        <v>131946.78525</v>
      </c>
      <c r="F479" s="58" t="n">
        <f aca="false">F478*(Pressupostos!$C$122+Pressupostos!$C$123)</f>
        <v>168967.01010125</v>
      </c>
      <c r="G479" s="58" t="n">
        <f aca="false">G478*(Pressupostos!$C$122+Pressupostos!$C$123)</f>
        <v>205626.238928963</v>
      </c>
      <c r="H479" s="2" t="s">
        <v>1263</v>
      </c>
    </row>
    <row r="480" customFormat="false" ht="15" hidden="false" customHeight="false" outlineLevel="1" collapsed="false">
      <c r="A480" s="7" t="s">
        <v>618</v>
      </c>
      <c r="B480" s="8" t="s">
        <v>10</v>
      </c>
      <c r="C480" s="58" t="n">
        <f aca="false">C464*Pressupostos!$C$124*(1+Pressupostos!$C$125)^0</f>
        <v>14000</v>
      </c>
      <c r="D480" s="58" t="n">
        <f aca="false">D464*Pressupostos!$C$124*(1+Pressupostos!$C$125)^1</f>
        <v>16480</v>
      </c>
      <c r="E480" s="58" t="n">
        <f aca="false">E464*Pressupostos!$C$124*(1+Pressupostos!$C$125)^2</f>
        <v>23339.8</v>
      </c>
      <c r="F480" s="58" t="n">
        <f aca="false">F464*Pressupostos!$C$124*(1+Pressupostos!$C$125)^3</f>
        <v>30596.356</v>
      </c>
      <c r="G480" s="58" t="n">
        <f aca="false">G464*Pressupostos!$C$124*(1+Pressupostos!$C$125)^4</f>
        <v>38267.29954</v>
      </c>
      <c r="H480" s="2" t="s">
        <v>1264</v>
      </c>
    </row>
    <row r="481" customFormat="false" ht="15" hidden="false" customHeight="false" outlineLevel="1" collapsed="false">
      <c r="A481" s="52" t="s">
        <v>619</v>
      </c>
      <c r="B481" s="53" t="s">
        <v>10</v>
      </c>
      <c r="C481" s="59" t="n">
        <f aca="false">C478+C479+C480</f>
        <v>400885.59375</v>
      </c>
      <c r="D481" s="59" t="n">
        <f aca="false">D478+D479+D480</f>
        <v>508017.8875</v>
      </c>
      <c r="E481" s="59" t="n">
        <f aca="false">E478+E479+E480</f>
        <v>667701.28525</v>
      </c>
      <c r="F481" s="59" t="n">
        <f aca="false">F478+F479+F480</f>
        <v>855745.92960125</v>
      </c>
      <c r="G481" s="59" t="n">
        <f aca="false">G478+G479+G480</f>
        <v>1042442.03916396</v>
      </c>
      <c r="H481" s="2" t="s">
        <v>1265</v>
      </c>
    </row>
    <row r="482" customFormat="false" ht="15" hidden="false" customHeight="false" outlineLevel="1" collapsed="false">
      <c r="A482" s="2" t="s">
        <v>620</v>
      </c>
      <c r="B482" s="8" t="s">
        <v>10</v>
      </c>
      <c r="C482" s="58" t="n">
        <f aca="false">IF(C464&gt;0,C481/C464,0)</f>
        <v>57269.3705357143</v>
      </c>
      <c r="D482" s="58" t="n">
        <f aca="false">IF(D464&gt;0,D481/D464,0)</f>
        <v>63502.2359375</v>
      </c>
      <c r="E482" s="58" t="n">
        <f aca="false">IF(E464&gt;0,E481/E464,0)</f>
        <v>60700.1168409091</v>
      </c>
      <c r="F482" s="58" t="n">
        <f aca="false">IF(F464&gt;0,F481/F464,0)</f>
        <v>61124.7092572321</v>
      </c>
      <c r="G482" s="58" t="n">
        <f aca="false">IF(G464&gt;0,G481/G464,0)</f>
        <v>61320.1199508213</v>
      </c>
      <c r="H482" s="2" t="s">
        <v>1266</v>
      </c>
    </row>
    <row r="483" customFormat="false" ht="15" hidden="false" customHeight="false" outlineLevel="0" collapsed="false">
      <c r="A483" s="3" t="s">
        <v>1267</v>
      </c>
      <c r="B483" s="4"/>
      <c r="C483" s="4"/>
      <c r="D483" s="4"/>
      <c r="E483" s="4"/>
      <c r="F483" s="4"/>
      <c r="G483" s="4"/>
      <c r="H483" s="4"/>
    </row>
    <row r="484" customFormat="false" ht="15" hidden="false" customHeight="false" outlineLevel="1" collapsed="false">
      <c r="A484" s="7" t="s">
        <v>430</v>
      </c>
      <c r="B484" s="8" t="s">
        <v>10</v>
      </c>
      <c r="C484" s="58" t="n">
        <f aca="false">Pressupostos!$C$388*(1+Pressupostos!$C$154)*(1+Pressupostos!$C$155)^0</f>
        <v>94500</v>
      </c>
      <c r="D484" s="58" t="n">
        <f aca="false">Pressupostos!$D$388*(1+Pressupostos!$C$154)*(1+Pressupostos!$C$155)^1</f>
        <v>53550</v>
      </c>
      <c r="E484" s="58" t="n">
        <f aca="false">Pressupostos!$E$388*(1+Pressupostos!$C$154)*(1+Pressupostos!$C$155)^2</f>
        <v>49158.9</v>
      </c>
      <c r="F484" s="58" t="n">
        <f aca="false">Pressupostos!$F$388*(1+Pressupostos!$C$154)*(1+Pressupostos!$C$155)^3</f>
        <v>50142.078</v>
      </c>
      <c r="G484" s="58" t="n">
        <f aca="false">Pressupostos!$G$388*(1+Pressupostos!$C$154)*(1+Pressupostos!$C$155)^4</f>
        <v>51144.91956</v>
      </c>
      <c r="H484" s="2" t="s">
        <v>1268</v>
      </c>
    </row>
    <row r="485" customFormat="false" ht="15" hidden="false" customHeight="false" outlineLevel="1" collapsed="false">
      <c r="A485" s="7" t="s">
        <v>432</v>
      </c>
      <c r="B485" s="8" t="s">
        <v>10</v>
      </c>
      <c r="C485" s="58" t="n">
        <f aca="false">Pressupostos!$C$394*(1+Pressupostos!$C$154)*(1+Pressupostos!$C$155)^0</f>
        <v>10500</v>
      </c>
      <c r="D485" s="58" t="n">
        <f aca="false">Pressupostos!$D$394*(1+Pressupostos!$C$154)*(1+Pressupostos!$C$155)^1</f>
        <v>10710</v>
      </c>
      <c r="E485" s="58" t="n">
        <f aca="false">Pressupostos!$E$394*(1+Pressupostos!$C$154)*(1+Pressupostos!$C$155)^2</f>
        <v>10924.2</v>
      </c>
      <c r="F485" s="58" t="n">
        <f aca="false">Pressupostos!$F$394*(1+Pressupostos!$C$154)*(1+Pressupostos!$C$155)^3</f>
        <v>11142.684</v>
      </c>
      <c r="G485" s="58" t="n">
        <f aca="false">Pressupostos!$G$394*(1+Pressupostos!$C$154)*(1+Pressupostos!$C$155)^4</f>
        <v>11365.53768</v>
      </c>
      <c r="H485" s="2" t="s">
        <v>1269</v>
      </c>
    </row>
    <row r="486" customFormat="false" ht="15" hidden="false" customHeight="false" outlineLevel="1" collapsed="false">
      <c r="A486" s="7" t="s">
        <v>433</v>
      </c>
      <c r="B486" s="8" t="s">
        <v>10</v>
      </c>
      <c r="C486" s="58" t="n">
        <f aca="false">Pressupostos!$C$400*(1+Pressupostos!$C$154)*(1+Pressupostos!$C$155)^0</f>
        <v>12600</v>
      </c>
      <c r="D486" s="58" t="n">
        <f aca="false">Pressupostos!$D$400*(1+Pressupostos!$C$154)*(1+Pressupostos!$C$155)^1</f>
        <v>12852</v>
      </c>
      <c r="E486" s="58" t="n">
        <f aca="false">Pressupostos!$E$400*(1+Pressupostos!$C$154)*(1+Pressupostos!$C$155)^2</f>
        <v>13109.04</v>
      </c>
      <c r="F486" s="58" t="n">
        <f aca="false">Pressupostos!$F$400*(1+Pressupostos!$C$154)*(1+Pressupostos!$C$155)^3</f>
        <v>0</v>
      </c>
      <c r="G486" s="58" t="n">
        <f aca="false">Pressupostos!$G$400*(1+Pressupostos!$C$154)*(1+Pressupostos!$C$155)^4</f>
        <v>0</v>
      </c>
      <c r="H486" s="2" t="s">
        <v>1270</v>
      </c>
    </row>
    <row r="487" customFormat="false" ht="15" hidden="false" customHeight="false" outlineLevel="1" collapsed="false">
      <c r="A487" s="7" t="s">
        <v>435</v>
      </c>
      <c r="B487" s="8" t="s">
        <v>10</v>
      </c>
      <c r="C487" s="58" t="n">
        <f aca="false">Pressupostos!$C$406*(1+Pressupostos!$C$154)*(1+Pressupostos!$C$155)^0</f>
        <v>31500</v>
      </c>
      <c r="D487" s="58" t="n">
        <f aca="false">Pressupostos!$D$406*(1+Pressupostos!$C$154)*(1+Pressupostos!$C$155)^1</f>
        <v>42840</v>
      </c>
      <c r="E487" s="58" t="n">
        <f aca="false">Pressupostos!$E$406*(1+Pressupostos!$C$154)*(1+Pressupostos!$C$155)^2</f>
        <v>60083.1</v>
      </c>
      <c r="F487" s="58" t="n">
        <f aca="false">Pressupostos!$F$406*(1+Pressupostos!$C$154)*(1+Pressupostos!$C$155)^3</f>
        <v>77998.788</v>
      </c>
      <c r="G487" s="58" t="n">
        <f aca="false">Pressupostos!$G$406*(1+Pressupostos!$C$154)*(1+Pressupostos!$C$155)^4</f>
        <v>96607.07028</v>
      </c>
      <c r="H487" s="2" t="s">
        <v>1271</v>
      </c>
    </row>
    <row r="488" customFormat="false" ht="15" hidden="false" customHeight="false" outlineLevel="1" collapsed="false">
      <c r="A488" s="7" t="s">
        <v>437</v>
      </c>
      <c r="B488" s="8" t="s">
        <v>10</v>
      </c>
      <c r="C488" s="58" t="n">
        <f aca="false">Pressupostos!$C$412*(1+Pressupostos!$C$154)*(1+Pressupostos!$C$155)^0</f>
        <v>15750</v>
      </c>
      <c r="D488" s="58" t="n">
        <f aca="false">Pressupostos!$D$412*(1+Pressupostos!$C$154)*(1+Pressupostos!$C$155)^1</f>
        <v>16065</v>
      </c>
      <c r="E488" s="58" t="n">
        <f aca="false">Pressupostos!$E$412*(1+Pressupostos!$C$154)*(1+Pressupostos!$C$155)^2</f>
        <v>38234.7</v>
      </c>
      <c r="F488" s="58" t="n">
        <f aca="false">Pressupostos!$F$412*(1+Pressupostos!$C$154)*(1+Pressupostos!$C$155)^3</f>
        <v>22285.368</v>
      </c>
      <c r="G488" s="58" t="n">
        <f aca="false">Pressupostos!$G$412*(1+Pressupostos!$C$154)*(1+Pressupostos!$C$155)^4</f>
        <v>22731.07536</v>
      </c>
      <c r="H488" s="2" t="s">
        <v>1272</v>
      </c>
    </row>
    <row r="489" customFormat="false" ht="15" hidden="false" customHeight="false" outlineLevel="1" collapsed="false">
      <c r="A489" s="7" t="s">
        <v>439</v>
      </c>
      <c r="B489" s="8" t="s">
        <v>10</v>
      </c>
      <c r="C489" s="58" t="n">
        <f aca="false">Pressupostos!$C$418*(1+Pressupostos!$C$154)*(1+Pressupostos!$C$155)^0</f>
        <v>10500</v>
      </c>
      <c r="D489" s="58" t="n">
        <f aca="false">Pressupostos!$D$418*(1+Pressupostos!$C$154)*(1+Pressupostos!$C$155)^1</f>
        <v>12852</v>
      </c>
      <c r="E489" s="58" t="n">
        <f aca="false">Pressupostos!$E$418*(1+Pressupostos!$C$154)*(1+Pressupostos!$C$155)^2</f>
        <v>16386.3</v>
      </c>
      <c r="F489" s="58" t="n">
        <f aca="false">Pressupostos!$F$418*(1+Pressupostos!$C$154)*(1+Pressupostos!$C$155)^3</f>
        <v>20056.8312</v>
      </c>
      <c r="G489" s="58" t="n">
        <f aca="false">Pressupostos!$G$418*(1+Pressupostos!$C$154)*(1+Pressupostos!$C$155)^4</f>
        <v>22731.07536</v>
      </c>
      <c r="H489" s="2" t="s">
        <v>1273</v>
      </c>
    </row>
    <row r="490" customFormat="false" ht="15" hidden="false" customHeight="false" outlineLevel="1" collapsed="false">
      <c r="A490" s="7" t="s">
        <v>440</v>
      </c>
      <c r="B490" s="8" t="s">
        <v>10</v>
      </c>
      <c r="C490" s="58" t="n">
        <f aca="false">Pressupostos!$C$424*(1+Pressupostos!$C$154)*(1+Pressupostos!$C$155)^0</f>
        <v>42000</v>
      </c>
      <c r="D490" s="58" t="n">
        <f aca="false">Pressupostos!$D$424*(1+Pressupostos!$C$154)*(1+Pressupostos!$C$155)^1</f>
        <v>53550</v>
      </c>
      <c r="E490" s="58" t="n">
        <f aca="false">Pressupostos!$E$424*(1+Pressupostos!$C$154)*(1+Pressupostos!$C$155)^2</f>
        <v>76469.4</v>
      </c>
      <c r="F490" s="58" t="n">
        <f aca="false">Pressupostos!$F$424*(1+Pressupostos!$C$154)*(1+Pressupostos!$C$155)^3</f>
        <v>100284.156</v>
      </c>
      <c r="G490" s="58" t="n">
        <f aca="false">Pressupostos!$G$424*(1+Pressupostos!$C$154)*(1+Pressupostos!$C$155)^4</f>
        <v>125020.91448</v>
      </c>
      <c r="H490" s="2" t="s">
        <v>1274</v>
      </c>
    </row>
    <row r="491" customFormat="false" ht="15" hidden="false" customHeight="false" outlineLevel="1" collapsed="false">
      <c r="A491" s="7" t="s">
        <v>442</v>
      </c>
      <c r="B491" s="8" t="s">
        <v>10</v>
      </c>
      <c r="C491" s="58" t="n">
        <f aca="false">Pressupostos!$C$430*(1+Pressupostos!$C$154)*(1+Pressupostos!$C$155)^0</f>
        <v>12600</v>
      </c>
      <c r="D491" s="58" t="n">
        <f aca="false">Pressupostos!$D$430*(1+Pressupostos!$C$154)*(1+Pressupostos!$C$155)^1</f>
        <v>16065</v>
      </c>
      <c r="E491" s="58" t="n">
        <f aca="false">Pressupostos!$E$430*(1+Pressupostos!$C$154)*(1+Pressupostos!$C$155)^2</f>
        <v>26218.08</v>
      </c>
      <c r="F491" s="58" t="n">
        <f aca="false">Pressupostos!$F$430*(1+Pressupostos!$C$154)*(1+Pressupostos!$C$155)^3</f>
        <v>33428.052</v>
      </c>
      <c r="G491" s="58" t="n">
        <f aca="false">Pressupostos!$G$430*(1+Pressupostos!$C$154)*(1+Pressupostos!$C$155)^4</f>
        <v>40915.935648</v>
      </c>
      <c r="H491" s="2" t="s">
        <v>1275</v>
      </c>
    </row>
    <row r="492" customFormat="false" ht="15" hidden="false" customHeight="false" outlineLevel="1" collapsed="false">
      <c r="A492" s="7" t="s">
        <v>444</v>
      </c>
      <c r="B492" s="8" t="s">
        <v>10</v>
      </c>
      <c r="C492" s="58" t="n">
        <f aca="false">Pressupostos!$C$436*(1+Pressupostos!$C$154)*(1+Pressupostos!$C$155)^0</f>
        <v>18900</v>
      </c>
      <c r="D492" s="58" t="n">
        <f aca="false">Pressupostos!$D$436*(1+Pressupostos!$C$154)*(1+Pressupostos!$C$155)^1</f>
        <v>23562</v>
      </c>
      <c r="E492" s="58" t="n">
        <f aca="false">Pressupostos!$E$436*(1+Pressupostos!$C$154)*(1+Pressupostos!$C$155)^2</f>
        <v>32772.6</v>
      </c>
      <c r="F492" s="58" t="n">
        <f aca="false">Pressupostos!$F$436*(1+Pressupostos!$C$154)*(1+Pressupostos!$C$155)^3</f>
        <v>42342.1992</v>
      </c>
      <c r="G492" s="58" t="n">
        <f aca="false">Pressupostos!$G$436*(1+Pressupostos!$C$154)*(1+Pressupostos!$C$155)^4</f>
        <v>51144.91956</v>
      </c>
      <c r="H492" s="2" t="s">
        <v>1276</v>
      </c>
    </row>
    <row r="493" customFormat="false" ht="15" hidden="false" customHeight="false" outlineLevel="1" collapsed="false">
      <c r="A493" s="7" t="s">
        <v>445</v>
      </c>
      <c r="B493" s="8" t="s">
        <v>10</v>
      </c>
      <c r="C493" s="58" t="n">
        <f aca="false">Pressupostos!$C$442*(1+Pressupostos!$C$154)*(1+Pressupostos!$C$155)^0</f>
        <v>5250</v>
      </c>
      <c r="D493" s="58" t="n">
        <f aca="false">Pressupostos!$D$442*(1+Pressupostos!$C$154)*(1+Pressupostos!$C$155)^1</f>
        <v>8568</v>
      </c>
      <c r="E493" s="58" t="n">
        <f aca="false">Pressupostos!$E$442*(1+Pressupostos!$C$154)*(1+Pressupostos!$C$155)^2</f>
        <v>13109.04</v>
      </c>
      <c r="F493" s="58" t="n">
        <f aca="false">Pressupostos!$F$442*(1+Pressupostos!$C$154)*(1+Pressupostos!$C$155)^3</f>
        <v>16714.026</v>
      </c>
      <c r="G493" s="58" t="n">
        <f aca="false">Pressupostos!$G$442*(1+Pressupostos!$C$154)*(1+Pressupostos!$C$155)^4</f>
        <v>17048.30652</v>
      </c>
      <c r="H493" s="2" t="s">
        <v>1277</v>
      </c>
    </row>
    <row r="494" customFormat="false" ht="15" hidden="false" customHeight="false" outlineLevel="1" collapsed="false">
      <c r="A494" s="7" t="s">
        <v>661</v>
      </c>
      <c r="B494" s="8" t="s">
        <v>10</v>
      </c>
      <c r="C494" s="58" t="n">
        <f aca="false">C484+C485+C486+C487+C488+C489+C490+C491+C492+C493</f>
        <v>254100</v>
      </c>
      <c r="D494" s="58" t="n">
        <f aca="false">D484+D485+D486+D487+D488+D489+D490+D491+D492+D493</f>
        <v>250614</v>
      </c>
      <c r="E494" s="58" t="n">
        <f aca="false">E484+E485+E486+E487+E488+E489+E490+E491+E492+E493</f>
        <v>336465.36</v>
      </c>
      <c r="F494" s="58" t="n">
        <f aca="false">F484+F485+F486+F487+F488+F489+F490+F491+F492+F493</f>
        <v>374394.1824</v>
      </c>
      <c r="G494" s="58" t="n">
        <f aca="false">G484+G485+G486+G487+G488+G489+G490+G491+G492+G493</f>
        <v>438709.754448</v>
      </c>
      <c r="H494" s="2" t="s">
        <v>1278</v>
      </c>
    </row>
    <row r="495" customFormat="false" ht="15" hidden="false" customHeight="false" outlineLevel="1" collapsed="false">
      <c r="A495" s="7" t="s">
        <v>662</v>
      </c>
      <c r="B495" s="8" t="s">
        <v>10</v>
      </c>
      <c r="C495" s="58" t="n">
        <f aca="false">Pressupostos!$C$112+Pressupostos!$C$113+Pressupostos!$C$114*Pressupostos!$C$289+Pressupostos!$C$449</f>
        <v>65000</v>
      </c>
      <c r="D495" s="58" t="n">
        <f aca="false">Pressupostos!$C$113+Pressupostos!$C$114*Pressupostos!$D$289+Pressupostos!$D$449</f>
        <v>65000</v>
      </c>
      <c r="E495" s="58" t="n">
        <f aca="false">Pressupostos!$C$113+Pressupostos!$C$114*Pressupostos!$E$289+Pressupostos!$E$449</f>
        <v>70000</v>
      </c>
      <c r="F495" s="58" t="n">
        <f aca="false">Pressupostos!$C$113+Pressupostos!$C$114*Pressupostos!$F$289+Pressupostos!$F$449</f>
        <v>75000</v>
      </c>
      <c r="G495" s="58" t="n">
        <f aca="false">Pressupostos!$C$113+Pressupostos!$C$114*Pressupostos!$G$289+Pressupostos!$G$449</f>
        <v>80000</v>
      </c>
      <c r="H495" s="2" t="s">
        <v>1279</v>
      </c>
    </row>
    <row r="496" customFormat="false" ht="15" hidden="false" customHeight="false" outlineLevel="1" collapsed="false">
      <c r="A496" s="7" t="s">
        <v>663</v>
      </c>
      <c r="B496" s="8" t="s">
        <v>10</v>
      </c>
      <c r="C496" s="58" t="n">
        <f aca="false">IF(C318&lt;Pressupostos!$C$118,0,MAX(Pressupostos!$C$295,Pressupostos!$C$116*(C406+C407)+Pressupostos!$C$117*C408))</f>
        <v>0</v>
      </c>
      <c r="D496" s="58" t="n">
        <f aca="false">IF(D318&lt;Pressupostos!$C$118,0,MAX(Pressupostos!$D$295,Pressupostos!$C$116*(D406+D407)+Pressupostos!$C$117*D408))</f>
        <v>7068.78</v>
      </c>
      <c r="E496" s="58" t="n">
        <f aca="false">IF(E318&lt;Pressupostos!$C$118,0,MAX(Pressupostos!$E$295,Pressupostos!$C$116*(E406+E407)+Pressupostos!$C$117*E408))</f>
        <v>15181.02</v>
      </c>
      <c r="F496" s="58" t="n">
        <f aca="false">IF(F318&lt;Pressupostos!$C$118,0,MAX(Pressupostos!$F$295,Pressupostos!$C$116*(F406+F407)+Pressupostos!$C$117*F408))</f>
        <v>26014.98</v>
      </c>
      <c r="G496" s="58" t="n">
        <f aca="false">IF(G318&lt;Pressupostos!$C$118,0,MAX(Pressupostos!$G$295,Pressupostos!$C$116*(G406+G407)+Pressupostos!$C$117*G408))</f>
        <v>39485.4</v>
      </c>
      <c r="H496" s="2" t="s">
        <v>1280</v>
      </c>
    </row>
    <row r="497" customFormat="false" ht="15" hidden="false" customHeight="false" outlineLevel="1" collapsed="false">
      <c r="A497" s="52" t="s">
        <v>664</v>
      </c>
      <c r="B497" s="53" t="s">
        <v>10</v>
      </c>
      <c r="C497" s="59" t="n">
        <f aca="false">C494+C495+C496</f>
        <v>319100</v>
      </c>
      <c r="D497" s="59" t="n">
        <f aca="false">D494+D495+D496</f>
        <v>322682.78</v>
      </c>
      <c r="E497" s="59" t="n">
        <f aca="false">E494+E495+E496</f>
        <v>421646.38</v>
      </c>
      <c r="F497" s="59" t="n">
        <f aca="false">F494+F495+F496</f>
        <v>475409.1624</v>
      </c>
      <c r="G497" s="59" t="n">
        <f aca="false">G494+G495+G496</f>
        <v>558195.154448</v>
      </c>
      <c r="H497" s="2" t="s">
        <v>1281</v>
      </c>
    </row>
    <row r="498" customFormat="false" ht="15" hidden="false" customHeight="false" outlineLevel="0" collapsed="false">
      <c r="A498" s="3" t="s">
        <v>1282</v>
      </c>
      <c r="B498" s="4"/>
      <c r="C498" s="4"/>
      <c r="D498" s="4"/>
      <c r="E498" s="4"/>
      <c r="F498" s="4"/>
      <c r="G498" s="4"/>
      <c r="H498" s="4"/>
    </row>
    <row r="499" customFormat="false" ht="15" hidden="false" customHeight="false" outlineLevel="1" collapsed="false">
      <c r="A499" s="7" t="s">
        <v>666</v>
      </c>
      <c r="B499" s="8" t="s">
        <v>10</v>
      </c>
      <c r="C499" s="58" t="n">
        <f aca="false">Pressupostos!$C$163*Pressupostos!$C$302</f>
        <v>18000</v>
      </c>
      <c r="D499" s="58" t="n">
        <f aca="false">Pressupostos!$C$163*Pressupostos!$D$302</f>
        <v>12000</v>
      </c>
      <c r="E499" s="58" t="n">
        <f aca="false">Pressupostos!$C$163*Pressupostos!$E$302</f>
        <v>12000</v>
      </c>
      <c r="F499" s="58" t="n">
        <f aca="false">Pressupostos!$C$163*Pressupostos!$F$302</f>
        <v>12000</v>
      </c>
      <c r="G499" s="58" t="n">
        <f aca="false">Pressupostos!$C$163*Pressupostos!$G$302</f>
        <v>12000</v>
      </c>
      <c r="H499" s="2" t="s">
        <v>1283</v>
      </c>
    </row>
    <row r="500" customFormat="false" ht="15" hidden="false" customHeight="false" outlineLevel="1" collapsed="false">
      <c r="A500" s="7" t="s">
        <v>667</v>
      </c>
      <c r="B500" s="8" t="s">
        <v>10</v>
      </c>
      <c r="C500" s="50" t="n">
        <f aca="false">Pressupostos!$C$308</f>
        <v>60000</v>
      </c>
      <c r="D500" s="50" t="n">
        <f aca="false">Pressupostos!$D$308</f>
        <v>30000</v>
      </c>
      <c r="E500" s="50" t="n">
        <f aca="false">Pressupostos!$E$308</f>
        <v>30000</v>
      </c>
      <c r="F500" s="50" t="n">
        <f aca="false">Pressupostos!$F$308</f>
        <v>20000</v>
      </c>
      <c r="G500" s="50" t="n">
        <f aca="false">Pressupostos!$G$308</f>
        <v>20000</v>
      </c>
      <c r="H500" s="2" t="s">
        <v>1284</v>
      </c>
    </row>
    <row r="501" customFormat="false" ht="15" hidden="false" customHeight="false" outlineLevel="1" collapsed="false">
      <c r="A501" s="7" t="s">
        <v>668</v>
      </c>
      <c r="B501" s="8" t="s">
        <v>10</v>
      </c>
      <c r="C501" s="58" t="n">
        <f aca="false">Pressupostos!$C$164*MAX(0,C464)</f>
        <v>14000</v>
      </c>
      <c r="D501" s="58" t="n">
        <f aca="false">Pressupostos!$C$164*MAX(0,D464-C464)</f>
        <v>2000</v>
      </c>
      <c r="E501" s="58" t="n">
        <f aca="false">Pressupostos!$C$164*MAX(0,E464-D464)</f>
        <v>6000</v>
      </c>
      <c r="F501" s="58" t="n">
        <f aca="false">Pressupostos!$C$164*MAX(0,F464-E464)</f>
        <v>6000</v>
      </c>
      <c r="G501" s="58" t="n">
        <f aca="false">Pressupostos!$C$164*MAX(0,G464-F464)</f>
        <v>6000</v>
      </c>
      <c r="H501" s="2" t="s">
        <v>1285</v>
      </c>
    </row>
    <row r="502" customFormat="false" ht="15" hidden="false" customHeight="false" outlineLevel="1" collapsed="false">
      <c r="A502" s="7" t="s">
        <v>407</v>
      </c>
      <c r="B502" s="8" t="s">
        <v>10</v>
      </c>
      <c r="C502" s="58" t="n">
        <f aca="false">C499+C500+C501</f>
        <v>92000</v>
      </c>
      <c r="D502" s="58" t="n">
        <f aca="false">D499+D500+D501</f>
        <v>44000</v>
      </c>
      <c r="E502" s="58" t="n">
        <f aca="false">E499+E500+E501</f>
        <v>48000</v>
      </c>
      <c r="F502" s="58" t="n">
        <f aca="false">F499+F500+F501</f>
        <v>38000</v>
      </c>
      <c r="G502" s="58" t="n">
        <f aca="false">G499+G500+G501</f>
        <v>38000</v>
      </c>
      <c r="H502" s="2" t="s">
        <v>1286</v>
      </c>
    </row>
    <row r="503" customFormat="false" ht="15" hidden="false" customHeight="false" outlineLevel="1" collapsed="false">
      <c r="A503" s="7" t="s">
        <v>669</v>
      </c>
      <c r="B503" s="8" t="s">
        <v>10</v>
      </c>
      <c r="C503" s="58" t="n">
        <f aca="false">(C500*((0)&lt;Pressupostos!$C$165))/Pressupostos!$C$165</f>
        <v>20000</v>
      </c>
      <c r="D503" s="58" t="n">
        <f aca="false">(C500*((1)&lt;Pressupostos!$C$165)+D500*((0)&lt;Pressupostos!$C$165))/Pressupostos!$C$165</f>
        <v>30000</v>
      </c>
      <c r="E503" s="58" t="n">
        <f aca="false">(C500*((2)&lt;Pressupostos!$C$165)+D500*((1)&lt;Pressupostos!$C$165)+E500*((0)&lt;Pressupostos!$C$165))/Pressupostos!$C$165</f>
        <v>40000</v>
      </c>
      <c r="F503" s="58" t="n">
        <f aca="false">(C500*((3)&lt;Pressupostos!$C$165)+D500*((2)&lt;Pressupostos!$C$165)+E500*((1)&lt;Pressupostos!$C$165)+F500*((0)&lt;Pressupostos!$C$165))/Pressupostos!$C$165</f>
        <v>26666.6666666667</v>
      </c>
      <c r="G503" s="58" t="n">
        <f aca="false">(C500*((4)&lt;Pressupostos!$C$165)+D500*((3)&lt;Pressupostos!$C$165)+E500*((2)&lt;Pressupostos!$C$165)+F500*((1)&lt;Pressupostos!$C$165)+G500*((0)&lt;Pressupostos!$C$165))/Pressupostos!$C$165</f>
        <v>23333.3333333333</v>
      </c>
      <c r="H503" s="2" t="s">
        <v>1287</v>
      </c>
    </row>
    <row r="504" customFormat="false" ht="15" hidden="false" customHeight="false" outlineLevel="1" collapsed="false">
      <c r="A504" s="7" t="s">
        <v>670</v>
      </c>
      <c r="B504" s="8" t="s">
        <v>10</v>
      </c>
      <c r="C504" s="58" t="n">
        <f aca="false">(C499*((0)&lt;Pressupostos!$C$167))/Pressupostos!$C$167</f>
        <v>3600</v>
      </c>
      <c r="D504" s="58" t="n">
        <f aca="false">(C499*((1)&lt;Pressupostos!$C$167)+D499*((0)&lt;Pressupostos!$C$167))/Pressupostos!$C$167</f>
        <v>6000</v>
      </c>
      <c r="E504" s="58" t="n">
        <f aca="false">(C499*((2)&lt;Pressupostos!$C$167)+D499*((1)&lt;Pressupostos!$C$167)+E499*((0)&lt;Pressupostos!$C$167))/Pressupostos!$C$167</f>
        <v>8400</v>
      </c>
      <c r="F504" s="58" t="n">
        <f aca="false">(C499*((3)&lt;Pressupostos!$C$167)+D499*((2)&lt;Pressupostos!$C$167)+E499*((1)&lt;Pressupostos!$C$167)+F499*((0)&lt;Pressupostos!$C$167))/Pressupostos!$C$167</f>
        <v>10800</v>
      </c>
      <c r="G504" s="58" t="n">
        <f aca="false">(C499*((4)&lt;Pressupostos!$C$167)+D499*((3)&lt;Pressupostos!$C$167)+E499*((2)&lt;Pressupostos!$C$167)+F499*((1)&lt;Pressupostos!$C$167)+G499*((0)&lt;Pressupostos!$C$167))/Pressupostos!$C$167</f>
        <v>13200</v>
      </c>
      <c r="H504" s="2" t="s">
        <v>1288</v>
      </c>
    </row>
    <row r="505" customFormat="false" ht="15" hidden="false" customHeight="false" outlineLevel="1" collapsed="false">
      <c r="A505" s="7" t="s">
        <v>671</v>
      </c>
      <c r="B505" s="8" t="s">
        <v>10</v>
      </c>
      <c r="C505" s="58" t="n">
        <f aca="false">(C501*((0)&lt;Pressupostos!$C$166))/Pressupostos!$C$166</f>
        <v>3500</v>
      </c>
      <c r="D505" s="58" t="n">
        <f aca="false">(C501*((1)&lt;Pressupostos!$C$166)+D501*((0)&lt;Pressupostos!$C$166))/Pressupostos!$C$166</f>
        <v>4000</v>
      </c>
      <c r="E505" s="58" t="n">
        <f aca="false">(C501*((2)&lt;Pressupostos!$C$166)+D501*((1)&lt;Pressupostos!$C$166)+E501*((0)&lt;Pressupostos!$C$166))/Pressupostos!$C$166</f>
        <v>5500</v>
      </c>
      <c r="F505" s="58" t="n">
        <f aca="false">(C501*((3)&lt;Pressupostos!$C$166)+D501*((2)&lt;Pressupostos!$C$166)+E501*((1)&lt;Pressupostos!$C$166)+F501*((0)&lt;Pressupostos!$C$166))/Pressupostos!$C$166</f>
        <v>7000</v>
      </c>
      <c r="G505" s="58" t="n">
        <f aca="false">(C501*((4)&lt;Pressupostos!$C$166)+D501*((3)&lt;Pressupostos!$C$166)+E501*((2)&lt;Pressupostos!$C$166)+F501*((1)&lt;Pressupostos!$C$166)+G501*((0)&lt;Pressupostos!$C$166))/Pressupostos!$C$166</f>
        <v>5000</v>
      </c>
      <c r="H505" s="2" t="s">
        <v>1289</v>
      </c>
    </row>
    <row r="506" customFormat="false" ht="15" hidden="false" customHeight="false" outlineLevel="1" collapsed="false">
      <c r="A506" s="7" t="s">
        <v>672</v>
      </c>
      <c r="B506" s="8" t="s">
        <v>10</v>
      </c>
      <c r="C506" s="58" t="n">
        <f aca="false">C503+C504+C505</f>
        <v>27100</v>
      </c>
      <c r="D506" s="58" t="n">
        <f aca="false">D503+D504+D505</f>
        <v>40000</v>
      </c>
      <c r="E506" s="58" t="n">
        <f aca="false">E503+E504+E505</f>
        <v>53900</v>
      </c>
      <c r="F506" s="58" t="n">
        <f aca="false">F503+F504+F505</f>
        <v>44466.6666666667</v>
      </c>
      <c r="G506" s="58" t="n">
        <f aca="false">G503+G504+G505</f>
        <v>41533.3333333333</v>
      </c>
      <c r="H506" s="2" t="s">
        <v>1290</v>
      </c>
    </row>
    <row r="507" customFormat="false" ht="15" hidden="false" customHeight="false" outlineLevel="0" collapsed="false">
      <c r="A507" s="3" t="s">
        <v>1291</v>
      </c>
      <c r="B507" s="4"/>
      <c r="C507" s="4"/>
      <c r="D507" s="4"/>
      <c r="E507" s="4"/>
      <c r="F507" s="4"/>
      <c r="G507" s="4"/>
      <c r="H507" s="4"/>
    </row>
    <row r="508" customFormat="false" ht="15" hidden="false" customHeight="false" outlineLevel="1" collapsed="false">
      <c r="A508" s="52" t="s">
        <v>676</v>
      </c>
      <c r="B508" s="53" t="s">
        <v>10</v>
      </c>
      <c r="C508" s="59" t="n">
        <f aca="false">C415</f>
        <v>267690</v>
      </c>
      <c r="D508" s="59" t="n">
        <f aca="false">D415</f>
        <v>1780435</v>
      </c>
      <c r="E508" s="59" t="n">
        <f aca="false">E415</f>
        <v>4066155</v>
      </c>
      <c r="F508" s="59" t="n">
        <f aca="false">F415</f>
        <v>7052305</v>
      </c>
      <c r="G508" s="59" t="n">
        <f aca="false">G415</f>
        <v>10796070</v>
      </c>
      <c r="H508" s="2" t="s">
        <v>1292</v>
      </c>
    </row>
    <row r="509" customFormat="false" ht="15" hidden="false" customHeight="false" outlineLevel="1" collapsed="false">
      <c r="A509" s="7" t="s">
        <v>649</v>
      </c>
      <c r="B509" s="8" t="s">
        <v>10</v>
      </c>
      <c r="C509" s="58" t="n">
        <f aca="false">-C436</f>
        <v>-243800</v>
      </c>
      <c r="D509" s="58" t="n">
        <f aca="false">-D436</f>
        <v>-1623700</v>
      </c>
      <c r="E509" s="58" t="n">
        <f aca="false">-E436</f>
        <v>-3665800</v>
      </c>
      <c r="F509" s="58" t="n">
        <f aca="false">-F436</f>
        <v>-6319200</v>
      </c>
      <c r="G509" s="58" t="n">
        <f aca="false">-G436</f>
        <v>-9651000</v>
      </c>
      <c r="H509" s="2" t="s">
        <v>1293</v>
      </c>
    </row>
    <row r="510" customFormat="false" ht="15" hidden="false" customHeight="false" outlineLevel="1" collapsed="false">
      <c r="A510" s="52" t="s">
        <v>677</v>
      </c>
      <c r="B510" s="53" t="s">
        <v>10</v>
      </c>
      <c r="C510" s="59" t="n">
        <f aca="false">C508+C509</f>
        <v>23890</v>
      </c>
      <c r="D510" s="59" t="n">
        <f aca="false">D508+D509</f>
        <v>156735</v>
      </c>
      <c r="E510" s="59" t="n">
        <f aca="false">E508+E509</f>
        <v>400355</v>
      </c>
      <c r="F510" s="59" t="n">
        <f aca="false">F508+F509</f>
        <v>733105</v>
      </c>
      <c r="G510" s="59" t="n">
        <f aca="false">G508+G509</f>
        <v>1145070</v>
      </c>
      <c r="H510" s="2" t="s">
        <v>1294</v>
      </c>
    </row>
    <row r="511" customFormat="false" ht="15" hidden="false" customHeight="false" outlineLevel="1" collapsed="false">
      <c r="A511" s="2" t="s">
        <v>678</v>
      </c>
      <c r="B511" s="8" t="s">
        <v>71</v>
      </c>
      <c r="C511" s="55" t="n">
        <f aca="false">IF(C508&gt;0,C510/C508,0)</f>
        <v>0.0892450222272031</v>
      </c>
      <c r="D511" s="55" t="n">
        <f aca="false">IF(D508&gt;0,D510/D508,0)</f>
        <v>0.0880318573831675</v>
      </c>
      <c r="E511" s="55" t="n">
        <f aca="false">IF(E508&gt;0,E510/E508,0)</f>
        <v>0.0984603390672514</v>
      </c>
      <c r="F511" s="55" t="n">
        <f aca="false">IF(F508&gt;0,F510/F508,0)</f>
        <v>0.103952537503696</v>
      </c>
      <c r="G511" s="55" t="n">
        <f aca="false">IF(G508&gt;0,G510/G508,0)</f>
        <v>0.106063595363869</v>
      </c>
      <c r="H511" s="2" t="s">
        <v>1295</v>
      </c>
    </row>
    <row r="512" customFormat="false" ht="15" hidden="false" customHeight="false" outlineLevel="1" collapsed="false">
      <c r="A512" s="7" t="s">
        <v>679</v>
      </c>
      <c r="B512" s="8" t="s">
        <v>10</v>
      </c>
      <c r="C512" s="58" t="n">
        <f aca="false">-C446</f>
        <v>-15341.8580821918</v>
      </c>
      <c r="D512" s="58" t="n">
        <f aca="false">-D446</f>
        <v>-104130.783209393</v>
      </c>
      <c r="E512" s="58" t="n">
        <f aca="false">-E446</f>
        <v>-242146.261409002</v>
      </c>
      <c r="F512" s="58" t="n">
        <f aca="false">-F446</f>
        <v>-433558.333502936</v>
      </c>
      <c r="G512" s="58" t="n">
        <f aca="false">-G446</f>
        <v>-668872.547162427</v>
      </c>
      <c r="H512" s="2" t="s">
        <v>1296</v>
      </c>
    </row>
    <row r="513" customFormat="false" ht="15" hidden="false" customHeight="false" outlineLevel="1" collapsed="false">
      <c r="A513" s="7" t="s">
        <v>658</v>
      </c>
      <c r="B513" s="8" t="s">
        <v>10</v>
      </c>
      <c r="C513" s="58" t="n">
        <f aca="false">-C449</f>
        <v>-0</v>
      </c>
      <c r="D513" s="58" t="n">
        <f aca="false">-D449</f>
        <v>-23317.0273972603</v>
      </c>
      <c r="E513" s="58" t="n">
        <f aca="false">-E449</f>
        <v>-38771.0637842466</v>
      </c>
      <c r="F513" s="58" t="n">
        <f aca="false">-F449</f>
        <v>-62547.834760274</v>
      </c>
      <c r="G513" s="58" t="n">
        <f aca="false">-G449</f>
        <v>-95536.1558219178</v>
      </c>
      <c r="H513" s="2" t="s">
        <v>1297</v>
      </c>
    </row>
    <row r="514" customFormat="false" ht="15" hidden="false" customHeight="false" outlineLevel="1" collapsed="false">
      <c r="A514" s="52" t="s">
        <v>641</v>
      </c>
      <c r="B514" s="53" t="s">
        <v>10</v>
      </c>
      <c r="C514" s="59" t="n">
        <f aca="false">C510+C512+C513</f>
        <v>8548.14191780822</v>
      </c>
      <c r="D514" s="59" t="n">
        <f aca="false">D510+D512+D513</f>
        <v>29287.1893933461</v>
      </c>
      <c r="E514" s="59" t="n">
        <f aca="false">E510+E512+E513</f>
        <v>119437.674806751</v>
      </c>
      <c r="F514" s="59" t="n">
        <f aca="false">F510+F512+F513</f>
        <v>236998.831736791</v>
      </c>
      <c r="G514" s="59" t="n">
        <f aca="false">G510+G512+G513</f>
        <v>380661.297015656</v>
      </c>
      <c r="H514" s="2" t="s">
        <v>1298</v>
      </c>
    </row>
    <row r="515" customFormat="false" ht="15" hidden="false" customHeight="false" outlineLevel="1" collapsed="false">
      <c r="A515" s="7" t="s">
        <v>251</v>
      </c>
      <c r="B515" s="8" t="s">
        <v>10</v>
      </c>
      <c r="C515" s="58" t="n">
        <f aca="false">-C481</f>
        <v>-400885.59375</v>
      </c>
      <c r="D515" s="58" t="n">
        <f aca="false">-D481</f>
        <v>-508017.8875</v>
      </c>
      <c r="E515" s="58" t="n">
        <f aca="false">-E481</f>
        <v>-667701.28525</v>
      </c>
      <c r="F515" s="58" t="n">
        <f aca="false">-F481</f>
        <v>-855745.92960125</v>
      </c>
      <c r="G515" s="58" t="n">
        <f aca="false">-G481</f>
        <v>-1042442.03916396</v>
      </c>
      <c r="H515" s="2" t="s">
        <v>1299</v>
      </c>
    </row>
    <row r="516" customFormat="false" ht="15" hidden="false" customHeight="false" outlineLevel="1" collapsed="false">
      <c r="A516" s="7" t="s">
        <v>680</v>
      </c>
      <c r="B516" s="8" t="s">
        <v>10</v>
      </c>
      <c r="C516" s="58" t="n">
        <f aca="false">-C497</f>
        <v>-319100</v>
      </c>
      <c r="D516" s="58" t="n">
        <f aca="false">-D497</f>
        <v>-322682.78</v>
      </c>
      <c r="E516" s="58" t="n">
        <f aca="false">-E497</f>
        <v>-421646.38</v>
      </c>
      <c r="F516" s="58" t="n">
        <f aca="false">-F497</f>
        <v>-475409.1624</v>
      </c>
      <c r="G516" s="58" t="n">
        <f aca="false">-G497</f>
        <v>-558195.154448</v>
      </c>
      <c r="H516" s="2" t="s">
        <v>1300</v>
      </c>
    </row>
    <row r="517" customFormat="false" ht="15" hidden="false" customHeight="false" outlineLevel="1" collapsed="false">
      <c r="A517" s="52" t="s">
        <v>681</v>
      </c>
      <c r="B517" s="53" t="s">
        <v>10</v>
      </c>
      <c r="C517" s="59" t="n">
        <f aca="false">C514+C515+C516</f>
        <v>-711437.451832192</v>
      </c>
      <c r="D517" s="59" t="n">
        <f aca="false">D514+D515+D516</f>
        <v>-801413.478106654</v>
      </c>
      <c r="E517" s="59" t="n">
        <f aca="false">E514+E515+E516</f>
        <v>-969909.990443249</v>
      </c>
      <c r="F517" s="59" t="n">
        <f aca="false">F514+F515+F516</f>
        <v>-1094156.26026446</v>
      </c>
      <c r="G517" s="59" t="n">
        <f aca="false">G514+G515+G516</f>
        <v>-1219975.89659631</v>
      </c>
      <c r="H517" s="2" t="s">
        <v>1301</v>
      </c>
    </row>
    <row r="518" customFormat="false" ht="15" hidden="false" customHeight="false" outlineLevel="1" collapsed="false">
      <c r="A518" s="2" t="s">
        <v>683</v>
      </c>
      <c r="B518" s="8" t="s">
        <v>71</v>
      </c>
      <c r="C518" s="55" t="n">
        <f aca="false">IF(C508&gt;0,C517/C508,0)</f>
        <v>-2.65769155303594</v>
      </c>
      <c r="D518" s="55" t="n">
        <f aca="false">IF(D508&gt;0,D517/D508,0)</f>
        <v>-0.450122289275741</v>
      </c>
      <c r="E518" s="55" t="n">
        <f aca="false">IF(E508&gt;0,E517/E508,0)</f>
        <v>-0.238532468743383</v>
      </c>
      <c r="F518" s="55" t="n">
        <f aca="false">IF(F508&gt;0,F517/F508,0)</f>
        <v>-0.155148743604319</v>
      </c>
      <c r="G518" s="55" t="n">
        <f aca="false">IF(G508&gt;0,G517/G508,0)</f>
        <v>-0.113001851284431</v>
      </c>
      <c r="H518" s="2" t="s">
        <v>1302</v>
      </c>
    </row>
    <row r="519" customFormat="false" ht="15" hidden="false" customHeight="false" outlineLevel="1" collapsed="false">
      <c r="A519" s="2" t="s">
        <v>684</v>
      </c>
      <c r="B519" s="8" t="s">
        <v>10</v>
      </c>
      <c r="C519" s="58" t="n">
        <f aca="false">C517+C449</f>
        <v>-711437.451832192</v>
      </c>
      <c r="D519" s="58" t="n">
        <f aca="false">D517+D449</f>
        <v>-778096.450709394</v>
      </c>
      <c r="E519" s="58" t="n">
        <f aca="false">E517+E449</f>
        <v>-931138.926659002</v>
      </c>
      <c r="F519" s="58" t="n">
        <f aca="false">F517+F449</f>
        <v>-1031608.42550419</v>
      </c>
      <c r="G519" s="58" t="n">
        <f aca="false">G517+G449</f>
        <v>-1124439.74077439</v>
      </c>
      <c r="H519" s="2" t="s">
        <v>1303</v>
      </c>
    </row>
    <row r="520" customFormat="false" ht="15" hidden="false" customHeight="false" outlineLevel="1" collapsed="false">
      <c r="A520" s="7" t="s">
        <v>672</v>
      </c>
      <c r="B520" s="8" t="s">
        <v>10</v>
      </c>
      <c r="C520" s="58" t="n">
        <f aca="false">-C506</f>
        <v>-27100</v>
      </c>
      <c r="D520" s="58" t="n">
        <f aca="false">-D506</f>
        <v>-40000</v>
      </c>
      <c r="E520" s="58" t="n">
        <f aca="false">-E506</f>
        <v>-53900</v>
      </c>
      <c r="F520" s="58" t="n">
        <f aca="false">-F506</f>
        <v>-44466.6666666667</v>
      </c>
      <c r="G520" s="58" t="n">
        <f aca="false">-G506</f>
        <v>-41533.3333333333</v>
      </c>
      <c r="H520" s="2" t="s">
        <v>1304</v>
      </c>
    </row>
    <row r="521" customFormat="false" ht="15" hidden="false" customHeight="false" outlineLevel="1" collapsed="false">
      <c r="A521" s="52" t="s">
        <v>685</v>
      </c>
      <c r="B521" s="53" t="s">
        <v>10</v>
      </c>
      <c r="C521" s="59" t="n">
        <f aca="false">C517+C520</f>
        <v>-738537.451832192</v>
      </c>
      <c r="D521" s="59" t="n">
        <f aca="false">D517+D520</f>
        <v>-841413.478106654</v>
      </c>
      <c r="E521" s="59" t="n">
        <f aca="false">E517+E520</f>
        <v>-1023809.99044325</v>
      </c>
      <c r="F521" s="59" t="n">
        <f aca="false">F517+F520</f>
        <v>-1138622.92693113</v>
      </c>
      <c r="G521" s="59" t="n">
        <f aca="false">G517+G520</f>
        <v>-1261509.22992964</v>
      </c>
      <c r="H521" s="2" t="s">
        <v>1305</v>
      </c>
    </row>
    <row r="522" customFormat="false" ht="15" hidden="false" customHeight="false" outlineLevel="0" collapsed="false">
      <c r="A522" s="3" t="s">
        <v>1306</v>
      </c>
      <c r="B522" s="4"/>
      <c r="C522" s="4"/>
      <c r="D522" s="4"/>
      <c r="E522" s="4"/>
      <c r="F522" s="4"/>
      <c r="G522" s="4"/>
      <c r="H522" s="4"/>
    </row>
    <row r="523" customFormat="false" ht="15" hidden="false" customHeight="false" outlineLevel="1" collapsed="false">
      <c r="A523" s="7" t="s">
        <v>687</v>
      </c>
      <c r="B523" s="8" t="s">
        <v>10</v>
      </c>
      <c r="C523" s="58" t="n">
        <f aca="false">C521</f>
        <v>-738537.451832192</v>
      </c>
      <c r="D523" s="58" t="n">
        <f aca="false">D521</f>
        <v>-841413.478106654</v>
      </c>
      <c r="E523" s="58" t="n">
        <f aca="false">E521</f>
        <v>-1023809.99044325</v>
      </c>
      <c r="F523" s="58" t="n">
        <f aca="false">F521</f>
        <v>-1138622.92693113</v>
      </c>
      <c r="G523" s="58" t="n">
        <f aca="false">G521</f>
        <v>-1261509.22992964</v>
      </c>
      <c r="H523" s="2" t="s">
        <v>1307</v>
      </c>
    </row>
    <row r="524" customFormat="false" ht="15" hidden="false" customHeight="false" outlineLevel="1" collapsed="false">
      <c r="A524" s="7" t="s">
        <v>688</v>
      </c>
      <c r="B524" s="8" t="s">
        <v>10</v>
      </c>
      <c r="C524" s="58" t="n">
        <f aca="false">0</f>
        <v>0</v>
      </c>
      <c r="D524" s="58" t="n">
        <f aca="false">C527</f>
        <v>738537.451832192</v>
      </c>
      <c r="E524" s="58" t="n">
        <f aca="false">D527</f>
        <v>1579950.92993885</v>
      </c>
      <c r="F524" s="58" t="n">
        <f aca="false">E527</f>
        <v>2603760.92038209</v>
      </c>
      <c r="G524" s="58" t="n">
        <f aca="false">F527</f>
        <v>3742383.84731322</v>
      </c>
      <c r="H524" s="2" t="s">
        <v>1308</v>
      </c>
    </row>
    <row r="525" customFormat="false" ht="15" hidden="false" customHeight="false" outlineLevel="1" collapsed="false">
      <c r="A525" s="7" t="s">
        <v>689</v>
      </c>
      <c r="B525" s="8" t="s">
        <v>10</v>
      </c>
      <c r="C525" s="58" t="n">
        <f aca="false">MAX(0,-C523)</f>
        <v>738537.451832192</v>
      </c>
      <c r="D525" s="58" t="n">
        <f aca="false">MAX(0,-D523)</f>
        <v>841413.478106654</v>
      </c>
      <c r="E525" s="58" t="n">
        <f aca="false">MAX(0,-E523)</f>
        <v>1023809.99044325</v>
      </c>
      <c r="F525" s="58" t="n">
        <f aca="false">MAX(0,-F523)</f>
        <v>1138622.92693113</v>
      </c>
      <c r="G525" s="58" t="n">
        <f aca="false">MAX(0,-G523)</f>
        <v>1261509.22992964</v>
      </c>
      <c r="H525" s="2" t="s">
        <v>1309</v>
      </c>
    </row>
    <row r="526" customFormat="false" ht="15" hidden="false" customHeight="false" outlineLevel="1" collapsed="false">
      <c r="A526" s="7" t="s">
        <v>690</v>
      </c>
      <c r="B526" s="8" t="s">
        <v>10</v>
      </c>
      <c r="C526" s="58" t="n">
        <f aca="false">MIN(C524,Pressupostos!$C$179*MAX(0,C523))</f>
        <v>0</v>
      </c>
      <c r="D526" s="58" t="n">
        <f aca="false">MIN(D524,Pressupostos!$C$179*MAX(0,D523))</f>
        <v>0</v>
      </c>
      <c r="E526" s="58" t="n">
        <f aca="false">MIN(E524,Pressupostos!$C$179*MAX(0,E523))</f>
        <v>0</v>
      </c>
      <c r="F526" s="58" t="n">
        <f aca="false">MIN(F524,Pressupostos!$C$179*MAX(0,F523))</f>
        <v>0</v>
      </c>
      <c r="G526" s="58" t="n">
        <f aca="false">MIN(G524,Pressupostos!$C$179*MAX(0,G523))</f>
        <v>0</v>
      </c>
      <c r="H526" s="2" t="s">
        <v>1310</v>
      </c>
    </row>
    <row r="527" customFormat="false" ht="15" hidden="false" customHeight="false" outlineLevel="1" collapsed="false">
      <c r="A527" s="7" t="s">
        <v>691</v>
      </c>
      <c r="B527" s="8" t="s">
        <v>10</v>
      </c>
      <c r="C527" s="58" t="n">
        <f aca="false">C524+C525-C526</f>
        <v>738537.451832192</v>
      </c>
      <c r="D527" s="58" t="n">
        <f aca="false">D524+D525-D526</f>
        <v>1579950.92993885</v>
      </c>
      <c r="E527" s="58" t="n">
        <f aca="false">E524+E525-E526</f>
        <v>2603760.92038209</v>
      </c>
      <c r="F527" s="58" t="n">
        <f aca="false">F524+F525-F526</f>
        <v>3742383.84731322</v>
      </c>
      <c r="G527" s="58" t="n">
        <f aca="false">G524+G525-G526</f>
        <v>5003893.07724286</v>
      </c>
      <c r="H527" s="2" t="s">
        <v>1311</v>
      </c>
    </row>
    <row r="528" customFormat="false" ht="15" hidden="false" customHeight="false" outlineLevel="1" collapsed="false">
      <c r="A528" s="7" t="s">
        <v>692</v>
      </c>
      <c r="B528" s="8" t="s">
        <v>10</v>
      </c>
      <c r="C528" s="58" t="n">
        <f aca="false">MAX(0,C523)-C526</f>
        <v>0</v>
      </c>
      <c r="D528" s="58" t="n">
        <f aca="false">MAX(0,D523)-D526</f>
        <v>0</v>
      </c>
      <c r="E528" s="58" t="n">
        <f aca="false">MAX(0,E523)-E526</f>
        <v>0</v>
      </c>
      <c r="F528" s="58" t="n">
        <f aca="false">MAX(0,F523)-F526</f>
        <v>0</v>
      </c>
      <c r="G528" s="58" t="n">
        <f aca="false">MAX(0,G523)-G526</f>
        <v>0</v>
      </c>
      <c r="H528" s="2" t="s">
        <v>1312</v>
      </c>
    </row>
    <row r="529" customFormat="false" ht="15" hidden="false" customHeight="false" outlineLevel="1" collapsed="false">
      <c r="A529" s="7" t="s">
        <v>693</v>
      </c>
      <c r="B529" s="8" t="s">
        <v>10</v>
      </c>
      <c r="C529" s="58" t="n">
        <f aca="false">Pressupostos!$C$170*MIN(C528,Pressupostos!$C$171)+Pressupostos!$C$450*MAX(0,C528-Pressupostos!$C$171)</f>
        <v>0</v>
      </c>
      <c r="D529" s="58" t="n">
        <f aca="false">Pressupostos!$C$170*MIN(D528,Pressupostos!$C$171)+Pressupostos!$D$450*MAX(0,D528-Pressupostos!$C$171)</f>
        <v>0</v>
      </c>
      <c r="E529" s="58" t="n">
        <f aca="false">Pressupostos!$C$170*MIN(E528,Pressupostos!$C$171)+Pressupostos!$E$450*MAX(0,E528-Pressupostos!$C$171)</f>
        <v>0</v>
      </c>
      <c r="F529" s="58" t="n">
        <f aca="false">Pressupostos!$C$170*MIN(F528,Pressupostos!$C$171)+Pressupostos!$F$450*MAX(0,F528-Pressupostos!$C$171)</f>
        <v>0</v>
      </c>
      <c r="G529" s="58" t="n">
        <f aca="false">Pressupostos!$C$170*MIN(G528,Pressupostos!$C$171)+Pressupostos!$G$450*MAX(0,G528-Pressupostos!$C$171)</f>
        <v>0</v>
      </c>
      <c r="H529" s="2" t="s">
        <v>1313</v>
      </c>
    </row>
    <row r="530" customFormat="false" ht="15" hidden="false" customHeight="false" outlineLevel="1" collapsed="false">
      <c r="A530" s="7" t="s">
        <v>694</v>
      </c>
      <c r="B530" s="8" t="s">
        <v>10</v>
      </c>
      <c r="C530" s="58" t="n">
        <f aca="false">Pressupostos!$C$172*MAX(0,C523)</f>
        <v>0</v>
      </c>
      <c r="D530" s="58" t="n">
        <f aca="false">Pressupostos!$C$172*MAX(0,D523)</f>
        <v>0</v>
      </c>
      <c r="E530" s="58" t="n">
        <f aca="false">Pressupostos!$C$172*MAX(0,E523)</f>
        <v>0</v>
      </c>
      <c r="F530" s="58" t="n">
        <f aca="false">Pressupostos!$C$172*MAX(0,F523)</f>
        <v>0</v>
      </c>
      <c r="G530" s="58" t="n">
        <f aca="false">Pressupostos!$C$172*MAX(0,G523)</f>
        <v>0</v>
      </c>
      <c r="H530" s="2" t="s">
        <v>1314</v>
      </c>
    </row>
    <row r="531" customFormat="false" ht="15" hidden="false" customHeight="false" outlineLevel="1" collapsed="false">
      <c r="A531" s="7" t="s">
        <v>695</v>
      </c>
      <c r="B531" s="8" t="s">
        <v>10</v>
      </c>
      <c r="C531" s="58" t="n">
        <f aca="false">Pressupostos!$C$174*MAX(0,MIN(C523,Pressupostos!$C$175)-Pressupostos!$C$173)+Pressupostos!$C$176*MAX(0,MIN(C523,Pressupostos!$C$177)-Pressupostos!$C$175)+Pressupostos!$C$178*MAX(0,C523-Pressupostos!$C$177)</f>
        <v>0</v>
      </c>
      <c r="D531" s="58" t="n">
        <f aca="false">Pressupostos!$C$174*MAX(0,MIN(D523,Pressupostos!$C$175)-Pressupostos!$C$173)+Pressupostos!$C$176*MAX(0,MIN(D523,Pressupostos!$C$177)-Pressupostos!$C$175)+Pressupostos!$C$178*MAX(0,D523-Pressupostos!$C$177)</f>
        <v>0</v>
      </c>
      <c r="E531" s="58" t="n">
        <f aca="false">Pressupostos!$C$174*MAX(0,MIN(E523,Pressupostos!$C$175)-Pressupostos!$C$173)+Pressupostos!$C$176*MAX(0,MIN(E523,Pressupostos!$C$177)-Pressupostos!$C$175)+Pressupostos!$C$178*MAX(0,E523-Pressupostos!$C$177)</f>
        <v>0</v>
      </c>
      <c r="F531" s="58" t="n">
        <f aca="false">Pressupostos!$C$174*MAX(0,MIN(F523,Pressupostos!$C$175)-Pressupostos!$C$173)+Pressupostos!$C$176*MAX(0,MIN(F523,Pressupostos!$C$177)-Pressupostos!$C$175)+Pressupostos!$C$178*MAX(0,F523-Pressupostos!$C$177)</f>
        <v>0</v>
      </c>
      <c r="G531" s="58" t="n">
        <f aca="false">Pressupostos!$C$174*MAX(0,MIN(G523,Pressupostos!$C$175)-Pressupostos!$C$173)+Pressupostos!$C$176*MAX(0,MIN(G523,Pressupostos!$C$177)-Pressupostos!$C$175)+Pressupostos!$C$178*MAX(0,G523-Pressupostos!$C$177)</f>
        <v>0</v>
      </c>
      <c r="H531" s="2" t="s">
        <v>1315</v>
      </c>
    </row>
    <row r="532" customFormat="false" ht="15" hidden="false" customHeight="false" outlineLevel="1" collapsed="false">
      <c r="A532" s="7" t="s">
        <v>696</v>
      </c>
      <c r="B532" s="8" t="s">
        <v>10</v>
      </c>
      <c r="C532" s="58" t="n">
        <f aca="false">C529+C530+C531</f>
        <v>0</v>
      </c>
      <c r="D532" s="58" t="n">
        <f aca="false">D529+D530+D531</f>
        <v>0</v>
      </c>
      <c r="E532" s="58" t="n">
        <f aca="false">E529+E530+E531</f>
        <v>0</v>
      </c>
      <c r="F532" s="58" t="n">
        <f aca="false">F529+F530+F531</f>
        <v>0</v>
      </c>
      <c r="G532" s="58" t="n">
        <f aca="false">G529+G530+G531</f>
        <v>0</v>
      </c>
      <c r="H532" s="2" t="s">
        <v>1316</v>
      </c>
    </row>
    <row r="533" customFormat="false" ht="15" hidden="false" customHeight="false" outlineLevel="0" collapsed="false">
      <c r="A533" s="3" t="s">
        <v>1317</v>
      </c>
      <c r="B533" s="4"/>
      <c r="C533" s="4"/>
      <c r="D533" s="4"/>
      <c r="E533" s="4"/>
      <c r="F533" s="4"/>
      <c r="G533" s="4"/>
      <c r="H533" s="4"/>
    </row>
    <row r="534" customFormat="false" ht="15" hidden="false" customHeight="false" outlineLevel="1" collapsed="false">
      <c r="A534" s="7" t="s">
        <v>696</v>
      </c>
      <c r="B534" s="8" t="s">
        <v>10</v>
      </c>
      <c r="C534" s="58" t="n">
        <f aca="false">-C532</f>
        <v>-0</v>
      </c>
      <c r="D534" s="58" t="n">
        <f aca="false">-D532</f>
        <v>-0</v>
      </c>
      <c r="E534" s="58" t="n">
        <f aca="false">-E532</f>
        <v>-0</v>
      </c>
      <c r="F534" s="58" t="n">
        <f aca="false">-F532</f>
        <v>-0</v>
      </c>
      <c r="G534" s="58" t="n">
        <f aca="false">-G532</f>
        <v>-0</v>
      </c>
      <c r="H534" s="2" t="s">
        <v>1318</v>
      </c>
    </row>
    <row r="535" customFormat="false" ht="15" hidden="false" customHeight="false" outlineLevel="1" collapsed="false">
      <c r="A535" s="52" t="s">
        <v>698</v>
      </c>
      <c r="B535" s="53" t="s">
        <v>10</v>
      </c>
      <c r="C535" s="59" t="n">
        <f aca="false">C521+C534</f>
        <v>-738537.451832192</v>
      </c>
      <c r="D535" s="59" t="n">
        <f aca="false">D521+D534</f>
        <v>-841413.478106654</v>
      </c>
      <c r="E535" s="59" t="n">
        <f aca="false">E521+E534</f>
        <v>-1023809.99044325</v>
      </c>
      <c r="F535" s="59" t="n">
        <f aca="false">F521+F534</f>
        <v>-1138622.92693113</v>
      </c>
      <c r="G535" s="59" t="n">
        <f aca="false">G521+G534</f>
        <v>-1261509.22992964</v>
      </c>
      <c r="H535" s="2" t="s">
        <v>1319</v>
      </c>
    </row>
    <row r="536" customFormat="false" ht="15" hidden="false" customHeight="false" outlineLevel="0" collapsed="false">
      <c r="A536" s="3" t="s">
        <v>1320</v>
      </c>
      <c r="B536" s="4"/>
      <c r="C536" s="4"/>
      <c r="D536" s="4"/>
      <c r="E536" s="4"/>
      <c r="F536" s="4"/>
      <c r="G536" s="4"/>
      <c r="H536" s="4"/>
    </row>
    <row r="537" customFormat="false" ht="15" hidden="false" customHeight="false" outlineLevel="1" collapsed="false">
      <c r="A537" s="7" t="s">
        <v>702</v>
      </c>
      <c r="B537" s="8" t="s">
        <v>10</v>
      </c>
      <c r="C537" s="58" t="n">
        <f aca="false">C321*1000*((C337+C340)*C343/365)+C322*1000*((C360+C363)*C366/365)+C323*1000*((C383+C386)*C389/365)</f>
        <v>33682.1917808219</v>
      </c>
      <c r="D537" s="58" t="n">
        <f aca="false">D321*1000*((D337+D340)*D343/365)+D322*1000*((D360+D363)*D366/365)+D323*1000*((D383+D386)*D389/365)</f>
        <v>196557.534246575</v>
      </c>
      <c r="E537" s="58" t="n">
        <f aca="false">E321*1000*((E337+E340)*E343/365)+E322*1000*((E360+E363)*E366/365)+E323*1000*((E383+E386)*E389/365)</f>
        <v>306721.232876712</v>
      </c>
      <c r="F537" s="58" t="n">
        <f aca="false">F321*1000*((F337+F340)*F343/365)+F322*1000*((F360+F363)*F366/365)+F323*1000*((F383+F386)*F389/365)</f>
        <v>530402.054794521</v>
      </c>
      <c r="G537" s="58" t="n">
        <f aca="false">G321*1000*((G337+G340)*G343/365)+G322*1000*((G360+G363)*G366/365)+G323*1000*((G383+G386)*G389/365)</f>
        <v>805623.287671233</v>
      </c>
      <c r="H537" s="2" t="s">
        <v>1321</v>
      </c>
    </row>
    <row r="538" customFormat="false" ht="15" hidden="false" customHeight="false" outlineLevel="1" collapsed="false">
      <c r="A538" s="7" t="s">
        <v>703</v>
      </c>
      <c r="B538" s="8" t="s">
        <v>10</v>
      </c>
      <c r="C538" s="58" t="n">
        <f aca="false">C537+C332*1000*Pressupostos!$C$90*Pressupostos!$C$93/365</f>
        <v>33682.1917808219</v>
      </c>
      <c r="D538" s="58" t="n">
        <f aca="false">D537+D332*1000*Pressupostos!$C$90*Pressupostos!$C$93/365</f>
        <v>196557.534246575</v>
      </c>
      <c r="E538" s="58" t="n">
        <f aca="false">E537+E332*1000*Pressupostos!$C$90*Pressupostos!$C$93/365</f>
        <v>332611.643835617</v>
      </c>
      <c r="F538" s="58" t="n">
        <f aca="false">F537+F332*1000*Pressupostos!$C$90*Pressupostos!$C$93/365</f>
        <v>582182.876712329</v>
      </c>
      <c r="G538" s="58" t="n">
        <f aca="false">G537+G332*1000*Pressupostos!$C$90*Pressupostos!$C$93/365</f>
        <v>891924.657534247</v>
      </c>
      <c r="H538" s="2" t="s">
        <v>1322</v>
      </c>
    </row>
    <row r="539" customFormat="false" ht="15" hidden="false" customHeight="false" outlineLevel="1" collapsed="false">
      <c r="A539" s="7" t="s">
        <v>704</v>
      </c>
      <c r="B539" s="8" t="s">
        <v>10</v>
      </c>
      <c r="C539" s="58" t="n">
        <f aca="false">C321*1000*(C339*C344/365)+C322*1000*(C362*C367/365)+C323*1000*(C385*C390/365)+C410*Pressupostos!$C$94/365+C412*Pressupostos!$C$80/365</f>
        <v>31855.0684931507</v>
      </c>
      <c r="D539" s="58" t="n">
        <f aca="false">D321*1000*(D339*D344/365)+D322*1000*(D362*D367/365)+D323*1000*(D385*D390/365)+D410*Pressupostos!$C$94/365+D412*Pressupostos!$C$80/365</f>
        <v>212985</v>
      </c>
      <c r="E539" s="58" t="n">
        <f aca="false">E321*1000*(E339*E344/365)+E322*1000*(E362*E367/365)+E323*1000*(E385*E390/365)+E410*Pressupostos!$C$94/365+E412*Pressupostos!$C$80/365</f>
        <v>469179.246575342</v>
      </c>
      <c r="F539" s="58" t="n">
        <f aca="false">F321*1000*(F339*F344/365)+F322*1000*(F362*F367/365)+F323*1000*(F385*F390/365)+F410*Pressupostos!$C$94/365+F412*Pressupostos!$C$80/365</f>
        <v>803968.150684931</v>
      </c>
      <c r="G539" s="58" t="n">
        <f aca="false">G321*1000*(G339*G344/365)+G322*1000*(G362*G367/365)+G323*1000*(G385*G390/365)+G410*Pressupostos!$C$94/365+G412*Pressupostos!$C$80/365</f>
        <v>1225216.02739726</v>
      </c>
      <c r="H539" s="2" t="s">
        <v>1323</v>
      </c>
    </row>
    <row r="540" customFormat="false" ht="15" hidden="false" customHeight="false" outlineLevel="1" collapsed="false">
      <c r="A540" s="7" t="s">
        <v>705</v>
      </c>
      <c r="B540" s="8" t="s">
        <v>10</v>
      </c>
      <c r="C540" s="58" t="n">
        <f aca="false">C321*1000*((C337+C340)*Pressupostos!$C$70/365)+C322*1000*((C360+C363)*Pressupostos!$C$70/365)+C323*1000*((C383+C386)*Pressupostos!$C$70/365)+C332*1000*Pressupostos!$C$90*Pressupostos!$C$95/365</f>
        <v>20038.3561643836</v>
      </c>
      <c r="D540" s="58" t="n">
        <f aca="false">D321*1000*((D337+D340)*Pressupostos!$C$70/365)+D322*1000*((D360+D363)*Pressupostos!$C$70/365)+D323*1000*((D383+D386)*Pressupostos!$C$70/365)+D332*1000*Pressupostos!$C$90*Pressupostos!$C$95/365</f>
        <v>133454.794520548</v>
      </c>
      <c r="E540" s="58" t="n">
        <f aca="false">E321*1000*((E337+E340)*Pressupostos!$C$70/365)+E322*1000*((E360+E363)*Pressupostos!$C$70/365)+E323*1000*((E383+E386)*Pressupostos!$C$70/365)+E332*1000*Pressupostos!$C$90*Pressupostos!$C$95/365</f>
        <v>301298.630136986</v>
      </c>
      <c r="F540" s="58" t="n">
        <f aca="false">F321*1000*((F337+F340)*Pressupostos!$C$70/365)+F322*1000*((F360+F363)*Pressupostos!$C$70/365)+F323*1000*((F383+F386)*Pressupostos!$C$70/365)+F332*1000*Pressupostos!$C$90*Pressupostos!$C$95/365</f>
        <v>519386.301369863</v>
      </c>
      <c r="G540" s="58" t="n">
        <f aca="false">G321*1000*((G337+G340)*Pressupostos!$C$70/365)+G322*1000*((G360+G363)*Pressupostos!$C$70/365)+G323*1000*((G383+G386)*Pressupostos!$C$70/365)+G332*1000*Pressupostos!$C$90*Pressupostos!$C$95/365</f>
        <v>793232.876712329</v>
      </c>
      <c r="H540" s="2" t="s">
        <v>1324</v>
      </c>
    </row>
    <row r="541" customFormat="false" ht="15" hidden="false" customHeight="false" outlineLevel="1" collapsed="false">
      <c r="A541" s="52" t="s">
        <v>706</v>
      </c>
      <c r="B541" s="53" t="s">
        <v>10</v>
      </c>
      <c r="C541" s="59" t="n">
        <f aca="false">C538+C539-C540</f>
        <v>45498.904109589</v>
      </c>
      <c r="D541" s="59" t="n">
        <f aca="false">D538+D539-D540</f>
        <v>276087.739726027</v>
      </c>
      <c r="E541" s="59" t="n">
        <f aca="false">E538+E539-E540</f>
        <v>500492.260273972</v>
      </c>
      <c r="F541" s="59" t="n">
        <f aca="false">F538+F539-F540</f>
        <v>866764.726027397</v>
      </c>
      <c r="G541" s="59" t="n">
        <f aca="false">G538+G539-G540</f>
        <v>1323907.80821918</v>
      </c>
      <c r="H541" s="2" t="s">
        <v>1325</v>
      </c>
    </row>
    <row r="542" customFormat="false" ht="15" hidden="false" customHeight="false" outlineLevel="0" collapsed="false">
      <c r="A542" s="3" t="s">
        <v>1326</v>
      </c>
      <c r="B542" s="4"/>
      <c r="C542" s="4"/>
      <c r="D542" s="4"/>
      <c r="E542" s="4"/>
      <c r="F542" s="4"/>
      <c r="G542" s="4"/>
      <c r="H542" s="4"/>
    </row>
    <row r="543" customFormat="false" ht="15" hidden="false" customHeight="false" outlineLevel="1" collapsed="false">
      <c r="A543" s="52" t="s">
        <v>708</v>
      </c>
      <c r="B543" s="53" t="s">
        <v>10</v>
      </c>
      <c r="C543" s="59" t="n">
        <f aca="false">Pressupostos!$C$277*C541/Pressupostos!$D$31</f>
        <v>0</v>
      </c>
      <c r="D543" s="59" t="n">
        <f aca="false">Pressupostos!$D$277*D541/Pressupostos!$D$31</f>
        <v>310598.707191781</v>
      </c>
      <c r="E543" s="59" t="n">
        <f aca="false">Pressupostos!$E$277*E541/Pressupostos!$D$31</f>
        <v>563053.792808219</v>
      </c>
      <c r="F543" s="59" t="n">
        <f aca="false">Pressupostos!$F$277*F541/Pressupostos!$D$31</f>
        <v>975110.316780822</v>
      </c>
      <c r="G543" s="59" t="n">
        <f aca="false">Pressupostos!$G$277*G541/Pressupostos!$D$31</f>
        <v>1489396.28424658</v>
      </c>
      <c r="H543" s="2" t="s">
        <v>1327</v>
      </c>
    </row>
    <row r="544" customFormat="false" ht="15" hidden="false" customHeight="false" outlineLevel="1" collapsed="false">
      <c r="A544" s="7" t="s">
        <v>709</v>
      </c>
      <c r="B544" s="8" t="s">
        <v>10</v>
      </c>
      <c r="C544" s="58" t="n">
        <f aca="false">Pressupostos!$C$277*C541</f>
        <v>0</v>
      </c>
      <c r="D544" s="58" t="n">
        <f aca="false">Pressupostos!$D$277*D541</f>
        <v>248478.965753425</v>
      </c>
      <c r="E544" s="58" t="n">
        <f aca="false">Pressupostos!$E$277*E541</f>
        <v>450443.034246575</v>
      </c>
      <c r="F544" s="58" t="n">
        <f aca="false">Pressupostos!$F$277*F541</f>
        <v>780088.253424658</v>
      </c>
      <c r="G544" s="58" t="n">
        <f aca="false">Pressupostos!$G$277*G541</f>
        <v>1191517.02739726</v>
      </c>
      <c r="H544" s="2" t="s">
        <v>1328</v>
      </c>
    </row>
    <row r="545" customFormat="false" ht="15" hidden="false" customHeight="false" outlineLevel="1" collapsed="false">
      <c r="A545" s="7" t="s">
        <v>710</v>
      </c>
      <c r="B545" s="8" t="s">
        <v>10</v>
      </c>
      <c r="C545" s="58" t="n">
        <f aca="false">C543-C544</f>
        <v>0</v>
      </c>
      <c r="D545" s="58" t="n">
        <f aca="false">D543-D544</f>
        <v>62119.7414383561</v>
      </c>
      <c r="E545" s="58" t="n">
        <f aca="false">E543-E544</f>
        <v>112610.758561644</v>
      </c>
      <c r="F545" s="58" t="n">
        <f aca="false">F543-F544</f>
        <v>195022.063356164</v>
      </c>
      <c r="G545" s="58" t="n">
        <f aca="false">G543-G544</f>
        <v>297879.256849315</v>
      </c>
      <c r="H545" s="2" t="s">
        <v>1329</v>
      </c>
    </row>
    <row r="546" customFormat="false" ht="15" hidden="false" customHeight="false" outlineLevel="1" collapsed="false">
      <c r="A546" s="7" t="s">
        <v>711</v>
      </c>
      <c r="B546" s="8" t="s">
        <v>10</v>
      </c>
      <c r="C546" s="58" t="n">
        <f aca="false">C541-C544</f>
        <v>45498.904109589</v>
      </c>
      <c r="D546" s="58" t="n">
        <f aca="false">D541-D544</f>
        <v>27608.7739726027</v>
      </c>
      <c r="E546" s="58" t="n">
        <f aca="false">E541-E544</f>
        <v>50049.2260273973</v>
      </c>
      <c r="F546" s="58" t="n">
        <f aca="false">F541-F544</f>
        <v>86676.4726027397</v>
      </c>
      <c r="G546" s="58" t="n">
        <f aca="false">G541-G544</f>
        <v>132390.780821918</v>
      </c>
      <c r="H546" s="2" t="s">
        <v>1330</v>
      </c>
    </row>
    <row r="547" customFormat="false" ht="15" hidden="false" customHeight="false" outlineLevel="1" collapsed="false">
      <c r="A547" s="7" t="s">
        <v>712</v>
      </c>
      <c r="B547" s="8" t="s">
        <v>10</v>
      </c>
      <c r="C547" s="58" t="n">
        <f aca="false">MAX(0,Pressupostos!$C$106-C546)</f>
        <v>4501.09589041097</v>
      </c>
      <c r="D547" s="58" t="n">
        <f aca="false">MAX(0,Pressupostos!$C$106-D546)</f>
        <v>22391.2260273973</v>
      </c>
      <c r="E547" s="58" t="n">
        <f aca="false">MAX(0,Pressupostos!$C$106-E546)</f>
        <v>0</v>
      </c>
      <c r="F547" s="58" t="n">
        <f aca="false">MAX(0,Pressupostos!$C$106-F546)</f>
        <v>0</v>
      </c>
      <c r="G547" s="58" t="n">
        <f aca="false">MAX(0,Pressupostos!$C$106-G546)</f>
        <v>0</v>
      </c>
      <c r="H547" s="2" t="s">
        <v>1331</v>
      </c>
    </row>
    <row r="548" customFormat="false" ht="15" hidden="false" customHeight="false" outlineLevel="1" collapsed="false">
      <c r="A548" s="7" t="s">
        <v>713</v>
      </c>
      <c r="B548" s="8" t="s">
        <v>10</v>
      </c>
      <c r="C548" s="58" t="n">
        <f aca="false">Pressupostos!$C$107*C543</f>
        <v>0</v>
      </c>
      <c r="D548" s="58" t="n">
        <f aca="false">Pressupostos!$C$107*D543</f>
        <v>15529.935359589</v>
      </c>
      <c r="E548" s="58" t="n">
        <f aca="false">Pressupostos!$C$107*E543</f>
        <v>28152.689640411</v>
      </c>
      <c r="F548" s="58" t="n">
        <f aca="false">Pressupostos!$C$107*F543</f>
        <v>48755.5158390411</v>
      </c>
      <c r="G548" s="58" t="n">
        <f aca="false">Pressupostos!$C$107*G543</f>
        <v>74469.8142123288</v>
      </c>
      <c r="H548" s="2" t="s">
        <v>1332</v>
      </c>
    </row>
    <row r="549" customFormat="false" ht="15" hidden="false" customHeight="false" outlineLevel="1" collapsed="false">
      <c r="A549" s="2" t="s">
        <v>714</v>
      </c>
      <c r="B549" s="8" t="s">
        <v>115</v>
      </c>
      <c r="C549" s="58" t="n">
        <f aca="false">C543/Pressupostos!$C$110</f>
        <v>0</v>
      </c>
      <c r="D549" s="58" t="n">
        <f aca="false">D543/Pressupostos!$C$110</f>
        <v>6.21197414383562</v>
      </c>
      <c r="E549" s="58" t="n">
        <f aca="false">E543/Pressupostos!$C$110</f>
        <v>11.2610758561644</v>
      </c>
      <c r="F549" s="58" t="n">
        <f aca="false">F543/Pressupostos!$C$110</f>
        <v>19.5022063356164</v>
      </c>
      <c r="G549" s="58" t="n">
        <f aca="false">G543/Pressupostos!$C$110</f>
        <v>29.7879256849315</v>
      </c>
      <c r="H549" s="2" t="s">
        <v>1333</v>
      </c>
    </row>
    <row r="550" customFormat="false" ht="15" hidden="false" customHeight="false" outlineLevel="0" collapsed="false">
      <c r="A550" s="3" t="s">
        <v>1334</v>
      </c>
      <c r="B550" s="4"/>
      <c r="C550" s="4"/>
      <c r="D550" s="4"/>
      <c r="E550" s="4"/>
      <c r="F550" s="4"/>
      <c r="G550" s="4"/>
      <c r="H550" s="4"/>
    </row>
    <row r="551" customFormat="false" ht="15" hidden="false" customHeight="false" outlineLevel="1" collapsed="false">
      <c r="A551" s="7" t="s">
        <v>681</v>
      </c>
      <c r="B551" s="8" t="s">
        <v>10</v>
      </c>
      <c r="C551" s="58" t="n">
        <f aca="false">C517</f>
        <v>-711437.451832192</v>
      </c>
      <c r="D551" s="58" t="n">
        <f aca="false">D517</f>
        <v>-801413.478106654</v>
      </c>
      <c r="E551" s="58" t="n">
        <f aca="false">E517</f>
        <v>-969909.990443249</v>
      </c>
      <c r="F551" s="58" t="n">
        <f aca="false">F517</f>
        <v>-1094156.26026446</v>
      </c>
      <c r="G551" s="58" t="n">
        <f aca="false">G517</f>
        <v>-1219975.89659631</v>
      </c>
      <c r="H551" s="2" t="s">
        <v>1335</v>
      </c>
    </row>
    <row r="552" customFormat="false" ht="15" hidden="false" customHeight="false" outlineLevel="1" collapsed="false">
      <c r="A552" s="7" t="s">
        <v>716</v>
      </c>
      <c r="B552" s="8" t="s">
        <v>10</v>
      </c>
      <c r="C552" s="58" t="n">
        <f aca="false">-C532</f>
        <v>-0</v>
      </c>
      <c r="D552" s="58" t="n">
        <f aca="false">-D532</f>
        <v>-0</v>
      </c>
      <c r="E552" s="58" t="n">
        <f aca="false">-E532</f>
        <v>-0</v>
      </c>
      <c r="F552" s="58" t="n">
        <f aca="false">-F532</f>
        <v>-0</v>
      </c>
      <c r="G552" s="58" t="n">
        <f aca="false">-G532</f>
        <v>-0</v>
      </c>
      <c r="H552" s="2" t="s">
        <v>1336</v>
      </c>
    </row>
    <row r="553" customFormat="false" ht="15" hidden="false" customHeight="false" outlineLevel="1" collapsed="false">
      <c r="A553" s="7" t="s">
        <v>717</v>
      </c>
      <c r="B553" s="8" t="s">
        <v>10</v>
      </c>
      <c r="C553" s="58" t="n">
        <f aca="false">-C541</f>
        <v>-45498.904109589</v>
      </c>
      <c r="D553" s="58" t="n">
        <f aca="false">-(D541-C541)</f>
        <v>-230588.835616438</v>
      </c>
      <c r="E553" s="58" t="n">
        <f aca="false">-(E541-D541)</f>
        <v>-224404.520547945</v>
      </c>
      <c r="F553" s="58" t="n">
        <f aca="false">-(F541-E541)</f>
        <v>-366272.465753425</v>
      </c>
      <c r="G553" s="58" t="n">
        <f aca="false">-(G541-F541)</f>
        <v>-457143.082191781</v>
      </c>
      <c r="H553" s="2" t="s">
        <v>1337</v>
      </c>
    </row>
    <row r="554" customFormat="false" ht="15" hidden="false" customHeight="false" outlineLevel="1" collapsed="false">
      <c r="A554" s="7" t="s">
        <v>407</v>
      </c>
      <c r="B554" s="8" t="s">
        <v>10</v>
      </c>
      <c r="C554" s="58" t="n">
        <f aca="false">-C502</f>
        <v>-92000</v>
      </c>
      <c r="D554" s="58" t="n">
        <f aca="false">-D502</f>
        <v>-44000</v>
      </c>
      <c r="E554" s="58" t="n">
        <f aca="false">-E502</f>
        <v>-48000</v>
      </c>
      <c r="F554" s="58" t="n">
        <f aca="false">-F502</f>
        <v>-38000</v>
      </c>
      <c r="G554" s="58" t="n">
        <f aca="false">-G502</f>
        <v>-38000</v>
      </c>
      <c r="H554" s="2" t="s">
        <v>1338</v>
      </c>
    </row>
    <row r="555" customFormat="false" ht="15" hidden="false" customHeight="false" outlineLevel="1" collapsed="false">
      <c r="A555" s="7" t="s">
        <v>718</v>
      </c>
      <c r="B555" s="8" t="s">
        <v>10</v>
      </c>
      <c r="C555" s="58" t="n">
        <f aca="false">C551+C552+C553+C554</f>
        <v>-848936.355941781</v>
      </c>
      <c r="D555" s="58" t="n">
        <f aca="false">D551+D552+D553+D554</f>
        <v>-1076002.31372309</v>
      </c>
      <c r="E555" s="58" t="n">
        <f aca="false">E551+E552+E553+E554</f>
        <v>-1242314.51099119</v>
      </c>
      <c r="F555" s="58" t="n">
        <f aca="false">F551+F552+F553+F554</f>
        <v>-1498428.72601788</v>
      </c>
      <c r="G555" s="58" t="n">
        <f aca="false">G551+G552+G553+G554</f>
        <v>-1715118.97878809</v>
      </c>
      <c r="H555" s="2" t="s">
        <v>1339</v>
      </c>
    </row>
    <row r="556" customFormat="false" ht="15" hidden="false" customHeight="false" outlineLevel="1" collapsed="false">
      <c r="A556" s="7" t="s">
        <v>719</v>
      </c>
      <c r="B556" s="8" t="s">
        <v>10</v>
      </c>
      <c r="C556" s="58" t="n">
        <f aca="false">C543</f>
        <v>0</v>
      </c>
      <c r="D556" s="58" t="n">
        <f aca="false">D543-C543</f>
        <v>310598.707191781</v>
      </c>
      <c r="E556" s="58" t="n">
        <f aca="false">E543-D543</f>
        <v>252455.085616438</v>
      </c>
      <c r="F556" s="58" t="n">
        <f aca="false">F543-E543</f>
        <v>412056.523972603</v>
      </c>
      <c r="G556" s="58" t="n">
        <f aca="false">G543-F543</f>
        <v>514285.967465753</v>
      </c>
      <c r="H556" s="2" t="s">
        <v>1340</v>
      </c>
    </row>
    <row r="557" customFormat="false" ht="15" hidden="false" customHeight="false" outlineLevel="1" collapsed="false">
      <c r="A557" s="7" t="s">
        <v>720</v>
      </c>
      <c r="B557" s="8" t="s">
        <v>10</v>
      </c>
      <c r="C557" s="58" t="n">
        <f aca="false">-C545</f>
        <v>-0</v>
      </c>
      <c r="D557" s="58" t="n">
        <f aca="false">-(D545-C545)</f>
        <v>-62119.7414383561</v>
      </c>
      <c r="E557" s="58" t="n">
        <f aca="false">-(E545-D545)</f>
        <v>-50491.0171232877</v>
      </c>
      <c r="F557" s="58" t="n">
        <f aca="false">-(F545-E545)</f>
        <v>-82411.3047945206</v>
      </c>
      <c r="G557" s="58" t="n">
        <f aca="false">-(G545-F545)</f>
        <v>-102857.193493151</v>
      </c>
      <c r="H557" s="2" t="s">
        <v>1341</v>
      </c>
    </row>
    <row r="558" customFormat="false" ht="15" hidden="false" customHeight="false" outlineLevel="1" collapsed="false">
      <c r="A558" s="7" t="s">
        <v>721</v>
      </c>
      <c r="B558" s="8" t="s">
        <v>10</v>
      </c>
      <c r="C558" s="58" t="n">
        <f aca="false">-C548</f>
        <v>-0</v>
      </c>
      <c r="D558" s="58" t="n">
        <f aca="false">-(D548-C548)</f>
        <v>-15529.935359589</v>
      </c>
      <c r="E558" s="58" t="n">
        <f aca="false">-(E548-D548)</f>
        <v>-12622.7542808219</v>
      </c>
      <c r="F558" s="58" t="n">
        <f aca="false">-(F548-E548)</f>
        <v>-20602.8261986301</v>
      </c>
      <c r="G558" s="58" t="n">
        <f aca="false">-(G548-F548)</f>
        <v>-25714.2983732877</v>
      </c>
      <c r="H558" s="2" t="s">
        <v>1342</v>
      </c>
    </row>
    <row r="559" customFormat="false" ht="15" hidden="false" customHeight="false" outlineLevel="1" collapsed="false">
      <c r="A559" s="7" t="s">
        <v>722</v>
      </c>
      <c r="B559" s="8" t="s">
        <v>10</v>
      </c>
      <c r="C559" s="58" t="n">
        <f aca="false">-(C547-Pressupostos!$C$106)</f>
        <v>45498.904109589</v>
      </c>
      <c r="D559" s="58" t="n">
        <f aca="false">-(D547-C547)</f>
        <v>-17890.1301369863</v>
      </c>
      <c r="E559" s="58" t="n">
        <f aca="false">-(E547-D547)</f>
        <v>22391.2260273973</v>
      </c>
      <c r="F559" s="58" t="n">
        <f aca="false">-(F547-E547)</f>
        <v>-0</v>
      </c>
      <c r="G559" s="58" t="n">
        <f aca="false">-(G547-F547)</f>
        <v>-0</v>
      </c>
      <c r="H559" s="2" t="s">
        <v>1343</v>
      </c>
    </row>
    <row r="560" customFormat="false" ht="15" hidden="false" customHeight="false" outlineLevel="1" collapsed="false">
      <c r="A560" s="52" t="s">
        <v>723</v>
      </c>
      <c r="B560" s="53" t="s">
        <v>10</v>
      </c>
      <c r="C560" s="59" t="n">
        <f aca="false">C555+C556+C557+C558+C559</f>
        <v>-803437.451832192</v>
      </c>
      <c r="D560" s="59" t="n">
        <f aca="false">D555+D556+D557+D558+D559</f>
        <v>-860943.413466243</v>
      </c>
      <c r="E560" s="59" t="n">
        <f aca="false">E555+E556+E557+E558+E559</f>
        <v>-1030581.97075147</v>
      </c>
      <c r="F560" s="59" t="n">
        <f aca="false">F555+F556+F557+F558+F559</f>
        <v>-1189386.33303843</v>
      </c>
      <c r="G560" s="59" t="n">
        <f aca="false">G555+G556+G557+G558+G559</f>
        <v>-1329404.50318877</v>
      </c>
      <c r="H560" s="2" t="s">
        <v>1344</v>
      </c>
    </row>
    <row r="561" customFormat="false" ht="15" hidden="false" customHeight="false" outlineLevel="1" collapsed="false">
      <c r="A561" s="52" t="s">
        <v>724</v>
      </c>
      <c r="B561" s="53" t="s">
        <v>10</v>
      </c>
      <c r="C561" s="59" t="n">
        <f aca="false">C560</f>
        <v>-803437.451832192</v>
      </c>
      <c r="D561" s="59" t="n">
        <f aca="false">C561+D560</f>
        <v>-1664380.86529843</v>
      </c>
      <c r="E561" s="59" t="n">
        <f aca="false">D561+E560</f>
        <v>-2694962.8360499</v>
      </c>
      <c r="F561" s="59" t="n">
        <f aca="false">E561+F560</f>
        <v>-3884349.16908834</v>
      </c>
      <c r="G561" s="59" t="n">
        <f aca="false">F561+G560</f>
        <v>-5213753.67227711</v>
      </c>
      <c r="H561" s="2" t="s">
        <v>1345</v>
      </c>
    </row>
    <row r="562" customFormat="false" ht="15" hidden="false" customHeight="false" outlineLevel="1" collapsed="false">
      <c r="A562" s="8" t="s">
        <v>725</v>
      </c>
      <c r="B562" s="8" t="s">
        <v>10</v>
      </c>
      <c r="C562" s="66" t="n">
        <f aca="false">ROUND(C517-C502-C532-(MAX(C546,Pressupostos!$C$106)-Pressupostos!$C$106)-(C548)-C560,6)</f>
        <v>0</v>
      </c>
      <c r="D562" s="66" t="n">
        <f aca="false">ROUND(D517-D502-D532-(MAX(D546,Pressupostos!$C$106)-MAX(C546,Pressupostos!$C$106))-(D548-C548)-D560,6)</f>
        <v>0</v>
      </c>
      <c r="E562" s="66" t="n">
        <f aca="false">ROUND(E517-E502-E532-(MAX(E546,Pressupostos!$C$106)-MAX(D546,Pressupostos!$C$106))-(E548-D548)-E560,6)</f>
        <v>0</v>
      </c>
      <c r="F562" s="66" t="n">
        <f aca="false">ROUND(F517-F502-F532-(MAX(F546,Pressupostos!$C$106)-MAX(E546,Pressupostos!$C$106))-(F548-E548)-F560,6)</f>
        <v>0</v>
      </c>
      <c r="G562" s="66" t="n">
        <f aca="false">ROUND(G517-G502-G532-(MAX(G546,Pressupostos!$C$106)-MAX(F546,Pressupostos!$C$106))-(G548-F548)-G560,6)</f>
        <v>0</v>
      </c>
      <c r="H562" s="2" t="s">
        <v>1346</v>
      </c>
    </row>
    <row r="563" customFormat="false" ht="15" hidden="false" customHeight="false" outlineLevel="0" collapsed="false">
      <c r="A563" s="3" t="s">
        <v>1347</v>
      </c>
      <c r="B563" s="4"/>
      <c r="C563" s="4"/>
      <c r="D563" s="4"/>
      <c r="E563" s="4"/>
      <c r="F563" s="4"/>
      <c r="G563" s="4"/>
      <c r="H563" s="4"/>
    </row>
    <row r="564" customFormat="false" ht="15" hidden="false" customHeight="false" outlineLevel="1" collapsed="false">
      <c r="A564" s="7" t="s">
        <v>727</v>
      </c>
      <c r="B564" s="8" t="s">
        <v>10</v>
      </c>
      <c r="C564" s="58" t="n">
        <f aca="false">0</f>
        <v>0</v>
      </c>
      <c r="D564" s="58" t="n">
        <f aca="false">C569</f>
        <v>151562.548167808</v>
      </c>
      <c r="E564" s="58" t="n">
        <f aca="false">D569</f>
        <v>150000</v>
      </c>
      <c r="F564" s="58" t="n">
        <f aca="false">E569</f>
        <v>150000</v>
      </c>
      <c r="G564" s="58" t="n">
        <f aca="false">F569</f>
        <v>150000</v>
      </c>
      <c r="H564" s="2" t="s">
        <v>1348</v>
      </c>
    </row>
    <row r="565" customFormat="false" ht="15" hidden="false" customHeight="false" outlineLevel="1" collapsed="false">
      <c r="A565" s="7" t="s">
        <v>728</v>
      </c>
      <c r="B565" s="8" t="s">
        <v>10</v>
      </c>
      <c r="C565" s="58" t="n">
        <f aca="false">-(Pressupostos!$C$157+Pressupostos!$C$158+Pressupostos!$C$159+Pressupostos!$C$160+Pressupostos!$C$161+Pressupostos!$C$106)</f>
        <v>-145000</v>
      </c>
      <c r="D565" s="58" t="n">
        <f aca="false">0</f>
        <v>0</v>
      </c>
      <c r="E565" s="58" t="n">
        <f aca="false">0</f>
        <v>0</v>
      </c>
      <c r="F565" s="58" t="n">
        <f aca="false">0</f>
        <v>0</v>
      </c>
      <c r="G565" s="58" t="n">
        <f aca="false">0</f>
        <v>0</v>
      </c>
      <c r="H565" s="2" t="s">
        <v>1349</v>
      </c>
    </row>
    <row r="566" customFormat="false" ht="15" hidden="false" customHeight="false" outlineLevel="1" collapsed="false">
      <c r="A566" s="7" t="s">
        <v>729</v>
      </c>
      <c r="B566" s="8" t="s">
        <v>10</v>
      </c>
      <c r="C566" s="50" t="n">
        <f aca="false">Pressupostos!$D$32</f>
        <v>1100000</v>
      </c>
      <c r="D566" s="58" t="n">
        <f aca="false">0</f>
        <v>0</v>
      </c>
      <c r="E566" s="58" t="n">
        <f aca="false">0</f>
        <v>0</v>
      </c>
      <c r="F566" s="58" t="n">
        <f aca="false">0</f>
        <v>0</v>
      </c>
      <c r="G566" s="58" t="n">
        <f aca="false">0</f>
        <v>0</v>
      </c>
      <c r="H566" s="2" t="s">
        <v>1350</v>
      </c>
    </row>
    <row r="567" customFormat="false" ht="15" hidden="false" customHeight="false" outlineLevel="1" collapsed="false">
      <c r="A567" s="7" t="s">
        <v>730</v>
      </c>
      <c r="B567" s="8" t="s">
        <v>10</v>
      </c>
      <c r="C567" s="58" t="n">
        <f aca="false">C564+C565+C566+C560</f>
        <v>151562.548167808</v>
      </c>
      <c r="D567" s="58" t="n">
        <f aca="false">D564+D565+D566+D560</f>
        <v>-709380.865298435</v>
      </c>
      <c r="E567" s="58" t="n">
        <f aca="false">E564+E565+E566+E560</f>
        <v>-880581.970751468</v>
      </c>
      <c r="F567" s="58" t="n">
        <f aca="false">F564+F565+F566+F560</f>
        <v>-1039386.33303843</v>
      </c>
      <c r="G567" s="58" t="n">
        <f aca="false">G564+G565+G566+G560</f>
        <v>-1179404.50318877</v>
      </c>
      <c r="H567" s="2" t="s">
        <v>1351</v>
      </c>
    </row>
    <row r="568" customFormat="false" ht="15" hidden="false" customHeight="false" outlineLevel="1" collapsed="false">
      <c r="A568" s="52" t="s">
        <v>731</v>
      </c>
      <c r="B568" s="53" t="s">
        <v>10</v>
      </c>
      <c r="C568" s="59" t="n">
        <f aca="false">MAX(0,Pressupostos!$C$168-C567)</f>
        <v>0</v>
      </c>
      <c r="D568" s="59" t="n">
        <f aca="false">MAX(0,Pressupostos!$C$168-D567)</f>
        <v>859380.865298435</v>
      </c>
      <c r="E568" s="59" t="n">
        <f aca="false">MAX(0,Pressupostos!$C$168-E567)</f>
        <v>1030581.97075147</v>
      </c>
      <c r="F568" s="59" t="n">
        <f aca="false">MAX(0,Pressupostos!$C$168-F567)</f>
        <v>1189386.33303843</v>
      </c>
      <c r="G568" s="59" t="n">
        <f aca="false">MAX(0,Pressupostos!$C$168-G567)</f>
        <v>1329404.50318877</v>
      </c>
      <c r="H568" s="2" t="s">
        <v>1352</v>
      </c>
    </row>
    <row r="569" customFormat="false" ht="15" hidden="false" customHeight="false" outlineLevel="1" collapsed="false">
      <c r="A569" s="52" t="s">
        <v>732</v>
      </c>
      <c r="B569" s="53" t="s">
        <v>10</v>
      </c>
      <c r="C569" s="59" t="n">
        <f aca="false">C567+C568</f>
        <v>151562.548167808</v>
      </c>
      <c r="D569" s="59" t="n">
        <f aca="false">D567+D568</f>
        <v>150000</v>
      </c>
      <c r="E569" s="59" t="n">
        <f aca="false">E567+E568</f>
        <v>150000</v>
      </c>
      <c r="F569" s="59" t="n">
        <f aca="false">F567+F568</f>
        <v>150000</v>
      </c>
      <c r="G569" s="59" t="n">
        <f aca="false">G567+G568</f>
        <v>150000</v>
      </c>
      <c r="H569" s="2" t="s">
        <v>1353</v>
      </c>
    </row>
    <row r="570" customFormat="false" ht="15" hidden="false" customHeight="false" outlineLevel="1" collapsed="false">
      <c r="A570" s="7" t="s">
        <v>733</v>
      </c>
      <c r="B570" s="8" t="s">
        <v>10</v>
      </c>
      <c r="C570" s="58" t="n">
        <f aca="false">C545+C548+C547</f>
        <v>4501.09589041097</v>
      </c>
      <c r="D570" s="58" t="n">
        <f aca="false">D545+D548+D547</f>
        <v>100040.902825342</v>
      </c>
      <c r="E570" s="58" t="n">
        <f aca="false">E545+E548+E547</f>
        <v>140763.448202055</v>
      </c>
      <c r="F570" s="58" t="n">
        <f aca="false">F545+F548+F547</f>
        <v>243777.579195205</v>
      </c>
      <c r="G570" s="58" t="n">
        <f aca="false">G545+G548+G547</f>
        <v>372349.071061644</v>
      </c>
      <c r="H570" s="2" t="s">
        <v>1354</v>
      </c>
    </row>
    <row r="571" customFormat="false" ht="15" hidden="false" customHeight="false" outlineLevel="1" collapsed="false">
      <c r="A571" s="7" t="s">
        <v>734</v>
      </c>
      <c r="B571" s="8" t="s">
        <v>10</v>
      </c>
      <c r="C571" s="58" t="n">
        <f aca="false">C569+C570</f>
        <v>156063.644058219</v>
      </c>
      <c r="D571" s="58" t="n">
        <f aca="false">D569+D570</f>
        <v>250040.902825342</v>
      </c>
      <c r="E571" s="58" t="n">
        <f aca="false">E569+E570</f>
        <v>290763.448202055</v>
      </c>
      <c r="F571" s="58" t="n">
        <f aca="false">F569+F570</f>
        <v>393777.579195206</v>
      </c>
      <c r="G571" s="58" t="n">
        <f aca="false">G569+G570</f>
        <v>522349.071061644</v>
      </c>
      <c r="H571" s="2" t="s">
        <v>1355</v>
      </c>
    </row>
    <row r="572" customFormat="false" ht="15" hidden="false" customHeight="false" outlineLevel="1" collapsed="false">
      <c r="A572" s="7" t="s">
        <v>735</v>
      </c>
      <c r="B572" s="8" t="s">
        <v>10</v>
      </c>
      <c r="C572" s="58" t="n">
        <f aca="false">C566+C568</f>
        <v>1100000</v>
      </c>
      <c r="D572" s="58" t="n">
        <f aca="false">C572+D566+D568</f>
        <v>1959380.86529843</v>
      </c>
      <c r="E572" s="58" t="n">
        <f aca="false">D572+E566+E568</f>
        <v>2989962.8360499</v>
      </c>
      <c r="F572" s="58" t="n">
        <f aca="false">E572+F566+F568</f>
        <v>4179349.16908834</v>
      </c>
      <c r="G572" s="58" t="n">
        <f aca="false">F572+G566+G568</f>
        <v>5508753.67227711</v>
      </c>
      <c r="H572" s="2" t="s">
        <v>1356</v>
      </c>
    </row>
    <row r="573" customFormat="false" ht="15" hidden="false" customHeight="false" outlineLevel="0" collapsed="false">
      <c r="A573" s="3" t="s">
        <v>1357</v>
      </c>
      <c r="B573" s="4"/>
      <c r="C573" s="4"/>
      <c r="D573" s="4"/>
      <c r="E573" s="4"/>
      <c r="F573" s="4"/>
      <c r="G573" s="4"/>
      <c r="H573" s="4"/>
    </row>
    <row r="574" customFormat="false" ht="15" hidden="false" customHeight="false" outlineLevel="1" collapsed="false">
      <c r="A574" s="7" t="s">
        <v>739</v>
      </c>
      <c r="B574" s="8" t="s">
        <v>10</v>
      </c>
      <c r="C574" s="68" t="n">
        <f aca="false">Pressupostos!$C$157+Pressupostos!$C$158+Pressupostos!$C$159+Pressupostos!$C$160+Pressupostos!$C$161</f>
        <v>95000</v>
      </c>
      <c r="H574" s="2" t="s">
        <v>1358</v>
      </c>
    </row>
    <row r="575" customFormat="false" ht="15" hidden="false" customHeight="false" outlineLevel="1" collapsed="false">
      <c r="A575" s="7" t="s">
        <v>740</v>
      </c>
      <c r="B575" s="8" t="s">
        <v>10</v>
      </c>
      <c r="C575" s="69" t="n">
        <f aca="false">Pressupostos!$C$106</f>
        <v>50000</v>
      </c>
      <c r="H575" s="2" t="s">
        <v>1359</v>
      </c>
    </row>
    <row r="576" customFormat="false" ht="15" hidden="false" customHeight="false" outlineLevel="1" collapsed="false">
      <c r="A576" s="7" t="s">
        <v>312</v>
      </c>
      <c r="B576" s="8" t="s">
        <v>10</v>
      </c>
      <c r="C576" s="69" t="n">
        <f aca="false">Pressupostos!$C$168</f>
        <v>150000</v>
      </c>
      <c r="H576" s="2" t="s">
        <v>1360</v>
      </c>
    </row>
    <row r="577" customFormat="false" ht="15" hidden="false" customHeight="false" outlineLevel="1" collapsed="false">
      <c r="A577" s="7" t="s">
        <v>741</v>
      </c>
      <c r="B577" s="8" t="s">
        <v>10</v>
      </c>
      <c r="C577" s="68" t="n">
        <f aca="false">MAX(0,-MIN($C$561:$G$561))</f>
        <v>5213753.67227711</v>
      </c>
      <c r="H577" s="2" t="s">
        <v>1361</v>
      </c>
    </row>
    <row r="578" customFormat="false" ht="15" hidden="false" customHeight="false" outlineLevel="1" collapsed="false">
      <c r="A578" s="52" t="s">
        <v>14</v>
      </c>
      <c r="B578" s="53" t="s">
        <v>10</v>
      </c>
      <c r="C578" s="70" t="n">
        <f aca="false">C574+C575+C576+C577</f>
        <v>5508753.67227711</v>
      </c>
      <c r="H578" s="2" t="s">
        <v>1362</v>
      </c>
    </row>
    <row r="579" customFormat="false" ht="15" hidden="false" customHeight="false" outlineLevel="1" collapsed="false">
      <c r="A579" s="7" t="s">
        <v>742</v>
      </c>
      <c r="B579" s="8" t="s">
        <v>18</v>
      </c>
      <c r="C579" s="71" t="n">
        <f aca="false">INDEX($C$318:$G$318,1,MATCH(MIN($C$561:$G$561),$C$561:$G$561,0))</f>
        <v>2031</v>
      </c>
      <c r="H579" s="2" t="s">
        <v>1363</v>
      </c>
    </row>
    <row r="580" customFormat="false" ht="15" hidden="false" customHeight="false" outlineLevel="1" collapsed="false">
      <c r="A580" s="7" t="s">
        <v>743</v>
      </c>
      <c r="B580" s="8"/>
      <c r="C580" s="72" t="str">
        <f aca="false">IF(G560&lt;0,"sim","não")</f>
        <v>sim</v>
      </c>
      <c r="H580" s="2" t="s">
        <v>1364</v>
      </c>
    </row>
    <row r="581" customFormat="false" ht="15" hidden="false" customHeight="false" outlineLevel="1" collapsed="false">
      <c r="A581" s="7" t="s">
        <v>744</v>
      </c>
      <c r="B581" s="8" t="s">
        <v>10</v>
      </c>
      <c r="C581" s="68" t="n">
        <f aca="false">G572</f>
        <v>5508753.67227711</v>
      </c>
      <c r="H581" s="2" t="s">
        <v>1365</v>
      </c>
    </row>
    <row r="582" customFormat="false" ht="15" hidden="false" customHeight="false" outlineLevel="0" collapsed="false">
      <c r="A582" s="3" t="s">
        <v>1366</v>
      </c>
      <c r="B582" s="4"/>
      <c r="C582" s="4"/>
      <c r="D582" s="4"/>
      <c r="E582" s="4"/>
      <c r="F582" s="4"/>
      <c r="G582" s="4"/>
      <c r="H582" s="4"/>
    </row>
    <row r="583" customFormat="false" ht="15" hidden="false" customHeight="false" outlineLevel="1" collapsed="false">
      <c r="A583" s="7" t="s">
        <v>746</v>
      </c>
      <c r="B583" s="8" t="s">
        <v>10</v>
      </c>
      <c r="C583" s="68" t="n">
        <f aca="false">C574+C575</f>
        <v>145000</v>
      </c>
      <c r="H583" s="2" t="s">
        <v>1367</v>
      </c>
    </row>
    <row r="584" customFormat="false" ht="15" hidden="false" customHeight="false" outlineLevel="1" collapsed="false">
      <c r="A584" s="7" t="s">
        <v>747</v>
      </c>
      <c r="B584" s="8" t="s">
        <v>10</v>
      </c>
      <c r="C584" s="68" t="n">
        <f aca="false">-SUMPRODUCT(($C$318:$G$318&lt;=C579)*$C$517:$G$517)</f>
        <v>4796893.07724286</v>
      </c>
      <c r="H584" s="2" t="s">
        <v>1368</v>
      </c>
    </row>
    <row r="585" customFormat="false" ht="15" hidden="false" customHeight="false" outlineLevel="1" collapsed="false">
      <c r="A585" s="7" t="s">
        <v>407</v>
      </c>
      <c r="B585" s="8" t="s">
        <v>10</v>
      </c>
      <c r="C585" s="68" t="n">
        <f aca="false">SUMPRODUCT(($C$318:$G$318&lt;=C579)*$C$502:$G$502)</f>
        <v>260000</v>
      </c>
      <c r="H585" s="2" t="s">
        <v>1369</v>
      </c>
    </row>
    <row r="586" customFormat="false" ht="15" hidden="false" customHeight="false" outlineLevel="1" collapsed="false">
      <c r="A586" s="7" t="s">
        <v>748</v>
      </c>
      <c r="B586" s="8" t="s">
        <v>10</v>
      </c>
      <c r="C586" s="68" t="n">
        <f aca="false">SUMPRODUCT(($C$318:$G$318&lt;=C579)*$C$532:$G$532)</f>
        <v>0</v>
      </c>
      <c r="H586" s="2" t="s">
        <v>1370</v>
      </c>
    </row>
    <row r="587" customFormat="false" ht="15" hidden="false" customHeight="false" outlineLevel="1" collapsed="false">
      <c r="A587" s="7" t="s">
        <v>749</v>
      </c>
      <c r="B587" s="8" t="s">
        <v>10</v>
      </c>
      <c r="C587" s="68" t="n">
        <f aca="false">C577-C584-C585-C586</f>
        <v>156860.595034246</v>
      </c>
      <c r="H587" s="2" t="s">
        <v>1371</v>
      </c>
    </row>
    <row r="588" customFormat="false" ht="15" hidden="false" customHeight="false" outlineLevel="1" collapsed="false">
      <c r="A588" s="7" t="s">
        <v>312</v>
      </c>
      <c r="B588" s="8" t="s">
        <v>10</v>
      </c>
      <c r="C588" s="68" t="n">
        <f aca="false">C576</f>
        <v>150000</v>
      </c>
      <c r="H588" s="2" t="s">
        <v>1372</v>
      </c>
    </row>
    <row r="589" customFormat="false" ht="15" hidden="false" customHeight="false" outlineLevel="1" collapsed="false">
      <c r="A589" s="52" t="s">
        <v>750</v>
      </c>
      <c r="B589" s="53" t="s">
        <v>10</v>
      </c>
      <c r="C589" s="70" t="n">
        <f aca="false">C583+C584+C585+C586+C587+C588</f>
        <v>5508753.67227711</v>
      </c>
      <c r="H589" s="2" t="s">
        <v>1373</v>
      </c>
    </row>
    <row r="590" customFormat="false" ht="15" hidden="false" customHeight="false" outlineLevel="0" collapsed="false">
      <c r="A590" s="3" t="s">
        <v>1374</v>
      </c>
      <c r="B590" s="4"/>
      <c r="C590" s="4"/>
      <c r="D590" s="4"/>
      <c r="E590" s="4"/>
      <c r="F590" s="4"/>
      <c r="G590" s="4"/>
      <c r="H590" s="4"/>
    </row>
    <row r="591" customFormat="false" ht="15" hidden="false" customHeight="false" outlineLevel="1" collapsed="false">
      <c r="A591" s="7" t="s">
        <v>729</v>
      </c>
      <c r="B591" s="8" t="s">
        <v>10</v>
      </c>
      <c r="C591" s="69" t="n">
        <f aca="false">Pressupostos!$D$32</f>
        <v>1100000</v>
      </c>
      <c r="H591" s="2" t="s">
        <v>1375</v>
      </c>
    </row>
    <row r="592" customFormat="false" ht="15" hidden="false" customHeight="false" outlineLevel="1" collapsed="false">
      <c r="A592" s="7" t="s">
        <v>752</v>
      </c>
      <c r="B592" s="8" t="s">
        <v>10</v>
      </c>
      <c r="C592" s="68" t="n">
        <f aca="false">C574+Pressupostos!$C$106+Pressupostos!$C$128/12*((C478-C466-C467+(C466+C467)/Pressupostos!$C$126*Pressupostos!$C$127)*(1+Pressupostos!$C$122+Pressupostos!$C$123)+C464*Pressupostos!$C$124+C497)+C502+MAX(0,Pressupostos!$C$181*1000*(C337+C340)+Pressupostos!$C$182*1000*(C360+C363)-Pressupostos!$C$106)</f>
        <v>734421.666666667</v>
      </c>
      <c r="H592" s="2" t="s">
        <v>1376</v>
      </c>
    </row>
    <row r="593" customFormat="false" ht="15" hidden="false" customHeight="false" outlineLevel="1" collapsed="false">
      <c r="A593" s="7" t="s">
        <v>754</v>
      </c>
      <c r="B593" s="8" t="s">
        <v>10</v>
      </c>
      <c r="C593" s="68" t="n">
        <f aca="false">C574+Pressupostos!$C$106-C560</f>
        <v>948437.451832192</v>
      </c>
      <c r="H593" s="2" t="s">
        <v>1377</v>
      </c>
    </row>
    <row r="594" customFormat="false" ht="15" hidden="false" customHeight="false" outlineLevel="1" collapsed="false">
      <c r="A594" s="7" t="s">
        <v>755</v>
      </c>
      <c r="B594" s="8" t="s">
        <v>10</v>
      </c>
      <c r="C594" s="58" t="n">
        <f aca="false">Pressupostos!$D$32-C574-Pressupostos!$C$106+C561</f>
        <v>151562.548167808</v>
      </c>
      <c r="D594" s="58" t="n">
        <f aca="false">Pressupostos!$D$32-C574-Pressupostos!$C$106+D561</f>
        <v>-709380.865298435</v>
      </c>
      <c r="E594" s="58" t="n">
        <f aca="false">Pressupostos!$D$32-C574-Pressupostos!$C$106+E561</f>
        <v>-1739962.8360499</v>
      </c>
      <c r="F594" s="58" t="n">
        <f aca="false">Pressupostos!$D$32-C574-Pressupostos!$C$106+F561</f>
        <v>-2929349.16908834</v>
      </c>
      <c r="G594" s="58" t="n">
        <f aca="false">Pressupostos!$D$32-C574-Pressupostos!$C$106+G561</f>
        <v>-4258753.67227711</v>
      </c>
      <c r="H594" s="2" t="s">
        <v>1378</v>
      </c>
    </row>
    <row r="595" customFormat="false" ht="15" hidden="false" customHeight="false" outlineLevel="1" collapsed="false">
      <c r="A595" s="7" t="s">
        <v>756</v>
      </c>
      <c r="B595" s="8" t="s">
        <v>16</v>
      </c>
      <c r="C595" s="73" t="str">
        <f aca="false">IF(AND(Pressupostos!$D$32-C574-Pressupostos!$C$106&gt;0,C594&lt;=0),12*(Pressupostos!$D$32-C574-Pressupostos!$C$106)/(Pressupostos!$D$32-C574-Pressupostos!$C$106-C594),"")</f>
        <v/>
      </c>
      <c r="D595" s="73" t="n">
        <f aca="false">IF(AND(C594&gt;0,D594&lt;=0),12+12*C594/(C594-D594),"")</f>
        <v>14.1125088473483</v>
      </c>
      <c r="E595" s="73" t="str">
        <f aca="false">IF(AND(D594&gt;0,E594&lt;=0),24+12*D594/(D594-E594),"")</f>
        <v/>
      </c>
      <c r="F595" s="73" t="str">
        <f aca="false">IF(AND(E594&gt;0,F594&lt;=0),36+12*E594/(E594-F594),"")</f>
        <v/>
      </c>
      <c r="G595" s="73" t="str">
        <f aca="false">IF(AND(F594&gt;0,G594&lt;=0),48+12*F594/(F594-G594),"")</f>
        <v/>
      </c>
      <c r="H595" s="2" t="s">
        <v>1379</v>
      </c>
    </row>
    <row r="596" customFormat="false" ht="15" hidden="false" customHeight="false" outlineLevel="1" collapsed="false">
      <c r="A596" s="52" t="s">
        <v>757</v>
      </c>
      <c r="B596" s="53" t="s">
        <v>264</v>
      </c>
      <c r="C596" s="74" t="n">
        <f aca="false">IF(COUNT($C$595:$G$595)=0,"&gt; 60",MIN($C$595:$G$595))</f>
        <v>14.1125088473483</v>
      </c>
      <c r="H596" s="2" t="s">
        <v>1380</v>
      </c>
    </row>
    <row r="597" customFormat="false" ht="15" hidden="false" customHeight="false" outlineLevel="0" collapsed="false">
      <c r="A597" s="3" t="s">
        <v>1381</v>
      </c>
      <c r="B597" s="4"/>
      <c r="C597" s="4"/>
      <c r="D597" s="4"/>
      <c r="E597" s="4"/>
      <c r="F597" s="4"/>
      <c r="G597" s="4"/>
      <c r="H597" s="4"/>
    </row>
    <row r="598" customFormat="false" ht="15" hidden="false" customHeight="false" outlineLevel="1" collapsed="false">
      <c r="A598" s="7" t="s">
        <v>759</v>
      </c>
      <c r="B598" s="8" t="s">
        <v>16</v>
      </c>
      <c r="C598" s="73" t="str">
        <f aca="false">IF(C517&gt;=0,1,"")</f>
        <v/>
      </c>
      <c r="D598" s="73" t="str">
        <f aca="false">IF(AND(C517&lt;0,D517&gt;=0),6.5+12*(-C517)/(D517-C517),"")</f>
        <v/>
      </c>
      <c r="E598" s="73" t="str">
        <f aca="false">IF(AND(D517&lt;0,E517&gt;=0),18.5+12*(-D517)/(E517-D517),"")</f>
        <v/>
      </c>
      <c r="F598" s="73" t="str">
        <f aca="false">IF(AND(E517&lt;0,F517&gt;=0),30.5+12*(-E517)/(F517-E517),"")</f>
        <v/>
      </c>
      <c r="G598" s="73" t="str">
        <f aca="false">IF(AND(F517&lt;0,G517&gt;=0),42.5+12*(-F517)/(G517-F517),"")</f>
        <v/>
      </c>
      <c r="H598" s="2" t="s">
        <v>1382</v>
      </c>
    </row>
    <row r="599" customFormat="false" ht="15" hidden="false" customHeight="false" outlineLevel="1" collapsed="false">
      <c r="A599" s="7" t="s">
        <v>760</v>
      </c>
      <c r="B599" s="8" t="s">
        <v>16</v>
      </c>
      <c r="C599" s="75" t="str">
        <f aca="false">IF(COUNT($C$598:$G$598)=0,"não atinge até 2031",ROUNDUP(MIN($C$598:$G$598),0))</f>
        <v>não atinge até 2031</v>
      </c>
      <c r="H599" s="2" t="s">
        <v>1383</v>
      </c>
    </row>
    <row r="600" customFormat="false" ht="15" hidden="false" customHeight="false" outlineLevel="1" collapsed="false">
      <c r="A600" s="52" t="s">
        <v>761</v>
      </c>
      <c r="B600" s="53" t="s">
        <v>762</v>
      </c>
      <c r="C600" s="76" t="str">
        <f aca="false">IF(ISNUMBER(C599),DATE(2027,C599,1),"não atinge até 2031")</f>
        <v>não atinge até 2031</v>
      </c>
      <c r="H600" s="2" t="s">
        <v>1384</v>
      </c>
    </row>
    <row r="601" customFormat="false" ht="15" hidden="false" customHeight="false" outlineLevel="1" collapsed="false">
      <c r="A601" s="7" t="s">
        <v>763</v>
      </c>
      <c r="B601" s="8" t="s">
        <v>18</v>
      </c>
      <c r="C601" s="77" t="str">
        <f aca="false">IF(C517&gt;=0,C318,"")</f>
        <v/>
      </c>
      <c r="D601" s="77" t="str">
        <f aca="false">IF(D517&gt;=0,D318,"")</f>
        <v/>
      </c>
      <c r="E601" s="77" t="str">
        <f aca="false">IF(E517&gt;=0,E318,"")</f>
        <v/>
      </c>
      <c r="F601" s="77" t="str">
        <f aca="false">IF(F517&gt;=0,F318,"")</f>
        <v/>
      </c>
      <c r="G601" s="77" t="str">
        <f aca="false">IF(G517&gt;=0,G318,"")</f>
        <v/>
      </c>
      <c r="H601" s="2" t="s">
        <v>1385</v>
      </c>
    </row>
    <row r="602" customFormat="false" ht="15" hidden="false" customHeight="false" outlineLevel="1" collapsed="false">
      <c r="A602" s="7" t="s">
        <v>764</v>
      </c>
      <c r="B602" s="8" t="s">
        <v>18</v>
      </c>
      <c r="C602" s="71" t="str">
        <f aca="false">IF(COUNT($C$601:$G$601)=0,"não atinge até 2031",MIN($C$601:$G$601))</f>
        <v>não atinge até 2031</v>
      </c>
      <c r="H602" s="2" t="s">
        <v>1386</v>
      </c>
    </row>
    <row r="603" customFormat="false" ht="15" hidden="false" customHeight="false" outlineLevel="1" collapsed="false">
      <c r="A603" s="7" t="s">
        <v>765</v>
      </c>
      <c r="B603" s="8" t="s">
        <v>18</v>
      </c>
      <c r="C603" s="77" t="str">
        <f aca="false">IF(C535&gt;=0,C318,"")</f>
        <v/>
      </c>
      <c r="D603" s="77" t="str">
        <f aca="false">IF(D535&gt;=0,D318,"")</f>
        <v/>
      </c>
      <c r="E603" s="77" t="str">
        <f aca="false">IF(E535&gt;=0,E318,"")</f>
        <v/>
      </c>
      <c r="F603" s="77" t="str">
        <f aca="false">IF(F535&gt;=0,F318,"")</f>
        <v/>
      </c>
      <c r="G603" s="77" t="str">
        <f aca="false">IF(G535&gt;=0,G318,"")</f>
        <v/>
      </c>
      <c r="H603" s="2" t="s">
        <v>1387</v>
      </c>
    </row>
    <row r="604" customFormat="false" ht="15" hidden="false" customHeight="false" outlineLevel="1" collapsed="false">
      <c r="A604" s="7" t="s">
        <v>766</v>
      </c>
      <c r="B604" s="8" t="s">
        <v>18</v>
      </c>
      <c r="C604" s="71" t="str">
        <f aca="false">IF(COUNT($C$603:$G$603)=0,"não atinge até 2031",MIN($C$603:$G$603))</f>
        <v>não atinge até 2031</v>
      </c>
      <c r="H604" s="2" t="s">
        <v>1388</v>
      </c>
    </row>
    <row r="605" customFormat="false" ht="15" hidden="false" customHeight="false" outlineLevel="1" collapsed="false">
      <c r="A605" s="7" t="s">
        <v>767</v>
      </c>
      <c r="B605" s="8" t="s">
        <v>18</v>
      </c>
      <c r="C605" s="77" t="str">
        <f aca="false">IF(C560&gt;=0,C318,"")</f>
        <v/>
      </c>
      <c r="D605" s="77" t="str">
        <f aca="false">IF(D560&gt;=0,D318,"")</f>
        <v/>
      </c>
      <c r="E605" s="77" t="str">
        <f aca="false">IF(E560&gt;=0,E318,"")</f>
        <v/>
      </c>
      <c r="F605" s="77" t="str">
        <f aca="false">IF(F560&gt;=0,F318,"")</f>
        <v/>
      </c>
      <c r="G605" s="77" t="str">
        <f aca="false">IF(G560&gt;=0,G318,"")</f>
        <v/>
      </c>
      <c r="H605" s="2" t="s">
        <v>1389</v>
      </c>
    </row>
    <row r="606" customFormat="false" ht="15" hidden="false" customHeight="false" outlineLevel="1" collapsed="false">
      <c r="A606" s="7" t="s">
        <v>17</v>
      </c>
      <c r="B606" s="8" t="s">
        <v>18</v>
      </c>
      <c r="C606" s="71" t="str">
        <f aca="false">IF(COUNT($C$605:$G$605)=0,"não atinge até 2031",MIN($C$605:$G$605))</f>
        <v>não atinge até 2031</v>
      </c>
      <c r="H606" s="2" t="s">
        <v>1390</v>
      </c>
    </row>
    <row r="607" customFormat="false" ht="15" hidden="false" customHeight="false" outlineLevel="0" collapsed="false">
      <c r="A607" s="3" t="s">
        <v>1391</v>
      </c>
      <c r="B607" s="4"/>
      <c r="C607" s="4"/>
      <c r="D607" s="4"/>
      <c r="E607" s="4"/>
      <c r="F607" s="4"/>
      <c r="G607" s="4"/>
      <c r="H607" s="4"/>
    </row>
    <row r="608" customFormat="false" ht="15" hidden="false" customHeight="false" outlineLevel="1" collapsed="false">
      <c r="A608" s="7" t="s">
        <v>769</v>
      </c>
      <c r="B608" s="8" t="s">
        <v>10</v>
      </c>
      <c r="C608" s="58" t="n">
        <f aca="false">C543</f>
        <v>0</v>
      </c>
      <c r="D608" s="58" t="n">
        <f aca="false">D543</f>
        <v>310598.707191781</v>
      </c>
      <c r="E608" s="58" t="n">
        <f aca="false">E543</f>
        <v>563053.792808219</v>
      </c>
      <c r="F608" s="58" t="n">
        <f aca="false">F543</f>
        <v>975110.316780822</v>
      </c>
      <c r="G608" s="58" t="n">
        <f aca="false">G543</f>
        <v>1489396.28424658</v>
      </c>
      <c r="H608" s="2" t="s">
        <v>1392</v>
      </c>
    </row>
    <row r="609" customFormat="false" ht="15" hidden="false" customHeight="false" outlineLevel="1" collapsed="false">
      <c r="A609" s="7" t="s">
        <v>487</v>
      </c>
      <c r="B609" s="8" t="s">
        <v>71</v>
      </c>
      <c r="C609" s="78" t="n">
        <f aca="false">Pressupostos!$C$283</f>
        <v>0.08</v>
      </c>
      <c r="D609" s="78" t="n">
        <f aca="false">Pressupostos!$D$283</f>
        <v>0.08</v>
      </c>
      <c r="E609" s="78" t="n">
        <f aca="false">Pressupostos!$E$283</f>
        <v>0.075</v>
      </c>
      <c r="F609" s="78" t="n">
        <f aca="false">Pressupostos!$F$283</f>
        <v>0.07</v>
      </c>
      <c r="G609" s="78" t="n">
        <f aca="false">Pressupostos!$G$283</f>
        <v>0.07</v>
      </c>
      <c r="H609" s="2" t="s">
        <v>1393</v>
      </c>
    </row>
    <row r="610" customFormat="false" ht="15" hidden="false" customHeight="false" outlineLevel="1" collapsed="false">
      <c r="A610" s="7" t="s">
        <v>770</v>
      </c>
      <c r="B610" s="8" t="s">
        <v>71</v>
      </c>
      <c r="C610" s="56" t="n">
        <f aca="false">Pressupostos!$C$283*(1-Pressupostos!$C$109)</f>
        <v>0.0576</v>
      </c>
      <c r="D610" s="56" t="n">
        <f aca="false">Pressupostos!$D$283*(1-Pressupostos!$C$109)</f>
        <v>0.0576</v>
      </c>
      <c r="E610" s="56" t="n">
        <f aca="false">Pressupostos!$E$283*(1-Pressupostos!$C$109)</f>
        <v>0.054</v>
      </c>
      <c r="F610" s="56" t="n">
        <f aca="false">Pressupostos!$F$283*(1-Pressupostos!$C$109)</f>
        <v>0.0504</v>
      </c>
      <c r="G610" s="56" t="n">
        <f aca="false">Pressupostos!$G$283*(1-Pressupostos!$C$109)</f>
        <v>0.0504</v>
      </c>
      <c r="H610" s="2" t="s">
        <v>1394</v>
      </c>
    </row>
    <row r="611" customFormat="false" ht="15" hidden="false" customHeight="false" outlineLevel="1" collapsed="false">
      <c r="A611" s="7" t="s">
        <v>771</v>
      </c>
      <c r="B611" s="8" t="s">
        <v>10</v>
      </c>
      <c r="C611" s="58" t="n">
        <f aca="false">C449</f>
        <v>0</v>
      </c>
      <c r="D611" s="58" t="n">
        <f aca="false">D449</f>
        <v>23317.0273972603</v>
      </c>
      <c r="E611" s="58" t="n">
        <f aca="false">E449</f>
        <v>38771.0637842466</v>
      </c>
      <c r="F611" s="58" t="n">
        <f aca="false">F449</f>
        <v>62547.834760274</v>
      </c>
      <c r="G611" s="58" t="n">
        <f aca="false">G449</f>
        <v>95536.1558219178</v>
      </c>
      <c r="H611" s="2" t="s">
        <v>1395</v>
      </c>
    </row>
    <row r="612" customFormat="false" ht="15" hidden="false" customHeight="false" outlineLevel="1" collapsed="false">
      <c r="A612" s="7" t="s">
        <v>772</v>
      </c>
      <c r="B612" s="8" t="s">
        <v>71</v>
      </c>
      <c r="C612" s="55" t="n">
        <f aca="false">IF(C543&gt;0,(C546+C548)/C543,0)</f>
        <v>0</v>
      </c>
      <c r="D612" s="55" t="n">
        <f aca="false">IF(D543&gt;0,(D546+D548)/D543,0)</f>
        <v>0.138888888888889</v>
      </c>
      <c r="E612" s="55" t="n">
        <f aca="false">IF(E543&gt;0,(E546+E548)/E543,0)</f>
        <v>0.138888888888889</v>
      </c>
      <c r="F612" s="55" t="n">
        <f aca="false">IF(F543&gt;0,(F546+F548)/F543,0)</f>
        <v>0.138888888888889</v>
      </c>
      <c r="G612" s="55" t="n">
        <f aca="false">IF(G543&gt;0,(G546+G548)/G543,0)</f>
        <v>0.138888888888889</v>
      </c>
      <c r="H612" s="2" t="s">
        <v>1396</v>
      </c>
    </row>
    <row r="613" customFormat="false" ht="15" hidden="false" customHeight="false" outlineLevel="1" collapsed="false">
      <c r="A613" s="7" t="s">
        <v>773</v>
      </c>
      <c r="B613" s="8" t="s">
        <v>115</v>
      </c>
      <c r="C613" s="58" t="n">
        <f aca="false">C549</f>
        <v>0</v>
      </c>
      <c r="D613" s="58" t="n">
        <f aca="false">D549</f>
        <v>6.21197414383562</v>
      </c>
      <c r="E613" s="58" t="n">
        <f aca="false">E549</f>
        <v>11.2610758561644</v>
      </c>
      <c r="F613" s="58" t="n">
        <f aca="false">F549</f>
        <v>19.5022063356164</v>
      </c>
      <c r="G613" s="58" t="n">
        <f aca="false">G549</f>
        <v>29.7879256849315</v>
      </c>
      <c r="H613" s="2" t="s">
        <v>1397</v>
      </c>
    </row>
    <row r="614" customFormat="false" ht="15" hidden="false" customHeight="false" outlineLevel="0" collapsed="false">
      <c r="A614" s="3" t="s">
        <v>1398</v>
      </c>
      <c r="B614" s="4"/>
      <c r="C614" s="4"/>
      <c r="D614" s="4"/>
      <c r="E614" s="4"/>
      <c r="F614" s="4"/>
      <c r="G614" s="4"/>
      <c r="H614" s="4"/>
    </row>
    <row r="615" customFormat="false" ht="15" hidden="false" customHeight="false" outlineLevel="1" collapsed="false">
      <c r="A615" s="7" t="s">
        <v>775</v>
      </c>
      <c r="B615" s="8" t="s">
        <v>10</v>
      </c>
      <c r="C615" s="58" t="n">
        <f aca="false">MAX(0,-C517)</f>
        <v>711437.451832192</v>
      </c>
      <c r="D615" s="58" t="n">
        <f aca="false">MAX(0,-D517)</f>
        <v>801413.478106654</v>
      </c>
      <c r="E615" s="58" t="n">
        <f aca="false">MAX(0,-E517)</f>
        <v>969909.990443249</v>
      </c>
      <c r="F615" s="58" t="n">
        <f aca="false">MAX(0,-F517)</f>
        <v>1094156.26026446</v>
      </c>
      <c r="G615" s="58" t="n">
        <f aca="false">MAX(0,-G517)</f>
        <v>1219975.89659631</v>
      </c>
      <c r="H615" s="2" t="s">
        <v>1399</v>
      </c>
    </row>
    <row r="616" customFormat="false" ht="15" hidden="false" customHeight="false" outlineLevel="1" collapsed="false">
      <c r="A616" s="2" t="s">
        <v>776</v>
      </c>
      <c r="B616" s="8"/>
      <c r="C616" s="58" t="n">
        <f aca="false">IF(AND(C318&gt;=Pressupostos!$C$118,Pressupostos!$C$116*(C406+C407)+Pressupostos!$C$117*C408&gt;Pressupostos!$C$295),1,0)</f>
        <v>0</v>
      </c>
      <c r="D616" s="58" t="n">
        <f aca="false">IF(AND(D318&gt;=Pressupostos!$C$118,Pressupostos!$C$116*(D406+D407)+Pressupostos!$C$117*D408&gt;Pressupostos!$D$295),1,0)</f>
        <v>1</v>
      </c>
      <c r="E616" s="58" t="n">
        <f aca="false">IF(AND(E318&gt;=Pressupostos!$C$118,Pressupostos!$C$116*(E406+E407)+Pressupostos!$C$117*E408&gt;Pressupostos!$E$295),1,0)</f>
        <v>1</v>
      </c>
      <c r="F616" s="58" t="n">
        <f aca="false">IF(AND(F318&gt;=Pressupostos!$C$118,Pressupostos!$C$116*(F406+F407)+Pressupostos!$C$117*F408&gt;Pressupostos!$F$295),1,0)</f>
        <v>1</v>
      </c>
      <c r="G616" s="58" t="n">
        <f aca="false">IF(AND(G318&gt;=Pressupostos!$C$118,Pressupostos!$C$116*(G406+G407)+Pressupostos!$C$117*G408&gt;Pressupostos!$G$295),1,0)</f>
        <v>1</v>
      </c>
      <c r="H616" s="2" t="s">
        <v>1400</v>
      </c>
    </row>
    <row r="617" customFormat="false" ht="15" hidden="false" customHeight="false" outlineLevel="1" collapsed="false">
      <c r="A617" s="7" t="s">
        <v>777</v>
      </c>
      <c r="B617" s="8" t="s">
        <v>59</v>
      </c>
      <c r="C617" s="60" t="n">
        <f aca="false">IF(C322&gt;0,C615/(C322*1000*(1-Pressupostos!$D$22)*(1-Pressupostos!$D$25-C616*Pressupostos!$C$116)),"n/a")</f>
        <v>13.7226574306032</v>
      </c>
      <c r="D617" s="60" t="n">
        <f aca="false">IF(D322&gt;0,D615/(D322*1000*(1-Pressupostos!$D$22)*(1-Pressupostos!$D$25-D616*Pressupostos!$C$116)),"n/a")</f>
        <v>2.22331382516917</v>
      </c>
      <c r="E617" s="60" t="n">
        <f aca="false">IF(E322&gt;0,E615/(E322*1000*(1-Pressupostos!$D$22)*(1-Pressupostos!$D$25-E616*Pressupostos!$C$116)),"n/a")</f>
        <v>1.36226948534195</v>
      </c>
      <c r="F617" s="60" t="n">
        <f aca="false">IF(F322&gt;0,F615/(F322*1000*(1-Pressupostos!$D$22)*(1-Pressupostos!$D$25-F616*Pressupostos!$C$116)),"n/a")</f>
        <v>0.931419565244505</v>
      </c>
      <c r="G617" s="60" t="n">
        <f aca="false">IF(G322&gt;0,G615/(G322*1000*(1-Pressupostos!$D$22)*(1-Pressupostos!$D$25-G616*Pressupostos!$C$116)),"n/a")</f>
        <v>0.686355267091038</v>
      </c>
      <c r="H617" s="2" t="s">
        <v>1401</v>
      </c>
    </row>
    <row r="618" customFormat="false" ht="15" hidden="false" customHeight="false" outlineLevel="1" collapsed="false">
      <c r="A618" s="7" t="s">
        <v>778</v>
      </c>
      <c r="B618" s="8" t="s">
        <v>59</v>
      </c>
      <c r="C618" s="60" t="n">
        <f aca="false">IF(C321&gt;0,Pressupostos!$D$15+C615/(C321*1000*(1-Pressupostos!$D$16)*(1-Pressupostos!$D$18-C616*Pressupostos!$C$116)),"n/a")</f>
        <v>105.057200401323</v>
      </c>
      <c r="D618" s="60" t="n">
        <f aca="false">IF(D321&gt;0,Pressupostos!$D$15+D615/(D321*1000*(1-Pressupostos!$D$16)*(1-Pressupostos!$D$18-D616*Pressupostos!$C$116)),"n/a")</f>
        <v>29.9595664788016</v>
      </c>
      <c r="E618" s="60" t="n">
        <f aca="false">IF(E321&gt;0,Pressupostos!$D$15+E615/(E321*1000*(1-Pressupostos!$D$16)*(1-Pressupostos!$D$18-E616*Pressupostos!$C$116)),"n/a")</f>
        <v>13.8346872268487</v>
      </c>
      <c r="F618" s="60" t="n">
        <f aca="false">IF(F321&gt;0,Pressupostos!$D$15+F615/(F321*1000*(1-Pressupostos!$D$16)*(1-Pressupostos!$D$18-F616*Pressupostos!$C$116)),"n/a")</f>
        <v>10.2492856583499</v>
      </c>
      <c r="G618" s="60" t="n">
        <f aca="false">IF(G321&gt;0,Pressupostos!$D$15+G615/(G321*1000*(1-Pressupostos!$D$16)*(1-Pressupostos!$D$18-G616*Pressupostos!$C$116)),"n/a")</f>
        <v>8.98956337520546</v>
      </c>
      <c r="H618" s="2" t="s">
        <v>1402</v>
      </c>
    </row>
    <row r="619" customFormat="false" ht="15" hidden="false" customHeight="false" outlineLevel="1" collapsed="false">
      <c r="A619" s="7" t="s">
        <v>779</v>
      </c>
      <c r="B619" s="8" t="s">
        <v>59</v>
      </c>
      <c r="C619" s="60" t="n">
        <f aca="false">C402-C616*Pressupostos!$C$117*C385</f>
        <v>0.058762328767124</v>
      </c>
      <c r="D619" s="60" t="n">
        <f aca="false">D402-D616*Pressupostos!$C$117*D385</f>
        <v>0.0255719178082197</v>
      </c>
      <c r="E619" s="60" t="n">
        <f aca="false">E402-E616*Pressupostos!$C$117*E385</f>
        <v>0.0271900684931515</v>
      </c>
      <c r="F619" s="60" t="n">
        <f aca="false">F402-F616*Pressupostos!$C$117*F385</f>
        <v>0.0288082191780828</v>
      </c>
      <c r="G619" s="60" t="n">
        <f aca="false">G402-G616*Pressupostos!$C$117*G385</f>
        <v>0.0288082191780828</v>
      </c>
      <c r="H619" s="2" t="s">
        <v>1403</v>
      </c>
    </row>
    <row r="620" customFormat="false" ht="15" hidden="false" customHeight="false" outlineLevel="1" collapsed="false">
      <c r="A620" s="7" t="s">
        <v>780</v>
      </c>
      <c r="B620" s="8" t="s">
        <v>112</v>
      </c>
      <c r="C620" s="57" t="n">
        <f aca="false">IF(C619&gt;0,C323+C615/(C619*1000),"n/a")</f>
        <v>12107.0329709299</v>
      </c>
      <c r="D620" s="57" t="n">
        <f aca="false">IF(D619&gt;0,D323+D615/(D619*1000),"n/a")</f>
        <v>31339.5922870146</v>
      </c>
      <c r="E620" s="57" t="n">
        <f aca="false">IF(E619&gt;0,E323+E615/(E619*1000),"n/a")</f>
        <v>35671.4802203439</v>
      </c>
      <c r="F620" s="57" t="n">
        <f aca="false">IF(F619&gt;0,F323+F615/(F619*1000),"n/a")</f>
        <v>37980.697574562</v>
      </c>
      <c r="G620" s="57" t="n">
        <f aca="false">IF(G619&gt;0,G323+G615/(G619*1000),"n/a")</f>
        <v>42348.1885171319</v>
      </c>
      <c r="H620" s="2" t="s">
        <v>1404</v>
      </c>
    </row>
    <row r="621" customFormat="false" ht="15" hidden="false" customHeight="false" outlineLevel="1" collapsed="false">
      <c r="A621" s="7" t="s">
        <v>781</v>
      </c>
      <c r="B621" s="8" t="s">
        <v>71</v>
      </c>
      <c r="C621" s="55" t="n">
        <f aca="false">C615/(C481+C494+C495)</f>
        <v>0.988127343113512</v>
      </c>
      <c r="D621" s="55" t="n">
        <f aca="false">D615/(D481+D494+D495)</f>
        <v>0.973023859650716</v>
      </c>
      <c r="E621" s="55" t="n">
        <f aca="false">E615/(E481+E494+E495)</f>
        <v>0.902941824466644</v>
      </c>
      <c r="F621" s="55" t="n">
        <f aca="false">F615/(F481+F494+F495)</f>
        <v>0.838343906683493</v>
      </c>
      <c r="G621" s="55" t="n">
        <f aca="false">G615/(G481+G494+G495)</f>
        <v>0.781458857228551</v>
      </c>
      <c r="H621" s="2" t="s">
        <v>1405</v>
      </c>
    </row>
    <row r="622" customFormat="false" ht="15" hidden="false" customHeight="false" outlineLevel="1" collapsed="false">
      <c r="A622" s="2" t="s">
        <v>782</v>
      </c>
      <c r="B622" s="8" t="s">
        <v>71</v>
      </c>
      <c r="C622" s="56" t="n">
        <f aca="false">Pressupostos!$C$99*Pressupostos!$C$100+Pressupostos!$C$101-Pressupostos!$D$30*Pressupostos!$C$102*Pressupostos!$C$100/(Pressupostos!$C$103*Pressupostos!$C$104)</f>
        <v>0.00354285714285715</v>
      </c>
      <c r="D622" s="56" t="n">
        <f aca="false">Pressupostos!$C$99*Pressupostos!$C$100+Pressupostos!$C$101-Pressupostos!$D$30*Pressupostos!$C$102*Pressupostos!$C$100/(Pressupostos!$C$103*Pressupostos!$C$104)</f>
        <v>0.00354285714285715</v>
      </c>
      <c r="E622" s="56" t="n">
        <f aca="false">Pressupostos!$C$99*Pressupostos!$C$100+Pressupostos!$C$101-Pressupostos!$D$30*Pressupostos!$C$102*Pressupostos!$C$100/(Pressupostos!$C$103*Pressupostos!$C$104)</f>
        <v>0.00354285714285715</v>
      </c>
      <c r="F622" s="56" t="n">
        <f aca="false">Pressupostos!$C$99*Pressupostos!$C$100+Pressupostos!$C$101-Pressupostos!$D$30*Pressupostos!$C$102*Pressupostos!$C$100/(Pressupostos!$C$103*Pressupostos!$C$104)</f>
        <v>0.00354285714285715</v>
      </c>
      <c r="G622" s="56" t="n">
        <f aca="false">Pressupostos!$C$99*Pressupostos!$C$100+Pressupostos!$C$101-Pressupostos!$D$30*Pressupostos!$C$102*Pressupostos!$C$100/(Pressupostos!$C$103*Pressupostos!$C$104)</f>
        <v>0.00354285714285715</v>
      </c>
      <c r="H622" s="2" t="s">
        <v>1406</v>
      </c>
    </row>
    <row r="623" customFormat="false" ht="15" hidden="false" customHeight="false" outlineLevel="1" collapsed="false">
      <c r="A623" s="7" t="s">
        <v>783</v>
      </c>
      <c r="B623" s="8" t="s">
        <v>10</v>
      </c>
      <c r="C623" s="58" t="n">
        <f aca="false">IF(C622&gt;0,C334+C615/C622,"n/a")</f>
        <v>200808958.178441</v>
      </c>
      <c r="D623" s="58" t="n">
        <f aca="false">IF(D622&gt;0,D334+D615/D622,"n/a")</f>
        <v>226705417.207523</v>
      </c>
      <c r="E623" s="58" t="n">
        <f aca="false">IF(E622&gt;0,E334+E615/E622,"n/a")</f>
        <v>275264916.657368</v>
      </c>
      <c r="F623" s="58" t="n">
        <f aca="false">IF(F622&gt;0,F334+F615/F622,"n/a")</f>
        <v>311834428.300452</v>
      </c>
      <c r="G623" s="58" t="n">
        <f aca="false">IF(G622&gt;0,G334+G615/G622,"n/a")</f>
        <v>349348035.329602</v>
      </c>
      <c r="H623" s="2" t="s">
        <v>1407</v>
      </c>
    </row>
    <row r="626" customFormat="false" ht="15" hidden="false" customHeight="false" outlineLevel="0" collapsed="false">
      <c r="A626" s="104" t="s">
        <v>1409</v>
      </c>
      <c r="B626" s="105"/>
      <c r="C626" s="105"/>
      <c r="D626" s="105"/>
      <c r="E626" s="105"/>
      <c r="F626" s="105"/>
      <c r="G626" s="105"/>
      <c r="H626" s="105"/>
    </row>
    <row r="627" customFormat="false" ht="15" hidden="false" customHeight="false" outlineLevel="0" collapsed="false">
      <c r="A627" s="3" t="s">
        <v>1102</v>
      </c>
      <c r="B627" s="4"/>
      <c r="C627" s="4"/>
      <c r="D627" s="4"/>
      <c r="E627" s="4"/>
      <c r="F627" s="4"/>
      <c r="G627" s="4"/>
      <c r="H627" s="4"/>
    </row>
    <row r="628" customFormat="false" ht="15" hidden="false" customHeight="false" outlineLevel="1" collapsed="false">
      <c r="A628" s="7" t="s">
        <v>557</v>
      </c>
      <c r="B628" s="8"/>
      <c r="C628" s="49" t="n">
        <v>2027</v>
      </c>
      <c r="D628" s="49" t="n">
        <v>2028</v>
      </c>
      <c r="E628" s="49" t="n">
        <v>2029</v>
      </c>
      <c r="F628" s="49" t="n">
        <v>2030</v>
      </c>
      <c r="G628" s="49" t="n">
        <v>2031</v>
      </c>
      <c r="H628" s="2" t="s">
        <v>18</v>
      </c>
    </row>
    <row r="629" customFormat="false" ht="15" hidden="false" customHeight="false" outlineLevel="0" collapsed="false">
      <c r="A629" s="3" t="s">
        <v>1103</v>
      </c>
      <c r="B629" s="4"/>
      <c r="C629" s="4"/>
      <c r="D629" s="4"/>
      <c r="E629" s="4"/>
      <c r="F629" s="4"/>
      <c r="G629" s="4"/>
      <c r="H629" s="4"/>
    </row>
    <row r="630" customFormat="false" ht="15" hidden="false" customHeight="false" outlineLevel="1" collapsed="false">
      <c r="A630" s="7" t="s">
        <v>372</v>
      </c>
      <c r="B630" s="8" t="s">
        <v>115</v>
      </c>
      <c r="C630" s="50" t="n">
        <f aca="false">Pressupostos!$C$209</f>
        <v>50</v>
      </c>
      <c r="D630" s="50" t="n">
        <f aca="false">Pressupostos!$D$209</f>
        <v>300</v>
      </c>
      <c r="E630" s="50" t="n">
        <f aca="false">Pressupostos!$E$209</f>
        <v>1000</v>
      </c>
      <c r="F630" s="50" t="n">
        <f aca="false">Pressupostos!$F$209</f>
        <v>2000</v>
      </c>
      <c r="G630" s="50" t="n">
        <f aca="false">Pressupostos!$G$209</f>
        <v>3000</v>
      </c>
      <c r="H630" s="2" t="s">
        <v>1104</v>
      </c>
    </row>
    <row r="631" customFormat="false" ht="15" hidden="false" customHeight="false" outlineLevel="1" collapsed="false">
      <c r="A631" s="7" t="s">
        <v>559</v>
      </c>
      <c r="B631" s="8" t="s">
        <v>112</v>
      </c>
      <c r="C631" s="51" t="n">
        <f aca="false">Pressupostos!$C$215</f>
        <v>10</v>
      </c>
      <c r="D631" s="51" t="n">
        <f aca="false">Pressupostos!$D$215</f>
        <v>62</v>
      </c>
      <c r="E631" s="51" t="n">
        <f aca="false">Pressupostos!$E$215</f>
        <v>205</v>
      </c>
      <c r="F631" s="51" t="n">
        <f aca="false">Pressupostos!$F$215</f>
        <v>410</v>
      </c>
      <c r="G631" s="51" t="n">
        <f aca="false">Pressupostos!$G$215</f>
        <v>615</v>
      </c>
      <c r="H631" s="2" t="s">
        <v>1105</v>
      </c>
    </row>
    <row r="632" customFormat="false" ht="15" hidden="false" customHeight="false" outlineLevel="1" collapsed="false">
      <c r="A632" s="7" t="s">
        <v>560</v>
      </c>
      <c r="B632" s="8" t="s">
        <v>112</v>
      </c>
      <c r="C632" s="51" t="n">
        <f aca="false">Pressupostos!$C$221</f>
        <v>70</v>
      </c>
      <c r="D632" s="51" t="n">
        <f aca="false">Pressupostos!$D$221</f>
        <v>588</v>
      </c>
      <c r="E632" s="51" t="n">
        <f aca="false">Pressupostos!$E$221</f>
        <v>1095</v>
      </c>
      <c r="F632" s="51" t="n">
        <f aca="false">Pressupostos!$F$221</f>
        <v>1790</v>
      </c>
      <c r="G632" s="51" t="n">
        <f aca="false">Pressupostos!$G$221</f>
        <v>2685</v>
      </c>
      <c r="H632" s="2" t="s">
        <v>1106</v>
      </c>
    </row>
    <row r="633" customFormat="false" ht="15" hidden="false" customHeight="false" outlineLevel="1" collapsed="false">
      <c r="A633" s="7" t="s">
        <v>383</v>
      </c>
      <c r="B633" s="8" t="s">
        <v>112</v>
      </c>
      <c r="C633" s="51" t="n">
        <f aca="false">Pressupostos!$C$227</f>
        <v>0</v>
      </c>
      <c r="D633" s="51" t="n">
        <f aca="false">Pressupostos!$D$227</f>
        <v>0</v>
      </c>
      <c r="E633" s="51" t="n">
        <f aca="false">Pressupostos!$E$227</f>
        <v>0</v>
      </c>
      <c r="F633" s="51" t="n">
        <f aca="false">Pressupostos!$F$227</f>
        <v>0</v>
      </c>
      <c r="G633" s="51" t="n">
        <f aca="false">Pressupostos!$G$227</f>
        <v>0</v>
      </c>
      <c r="H633" s="2" t="s">
        <v>1107</v>
      </c>
    </row>
    <row r="634" customFormat="false" ht="15" hidden="false" customHeight="false" outlineLevel="1" collapsed="false">
      <c r="A634" s="52" t="s">
        <v>561</v>
      </c>
      <c r="B634" s="53" t="s">
        <v>112</v>
      </c>
      <c r="C634" s="54" t="n">
        <f aca="false">C631+C632+C633</f>
        <v>80</v>
      </c>
      <c r="D634" s="54" t="n">
        <f aca="false">D631+D632+D633</f>
        <v>650</v>
      </c>
      <c r="E634" s="54" t="n">
        <f aca="false">E631+E632+E633</f>
        <v>1300</v>
      </c>
      <c r="F634" s="54" t="n">
        <f aca="false">F631+F632+F633</f>
        <v>2200</v>
      </c>
      <c r="G634" s="54" t="n">
        <f aca="false">G631+G632+G633</f>
        <v>3300</v>
      </c>
      <c r="H634" s="2" t="s">
        <v>1108</v>
      </c>
    </row>
    <row r="635" customFormat="false" ht="15" hidden="false" customHeight="false" outlineLevel="1" collapsed="false">
      <c r="A635" s="7" t="s">
        <v>562</v>
      </c>
      <c r="B635" s="8" t="s">
        <v>71</v>
      </c>
      <c r="C635" s="55" t="n">
        <f aca="false">IF(C634&gt;0,C631/C634,0)</f>
        <v>0.125</v>
      </c>
      <c r="D635" s="55" t="n">
        <f aca="false">IF(D634&gt;0,D631/D634,0)</f>
        <v>0.0953846153846154</v>
      </c>
      <c r="E635" s="55" t="n">
        <f aca="false">IF(E634&gt;0,E631/E634,0)</f>
        <v>0.157692307692308</v>
      </c>
      <c r="F635" s="55" t="n">
        <f aca="false">IF(F634&gt;0,F631/F634,0)</f>
        <v>0.186363636363636</v>
      </c>
      <c r="G635" s="55" t="n">
        <f aca="false">IF(G634&gt;0,G631/G634,0)</f>
        <v>0.186363636363636</v>
      </c>
      <c r="H635" s="2" t="s">
        <v>1109</v>
      </c>
    </row>
    <row r="636" customFormat="false" ht="15" hidden="false" customHeight="false" outlineLevel="1" collapsed="false">
      <c r="A636" s="7" t="s">
        <v>563</v>
      </c>
      <c r="B636" s="8" t="s">
        <v>71</v>
      </c>
      <c r="C636" s="56" t="n">
        <f aca="false">C634/(Pressupostos!$C$74*1000)</f>
        <v>0.000457142857142857</v>
      </c>
      <c r="D636" s="56" t="n">
        <f aca="false">D634/(Pressupostos!$C$74*1000)</f>
        <v>0.00371428571428571</v>
      </c>
      <c r="E636" s="56" t="n">
        <f aca="false">E634/(Pressupostos!$C$74*1000)</f>
        <v>0.00742857142857143</v>
      </c>
      <c r="F636" s="56" t="n">
        <f aca="false">F634/(Pressupostos!$C$74*1000)</f>
        <v>0.0125714285714286</v>
      </c>
      <c r="G636" s="56" t="n">
        <f aca="false">G634/(Pressupostos!$C$74*1000)</f>
        <v>0.0188571428571429</v>
      </c>
      <c r="H636" s="2" t="s">
        <v>1110</v>
      </c>
    </row>
    <row r="637" customFormat="false" ht="15" hidden="false" customHeight="false" outlineLevel="1" collapsed="false">
      <c r="A637" s="7" t="s">
        <v>564</v>
      </c>
      <c r="B637" s="8" t="s">
        <v>115</v>
      </c>
      <c r="C637" s="57" t="n">
        <f aca="false">C631/Pressupostos!$C$39+C632/Pressupostos!$C$46+C633/Pressupostos!$C$58</f>
        <v>2.83333333333333</v>
      </c>
      <c r="D637" s="57" t="n">
        <f aca="false">D631/Pressupostos!$C$39+D632/Pressupostos!$C$46+D633/Pressupostos!$C$58</f>
        <v>22.7</v>
      </c>
      <c r="E637" s="57" t="n">
        <f aca="false">E631/Pressupostos!$C$39+E632/Pressupostos!$C$46+E633/Pressupostos!$C$58</f>
        <v>46.75</v>
      </c>
      <c r="F637" s="57" t="n">
        <f aca="false">F631/Pressupostos!$C$39+F632/Pressupostos!$C$46+F633/Pressupostos!$C$58</f>
        <v>80.1666666666667</v>
      </c>
      <c r="G637" s="57" t="n">
        <f aca="false">G631/Pressupostos!$C$39+G632/Pressupostos!$C$46+G633/Pressupostos!$C$58</f>
        <v>120.25</v>
      </c>
      <c r="H637" s="2" t="s">
        <v>1111</v>
      </c>
    </row>
    <row r="638" customFormat="false" ht="15" hidden="false" customHeight="false" outlineLevel="0" collapsed="false">
      <c r="A638" s="3" t="s">
        <v>1112</v>
      </c>
      <c r="B638" s="4"/>
      <c r="C638" s="4"/>
      <c r="D638" s="4"/>
      <c r="E638" s="4"/>
      <c r="F638" s="4"/>
      <c r="G638" s="4"/>
      <c r="H638" s="4"/>
    </row>
    <row r="639" customFormat="false" ht="15" hidden="false" customHeight="false" outlineLevel="1" collapsed="false">
      <c r="A639" s="7" t="s">
        <v>566</v>
      </c>
      <c r="B639" s="8" t="s">
        <v>192</v>
      </c>
      <c r="C639" s="50" t="n">
        <f aca="false">Pressupostos!$C$253</f>
        <v>180</v>
      </c>
      <c r="D639" s="50" t="n">
        <f aca="false">Pressupostos!$D$253</f>
        <v>800</v>
      </c>
      <c r="E639" s="50" t="n">
        <f aca="false">Pressupostos!$E$253</f>
        <v>1500</v>
      </c>
      <c r="F639" s="50" t="n">
        <f aca="false">Pressupostos!$F$253</f>
        <v>2200</v>
      </c>
      <c r="G639" s="50" t="n">
        <f aca="false">Pressupostos!$G$253</f>
        <v>3000</v>
      </c>
      <c r="H639" s="2" t="s">
        <v>1113</v>
      </c>
    </row>
    <row r="640" customFormat="false" ht="15" hidden="false" customHeight="false" outlineLevel="1" collapsed="false">
      <c r="A640" s="7" t="s">
        <v>566</v>
      </c>
      <c r="B640" s="8" t="s">
        <v>179</v>
      </c>
      <c r="C640" s="58" t="n">
        <f aca="false">C639*Pressupostos!$C$76</f>
        <v>135000</v>
      </c>
      <c r="D640" s="58" t="n">
        <f aca="false">D639*Pressupostos!$C$76</f>
        <v>600000</v>
      </c>
      <c r="E640" s="58" t="n">
        <f aca="false">E639*Pressupostos!$C$76</f>
        <v>1125000</v>
      </c>
      <c r="F640" s="58" t="n">
        <f aca="false">F639*Pressupostos!$C$76</f>
        <v>1650000</v>
      </c>
      <c r="G640" s="58" t="n">
        <f aca="false">G639*Pressupostos!$C$76</f>
        <v>2250000</v>
      </c>
      <c r="H640" s="2" t="s">
        <v>1114</v>
      </c>
    </row>
    <row r="641" customFormat="false" ht="15" hidden="false" customHeight="false" outlineLevel="0" collapsed="false">
      <c r="A641" s="3" t="s">
        <v>1115</v>
      </c>
      <c r="B641" s="4"/>
      <c r="C641" s="4"/>
      <c r="D641" s="4"/>
      <c r="E641" s="4"/>
      <c r="F641" s="4"/>
      <c r="G641" s="4"/>
      <c r="H641" s="4"/>
    </row>
    <row r="642" customFormat="false" ht="15" hidden="false" customHeight="false" outlineLevel="1" collapsed="false">
      <c r="A642" s="7" t="s">
        <v>568</v>
      </c>
      <c r="B642" s="8" t="s">
        <v>112</v>
      </c>
      <c r="C642" s="57" t="n">
        <f aca="false">IF(C628&lt;Pressupostos!$E$28,0,Pressupostos!$C$259)</f>
        <v>0</v>
      </c>
      <c r="D642" s="57" t="n">
        <f aca="false">IF(D628&lt;Pressupostos!$E$28,0,Pressupostos!$D$259)</f>
        <v>20</v>
      </c>
      <c r="E642" s="57" t="n">
        <f aca="false">IF(E628&lt;Pressupostos!$E$28,0,Pressupostos!$E$259)</f>
        <v>50</v>
      </c>
      <c r="F642" s="57" t="n">
        <f aca="false">IF(F628&lt;Pressupostos!$E$28,0,Pressupostos!$F$259)</f>
        <v>100</v>
      </c>
      <c r="G642" s="57" t="n">
        <f aca="false">IF(G628&lt;Pressupostos!$E$28,0,Pressupostos!$G$259)</f>
        <v>160</v>
      </c>
      <c r="H642" s="2" t="s">
        <v>1116</v>
      </c>
    </row>
    <row r="643" customFormat="false" ht="15" hidden="false" customHeight="false" outlineLevel="0" collapsed="false">
      <c r="A643" s="3" t="s">
        <v>1117</v>
      </c>
      <c r="B643" s="4"/>
      <c r="C643" s="4"/>
      <c r="D643" s="4"/>
      <c r="E643" s="4"/>
      <c r="F643" s="4"/>
      <c r="G643" s="4"/>
      <c r="H643" s="4"/>
    </row>
    <row r="644" customFormat="false" ht="15" hidden="false" customHeight="false" outlineLevel="1" collapsed="false">
      <c r="A644" s="7" t="s">
        <v>570</v>
      </c>
      <c r="B644" s="8" t="s">
        <v>10</v>
      </c>
      <c r="C644" s="50" t="n">
        <f aca="false">Pressupostos!$C$265</f>
        <v>0</v>
      </c>
      <c r="D644" s="50" t="n">
        <f aca="false">Pressupostos!$D$265</f>
        <v>1000000</v>
      </c>
      <c r="E644" s="50" t="n">
        <f aca="false">Pressupostos!$E$265</f>
        <v>3000000</v>
      </c>
      <c r="F644" s="50" t="n">
        <f aca="false">Pressupostos!$F$265</f>
        <v>6000000</v>
      </c>
      <c r="G644" s="50" t="n">
        <f aca="false">Pressupostos!$G$265</f>
        <v>10000000</v>
      </c>
      <c r="H644" s="2" t="s">
        <v>1118</v>
      </c>
    </row>
    <row r="645" customFormat="false" ht="15" hidden="false" customHeight="false" outlineLevel="1" collapsed="false">
      <c r="A645" s="7" t="s">
        <v>571</v>
      </c>
      <c r="B645" s="8" t="s">
        <v>112</v>
      </c>
      <c r="C645" s="57" t="n">
        <f aca="false">C644/(Pressupostos!$C$103*Pressupostos!$C$104)*Pressupostos!$C$100/1000</f>
        <v>0</v>
      </c>
      <c r="D645" s="57" t="n">
        <f aca="false">D644/(Pressupostos!$C$103*Pressupostos!$C$104)*Pressupostos!$C$100/1000</f>
        <v>914.285714285714</v>
      </c>
      <c r="E645" s="57" t="n">
        <f aca="false">E644/(Pressupostos!$C$103*Pressupostos!$C$104)*Pressupostos!$C$100/1000</f>
        <v>2742.85714285714</v>
      </c>
      <c r="F645" s="57" t="n">
        <f aca="false">F644/(Pressupostos!$C$103*Pressupostos!$C$104)*Pressupostos!$C$100/1000</f>
        <v>5485.71428571429</v>
      </c>
      <c r="G645" s="57" t="n">
        <f aca="false">G644/(Pressupostos!$C$103*Pressupostos!$C$104)*Pressupostos!$C$100/1000</f>
        <v>9142.85714285714</v>
      </c>
      <c r="H645" s="2" t="s">
        <v>1119</v>
      </c>
    </row>
    <row r="646" customFormat="false" ht="15" hidden="false" customHeight="false" outlineLevel="0" collapsed="false">
      <c r="A646" s="3" t="s">
        <v>1120</v>
      </c>
      <c r="B646" s="4"/>
      <c r="C646" s="4"/>
      <c r="D646" s="4"/>
      <c r="E646" s="4"/>
      <c r="F646" s="4"/>
      <c r="G646" s="4"/>
      <c r="H646" s="4"/>
    </row>
    <row r="647" customFormat="false" ht="15" hidden="false" customHeight="false" outlineLevel="1" collapsed="false">
      <c r="A647" s="7" t="s">
        <v>633</v>
      </c>
      <c r="B647" s="8" t="s">
        <v>59</v>
      </c>
      <c r="C647" s="60" t="n">
        <f aca="false">Pressupostos!$E$10+Pressupostos!$E$11</f>
        <v>3.55</v>
      </c>
      <c r="D647" s="60" t="n">
        <f aca="false">Pressupostos!$E$10+Pressupostos!$E$11</f>
        <v>3.55</v>
      </c>
      <c r="E647" s="60" t="n">
        <f aca="false">Pressupostos!$E$10+Pressupostos!$E$11</f>
        <v>3.55</v>
      </c>
      <c r="F647" s="60" t="n">
        <f aca="false">Pressupostos!$E$10+Pressupostos!$E$11</f>
        <v>3.55</v>
      </c>
      <c r="G647" s="60" t="n">
        <f aca="false">Pressupostos!$E$10+Pressupostos!$E$11</f>
        <v>3.55</v>
      </c>
      <c r="H647" s="2" t="s">
        <v>1121</v>
      </c>
    </row>
    <row r="648" customFormat="false" ht="15" hidden="false" customHeight="false" outlineLevel="1" collapsed="false">
      <c r="A648" s="7" t="s">
        <v>634</v>
      </c>
      <c r="B648" s="8" t="s">
        <v>59</v>
      </c>
      <c r="C648" s="63" t="n">
        <f aca="false">Pressupostos!$E$15</f>
        <v>6</v>
      </c>
      <c r="D648" s="63" t="n">
        <f aca="false">Pressupostos!$E$15</f>
        <v>6</v>
      </c>
      <c r="E648" s="63" t="n">
        <f aca="false">Pressupostos!$E$15</f>
        <v>6</v>
      </c>
      <c r="F648" s="63" t="n">
        <f aca="false">Pressupostos!$E$15</f>
        <v>6</v>
      </c>
      <c r="G648" s="63" t="n">
        <f aca="false">Pressupostos!$E$15</f>
        <v>6</v>
      </c>
      <c r="H648" s="2" t="s">
        <v>1122</v>
      </c>
    </row>
    <row r="649" customFormat="false" ht="15" hidden="false" customHeight="false" outlineLevel="1" collapsed="false">
      <c r="A649" s="52" t="s">
        <v>635</v>
      </c>
      <c r="B649" s="53" t="s">
        <v>59</v>
      </c>
      <c r="C649" s="64" t="n">
        <f aca="false">C648*(1-Pressupostos!$E$16)</f>
        <v>5.4</v>
      </c>
      <c r="D649" s="64" t="n">
        <f aca="false">D648*(1-Pressupostos!$E$16)</f>
        <v>5.4</v>
      </c>
      <c r="E649" s="64" t="n">
        <f aca="false">E648*(1-Pressupostos!$E$16)</f>
        <v>5.4</v>
      </c>
      <c r="F649" s="64" t="n">
        <f aca="false">F648*(1-Pressupostos!$E$16)</f>
        <v>5.4</v>
      </c>
      <c r="G649" s="64" t="n">
        <f aca="false">G648*(1-Pressupostos!$E$16)</f>
        <v>5.4</v>
      </c>
      <c r="H649" s="2" t="s">
        <v>1123</v>
      </c>
    </row>
    <row r="650" customFormat="false" ht="15" hidden="false" customHeight="false" outlineLevel="1" collapsed="false">
      <c r="A650" s="7" t="s">
        <v>136</v>
      </c>
      <c r="B650" s="8" t="s">
        <v>59</v>
      </c>
      <c r="C650" s="63" t="n">
        <f aca="false">Pressupostos!$C$37</f>
        <v>0.55</v>
      </c>
      <c r="D650" s="63" t="n">
        <f aca="false">Pressupostos!$C$37</f>
        <v>0.55</v>
      </c>
      <c r="E650" s="63" t="n">
        <f aca="false">Pressupostos!$C$37</f>
        <v>0.55</v>
      </c>
      <c r="F650" s="63" t="n">
        <f aca="false">Pressupostos!$C$37</f>
        <v>0.55</v>
      </c>
      <c r="G650" s="63" t="n">
        <f aca="false">Pressupostos!$C$37</f>
        <v>0.55</v>
      </c>
      <c r="H650" s="2" t="s">
        <v>1124</v>
      </c>
    </row>
    <row r="651" customFormat="false" ht="15" hidden="false" customHeight="false" outlineLevel="1" collapsed="false">
      <c r="A651" s="7" t="s">
        <v>205</v>
      </c>
      <c r="B651" s="8" t="s">
        <v>59</v>
      </c>
      <c r="C651" s="63" t="n">
        <f aca="false">Pressupostos!$C$234</f>
        <v>0.3</v>
      </c>
      <c r="D651" s="63" t="n">
        <f aca="false">Pressupostos!$D$234</f>
        <v>0.28</v>
      </c>
      <c r="E651" s="63" t="n">
        <f aca="false">Pressupostos!$E$234</f>
        <v>0.26</v>
      </c>
      <c r="F651" s="63" t="n">
        <f aca="false">Pressupostos!$F$234</f>
        <v>0.25</v>
      </c>
      <c r="G651" s="63" t="n">
        <f aca="false">Pressupostos!$G$234</f>
        <v>0.25</v>
      </c>
      <c r="H651" s="2" t="s">
        <v>1125</v>
      </c>
    </row>
    <row r="652" customFormat="false" ht="15" hidden="false" customHeight="false" outlineLevel="1" collapsed="false">
      <c r="A652" s="7" t="s">
        <v>109</v>
      </c>
      <c r="B652" s="8" t="s">
        <v>59</v>
      </c>
      <c r="C652" s="63" t="n">
        <f aca="false">Pressupostos!$C$38</f>
        <v>0.06</v>
      </c>
      <c r="D652" s="63" t="n">
        <f aca="false">Pressupostos!$C$38</f>
        <v>0.06</v>
      </c>
      <c r="E652" s="63" t="n">
        <f aca="false">Pressupostos!$C$38</f>
        <v>0.06</v>
      </c>
      <c r="F652" s="63" t="n">
        <f aca="false">Pressupostos!$C$38</f>
        <v>0.06</v>
      </c>
      <c r="G652" s="63" t="n">
        <f aca="false">Pressupostos!$C$38</f>
        <v>0.06</v>
      </c>
      <c r="H652" s="2" t="s">
        <v>1126</v>
      </c>
    </row>
    <row r="653" customFormat="false" ht="15" hidden="false" customHeight="false" outlineLevel="1" collapsed="false">
      <c r="A653" s="7" t="s">
        <v>86</v>
      </c>
      <c r="B653" s="8" t="s">
        <v>74</v>
      </c>
      <c r="C653" s="65" t="n">
        <f aca="false">Pressupostos!$C$240</f>
        <v>180</v>
      </c>
      <c r="D653" s="65" t="n">
        <f aca="false">Pressupostos!$D$240</f>
        <v>90</v>
      </c>
      <c r="E653" s="65" t="n">
        <f aca="false">Pressupostos!$E$240</f>
        <v>45</v>
      </c>
      <c r="F653" s="65" t="n">
        <f aca="false">Pressupostos!$F$240</f>
        <v>45</v>
      </c>
      <c r="G653" s="65" t="n">
        <f aca="false">Pressupostos!$G$240</f>
        <v>45</v>
      </c>
      <c r="H653" s="2" t="s">
        <v>1127</v>
      </c>
    </row>
    <row r="654" customFormat="false" ht="15" hidden="false" customHeight="false" outlineLevel="1" collapsed="false">
      <c r="A654" s="7" t="s">
        <v>73</v>
      </c>
      <c r="B654" s="8" t="s">
        <v>74</v>
      </c>
      <c r="C654" s="65" t="n">
        <f aca="false">Pressupostos!$E$17</f>
        <v>30</v>
      </c>
      <c r="D654" s="65" t="n">
        <f aca="false">Pressupostos!$E$17</f>
        <v>30</v>
      </c>
      <c r="E654" s="65" t="n">
        <f aca="false">Pressupostos!$E$17</f>
        <v>30</v>
      </c>
      <c r="F654" s="65" t="n">
        <f aca="false">Pressupostos!$E$17</f>
        <v>30</v>
      </c>
      <c r="G654" s="65" t="n">
        <f aca="false">Pressupostos!$E$17</f>
        <v>30</v>
      </c>
      <c r="H654" s="2" t="s">
        <v>1128</v>
      </c>
    </row>
    <row r="655" customFormat="false" ht="15" hidden="false" customHeight="false" outlineLevel="1" collapsed="false">
      <c r="A655" s="7" t="s">
        <v>471</v>
      </c>
      <c r="B655" s="8" t="s">
        <v>59</v>
      </c>
      <c r="C655" s="60" t="n">
        <f aca="false">Pressupostos!$C$64*C653/30/1000</f>
        <v>0.024</v>
      </c>
      <c r="D655" s="60" t="n">
        <f aca="false">Pressupostos!$C$64*D653/30/1000</f>
        <v>0.012</v>
      </c>
      <c r="E655" s="60" t="n">
        <f aca="false">Pressupostos!$C$64*E653/30/1000</f>
        <v>0.006</v>
      </c>
      <c r="F655" s="60" t="n">
        <f aca="false">Pressupostos!$C$64*F653/30/1000</f>
        <v>0.006</v>
      </c>
      <c r="G655" s="60" t="n">
        <f aca="false">Pressupostos!$C$64*G653/30/1000</f>
        <v>0.006</v>
      </c>
      <c r="H655" s="2" t="s">
        <v>1129</v>
      </c>
    </row>
    <row r="656" customFormat="false" ht="15" hidden="false" customHeight="false" outlineLevel="1" collapsed="false">
      <c r="A656" s="7" t="s">
        <v>154</v>
      </c>
      <c r="B656" s="8" t="s">
        <v>59</v>
      </c>
      <c r="C656" s="60" t="n">
        <f aca="false">C647*Pressupostos!$C$65*C653/365</f>
        <v>0.0035013698630137</v>
      </c>
      <c r="D656" s="60" t="n">
        <f aca="false">D647*Pressupostos!$C$65*D653/365</f>
        <v>0.00175068493150685</v>
      </c>
      <c r="E656" s="60" t="n">
        <f aca="false">E647*Pressupostos!$C$65*E653/365</f>
        <v>0.000875342465753425</v>
      </c>
      <c r="F656" s="60" t="n">
        <f aca="false">F647*Pressupostos!$C$65*F653/365</f>
        <v>0.000875342465753425</v>
      </c>
      <c r="G656" s="60" t="n">
        <f aca="false">G647*Pressupostos!$C$65*G653/365</f>
        <v>0.000875342465753425</v>
      </c>
      <c r="H656" s="2" t="s">
        <v>1130</v>
      </c>
    </row>
    <row r="657" customFormat="false" ht="15" hidden="false" customHeight="false" outlineLevel="1" collapsed="false">
      <c r="A657" s="7" t="s">
        <v>636</v>
      </c>
      <c r="B657" s="8" t="s">
        <v>59</v>
      </c>
      <c r="C657" s="60" t="n">
        <f aca="false">Pressupostos!$C$40*Pressupostos!$C$66/(Pressupostos!$C$39*1000)</f>
        <v>0.03</v>
      </c>
      <c r="D657" s="60" t="n">
        <f aca="false">Pressupostos!$C$40*Pressupostos!$C$66/(Pressupostos!$C$39*1000)</f>
        <v>0.03</v>
      </c>
      <c r="E657" s="60" t="n">
        <f aca="false">Pressupostos!$C$40*Pressupostos!$C$66/(Pressupostos!$C$39*1000)</f>
        <v>0.03</v>
      </c>
      <c r="F657" s="60" t="n">
        <f aca="false">Pressupostos!$C$40*Pressupostos!$C$66/(Pressupostos!$C$39*1000)</f>
        <v>0.03</v>
      </c>
      <c r="G657" s="60" t="n">
        <f aca="false">Pressupostos!$C$40*Pressupostos!$C$66/(Pressupostos!$C$39*1000)</f>
        <v>0.03</v>
      </c>
      <c r="H657" s="2" t="s">
        <v>1131</v>
      </c>
    </row>
    <row r="658" customFormat="false" ht="15" hidden="false" customHeight="false" outlineLevel="1" collapsed="false">
      <c r="A658" s="7" t="s">
        <v>473</v>
      </c>
      <c r="B658" s="8" t="s">
        <v>59</v>
      </c>
      <c r="C658" s="60" t="n">
        <f aca="false">Pressupostos!$C$67*C647</f>
        <v>0.01775</v>
      </c>
      <c r="D658" s="60" t="n">
        <f aca="false">Pressupostos!$C$67*D647</f>
        <v>0.01775</v>
      </c>
      <c r="E658" s="60" t="n">
        <f aca="false">Pressupostos!$C$67*E647</f>
        <v>0.01775</v>
      </c>
      <c r="F658" s="60" t="n">
        <f aca="false">Pressupostos!$C$67*F647</f>
        <v>0.01775</v>
      </c>
      <c r="G658" s="60" t="n">
        <f aca="false">Pressupostos!$C$67*G647</f>
        <v>0.01775</v>
      </c>
      <c r="H658" s="2" t="s">
        <v>1132</v>
      </c>
    </row>
    <row r="659" customFormat="false" ht="15" hidden="false" customHeight="false" outlineLevel="1" collapsed="false">
      <c r="A659" s="7" t="s">
        <v>474</v>
      </c>
      <c r="B659" s="8" t="s">
        <v>59</v>
      </c>
      <c r="C659" s="60" t="n">
        <f aca="false">Pressupostos!$C$68*Pressupostos!$C$69*C653/90</f>
        <v>0.018</v>
      </c>
      <c r="D659" s="60" t="n">
        <f aca="false">Pressupostos!$C$68*Pressupostos!$C$69*D653/90</f>
        <v>0.009</v>
      </c>
      <c r="E659" s="60" t="n">
        <f aca="false">Pressupostos!$C$68*Pressupostos!$C$69*E653/90</f>
        <v>0.0045</v>
      </c>
      <c r="F659" s="60" t="n">
        <f aca="false">Pressupostos!$C$68*Pressupostos!$C$69*F653/90</f>
        <v>0.0045</v>
      </c>
      <c r="G659" s="60" t="n">
        <f aca="false">Pressupostos!$C$68*Pressupostos!$C$69*G653/90</f>
        <v>0.0045</v>
      </c>
      <c r="H659" s="2" t="s">
        <v>1133</v>
      </c>
    </row>
    <row r="660" customFormat="false" ht="15" hidden="false" customHeight="false" outlineLevel="1" collapsed="false">
      <c r="A660" s="7" t="s">
        <v>637</v>
      </c>
      <c r="B660" s="8" t="s">
        <v>59</v>
      </c>
      <c r="C660" s="60" t="n">
        <f aca="false">Pressupostos!$C$41/(Pressupostos!$C$39*1000)</f>
        <v>0.1</v>
      </c>
      <c r="D660" s="60" t="n">
        <f aca="false">Pressupostos!$C$41/(Pressupostos!$C$39*1000)</f>
        <v>0.1</v>
      </c>
      <c r="E660" s="60" t="n">
        <f aca="false">Pressupostos!$C$41/(Pressupostos!$C$39*1000)</f>
        <v>0.1</v>
      </c>
      <c r="F660" s="60" t="n">
        <f aca="false">Pressupostos!$C$41/(Pressupostos!$C$39*1000)</f>
        <v>0.1</v>
      </c>
      <c r="G660" s="60" t="n">
        <f aca="false">Pressupostos!$C$41/(Pressupostos!$C$39*1000)</f>
        <v>0.1</v>
      </c>
      <c r="H660" s="2" t="s">
        <v>1134</v>
      </c>
    </row>
    <row r="661" customFormat="false" ht="15" hidden="false" customHeight="false" outlineLevel="1" collapsed="false">
      <c r="A661" s="7" t="s">
        <v>131</v>
      </c>
      <c r="B661" s="8" t="s">
        <v>59</v>
      </c>
      <c r="C661" s="63" t="n">
        <f aca="false">Pressupostos!$C$42</f>
        <v>0.01</v>
      </c>
      <c r="D661" s="63" t="n">
        <f aca="false">Pressupostos!$C$42</f>
        <v>0.01</v>
      </c>
      <c r="E661" s="63" t="n">
        <f aca="false">Pressupostos!$C$42</f>
        <v>0.01</v>
      </c>
      <c r="F661" s="63" t="n">
        <f aca="false">Pressupostos!$C$42</f>
        <v>0.01</v>
      </c>
      <c r="G661" s="63" t="n">
        <f aca="false">Pressupostos!$C$42</f>
        <v>0.01</v>
      </c>
      <c r="H661" s="2" t="s">
        <v>1135</v>
      </c>
    </row>
    <row r="662" customFormat="false" ht="15" hidden="false" customHeight="false" outlineLevel="1" collapsed="false">
      <c r="A662" s="7" t="s">
        <v>76</v>
      </c>
      <c r="B662" s="8" t="s">
        <v>59</v>
      </c>
      <c r="C662" s="60" t="n">
        <f aca="false">Pressupostos!$E$18*C649</f>
        <v>0.027</v>
      </c>
      <c r="D662" s="60" t="n">
        <f aca="false">Pressupostos!$E$18*D649</f>
        <v>0.027</v>
      </c>
      <c r="E662" s="60" t="n">
        <f aca="false">Pressupostos!$E$18*E649</f>
        <v>0.027</v>
      </c>
      <c r="F662" s="60" t="n">
        <f aca="false">Pressupostos!$E$18*F649</f>
        <v>0.027</v>
      </c>
      <c r="G662" s="60" t="n">
        <f aca="false">Pressupostos!$E$18*G649</f>
        <v>0.027</v>
      </c>
      <c r="H662" s="2" t="s">
        <v>1136</v>
      </c>
    </row>
    <row r="663" customFormat="false" ht="15" hidden="false" customHeight="false" outlineLevel="1" collapsed="false">
      <c r="A663" s="7" t="s">
        <v>638</v>
      </c>
      <c r="B663" s="8" t="s">
        <v>59</v>
      </c>
      <c r="C663" s="60" t="n">
        <f aca="false">Pressupostos!$C$71*C649</f>
        <v>0</v>
      </c>
      <c r="D663" s="60" t="n">
        <f aca="false">Pressupostos!$C$71*D649</f>
        <v>0</v>
      </c>
      <c r="E663" s="60" t="n">
        <f aca="false">Pressupostos!$C$71*E649</f>
        <v>0</v>
      </c>
      <c r="F663" s="60" t="n">
        <f aca="false">Pressupostos!$C$71*F649</f>
        <v>0</v>
      </c>
      <c r="G663" s="60" t="n">
        <f aca="false">Pressupostos!$C$71*G649</f>
        <v>0</v>
      </c>
      <c r="H663" s="2" t="s">
        <v>1137</v>
      </c>
    </row>
    <row r="664" customFormat="false" ht="15" hidden="false" customHeight="false" outlineLevel="1" collapsed="false">
      <c r="A664" s="7" t="s">
        <v>639</v>
      </c>
      <c r="B664" s="8" t="s">
        <v>59</v>
      </c>
      <c r="C664" s="60" t="n">
        <f aca="false">Pressupostos!$C$284*(C647+C650)*(C653+C654-Pressupostos!$C$70)/365*Pressupostos!$C$278/Pressupostos!$E$31</f>
        <v>0</v>
      </c>
      <c r="D664" s="60" t="n">
        <f aca="false">Pressupostos!$D$284*(D647+D650)*(D653+D654-Pressupostos!$C$70)/365*Pressupostos!$D$278/Pressupostos!$E$31</f>
        <v>0.0802820306204674</v>
      </c>
      <c r="E664" s="60" t="n">
        <f aca="false">Pressupostos!$E$284*(E647+E650)*(E653+E654-Pressupostos!$C$70)/365*Pressupostos!$E$278/Pressupostos!$E$31</f>
        <v>0.0374649476228848</v>
      </c>
      <c r="F664" s="60" t="n">
        <f aca="false">Pressupostos!$F$284*(F647+F650)*(F653+F654-Pressupostos!$C$70)/365*Pressupostos!$F$278/Pressupostos!$E$31</f>
        <v>0.0347888799355359</v>
      </c>
      <c r="G664" s="60" t="n">
        <f aca="false">Pressupostos!$G$284*(G647+G650)*(G653+G654-Pressupostos!$C$70)/365*Pressupostos!$G$278/Pressupostos!$E$31</f>
        <v>0.0347888799355359</v>
      </c>
      <c r="H664" s="2" t="s">
        <v>1138</v>
      </c>
    </row>
    <row r="665" customFormat="false" ht="15" hidden="false" customHeight="false" outlineLevel="1" collapsed="false">
      <c r="A665" s="7" t="s">
        <v>640</v>
      </c>
      <c r="B665" s="8" t="s">
        <v>59</v>
      </c>
      <c r="C665" s="60" t="n">
        <f aca="false">C647+C650+C651+C652+C655+C656+C657+C658+C659+C660+C661+C662+C663+C664</f>
        <v>4.69025136986301</v>
      </c>
      <c r="D665" s="60" t="n">
        <f aca="false">D647+D650+D651+D652+D655+D656+D657+D658+D659+D660+D661+D662+D663+D664</f>
        <v>4.72778271555197</v>
      </c>
      <c r="E665" s="60" t="n">
        <f aca="false">E647+E650+E651+E652+E655+E656+E657+E658+E659+E660+E661+E662+E663+E664</f>
        <v>4.65359029008864</v>
      </c>
      <c r="F665" s="60" t="n">
        <f aca="false">F647+F650+F651+F652+F655+F656+F657+F658+F659+F660+F661+F662+F663+F664</f>
        <v>4.64091422240129</v>
      </c>
      <c r="G665" s="60" t="n">
        <f aca="false">G647+G650+G651+G652+G655+G656+G657+G658+G659+G660+G661+G662+G663+G664</f>
        <v>4.64091422240129</v>
      </c>
      <c r="H665" s="2" t="s">
        <v>1139</v>
      </c>
    </row>
    <row r="666" customFormat="false" ht="15" hidden="false" customHeight="false" outlineLevel="1" collapsed="false">
      <c r="A666" s="52" t="s">
        <v>641</v>
      </c>
      <c r="B666" s="53" t="s">
        <v>59</v>
      </c>
      <c r="C666" s="64" t="n">
        <f aca="false">C649-C665</f>
        <v>0.709748630136987</v>
      </c>
      <c r="D666" s="64" t="n">
        <f aca="false">D649-D665</f>
        <v>0.672217284448027</v>
      </c>
      <c r="E666" s="64" t="n">
        <f aca="false">E649-E665</f>
        <v>0.746409709911363</v>
      </c>
      <c r="F666" s="64" t="n">
        <f aca="false">F649-F665</f>
        <v>0.759085777598711</v>
      </c>
      <c r="G666" s="64" t="n">
        <f aca="false">G649-G665</f>
        <v>0.759085777598711</v>
      </c>
      <c r="H666" s="2" t="s">
        <v>1140</v>
      </c>
    </row>
    <row r="667" customFormat="false" ht="15" hidden="false" customHeight="false" outlineLevel="1" collapsed="false">
      <c r="A667" s="7" t="s">
        <v>642</v>
      </c>
      <c r="B667" s="8" t="s">
        <v>71</v>
      </c>
      <c r="C667" s="55" t="n">
        <f aca="false">IF(C649&gt;0,C666/C649,0)</f>
        <v>0.131434931506849</v>
      </c>
      <c r="D667" s="55" t="n">
        <f aca="false">IF(D649&gt;0,D666/D649,0)</f>
        <v>0.12448468230519</v>
      </c>
      <c r="E667" s="55" t="n">
        <f aca="false">IF(E649&gt;0,E666/E649,0)</f>
        <v>0.138224020353956</v>
      </c>
      <c r="F667" s="55" t="n">
        <f aca="false">IF(F649&gt;0,F666/F649,0)</f>
        <v>0.140571440296058</v>
      </c>
      <c r="G667" s="55" t="n">
        <f aca="false">IF(G649&gt;0,G666/G649,0)</f>
        <v>0.140571440296058</v>
      </c>
      <c r="H667" s="2" t="s">
        <v>1141</v>
      </c>
    </row>
    <row r="668" customFormat="false" ht="15" hidden="false" customHeight="false" outlineLevel="1" collapsed="false">
      <c r="A668" s="7" t="s">
        <v>643</v>
      </c>
      <c r="B668" s="8" t="s">
        <v>59</v>
      </c>
      <c r="C668" s="60" t="n">
        <f aca="false">(C647+C650)*(C653-Pressupostos!$C$70)/365+C649*C654/365</f>
        <v>2.12876712328767</v>
      </c>
      <c r="D668" s="60" t="n">
        <f aca="false">(D647+D650)*(D653-Pressupostos!$C$70)/365+D649*D654/365</f>
        <v>1.11780821917808</v>
      </c>
      <c r="E668" s="60" t="n">
        <f aca="false">(E647+E650)*(E653-Pressupostos!$C$70)/365+E649*E654/365</f>
        <v>0.612328767123288</v>
      </c>
      <c r="F668" s="60" t="n">
        <f aca="false">(F647+F650)*(F653-Pressupostos!$C$70)/365+F649*F654/365</f>
        <v>0.612328767123288</v>
      </c>
      <c r="G668" s="60" t="n">
        <f aca="false">(G647+G650)*(G653-Pressupostos!$C$70)/365+G649*G654/365</f>
        <v>0.612328767123288</v>
      </c>
      <c r="H668" s="2" t="s">
        <v>1142</v>
      </c>
    </row>
    <row r="669" customFormat="false" ht="15" hidden="false" customHeight="false" outlineLevel="0" collapsed="false">
      <c r="A669" s="3" t="s">
        <v>1143</v>
      </c>
      <c r="B669" s="4"/>
      <c r="C669" s="4"/>
      <c r="D669" s="4"/>
      <c r="E669" s="4"/>
      <c r="F669" s="4"/>
      <c r="G669" s="4"/>
      <c r="H669" s="4"/>
    </row>
    <row r="670" customFormat="false" ht="15" hidden="false" customHeight="false" outlineLevel="1" collapsed="false">
      <c r="A670" s="7" t="s">
        <v>633</v>
      </c>
      <c r="B670" s="8" t="s">
        <v>59</v>
      </c>
      <c r="C670" s="60" t="n">
        <f aca="false">Pressupostos!$E$10+Pressupostos!$E$12</f>
        <v>3.55</v>
      </c>
      <c r="D670" s="60" t="n">
        <f aca="false">Pressupostos!$E$10+Pressupostos!$E$12</f>
        <v>3.55</v>
      </c>
      <c r="E670" s="60" t="n">
        <f aca="false">Pressupostos!$E$10+Pressupostos!$E$12</f>
        <v>3.55</v>
      </c>
      <c r="F670" s="60" t="n">
        <f aca="false">Pressupostos!$E$10+Pressupostos!$E$12</f>
        <v>3.55</v>
      </c>
      <c r="G670" s="60" t="n">
        <f aca="false">Pressupostos!$E$10+Pressupostos!$E$12</f>
        <v>3.55</v>
      </c>
      <c r="H670" s="2" t="s">
        <v>1144</v>
      </c>
    </row>
    <row r="671" customFormat="false" ht="15" hidden="false" customHeight="false" outlineLevel="1" collapsed="false">
      <c r="A671" s="7" t="s">
        <v>634</v>
      </c>
      <c r="B671" s="8" t="s">
        <v>59</v>
      </c>
      <c r="C671" s="60" t="n">
        <f aca="false">Pressupostos!$E$20+Pressupostos!$E$21</f>
        <v>4.5</v>
      </c>
      <c r="D671" s="60" t="n">
        <f aca="false">Pressupostos!$E$20+Pressupostos!$E$21</f>
        <v>4.5</v>
      </c>
      <c r="E671" s="60" t="n">
        <f aca="false">Pressupostos!$E$20+Pressupostos!$E$21</f>
        <v>4.5</v>
      </c>
      <c r="F671" s="60" t="n">
        <f aca="false">Pressupostos!$E$20+Pressupostos!$E$21</f>
        <v>4.5</v>
      </c>
      <c r="G671" s="60" t="n">
        <f aca="false">Pressupostos!$E$20+Pressupostos!$E$21</f>
        <v>4.5</v>
      </c>
      <c r="H671" s="2" t="s">
        <v>1145</v>
      </c>
    </row>
    <row r="672" customFormat="false" ht="15" hidden="false" customHeight="false" outlineLevel="1" collapsed="false">
      <c r="A672" s="52" t="s">
        <v>635</v>
      </c>
      <c r="B672" s="53" t="s">
        <v>59</v>
      </c>
      <c r="C672" s="64" t="n">
        <f aca="false">C671*(1-Pressupostos!$E$22)</f>
        <v>4.5</v>
      </c>
      <c r="D672" s="64" t="n">
        <f aca="false">D671*(1-Pressupostos!$E$22)</f>
        <v>4.5</v>
      </c>
      <c r="E672" s="64" t="n">
        <f aca="false">E671*(1-Pressupostos!$E$22)</f>
        <v>4.5</v>
      </c>
      <c r="F672" s="64" t="n">
        <f aca="false">F671*(1-Pressupostos!$E$22)</f>
        <v>4.5</v>
      </c>
      <c r="G672" s="64" t="n">
        <f aca="false">G671*(1-Pressupostos!$E$22)</f>
        <v>4.5</v>
      </c>
      <c r="H672" s="2" t="s">
        <v>1146</v>
      </c>
    </row>
    <row r="673" customFormat="false" ht="15" hidden="false" customHeight="false" outlineLevel="1" collapsed="false">
      <c r="A673" s="7" t="s">
        <v>136</v>
      </c>
      <c r="B673" s="8" t="s">
        <v>59</v>
      </c>
      <c r="C673" s="63" t="n">
        <f aca="false">Pressupostos!$C$44</f>
        <v>0.45</v>
      </c>
      <c r="D673" s="63" t="n">
        <f aca="false">Pressupostos!$C$44</f>
        <v>0.45</v>
      </c>
      <c r="E673" s="63" t="n">
        <f aca="false">Pressupostos!$C$44</f>
        <v>0.45</v>
      </c>
      <c r="F673" s="63" t="n">
        <f aca="false">Pressupostos!$C$44</f>
        <v>0.45</v>
      </c>
      <c r="G673" s="63" t="n">
        <f aca="false">Pressupostos!$C$44</f>
        <v>0.45</v>
      </c>
      <c r="H673" s="2" t="s">
        <v>1147</v>
      </c>
    </row>
    <row r="674" customFormat="false" ht="15" hidden="false" customHeight="false" outlineLevel="1" collapsed="false">
      <c r="A674" s="7" t="s">
        <v>205</v>
      </c>
      <c r="B674" s="8" t="s">
        <v>59</v>
      </c>
      <c r="C674" s="63" t="n">
        <f aca="false">Pressupostos!$C$246</f>
        <v>0.1</v>
      </c>
      <c r="D674" s="63" t="n">
        <f aca="false">Pressupostos!$D$246</f>
        <v>0.09</v>
      </c>
      <c r="E674" s="63" t="n">
        <f aca="false">Pressupostos!$E$246</f>
        <v>0.08</v>
      </c>
      <c r="F674" s="63" t="n">
        <f aca="false">Pressupostos!$F$246</f>
        <v>0.08</v>
      </c>
      <c r="G674" s="63" t="n">
        <f aca="false">Pressupostos!$G$246</f>
        <v>0.08</v>
      </c>
      <c r="H674" s="2" t="s">
        <v>1148</v>
      </c>
    </row>
    <row r="675" customFormat="false" ht="15" hidden="false" customHeight="false" outlineLevel="1" collapsed="false">
      <c r="A675" s="7" t="s">
        <v>109</v>
      </c>
      <c r="B675" s="8" t="s">
        <v>59</v>
      </c>
      <c r="C675" s="63" t="n">
        <f aca="false">Pressupostos!$C$45</f>
        <v>0</v>
      </c>
      <c r="D675" s="63" t="n">
        <f aca="false">Pressupostos!$C$45</f>
        <v>0</v>
      </c>
      <c r="E675" s="63" t="n">
        <f aca="false">Pressupostos!$C$45</f>
        <v>0</v>
      </c>
      <c r="F675" s="63" t="n">
        <f aca="false">Pressupostos!$C$45</f>
        <v>0</v>
      </c>
      <c r="G675" s="63" t="n">
        <f aca="false">Pressupostos!$C$45</f>
        <v>0</v>
      </c>
      <c r="H675" s="2" t="s">
        <v>1149</v>
      </c>
    </row>
    <row r="676" customFormat="false" ht="15" hidden="false" customHeight="false" outlineLevel="1" collapsed="false">
      <c r="A676" s="7" t="s">
        <v>86</v>
      </c>
      <c r="B676" s="8" t="s">
        <v>74</v>
      </c>
      <c r="C676" s="65" t="n">
        <f aca="false">Pressupostos!$E$23</f>
        <v>25</v>
      </c>
      <c r="D676" s="65" t="n">
        <f aca="false">Pressupostos!$E$23</f>
        <v>25</v>
      </c>
      <c r="E676" s="65" t="n">
        <f aca="false">Pressupostos!$E$23</f>
        <v>25</v>
      </c>
      <c r="F676" s="65" t="n">
        <f aca="false">Pressupostos!$E$23</f>
        <v>25</v>
      </c>
      <c r="G676" s="65" t="n">
        <f aca="false">Pressupostos!$E$23</f>
        <v>25</v>
      </c>
      <c r="H676" s="2" t="s">
        <v>1150</v>
      </c>
    </row>
    <row r="677" customFormat="false" ht="15" hidden="false" customHeight="false" outlineLevel="1" collapsed="false">
      <c r="A677" s="7" t="s">
        <v>73</v>
      </c>
      <c r="B677" s="8" t="s">
        <v>74</v>
      </c>
      <c r="C677" s="65" t="n">
        <f aca="false">Pressupostos!$E$24</f>
        <v>40</v>
      </c>
      <c r="D677" s="65" t="n">
        <f aca="false">Pressupostos!$E$24</f>
        <v>40</v>
      </c>
      <c r="E677" s="65" t="n">
        <f aca="false">Pressupostos!$E$24</f>
        <v>40</v>
      </c>
      <c r="F677" s="65" t="n">
        <f aca="false">Pressupostos!$E$24</f>
        <v>40</v>
      </c>
      <c r="G677" s="65" t="n">
        <f aca="false">Pressupostos!$E$24</f>
        <v>40</v>
      </c>
      <c r="H677" s="2" t="s">
        <v>1151</v>
      </c>
    </row>
    <row r="678" customFormat="false" ht="15" hidden="false" customHeight="false" outlineLevel="1" collapsed="false">
      <c r="A678" s="7" t="s">
        <v>471</v>
      </c>
      <c r="B678" s="8" t="s">
        <v>59</v>
      </c>
      <c r="C678" s="60" t="n">
        <f aca="false">Pressupostos!$C$64*C676/30/1000</f>
        <v>0.00333333333333333</v>
      </c>
      <c r="D678" s="60" t="n">
        <f aca="false">Pressupostos!$C$64*D676/30/1000</f>
        <v>0.00333333333333333</v>
      </c>
      <c r="E678" s="60" t="n">
        <f aca="false">Pressupostos!$C$64*E676/30/1000</f>
        <v>0.00333333333333333</v>
      </c>
      <c r="F678" s="60" t="n">
        <f aca="false">Pressupostos!$C$64*F676/30/1000</f>
        <v>0.00333333333333333</v>
      </c>
      <c r="G678" s="60" t="n">
        <f aca="false">Pressupostos!$C$64*G676/30/1000</f>
        <v>0.00333333333333333</v>
      </c>
      <c r="H678" s="2" t="s">
        <v>1152</v>
      </c>
    </row>
    <row r="679" customFormat="false" ht="15" hidden="false" customHeight="false" outlineLevel="1" collapsed="false">
      <c r="A679" s="7" t="s">
        <v>154</v>
      </c>
      <c r="B679" s="8" t="s">
        <v>59</v>
      </c>
      <c r="C679" s="60" t="n">
        <f aca="false">C670*Pressupostos!$C$65*C676/365</f>
        <v>0.000486301369863014</v>
      </c>
      <c r="D679" s="60" t="n">
        <f aca="false">D670*Pressupostos!$C$65*D676/365</f>
        <v>0.000486301369863014</v>
      </c>
      <c r="E679" s="60" t="n">
        <f aca="false">E670*Pressupostos!$C$65*E676/365</f>
        <v>0.000486301369863014</v>
      </c>
      <c r="F679" s="60" t="n">
        <f aca="false">F670*Pressupostos!$C$65*F676/365</f>
        <v>0.000486301369863014</v>
      </c>
      <c r="G679" s="60" t="n">
        <f aca="false">G670*Pressupostos!$C$65*G676/365</f>
        <v>0.000486301369863014</v>
      </c>
      <c r="H679" s="2" t="s">
        <v>1153</v>
      </c>
    </row>
    <row r="680" customFormat="false" ht="15" hidden="false" customHeight="false" outlineLevel="1" collapsed="false">
      <c r="A680" s="7" t="s">
        <v>636</v>
      </c>
      <c r="B680" s="8" t="s">
        <v>59</v>
      </c>
      <c r="C680" s="60" t="n">
        <f aca="false">Pressupostos!$C$47*Pressupostos!$C$66/(Pressupostos!$C$46*1000)</f>
        <v>0.02</v>
      </c>
      <c r="D680" s="60" t="n">
        <f aca="false">Pressupostos!$C$47*Pressupostos!$C$66/(Pressupostos!$C$46*1000)</f>
        <v>0.02</v>
      </c>
      <c r="E680" s="60" t="n">
        <f aca="false">Pressupostos!$C$47*Pressupostos!$C$66/(Pressupostos!$C$46*1000)</f>
        <v>0.02</v>
      </c>
      <c r="F680" s="60" t="n">
        <f aca="false">Pressupostos!$C$47*Pressupostos!$C$66/(Pressupostos!$C$46*1000)</f>
        <v>0.02</v>
      </c>
      <c r="G680" s="60" t="n">
        <f aca="false">Pressupostos!$C$47*Pressupostos!$C$66/(Pressupostos!$C$46*1000)</f>
        <v>0.02</v>
      </c>
      <c r="H680" s="2" t="s">
        <v>1154</v>
      </c>
    </row>
    <row r="681" customFormat="false" ht="15" hidden="false" customHeight="false" outlineLevel="1" collapsed="false">
      <c r="A681" s="7" t="s">
        <v>473</v>
      </c>
      <c r="B681" s="8" t="s">
        <v>59</v>
      </c>
      <c r="C681" s="60" t="n">
        <f aca="false">Pressupostos!$C$67*C670</f>
        <v>0.01775</v>
      </c>
      <c r="D681" s="60" t="n">
        <f aca="false">Pressupostos!$C$67*D670</f>
        <v>0.01775</v>
      </c>
      <c r="E681" s="60" t="n">
        <f aca="false">Pressupostos!$C$67*E670</f>
        <v>0.01775</v>
      </c>
      <c r="F681" s="60" t="n">
        <f aca="false">Pressupostos!$C$67*F670</f>
        <v>0.01775</v>
      </c>
      <c r="G681" s="60" t="n">
        <f aca="false">Pressupostos!$C$67*G670</f>
        <v>0.01775</v>
      </c>
      <c r="H681" s="2" t="s">
        <v>1155</v>
      </c>
    </row>
    <row r="682" customFormat="false" ht="15" hidden="false" customHeight="false" outlineLevel="1" collapsed="false">
      <c r="A682" s="7" t="s">
        <v>474</v>
      </c>
      <c r="B682" s="8" t="s">
        <v>59</v>
      </c>
      <c r="C682" s="60" t="n">
        <f aca="false">Pressupostos!$C$68*Pressupostos!$C$69*C676/90</f>
        <v>0.0025</v>
      </c>
      <c r="D682" s="60" t="n">
        <f aca="false">Pressupostos!$C$68*Pressupostos!$C$69*D676/90</f>
        <v>0.0025</v>
      </c>
      <c r="E682" s="60" t="n">
        <f aca="false">Pressupostos!$C$68*Pressupostos!$C$69*E676/90</f>
        <v>0.0025</v>
      </c>
      <c r="F682" s="60" t="n">
        <f aca="false">Pressupostos!$C$68*Pressupostos!$C$69*F676/90</f>
        <v>0.0025</v>
      </c>
      <c r="G682" s="60" t="n">
        <f aca="false">Pressupostos!$C$68*Pressupostos!$C$69*G676/90</f>
        <v>0.0025</v>
      </c>
      <c r="H682" s="2" t="s">
        <v>1156</v>
      </c>
    </row>
    <row r="683" customFormat="false" ht="15" hidden="false" customHeight="false" outlineLevel="1" collapsed="false">
      <c r="A683" s="7" t="s">
        <v>637</v>
      </c>
      <c r="B683" s="8" t="s">
        <v>59</v>
      </c>
      <c r="C683" s="60" t="n">
        <f aca="false">Pressupostos!$C$48/(Pressupostos!$C$46*1000)</f>
        <v>0.04</v>
      </c>
      <c r="D683" s="60" t="n">
        <f aca="false">Pressupostos!$C$48/(Pressupostos!$C$46*1000)</f>
        <v>0.04</v>
      </c>
      <c r="E683" s="60" t="n">
        <f aca="false">Pressupostos!$C$48/(Pressupostos!$C$46*1000)</f>
        <v>0.04</v>
      </c>
      <c r="F683" s="60" t="n">
        <f aca="false">Pressupostos!$C$48/(Pressupostos!$C$46*1000)</f>
        <v>0.04</v>
      </c>
      <c r="G683" s="60" t="n">
        <f aca="false">Pressupostos!$C$48/(Pressupostos!$C$46*1000)</f>
        <v>0.04</v>
      </c>
      <c r="H683" s="2" t="s">
        <v>1157</v>
      </c>
    </row>
    <row r="684" customFormat="false" ht="15" hidden="false" customHeight="false" outlineLevel="1" collapsed="false">
      <c r="A684" s="7" t="s">
        <v>131</v>
      </c>
      <c r="B684" s="8" t="s">
        <v>59</v>
      </c>
      <c r="C684" s="63" t="n">
        <f aca="false">Pressupostos!$C$49</f>
        <v>0.005</v>
      </c>
      <c r="D684" s="63" t="n">
        <f aca="false">Pressupostos!$C$49</f>
        <v>0.005</v>
      </c>
      <c r="E684" s="63" t="n">
        <f aca="false">Pressupostos!$C$49</f>
        <v>0.005</v>
      </c>
      <c r="F684" s="63" t="n">
        <f aca="false">Pressupostos!$C$49</f>
        <v>0.005</v>
      </c>
      <c r="G684" s="63" t="n">
        <f aca="false">Pressupostos!$C$49</f>
        <v>0.005</v>
      </c>
      <c r="H684" s="2" t="s">
        <v>1158</v>
      </c>
    </row>
    <row r="685" customFormat="false" ht="15" hidden="false" customHeight="false" outlineLevel="1" collapsed="false">
      <c r="A685" s="7" t="s">
        <v>76</v>
      </c>
      <c r="B685" s="8" t="s">
        <v>59</v>
      </c>
      <c r="C685" s="60" t="n">
        <f aca="false">Pressupostos!$E$25*C672</f>
        <v>0.0135</v>
      </c>
      <c r="D685" s="60" t="n">
        <f aca="false">Pressupostos!$E$25*D672</f>
        <v>0.0135</v>
      </c>
      <c r="E685" s="60" t="n">
        <f aca="false">Pressupostos!$E$25*E672</f>
        <v>0.0135</v>
      </c>
      <c r="F685" s="60" t="n">
        <f aca="false">Pressupostos!$E$25*F672</f>
        <v>0.0135</v>
      </c>
      <c r="G685" s="60" t="n">
        <f aca="false">Pressupostos!$E$25*G672</f>
        <v>0.0135</v>
      </c>
      <c r="H685" s="2" t="s">
        <v>1159</v>
      </c>
    </row>
    <row r="686" customFormat="false" ht="15" hidden="false" customHeight="false" outlineLevel="1" collapsed="false">
      <c r="A686" s="7" t="s">
        <v>638</v>
      </c>
      <c r="B686" s="8" t="s">
        <v>59</v>
      </c>
      <c r="C686" s="60" t="n">
        <f aca="false">Pressupostos!$C$71*C672</f>
        <v>0</v>
      </c>
      <c r="D686" s="60" t="n">
        <f aca="false">Pressupostos!$C$71*D672</f>
        <v>0</v>
      </c>
      <c r="E686" s="60" t="n">
        <f aca="false">Pressupostos!$C$71*E672</f>
        <v>0</v>
      </c>
      <c r="F686" s="60" t="n">
        <f aca="false">Pressupostos!$C$71*F672</f>
        <v>0</v>
      </c>
      <c r="G686" s="60" t="n">
        <f aca="false">Pressupostos!$C$71*G672</f>
        <v>0</v>
      </c>
      <c r="H686" s="2" t="s">
        <v>1160</v>
      </c>
    </row>
    <row r="687" customFormat="false" ht="15" hidden="false" customHeight="false" outlineLevel="1" collapsed="false">
      <c r="A687" s="7" t="s">
        <v>639</v>
      </c>
      <c r="B687" s="8" t="s">
        <v>59</v>
      </c>
      <c r="C687" s="60" t="n">
        <f aca="false">Pressupostos!$C$284*(C670+C673)*(C676+C677-Pressupostos!$C$70)/365*Pressupostos!$C$278/Pressupostos!$E$31</f>
        <v>0</v>
      </c>
      <c r="D687" s="60" t="n">
        <f aca="false">Pressupostos!$D$284*(D670+D673)*(D676+D677-Pressupostos!$C$70)/365*Pressupostos!$D$278/Pressupostos!$E$31</f>
        <v>0.0304593070104754</v>
      </c>
      <c r="E687" s="60" t="n">
        <f aca="false">Pressupostos!$E$284*(E670+E673)*(E676+E677-Pressupostos!$C$70)/365*Pressupostos!$E$278/Pressupostos!$E$31</f>
        <v>0.0284286865431104</v>
      </c>
      <c r="F687" s="60" t="n">
        <f aca="false">Pressupostos!$F$284*(F670+F673)*(F676+F677-Pressupostos!$C$70)/365*Pressupostos!$F$278/Pressupostos!$E$31</f>
        <v>0.0263980660757454</v>
      </c>
      <c r="G687" s="60" t="n">
        <f aca="false">Pressupostos!$G$284*(G670+G673)*(G676+G677-Pressupostos!$C$70)/365*Pressupostos!$G$278/Pressupostos!$E$31</f>
        <v>0.0263980660757454</v>
      </c>
      <c r="H687" s="2" t="s">
        <v>1161</v>
      </c>
    </row>
    <row r="688" customFormat="false" ht="15" hidden="false" customHeight="false" outlineLevel="1" collapsed="false">
      <c r="A688" s="7" t="s">
        <v>640</v>
      </c>
      <c r="B688" s="8" t="s">
        <v>59</v>
      </c>
      <c r="C688" s="60" t="n">
        <f aca="false">C670+C673+C674+C675+C678+C679+C680+C681+C682+C683+C684+C685+C686+C687</f>
        <v>4.2025696347032</v>
      </c>
      <c r="D688" s="60" t="n">
        <f aca="false">D670+D673+D674+D675+D678+D679+D680+D681+D682+D683+D684+D685+D686+D687</f>
        <v>4.22302894171367</v>
      </c>
      <c r="E688" s="60" t="n">
        <f aca="false">E670+E673+E674+E675+E678+E679+E680+E681+E682+E683+E684+E685+E686+E687</f>
        <v>4.21099832124631</v>
      </c>
      <c r="F688" s="60" t="n">
        <f aca="false">F670+F673+F674+F675+F678+F679+F680+F681+F682+F683+F684+F685+F686+F687</f>
        <v>4.20896770077894</v>
      </c>
      <c r="G688" s="60" t="n">
        <f aca="false">G670+G673+G674+G675+G678+G679+G680+G681+G682+G683+G684+G685+G686+G687</f>
        <v>4.20896770077894</v>
      </c>
      <c r="H688" s="2" t="s">
        <v>1162</v>
      </c>
    </row>
    <row r="689" customFormat="false" ht="15" hidden="false" customHeight="false" outlineLevel="1" collapsed="false">
      <c r="A689" s="52" t="s">
        <v>641</v>
      </c>
      <c r="B689" s="53" t="s">
        <v>59</v>
      </c>
      <c r="C689" s="64" t="n">
        <f aca="false">C672-C688</f>
        <v>0.297430365296805</v>
      </c>
      <c r="D689" s="64" t="n">
        <f aca="false">D672-D688</f>
        <v>0.276971058286329</v>
      </c>
      <c r="E689" s="64" t="n">
        <f aca="false">E672-E688</f>
        <v>0.289001678753694</v>
      </c>
      <c r="F689" s="64" t="n">
        <f aca="false">F672-F688</f>
        <v>0.291032299221059</v>
      </c>
      <c r="G689" s="64" t="n">
        <f aca="false">G672-G688</f>
        <v>0.291032299221059</v>
      </c>
      <c r="H689" s="2" t="s">
        <v>1163</v>
      </c>
    </row>
    <row r="690" customFormat="false" ht="15" hidden="false" customHeight="false" outlineLevel="1" collapsed="false">
      <c r="A690" s="7" t="s">
        <v>642</v>
      </c>
      <c r="B690" s="8" t="s">
        <v>71</v>
      </c>
      <c r="C690" s="55" t="n">
        <f aca="false">IF(C672&gt;0,C689/C672,0)</f>
        <v>0.0660956367326233</v>
      </c>
      <c r="D690" s="55" t="n">
        <f aca="false">IF(D672&gt;0,D689/D672,0)</f>
        <v>0.0615491240636287</v>
      </c>
      <c r="E690" s="55" t="n">
        <f aca="false">IF(E672&gt;0,E689/E672,0)</f>
        <v>0.0642225952785987</v>
      </c>
      <c r="F690" s="55" t="n">
        <f aca="false">IF(F672&gt;0,F689/F672,0)</f>
        <v>0.0646738442713464</v>
      </c>
      <c r="G690" s="55" t="n">
        <f aca="false">IF(G672&gt;0,G689/G672,0)</f>
        <v>0.0646738442713464</v>
      </c>
      <c r="H690" s="2" t="s">
        <v>1164</v>
      </c>
    </row>
    <row r="691" customFormat="false" ht="15" hidden="false" customHeight="false" outlineLevel="1" collapsed="false">
      <c r="A691" s="7" t="s">
        <v>643</v>
      </c>
      <c r="B691" s="8" t="s">
        <v>59</v>
      </c>
      <c r="C691" s="60" t="n">
        <f aca="false">(C670+C673)*(C676-Pressupostos!$C$70)/365+C672*C677/365</f>
        <v>0.438356164383562</v>
      </c>
      <c r="D691" s="60" t="n">
        <f aca="false">(D670+D673)*(D676-Pressupostos!$C$70)/365+D672*D677/365</f>
        <v>0.438356164383562</v>
      </c>
      <c r="E691" s="60" t="n">
        <f aca="false">(E670+E673)*(E676-Pressupostos!$C$70)/365+E672*E677/365</f>
        <v>0.438356164383562</v>
      </c>
      <c r="F691" s="60" t="n">
        <f aca="false">(F670+F673)*(F676-Pressupostos!$C$70)/365+F672*F677/365</f>
        <v>0.438356164383562</v>
      </c>
      <c r="G691" s="60" t="n">
        <f aca="false">(G670+G673)*(G676-Pressupostos!$C$70)/365+G672*G677/365</f>
        <v>0.438356164383562</v>
      </c>
      <c r="H691" s="2" t="s">
        <v>1165</v>
      </c>
    </row>
    <row r="692" customFormat="false" ht="15" hidden="false" customHeight="false" outlineLevel="0" collapsed="false">
      <c r="A692" s="3" t="s">
        <v>1166</v>
      </c>
      <c r="B692" s="4"/>
      <c r="C692" s="4"/>
      <c r="D692" s="4"/>
      <c r="E692" s="4"/>
      <c r="F692" s="4"/>
      <c r="G692" s="4"/>
      <c r="H692" s="4"/>
    </row>
    <row r="693" customFormat="false" ht="15" hidden="false" customHeight="false" outlineLevel="1" collapsed="false">
      <c r="A693" s="7" t="s">
        <v>633</v>
      </c>
      <c r="B693" s="8" t="s">
        <v>59</v>
      </c>
      <c r="C693" s="60" t="n">
        <f aca="false">Pressupostos!$E$10+Pressupostos!$E$13</f>
        <v>3.5</v>
      </c>
      <c r="D693" s="60" t="n">
        <f aca="false">Pressupostos!$E$10+Pressupostos!$E$13</f>
        <v>3.5</v>
      </c>
      <c r="E693" s="60" t="n">
        <f aca="false">Pressupostos!$E$10+Pressupostos!$E$13</f>
        <v>3.5</v>
      </c>
      <c r="F693" s="60" t="n">
        <f aca="false">Pressupostos!$E$10+Pressupostos!$E$13</f>
        <v>3.5</v>
      </c>
      <c r="G693" s="60" t="n">
        <f aca="false">Pressupostos!$E$10+Pressupostos!$E$13</f>
        <v>3.5</v>
      </c>
      <c r="H693" s="2" t="s">
        <v>1167</v>
      </c>
    </row>
    <row r="694" customFormat="false" ht="15" hidden="false" customHeight="false" outlineLevel="1" collapsed="false">
      <c r="A694" s="7" t="s">
        <v>634</v>
      </c>
      <c r="B694" s="8" t="s">
        <v>59</v>
      </c>
      <c r="C694" s="60" t="n">
        <f aca="false">Pressupostos!$E$10+Pressupostos!$C$51</f>
        <v>3.65</v>
      </c>
      <c r="D694" s="60" t="n">
        <f aca="false">Pressupostos!$E$10+Pressupostos!$C$51</f>
        <v>3.65</v>
      </c>
      <c r="E694" s="60" t="n">
        <f aca="false">Pressupostos!$E$10+Pressupostos!$C$51</f>
        <v>3.65</v>
      </c>
      <c r="F694" s="60" t="n">
        <f aca="false">Pressupostos!$E$10+Pressupostos!$C$51</f>
        <v>3.65</v>
      </c>
      <c r="G694" s="60" t="n">
        <f aca="false">Pressupostos!$E$10+Pressupostos!$C$51</f>
        <v>3.65</v>
      </c>
      <c r="H694" s="2" t="s">
        <v>1168</v>
      </c>
    </row>
    <row r="695" customFormat="false" ht="15" hidden="false" customHeight="false" outlineLevel="1" collapsed="false">
      <c r="A695" s="52" t="s">
        <v>635</v>
      </c>
      <c r="B695" s="53" t="s">
        <v>59</v>
      </c>
      <c r="C695" s="64" t="n">
        <f aca="false">C694*(1-Pressupostos!$C$52)</f>
        <v>3.65</v>
      </c>
      <c r="D695" s="64" t="n">
        <f aca="false">D694*(1-Pressupostos!$C$52)</f>
        <v>3.65</v>
      </c>
      <c r="E695" s="64" t="n">
        <f aca="false">E694*(1-Pressupostos!$C$52)</f>
        <v>3.65</v>
      </c>
      <c r="F695" s="64" t="n">
        <f aca="false">F694*(1-Pressupostos!$C$52)</f>
        <v>3.65</v>
      </c>
      <c r="G695" s="64" t="n">
        <f aca="false">G694*(1-Pressupostos!$C$52)</f>
        <v>3.65</v>
      </c>
      <c r="H695" s="2" t="s">
        <v>1169</v>
      </c>
    </row>
    <row r="696" customFormat="false" ht="15" hidden="false" customHeight="false" outlineLevel="1" collapsed="false">
      <c r="A696" s="7" t="s">
        <v>136</v>
      </c>
      <c r="B696" s="8" t="s">
        <v>59</v>
      </c>
      <c r="C696" s="63" t="n">
        <f aca="false">Pressupostos!$C$53</f>
        <v>0</v>
      </c>
      <c r="D696" s="63" t="n">
        <f aca="false">Pressupostos!$C$53</f>
        <v>0</v>
      </c>
      <c r="E696" s="63" t="n">
        <f aca="false">Pressupostos!$C$53</f>
        <v>0</v>
      </c>
      <c r="F696" s="63" t="n">
        <f aca="false">Pressupostos!$C$53</f>
        <v>0</v>
      </c>
      <c r="G696" s="63" t="n">
        <f aca="false">Pressupostos!$C$53</f>
        <v>0</v>
      </c>
      <c r="H696" s="2" t="s">
        <v>1170</v>
      </c>
    </row>
    <row r="697" customFormat="false" ht="15" hidden="false" customHeight="false" outlineLevel="1" collapsed="false">
      <c r="A697" s="7" t="s">
        <v>205</v>
      </c>
      <c r="B697" s="8" t="s">
        <v>59</v>
      </c>
      <c r="C697" s="63" t="n">
        <f aca="false">Pressupostos!$C$54</f>
        <v>0.04</v>
      </c>
      <c r="D697" s="63" t="n">
        <f aca="false">Pressupostos!$C$54</f>
        <v>0.04</v>
      </c>
      <c r="E697" s="63" t="n">
        <f aca="false">Pressupostos!$C$54</f>
        <v>0.04</v>
      </c>
      <c r="F697" s="63" t="n">
        <f aca="false">Pressupostos!$C$54</f>
        <v>0.04</v>
      </c>
      <c r="G697" s="63" t="n">
        <f aca="false">Pressupostos!$C$54</f>
        <v>0.04</v>
      </c>
      <c r="H697" s="2" t="s">
        <v>1171</v>
      </c>
    </row>
    <row r="698" customFormat="false" ht="15" hidden="false" customHeight="false" outlineLevel="1" collapsed="false">
      <c r="A698" s="7" t="s">
        <v>109</v>
      </c>
      <c r="B698" s="8" t="s">
        <v>59</v>
      </c>
      <c r="C698" s="63" t="n">
        <f aca="false">Pressupostos!$C$55</f>
        <v>0</v>
      </c>
      <c r="D698" s="63" t="n">
        <f aca="false">Pressupostos!$C$55</f>
        <v>0</v>
      </c>
      <c r="E698" s="63" t="n">
        <f aca="false">Pressupostos!$C$55</f>
        <v>0</v>
      </c>
      <c r="F698" s="63" t="n">
        <f aca="false">Pressupostos!$C$55</f>
        <v>0</v>
      </c>
      <c r="G698" s="63" t="n">
        <f aca="false">Pressupostos!$C$55</f>
        <v>0</v>
      </c>
      <c r="H698" s="2" t="s">
        <v>1172</v>
      </c>
    </row>
    <row r="699" customFormat="false" ht="15" hidden="false" customHeight="false" outlineLevel="1" collapsed="false">
      <c r="A699" s="7" t="s">
        <v>86</v>
      </c>
      <c r="B699" s="8" t="s">
        <v>74</v>
      </c>
      <c r="C699" s="65" t="n">
        <f aca="false">Pressupostos!$C$56</f>
        <v>15</v>
      </c>
      <c r="D699" s="65" t="n">
        <f aca="false">Pressupostos!$C$56</f>
        <v>15</v>
      </c>
      <c r="E699" s="65" t="n">
        <f aca="false">Pressupostos!$C$56</f>
        <v>15</v>
      </c>
      <c r="F699" s="65" t="n">
        <f aca="false">Pressupostos!$C$56</f>
        <v>15</v>
      </c>
      <c r="G699" s="65" t="n">
        <f aca="false">Pressupostos!$C$56</f>
        <v>15</v>
      </c>
      <c r="H699" s="2" t="s">
        <v>1173</v>
      </c>
    </row>
    <row r="700" customFormat="false" ht="15" hidden="false" customHeight="false" outlineLevel="1" collapsed="false">
      <c r="A700" s="7" t="s">
        <v>73</v>
      </c>
      <c r="B700" s="8" t="s">
        <v>74</v>
      </c>
      <c r="C700" s="65" t="n">
        <f aca="false">Pressupostos!$C$57</f>
        <v>45</v>
      </c>
      <c r="D700" s="65" t="n">
        <f aca="false">Pressupostos!$C$57</f>
        <v>45</v>
      </c>
      <c r="E700" s="65" t="n">
        <f aca="false">Pressupostos!$C$57</f>
        <v>45</v>
      </c>
      <c r="F700" s="65" t="n">
        <f aca="false">Pressupostos!$C$57</f>
        <v>45</v>
      </c>
      <c r="G700" s="65" t="n">
        <f aca="false">Pressupostos!$C$57</f>
        <v>45</v>
      </c>
      <c r="H700" s="2" t="s">
        <v>1174</v>
      </c>
    </row>
    <row r="701" customFormat="false" ht="15" hidden="false" customHeight="false" outlineLevel="1" collapsed="false">
      <c r="A701" s="7" t="s">
        <v>471</v>
      </c>
      <c r="B701" s="8" t="s">
        <v>59</v>
      </c>
      <c r="C701" s="60" t="n">
        <f aca="false">Pressupostos!$C$64*C699/30/1000</f>
        <v>0.002</v>
      </c>
      <c r="D701" s="60" t="n">
        <f aca="false">Pressupostos!$C$64*D699/30/1000</f>
        <v>0.002</v>
      </c>
      <c r="E701" s="60" t="n">
        <f aca="false">Pressupostos!$C$64*E699/30/1000</f>
        <v>0.002</v>
      </c>
      <c r="F701" s="60" t="n">
        <f aca="false">Pressupostos!$C$64*F699/30/1000</f>
        <v>0.002</v>
      </c>
      <c r="G701" s="60" t="n">
        <f aca="false">Pressupostos!$C$64*G699/30/1000</f>
        <v>0.002</v>
      </c>
      <c r="H701" s="2" t="s">
        <v>1175</v>
      </c>
    </row>
    <row r="702" customFormat="false" ht="15" hidden="false" customHeight="false" outlineLevel="1" collapsed="false">
      <c r="A702" s="7" t="s">
        <v>154</v>
      </c>
      <c r="B702" s="8" t="s">
        <v>59</v>
      </c>
      <c r="C702" s="60" t="n">
        <f aca="false">C693*Pressupostos!$C$65*C699/365</f>
        <v>0.000287671232876712</v>
      </c>
      <c r="D702" s="60" t="n">
        <f aca="false">D693*Pressupostos!$C$65*D699/365</f>
        <v>0.000287671232876712</v>
      </c>
      <c r="E702" s="60" t="n">
        <f aca="false">E693*Pressupostos!$C$65*E699/365</f>
        <v>0.000287671232876712</v>
      </c>
      <c r="F702" s="60" t="n">
        <f aca="false">F693*Pressupostos!$C$65*F699/365</f>
        <v>0.000287671232876712</v>
      </c>
      <c r="G702" s="60" t="n">
        <f aca="false">G693*Pressupostos!$C$65*G699/365</f>
        <v>0.000287671232876712</v>
      </c>
      <c r="H702" s="2" t="s">
        <v>1176</v>
      </c>
    </row>
    <row r="703" customFormat="false" ht="15" hidden="false" customHeight="false" outlineLevel="1" collapsed="false">
      <c r="A703" s="7" t="s">
        <v>636</v>
      </c>
      <c r="B703" s="8" t="s">
        <v>59</v>
      </c>
      <c r="C703" s="60" t="n">
        <f aca="false">Pressupostos!$C$59*Pressupostos!$C$66/(Pressupostos!$C$58*1000)</f>
        <v>0.006</v>
      </c>
      <c r="D703" s="60" t="n">
        <f aca="false">Pressupostos!$C$59*Pressupostos!$C$66/(Pressupostos!$C$58*1000)</f>
        <v>0.006</v>
      </c>
      <c r="E703" s="60" t="n">
        <f aca="false">Pressupostos!$C$59*Pressupostos!$C$66/(Pressupostos!$C$58*1000)</f>
        <v>0.006</v>
      </c>
      <c r="F703" s="60" t="n">
        <f aca="false">Pressupostos!$C$59*Pressupostos!$C$66/(Pressupostos!$C$58*1000)</f>
        <v>0.006</v>
      </c>
      <c r="G703" s="60" t="n">
        <f aca="false">Pressupostos!$C$59*Pressupostos!$C$66/(Pressupostos!$C$58*1000)</f>
        <v>0.006</v>
      </c>
      <c r="H703" s="2" t="s">
        <v>1177</v>
      </c>
    </row>
    <row r="704" customFormat="false" ht="15" hidden="false" customHeight="false" outlineLevel="1" collapsed="false">
      <c r="A704" s="7" t="s">
        <v>473</v>
      </c>
      <c r="B704" s="8" t="s">
        <v>59</v>
      </c>
      <c r="C704" s="60" t="n">
        <f aca="false">Pressupostos!$C$67*C693</f>
        <v>0.0175</v>
      </c>
      <c r="D704" s="60" t="n">
        <f aca="false">Pressupostos!$C$67*D693</f>
        <v>0.0175</v>
      </c>
      <c r="E704" s="60" t="n">
        <f aca="false">Pressupostos!$C$67*E693</f>
        <v>0.0175</v>
      </c>
      <c r="F704" s="60" t="n">
        <f aca="false">Pressupostos!$C$67*F693</f>
        <v>0.0175</v>
      </c>
      <c r="G704" s="60" t="n">
        <f aca="false">Pressupostos!$C$67*G693</f>
        <v>0.0175</v>
      </c>
      <c r="H704" s="2" t="s">
        <v>1178</v>
      </c>
    </row>
    <row r="705" customFormat="false" ht="15" hidden="false" customHeight="false" outlineLevel="1" collapsed="false">
      <c r="A705" s="7" t="s">
        <v>474</v>
      </c>
      <c r="B705" s="8" t="s">
        <v>59</v>
      </c>
      <c r="C705" s="60" t="n">
        <f aca="false">Pressupostos!$C$68*Pressupostos!$C$69*C699/90</f>
        <v>0.0015</v>
      </c>
      <c r="D705" s="60" t="n">
        <f aca="false">Pressupostos!$C$68*Pressupostos!$C$69*D699/90</f>
        <v>0.0015</v>
      </c>
      <c r="E705" s="60" t="n">
        <f aca="false">Pressupostos!$C$68*Pressupostos!$C$69*E699/90</f>
        <v>0.0015</v>
      </c>
      <c r="F705" s="60" t="n">
        <f aca="false">Pressupostos!$C$68*Pressupostos!$C$69*F699/90</f>
        <v>0.0015</v>
      </c>
      <c r="G705" s="60" t="n">
        <f aca="false">Pressupostos!$C$68*Pressupostos!$C$69*G699/90</f>
        <v>0.0015</v>
      </c>
      <c r="H705" s="2" t="s">
        <v>1179</v>
      </c>
    </row>
    <row r="706" customFormat="false" ht="15" hidden="false" customHeight="false" outlineLevel="1" collapsed="false">
      <c r="A706" s="7" t="s">
        <v>637</v>
      </c>
      <c r="B706" s="8" t="s">
        <v>59</v>
      </c>
      <c r="C706" s="60" t="n">
        <f aca="false">Pressupostos!$C$60/(Pressupostos!$C$58*1000)</f>
        <v>0.012</v>
      </c>
      <c r="D706" s="60" t="n">
        <f aca="false">Pressupostos!$C$60/(Pressupostos!$C$58*1000)</f>
        <v>0.012</v>
      </c>
      <c r="E706" s="60" t="n">
        <f aca="false">Pressupostos!$C$60/(Pressupostos!$C$58*1000)</f>
        <v>0.012</v>
      </c>
      <c r="F706" s="60" t="n">
        <f aca="false">Pressupostos!$C$60/(Pressupostos!$C$58*1000)</f>
        <v>0.012</v>
      </c>
      <c r="G706" s="60" t="n">
        <f aca="false">Pressupostos!$C$60/(Pressupostos!$C$58*1000)</f>
        <v>0.012</v>
      </c>
      <c r="H706" s="2" t="s">
        <v>1180</v>
      </c>
    </row>
    <row r="707" customFormat="false" ht="15" hidden="false" customHeight="false" outlineLevel="1" collapsed="false">
      <c r="A707" s="7" t="s">
        <v>131</v>
      </c>
      <c r="B707" s="8" t="s">
        <v>59</v>
      </c>
      <c r="C707" s="63" t="n">
        <f aca="false">Pressupostos!$C$61</f>
        <v>0.001</v>
      </c>
      <c r="D707" s="63" t="n">
        <f aca="false">Pressupostos!$C$61</f>
        <v>0.001</v>
      </c>
      <c r="E707" s="63" t="n">
        <f aca="false">Pressupostos!$C$61</f>
        <v>0.001</v>
      </c>
      <c r="F707" s="63" t="n">
        <f aca="false">Pressupostos!$C$61</f>
        <v>0.001</v>
      </c>
      <c r="G707" s="63" t="n">
        <f aca="false">Pressupostos!$C$61</f>
        <v>0.001</v>
      </c>
      <c r="H707" s="2" t="s">
        <v>1181</v>
      </c>
    </row>
    <row r="708" customFormat="false" ht="15" hidden="false" customHeight="false" outlineLevel="1" collapsed="false">
      <c r="A708" s="7" t="s">
        <v>76</v>
      </c>
      <c r="B708" s="8" t="s">
        <v>59</v>
      </c>
      <c r="C708" s="60" t="n">
        <f aca="false">Pressupostos!$C$62*C695</f>
        <v>0.01095</v>
      </c>
      <c r="D708" s="60" t="n">
        <f aca="false">Pressupostos!$C$62*D695</f>
        <v>0.01095</v>
      </c>
      <c r="E708" s="60" t="n">
        <f aca="false">Pressupostos!$C$62*E695</f>
        <v>0.01095</v>
      </c>
      <c r="F708" s="60" t="n">
        <f aca="false">Pressupostos!$C$62*F695</f>
        <v>0.01095</v>
      </c>
      <c r="G708" s="60" t="n">
        <f aca="false">Pressupostos!$C$62*G695</f>
        <v>0.01095</v>
      </c>
      <c r="H708" s="2" t="s">
        <v>1182</v>
      </c>
    </row>
    <row r="709" customFormat="false" ht="15" hidden="false" customHeight="false" outlineLevel="1" collapsed="false">
      <c r="A709" s="7" t="s">
        <v>638</v>
      </c>
      <c r="B709" s="8" t="s">
        <v>59</v>
      </c>
      <c r="C709" s="60" t="n">
        <f aca="false">Pressupostos!$C$71*C695</f>
        <v>0</v>
      </c>
      <c r="D709" s="60" t="n">
        <f aca="false">Pressupostos!$C$71*D695</f>
        <v>0</v>
      </c>
      <c r="E709" s="60" t="n">
        <f aca="false">Pressupostos!$C$71*E695</f>
        <v>0</v>
      </c>
      <c r="F709" s="60" t="n">
        <f aca="false">Pressupostos!$C$71*F695</f>
        <v>0</v>
      </c>
      <c r="G709" s="60" t="n">
        <f aca="false">Pressupostos!$C$71*G695</f>
        <v>0</v>
      </c>
      <c r="H709" s="2" t="s">
        <v>1183</v>
      </c>
    </row>
    <row r="710" customFormat="false" ht="15" hidden="false" customHeight="false" outlineLevel="1" collapsed="false">
      <c r="A710" s="7" t="s">
        <v>639</v>
      </c>
      <c r="B710" s="8" t="s">
        <v>59</v>
      </c>
      <c r="C710" s="60" t="n">
        <f aca="false">Pressupostos!$C$284*(C693+C696)*(C699+C700-Pressupostos!$C$70)/365*Pressupostos!$C$278/Pressupostos!$E$31</f>
        <v>0</v>
      </c>
      <c r="D710" s="60" t="n">
        <f aca="false">Pressupostos!$D$284*(D693+D696)*(D699+D700-Pressupostos!$C$70)/365*Pressupostos!$D$278/Pressupostos!$E$31</f>
        <v>0.0228444802578566</v>
      </c>
      <c r="E710" s="60" t="n">
        <f aca="false">Pressupostos!$E$284*(E693+E696)*(E699+E700-Pressupostos!$C$70)/365*Pressupostos!$E$278/Pressupostos!$E$31</f>
        <v>0.0213215149073328</v>
      </c>
      <c r="F710" s="60" t="n">
        <f aca="false">Pressupostos!$F$284*(F693+F696)*(F699+F700-Pressupostos!$C$70)/365*Pressupostos!$F$278/Pressupostos!$E$31</f>
        <v>0.019798549556809</v>
      </c>
      <c r="G710" s="60" t="n">
        <f aca="false">Pressupostos!$G$284*(G693+G696)*(G699+G700-Pressupostos!$C$70)/365*Pressupostos!$G$278/Pressupostos!$E$31</f>
        <v>0.019798549556809</v>
      </c>
      <c r="H710" s="2" t="s">
        <v>1184</v>
      </c>
    </row>
    <row r="711" customFormat="false" ht="15" hidden="false" customHeight="false" outlineLevel="1" collapsed="false">
      <c r="A711" s="7" t="s">
        <v>640</v>
      </c>
      <c r="B711" s="8" t="s">
        <v>59</v>
      </c>
      <c r="C711" s="60" t="n">
        <f aca="false">C693+C696+C697+C698+C701+C702+C703+C704+C705+C706+C707+C708+C709+C710</f>
        <v>3.59123767123288</v>
      </c>
      <c r="D711" s="60" t="n">
        <f aca="false">D693+D696+D697+D698+D701+D702+D703+D704+D705+D706+D707+D708+D709+D710</f>
        <v>3.61408215149073</v>
      </c>
      <c r="E711" s="60" t="n">
        <f aca="false">E693+E696+E697+E698+E701+E702+E703+E704+E705+E706+E707+E708+E709+E710</f>
        <v>3.61255918614021</v>
      </c>
      <c r="F711" s="60" t="n">
        <f aca="false">F693+F696+F697+F698+F701+F702+F703+F704+F705+F706+F707+F708+F709+F710</f>
        <v>3.61103622078969</v>
      </c>
      <c r="G711" s="60" t="n">
        <f aca="false">G693+G696+G697+G698+G701+G702+G703+G704+G705+G706+G707+G708+G709+G710</f>
        <v>3.61103622078969</v>
      </c>
      <c r="H711" s="2" t="s">
        <v>1185</v>
      </c>
    </row>
    <row r="712" customFormat="false" ht="15" hidden="false" customHeight="false" outlineLevel="1" collapsed="false">
      <c r="A712" s="52" t="s">
        <v>641</v>
      </c>
      <c r="B712" s="53" t="s">
        <v>59</v>
      </c>
      <c r="C712" s="64" t="n">
        <f aca="false">C695-C711</f>
        <v>0.058762328767124</v>
      </c>
      <c r="D712" s="64" t="n">
        <f aca="false">D695-D711</f>
        <v>0.0359178485092673</v>
      </c>
      <c r="E712" s="64" t="n">
        <f aca="false">E695-E711</f>
        <v>0.0374408138597913</v>
      </c>
      <c r="F712" s="64" t="n">
        <f aca="false">F695-F711</f>
        <v>0.0389637792103148</v>
      </c>
      <c r="G712" s="64" t="n">
        <f aca="false">G695-G711</f>
        <v>0.0389637792103148</v>
      </c>
      <c r="H712" s="2" t="s">
        <v>1186</v>
      </c>
    </row>
    <row r="713" customFormat="false" ht="15" hidden="false" customHeight="false" outlineLevel="1" collapsed="false">
      <c r="A713" s="7" t="s">
        <v>642</v>
      </c>
      <c r="B713" s="8" t="s">
        <v>71</v>
      </c>
      <c r="C713" s="55" t="n">
        <f aca="false">IF(C695&gt;0,C712/C695,0)</f>
        <v>0.0160992681553764</v>
      </c>
      <c r="D713" s="55" t="n">
        <f aca="false">IF(D695&gt;0,D712/D695,0)</f>
        <v>0.00984050644089514</v>
      </c>
      <c r="E713" s="55" t="n">
        <f aca="false">IF(E695&gt;0,E712/E695,0)</f>
        <v>0.0102577572218606</v>
      </c>
      <c r="F713" s="55" t="n">
        <f aca="false">IF(F695&gt;0,F712/F695,0)</f>
        <v>0.010675008002826</v>
      </c>
      <c r="G713" s="55" t="n">
        <f aca="false">IF(G695&gt;0,G712/G695,0)</f>
        <v>0.010675008002826</v>
      </c>
      <c r="H713" s="2" t="s">
        <v>1187</v>
      </c>
    </row>
    <row r="714" customFormat="false" ht="15" hidden="false" customHeight="false" outlineLevel="1" collapsed="false">
      <c r="A714" s="7" t="s">
        <v>643</v>
      </c>
      <c r="B714" s="8" t="s">
        <v>59</v>
      </c>
      <c r="C714" s="60" t="n">
        <f aca="false">(C693+C696)*(C699-Pressupostos!$C$70)/365+C695*C700/365</f>
        <v>0.306164383561644</v>
      </c>
      <c r="D714" s="60" t="n">
        <f aca="false">(D693+D696)*(D699-Pressupostos!$C$70)/365+D695*D700/365</f>
        <v>0.306164383561644</v>
      </c>
      <c r="E714" s="60" t="n">
        <f aca="false">(E693+E696)*(E699-Pressupostos!$C$70)/365+E695*E700/365</f>
        <v>0.306164383561644</v>
      </c>
      <c r="F714" s="60" t="n">
        <f aca="false">(F693+F696)*(F699-Pressupostos!$C$70)/365+F695*F700/365</f>
        <v>0.306164383561644</v>
      </c>
      <c r="G714" s="60" t="n">
        <f aca="false">(G693+G696)*(G699-Pressupostos!$C$70)/365+G695*G700/365</f>
        <v>0.306164383561644</v>
      </c>
      <c r="H714" s="2" t="s">
        <v>1188</v>
      </c>
    </row>
    <row r="715" customFormat="false" ht="15" hidden="false" customHeight="false" outlineLevel="0" collapsed="false">
      <c r="A715" s="3" t="s">
        <v>1189</v>
      </c>
      <c r="B715" s="4"/>
      <c r="C715" s="4"/>
      <c r="D715" s="4"/>
      <c r="E715" s="4"/>
      <c r="F715" s="4"/>
      <c r="G715" s="4"/>
      <c r="H715" s="4"/>
    </row>
    <row r="716" customFormat="false" ht="15" hidden="false" customHeight="false" outlineLevel="1" collapsed="false">
      <c r="A716" s="7" t="s">
        <v>575</v>
      </c>
      <c r="B716" s="8" t="s">
        <v>10</v>
      </c>
      <c r="C716" s="58" t="n">
        <f aca="false">C631*1000*C649</f>
        <v>54000</v>
      </c>
      <c r="D716" s="58" t="n">
        <f aca="false">D631*1000*D649</f>
        <v>334800</v>
      </c>
      <c r="E716" s="58" t="n">
        <f aca="false">E631*1000*E649</f>
        <v>1107000</v>
      </c>
      <c r="F716" s="58" t="n">
        <f aca="false">F631*1000*F649</f>
        <v>2214000</v>
      </c>
      <c r="G716" s="58" t="n">
        <f aca="false">G631*1000*G649</f>
        <v>3321000</v>
      </c>
      <c r="H716" s="2" t="s">
        <v>1190</v>
      </c>
    </row>
    <row r="717" customFormat="false" ht="15" hidden="false" customHeight="false" outlineLevel="1" collapsed="false">
      <c r="A717" s="7" t="s">
        <v>576</v>
      </c>
      <c r="B717" s="8" t="s">
        <v>10</v>
      </c>
      <c r="C717" s="58" t="n">
        <f aca="false">C632*1000*C672</f>
        <v>315000</v>
      </c>
      <c r="D717" s="58" t="n">
        <f aca="false">D632*1000*D672</f>
        <v>2646000</v>
      </c>
      <c r="E717" s="58" t="n">
        <f aca="false">E632*1000*E672</f>
        <v>4927500</v>
      </c>
      <c r="F717" s="58" t="n">
        <f aca="false">F632*1000*F672</f>
        <v>8055000</v>
      </c>
      <c r="G717" s="58" t="n">
        <f aca="false">G632*1000*G672</f>
        <v>12082500</v>
      </c>
      <c r="H717" s="2" t="s">
        <v>1191</v>
      </c>
    </row>
    <row r="718" customFormat="false" ht="15" hidden="false" customHeight="false" outlineLevel="1" collapsed="false">
      <c r="A718" s="7" t="s">
        <v>577</v>
      </c>
      <c r="B718" s="8" t="s">
        <v>10</v>
      </c>
      <c r="C718" s="58" t="n">
        <f aca="false">C633*1000*C695</f>
        <v>0</v>
      </c>
      <c r="D718" s="58" t="n">
        <f aca="false">D633*1000*D695</f>
        <v>0</v>
      </c>
      <c r="E718" s="58" t="n">
        <f aca="false">E633*1000*E695</f>
        <v>0</v>
      </c>
      <c r="F718" s="58" t="n">
        <f aca="false">F633*1000*F695</f>
        <v>0</v>
      </c>
      <c r="G718" s="58" t="n">
        <f aca="false">G633*1000*G695</f>
        <v>0</v>
      </c>
      <c r="H718" s="2" t="s">
        <v>1192</v>
      </c>
    </row>
    <row r="719" customFormat="false" ht="15" hidden="false" customHeight="false" outlineLevel="1" collapsed="false">
      <c r="A719" s="7" t="s">
        <v>578</v>
      </c>
      <c r="B719" s="8" t="s">
        <v>10</v>
      </c>
      <c r="C719" s="58" t="n">
        <f aca="false">C716+C717+C718</f>
        <v>369000</v>
      </c>
      <c r="D719" s="58" t="n">
        <f aca="false">D716+D717+D718</f>
        <v>2980800</v>
      </c>
      <c r="E719" s="58" t="n">
        <f aca="false">E716+E717+E718</f>
        <v>6034500</v>
      </c>
      <c r="F719" s="58" t="n">
        <f aca="false">F716+F717+F718</f>
        <v>10269000</v>
      </c>
      <c r="G719" s="58" t="n">
        <f aca="false">G716+G717+G718</f>
        <v>15403500</v>
      </c>
      <c r="H719" s="2" t="s">
        <v>1193</v>
      </c>
    </row>
    <row r="720" customFormat="false" ht="15" hidden="false" customHeight="false" outlineLevel="1" collapsed="false">
      <c r="A720" s="7" t="s">
        <v>579</v>
      </c>
      <c r="B720" s="8" t="s">
        <v>10</v>
      </c>
      <c r="C720" s="58" t="n">
        <f aca="false">C642*1000*Pressupostos!$C$91</f>
        <v>0</v>
      </c>
      <c r="D720" s="58" t="n">
        <f aca="false">D642*1000*Pressupostos!$C$91</f>
        <v>157000</v>
      </c>
      <c r="E720" s="58" t="n">
        <f aca="false">E642*1000*Pressupostos!$C$91</f>
        <v>392500</v>
      </c>
      <c r="F720" s="58" t="n">
        <f aca="false">F642*1000*Pressupostos!$C$91</f>
        <v>785000</v>
      </c>
      <c r="G720" s="58" t="n">
        <f aca="false">G642*1000*Pressupostos!$C$91</f>
        <v>1256000</v>
      </c>
      <c r="H720" s="2" t="s">
        <v>1194</v>
      </c>
    </row>
    <row r="721" customFormat="false" ht="15" hidden="false" customHeight="false" outlineLevel="1" collapsed="false">
      <c r="A721" s="2" t="s">
        <v>580</v>
      </c>
      <c r="B721" s="8" t="s">
        <v>10</v>
      </c>
      <c r="C721" s="58" t="n">
        <f aca="false">C640*Pressupostos!$C$78*(1-Pressupostos!$C$79)</f>
        <v>48600</v>
      </c>
      <c r="D721" s="58" t="n">
        <f aca="false">D640*Pressupostos!$C$78*(1-Pressupostos!$C$79)</f>
        <v>216000</v>
      </c>
      <c r="E721" s="58" t="n">
        <f aca="false">E640*Pressupostos!$C$78*(1-Pressupostos!$C$79)</f>
        <v>405000</v>
      </c>
      <c r="F721" s="58" t="n">
        <f aca="false">F640*Pressupostos!$C$78*(1-Pressupostos!$C$79)</f>
        <v>594000</v>
      </c>
      <c r="G721" s="58" t="n">
        <f aca="false">G640*Pressupostos!$C$78*(1-Pressupostos!$C$79)</f>
        <v>810000</v>
      </c>
      <c r="H721" s="2" t="s">
        <v>1195</v>
      </c>
    </row>
    <row r="722" customFormat="false" ht="15" hidden="false" customHeight="false" outlineLevel="1" collapsed="false">
      <c r="A722" s="7" t="s">
        <v>581</v>
      </c>
      <c r="B722" s="8" t="s">
        <v>10</v>
      </c>
      <c r="C722" s="58" t="n">
        <f aca="false">C721*Pressupostos!$E$27</f>
        <v>1458</v>
      </c>
      <c r="D722" s="58" t="n">
        <f aca="false">D721*Pressupostos!$E$27</f>
        <v>6480</v>
      </c>
      <c r="E722" s="58" t="n">
        <f aca="false">E721*Pressupostos!$E$27</f>
        <v>12150</v>
      </c>
      <c r="F722" s="58" t="n">
        <f aca="false">F721*Pressupostos!$E$27</f>
        <v>17820</v>
      </c>
      <c r="G722" s="58" t="n">
        <f aca="false">G721*Pressupostos!$E$27</f>
        <v>24300</v>
      </c>
      <c r="H722" s="2" t="s">
        <v>1196</v>
      </c>
    </row>
    <row r="723" customFormat="false" ht="15" hidden="false" customHeight="false" outlineLevel="1" collapsed="false">
      <c r="A723" s="7" t="s">
        <v>582</v>
      </c>
      <c r="B723" s="8" t="s">
        <v>10</v>
      </c>
      <c r="C723" s="58" t="n">
        <f aca="false">C644*(Pressupostos!$C$99*Pressupostos!$C$100+Pressupostos!$C$101)</f>
        <v>0</v>
      </c>
      <c r="D723" s="58" t="n">
        <f aca="false">D644*(Pressupostos!$C$99*Pressupostos!$C$100+Pressupostos!$C$101)</f>
        <v>20000</v>
      </c>
      <c r="E723" s="58" t="n">
        <f aca="false">E644*(Pressupostos!$C$99*Pressupostos!$C$100+Pressupostos!$C$101)</f>
        <v>60000</v>
      </c>
      <c r="F723" s="58" t="n">
        <f aca="false">F644*(Pressupostos!$C$99*Pressupostos!$C$100+Pressupostos!$C$101)</f>
        <v>120000</v>
      </c>
      <c r="G723" s="58" t="n">
        <f aca="false">G644*(Pressupostos!$C$99*Pressupostos!$C$100+Pressupostos!$C$101)</f>
        <v>200000</v>
      </c>
      <c r="H723" s="2" t="s">
        <v>1197</v>
      </c>
    </row>
    <row r="724" customFormat="false" ht="15" hidden="false" customHeight="false" outlineLevel="1" collapsed="false">
      <c r="A724" s="7" t="s">
        <v>583</v>
      </c>
      <c r="B724" s="8" t="s">
        <v>10</v>
      </c>
      <c r="C724" s="50" t="n">
        <f aca="false">Pressupostos!$C$271</f>
        <v>0</v>
      </c>
      <c r="D724" s="50" t="n">
        <f aca="false">Pressupostos!$D$271</f>
        <v>0</v>
      </c>
      <c r="E724" s="50" t="n">
        <f aca="false">Pressupostos!$E$271</f>
        <v>10000</v>
      </c>
      <c r="F724" s="50" t="n">
        <f aca="false">Pressupostos!$F$271</f>
        <v>30000</v>
      </c>
      <c r="G724" s="50" t="n">
        <f aca="false">Pressupostos!$G$271</f>
        <v>60000</v>
      </c>
      <c r="H724" s="2" t="s">
        <v>1198</v>
      </c>
    </row>
    <row r="725" customFormat="false" ht="15" hidden="false" customHeight="false" outlineLevel="1" collapsed="false">
      <c r="A725" s="52" t="s">
        <v>584</v>
      </c>
      <c r="B725" s="53" t="s">
        <v>10</v>
      </c>
      <c r="C725" s="59" t="n">
        <f aca="false">C719+C720+C722+C723+C724</f>
        <v>370458</v>
      </c>
      <c r="D725" s="59" t="n">
        <f aca="false">D719+D720+D722+D723+D724</f>
        <v>3164280</v>
      </c>
      <c r="E725" s="59" t="n">
        <f aca="false">E719+E720+E722+E723+E724</f>
        <v>6509150</v>
      </c>
      <c r="F725" s="59" t="n">
        <f aca="false">F719+F720+F722+F723+F724</f>
        <v>11221820</v>
      </c>
      <c r="G725" s="59" t="n">
        <f aca="false">G719+G720+G722+G723+G724</f>
        <v>16943800</v>
      </c>
      <c r="H725" s="2" t="s">
        <v>1199</v>
      </c>
    </row>
    <row r="726" customFormat="false" ht="15" hidden="false" customHeight="false" outlineLevel="0" collapsed="false">
      <c r="A726" s="3" t="s">
        <v>1200</v>
      </c>
      <c r="B726" s="4"/>
      <c r="C726" s="4"/>
      <c r="D726" s="4"/>
      <c r="E726" s="4"/>
      <c r="F726" s="4"/>
      <c r="G726" s="4"/>
      <c r="H726" s="4"/>
    </row>
    <row r="727" customFormat="false" ht="15" hidden="false" customHeight="false" outlineLevel="1" collapsed="false">
      <c r="A727" s="52" t="s">
        <v>586</v>
      </c>
      <c r="B727" s="53" t="s">
        <v>10</v>
      </c>
      <c r="C727" s="59" t="n">
        <f aca="false">C719+C720+C721</f>
        <v>417600</v>
      </c>
      <c r="D727" s="59" t="n">
        <f aca="false">D719+D720+D721</f>
        <v>3353800</v>
      </c>
      <c r="E727" s="59" t="n">
        <f aca="false">E719+E720+E721</f>
        <v>6832000</v>
      </c>
      <c r="F727" s="59" t="n">
        <f aca="false">F719+F720+F721</f>
        <v>11648000</v>
      </c>
      <c r="G727" s="59" t="n">
        <f aca="false">G719+G720+G721</f>
        <v>17469500</v>
      </c>
      <c r="H727" s="2" t="s">
        <v>1201</v>
      </c>
    </row>
    <row r="728" customFormat="false" ht="15" hidden="false" customHeight="false" outlineLevel="1" collapsed="false">
      <c r="A728" s="7" t="s">
        <v>587</v>
      </c>
      <c r="B728" s="8" t="s">
        <v>10</v>
      </c>
      <c r="C728" s="58" t="n">
        <f aca="false">C631*1000*(C647+C650)+C632*1000*(C670+C673)+C633*1000*(C693+C696)+C642*1000*Pressupostos!$C$90</f>
        <v>321000</v>
      </c>
      <c r="D728" s="58" t="n">
        <f aca="false">D631*1000*(D647+D650)+D632*1000*(D670+D673)+D633*1000*(D693+D696)+D642*1000*Pressupostos!$C$90</f>
        <v>2746200</v>
      </c>
      <c r="E728" s="58" t="n">
        <f aca="false">E631*1000*(E647+E650)+E632*1000*(E670+E673)+E633*1000*(E693+E696)+E642*1000*Pressupostos!$C$90</f>
        <v>5570500</v>
      </c>
      <c r="F728" s="58" t="n">
        <f aca="false">F631*1000*(F647+F650)+F632*1000*(F670+F673)+F633*1000*(F693+F696)+F642*1000*Pressupostos!$C$90</f>
        <v>9541000</v>
      </c>
      <c r="G728" s="58" t="n">
        <f aca="false">G631*1000*(G647+G650)+G632*1000*(G670+G673)+G633*1000*(G693+G696)+G642*1000*Pressupostos!$C$90</f>
        <v>14381500</v>
      </c>
      <c r="H728" s="2" t="s">
        <v>1202</v>
      </c>
    </row>
    <row r="729" customFormat="false" ht="15" hidden="false" customHeight="false" outlineLevel="1" collapsed="false">
      <c r="A729" s="7" t="s">
        <v>588</v>
      </c>
      <c r="B729" s="8" t="s">
        <v>10</v>
      </c>
      <c r="C729" s="58" t="n">
        <f aca="false">C728*Pressupostos!$C$278</f>
        <v>0</v>
      </c>
      <c r="D729" s="58" t="n">
        <f aca="false">D728*Pressupostos!$D$278</f>
        <v>2471580</v>
      </c>
      <c r="E729" s="58" t="n">
        <f aca="false">E728*Pressupostos!$E$278</f>
        <v>5013450</v>
      </c>
      <c r="F729" s="58" t="n">
        <f aca="false">F728*Pressupostos!$F$278</f>
        <v>8586900</v>
      </c>
      <c r="G729" s="58" t="n">
        <f aca="false">G728*Pressupostos!$G$278</f>
        <v>12943350</v>
      </c>
      <c r="H729" s="2" t="s">
        <v>1203</v>
      </c>
    </row>
    <row r="730" customFormat="false" ht="15" hidden="false" customHeight="false" outlineLevel="0" collapsed="false">
      <c r="A730" s="3" t="s">
        <v>1204</v>
      </c>
      <c r="B730" s="4"/>
      <c r="C730" s="4"/>
      <c r="D730" s="4"/>
      <c r="E730" s="4"/>
      <c r="F730" s="4"/>
      <c r="G730" s="4"/>
      <c r="H730" s="4"/>
    </row>
    <row r="731" customFormat="false" ht="15" hidden="false" customHeight="false" outlineLevel="1" collapsed="false">
      <c r="A731" s="7" t="s">
        <v>590</v>
      </c>
      <c r="B731" s="8" t="s">
        <v>10</v>
      </c>
      <c r="C731" s="58" t="n">
        <f aca="false">C631*1000*C666</f>
        <v>7097.48630136987</v>
      </c>
      <c r="D731" s="58" t="n">
        <f aca="false">D631*1000*D666</f>
        <v>41677.4716357777</v>
      </c>
      <c r="E731" s="58" t="n">
        <f aca="false">E631*1000*E666</f>
        <v>153013.990531829</v>
      </c>
      <c r="F731" s="58" t="n">
        <f aca="false">F631*1000*F666</f>
        <v>311225.168815472</v>
      </c>
      <c r="G731" s="58" t="n">
        <f aca="false">G631*1000*G666</f>
        <v>466837.753223208</v>
      </c>
      <c r="H731" s="2" t="s">
        <v>1205</v>
      </c>
    </row>
    <row r="732" customFormat="false" ht="15" hidden="false" customHeight="false" outlineLevel="1" collapsed="false">
      <c r="A732" s="7" t="s">
        <v>591</v>
      </c>
      <c r="B732" s="8" t="s">
        <v>10</v>
      </c>
      <c r="C732" s="58" t="n">
        <f aca="false">C632*1000*C689</f>
        <v>20820.1255707763</v>
      </c>
      <c r="D732" s="58" t="n">
        <f aca="false">D632*1000*D689</f>
        <v>162858.982272362</v>
      </c>
      <c r="E732" s="58" t="n">
        <f aca="false">E632*1000*E689</f>
        <v>316456.838235295</v>
      </c>
      <c r="F732" s="58" t="n">
        <f aca="false">F632*1000*F689</f>
        <v>520947.815605696</v>
      </c>
      <c r="G732" s="58" t="n">
        <f aca="false">G632*1000*G689</f>
        <v>781421.723408543</v>
      </c>
      <c r="H732" s="2" t="s">
        <v>1206</v>
      </c>
    </row>
    <row r="733" customFormat="false" ht="15" hidden="false" customHeight="false" outlineLevel="1" collapsed="false">
      <c r="A733" s="7" t="s">
        <v>592</v>
      </c>
      <c r="B733" s="8" t="s">
        <v>10</v>
      </c>
      <c r="C733" s="58" t="n">
        <f aca="false">C633*1000*C712</f>
        <v>0</v>
      </c>
      <c r="D733" s="58" t="n">
        <f aca="false">D633*1000*D712</f>
        <v>0</v>
      </c>
      <c r="E733" s="58" t="n">
        <f aca="false">E633*1000*E712</f>
        <v>0</v>
      </c>
      <c r="F733" s="58" t="n">
        <f aca="false">F633*1000*F712</f>
        <v>0</v>
      </c>
      <c r="G733" s="58" t="n">
        <f aca="false">G633*1000*G712</f>
        <v>0</v>
      </c>
      <c r="H733" s="2" t="s">
        <v>1207</v>
      </c>
    </row>
    <row r="734" customFormat="false" ht="15" hidden="false" customHeight="false" outlineLevel="1" collapsed="false">
      <c r="A734" s="7" t="s">
        <v>593</v>
      </c>
      <c r="B734" s="8" t="s">
        <v>10</v>
      </c>
      <c r="C734" s="58" t="n">
        <f aca="false">C731+C732+C733</f>
        <v>27917.6118721462</v>
      </c>
      <c r="D734" s="58" t="n">
        <f aca="false">D731+D732+D733</f>
        <v>204536.453908139</v>
      </c>
      <c r="E734" s="58" t="n">
        <f aca="false">E731+E732+E733</f>
        <v>469470.828767124</v>
      </c>
      <c r="F734" s="58" t="n">
        <f aca="false">F731+F732+F733</f>
        <v>832172.984421167</v>
      </c>
      <c r="G734" s="58" t="n">
        <f aca="false">G731+G732+G733</f>
        <v>1248259.47663175</v>
      </c>
      <c r="H734" s="2" t="s">
        <v>1208</v>
      </c>
    </row>
    <row r="735" customFormat="false" ht="15" hidden="false" customHeight="false" outlineLevel="1" collapsed="false">
      <c r="A735" s="7" t="s">
        <v>594</v>
      </c>
      <c r="B735" s="8" t="s">
        <v>59</v>
      </c>
      <c r="C735" s="60" t="n">
        <f aca="false">IF(C634&gt;0,C734/(C634*1000),0)</f>
        <v>0.348970148401828</v>
      </c>
      <c r="D735" s="60" t="n">
        <f aca="false">IF(D634&gt;0,D734/(D634*1000),0)</f>
        <v>0.314671467550983</v>
      </c>
      <c r="E735" s="60" t="n">
        <f aca="false">IF(E634&gt;0,E734/(E634*1000),0)</f>
        <v>0.361131406743942</v>
      </c>
      <c r="F735" s="60" t="n">
        <f aca="false">IF(F634&gt;0,F734/(F634*1000),0)</f>
        <v>0.378260447464167</v>
      </c>
      <c r="G735" s="60" t="n">
        <f aca="false">IF(G634&gt;0,G734/(G634*1000),0)</f>
        <v>0.378260447464167</v>
      </c>
      <c r="H735" s="2" t="s">
        <v>1209</v>
      </c>
    </row>
    <row r="736" customFormat="false" ht="15" hidden="false" customHeight="false" outlineLevel="1" collapsed="false">
      <c r="A736" s="7" t="s">
        <v>595</v>
      </c>
      <c r="B736" s="8" t="s">
        <v>71</v>
      </c>
      <c r="C736" s="55" t="n">
        <f aca="false">IF(C719&gt;0,C734/C719,0)</f>
        <v>0.0756574847483637</v>
      </c>
      <c r="D736" s="55" t="n">
        <f aca="false">IF(D719&gt;0,D734/D719,0)</f>
        <v>0.0686179729965577</v>
      </c>
      <c r="E736" s="55" t="n">
        <f aca="false">IF(E719&gt;0,E734/E719,0)</f>
        <v>0.077797800773407</v>
      </c>
      <c r="F736" s="55" t="n">
        <f aca="false">IF(F719&gt;0,F734/F719,0)</f>
        <v>0.0810373925816698</v>
      </c>
      <c r="G736" s="55" t="n">
        <f aca="false">IF(G719&gt;0,G734/G719,0)</f>
        <v>0.0810373925816698</v>
      </c>
      <c r="H736" s="2" t="s">
        <v>1210</v>
      </c>
    </row>
    <row r="737" customFormat="false" ht="15" hidden="false" customHeight="false" outlineLevel="1" collapsed="false">
      <c r="A737" s="2" t="s">
        <v>596</v>
      </c>
      <c r="B737" s="8" t="s">
        <v>59</v>
      </c>
      <c r="C737" s="60" t="n">
        <f aca="false">Pressupostos!$C$284*Pressupostos!$C$90*(Pressupostos!$C$93+Pressupostos!$C$94-Pressupostos!$C$95)/365*Pressupostos!$C$278/Pressupostos!$E$31</f>
        <v>0</v>
      </c>
      <c r="D737" s="60" t="n">
        <f aca="false">Pressupostos!$D$284*Pressupostos!$C$90*(Pressupostos!$C$93+Pressupostos!$C$94-Pressupostos!$C$95)/365*Pressupostos!$D$278/Pressupostos!$E$31</f>
        <v>0.0685334407735697</v>
      </c>
      <c r="E737" s="60" t="n">
        <f aca="false">Pressupostos!$E$284*Pressupostos!$C$90*(Pressupostos!$C$93+Pressupostos!$C$94-Pressupostos!$C$95)/365*Pressupostos!$E$278/Pressupostos!$E$31</f>
        <v>0.0639645447219984</v>
      </c>
      <c r="F737" s="60" t="n">
        <f aca="false">Pressupostos!$F$284*Pressupostos!$C$90*(Pressupostos!$C$93+Pressupostos!$C$94-Pressupostos!$C$95)/365*Pressupostos!$F$278/Pressupostos!$E$31</f>
        <v>0.0593956486704271</v>
      </c>
      <c r="G737" s="60" t="n">
        <f aca="false">Pressupostos!$G$284*Pressupostos!$C$90*(Pressupostos!$C$93+Pressupostos!$C$94-Pressupostos!$C$95)/365*Pressupostos!$G$278/Pressupostos!$E$31</f>
        <v>0.0593956486704271</v>
      </c>
      <c r="H737" s="2" t="s">
        <v>1211</v>
      </c>
    </row>
    <row r="738" customFormat="false" ht="15" hidden="false" customHeight="false" outlineLevel="1" collapsed="false">
      <c r="A738" s="7" t="s">
        <v>567</v>
      </c>
      <c r="B738" s="8" t="s">
        <v>10</v>
      </c>
      <c r="C738" s="58" t="n">
        <f aca="false">C642*1000*(Pressupostos!$C$91-Pressupostos!$C$90-Pressupostos!$C$92-C737-Pressupostos!$C$96*Pressupostos!$C$91-Pressupostos!$C$97-Pressupostos!$E$29*Pressupostos!$C$90)</f>
        <v>0</v>
      </c>
      <c r="D738" s="58" t="n">
        <f aca="false">D642*1000*(Pressupostos!$C$91-Pressupostos!$C$90-Pressupostos!$C$92-D737-Pressupostos!$C$96*Pressupostos!$C$91-Pressupostos!$C$97-Pressupostos!$E$29*Pressupostos!$C$90)</f>
        <v>11087.3311845286</v>
      </c>
      <c r="E738" s="58" t="n">
        <f aca="false">E642*1000*(Pressupostos!$C$91-Pressupostos!$C$90-Pressupostos!$C$92-E737-Pressupostos!$C$96*Pressupostos!$C$91-Pressupostos!$C$97-Pressupostos!$E$29*Pressupostos!$C$90)</f>
        <v>27946.7727639001</v>
      </c>
      <c r="F738" s="58" t="n">
        <f aca="false">F642*1000*(Pressupostos!$C$91-Pressupostos!$C$90-Pressupostos!$C$92-F737-Pressupostos!$C$96*Pressupostos!$C$91-Pressupostos!$C$97-Pressupostos!$E$29*Pressupostos!$C$90)</f>
        <v>56350.4351329572</v>
      </c>
      <c r="G738" s="58" t="n">
        <f aca="false">G642*1000*(Pressupostos!$C$91-Pressupostos!$C$90-Pressupostos!$C$92-G737-Pressupostos!$C$96*Pressupostos!$C$91-Pressupostos!$C$97-Pressupostos!$E$29*Pressupostos!$C$90)</f>
        <v>90160.6962127316</v>
      </c>
      <c r="H738" s="2" t="s">
        <v>1212</v>
      </c>
    </row>
    <row r="739" customFormat="false" ht="15" hidden="false" customHeight="false" outlineLevel="1" collapsed="false">
      <c r="A739" s="7" t="s">
        <v>597</v>
      </c>
      <c r="B739" s="8" t="s">
        <v>10</v>
      </c>
      <c r="C739" s="58" t="n">
        <f aca="false">C722</f>
        <v>1458</v>
      </c>
      <c r="D739" s="58" t="n">
        <f aca="false">D722</f>
        <v>6480</v>
      </c>
      <c r="E739" s="58" t="n">
        <f aca="false">E722</f>
        <v>12150</v>
      </c>
      <c r="F739" s="58" t="n">
        <f aca="false">F722</f>
        <v>17820</v>
      </c>
      <c r="G739" s="58" t="n">
        <f aca="false">G722</f>
        <v>24300</v>
      </c>
      <c r="H739" s="2" t="s">
        <v>1213</v>
      </c>
    </row>
    <row r="740" customFormat="false" ht="15" hidden="false" customHeight="false" outlineLevel="1" collapsed="false">
      <c r="A740" s="7" t="s">
        <v>598</v>
      </c>
      <c r="B740" s="8" t="s">
        <v>10</v>
      </c>
      <c r="C740" s="58" t="n">
        <f aca="false">C723-C755</f>
        <v>0</v>
      </c>
      <c r="D740" s="58" t="n">
        <f aca="false">D723-D755</f>
        <v>3542.85714285715</v>
      </c>
      <c r="E740" s="58" t="n">
        <f aca="false">E723-E755</f>
        <v>10628.5714285714</v>
      </c>
      <c r="F740" s="58" t="n">
        <f aca="false">F723-F755</f>
        <v>21257.1428571429</v>
      </c>
      <c r="G740" s="58" t="n">
        <f aca="false">G723-G755</f>
        <v>35428.5714285714</v>
      </c>
      <c r="H740" s="2" t="s">
        <v>1214</v>
      </c>
    </row>
    <row r="741" customFormat="false" ht="15" hidden="false" customHeight="false" outlineLevel="1" collapsed="false">
      <c r="A741" s="7" t="s">
        <v>583</v>
      </c>
      <c r="B741" s="8" t="s">
        <v>10</v>
      </c>
      <c r="C741" s="58" t="n">
        <f aca="false">C724</f>
        <v>0</v>
      </c>
      <c r="D741" s="58" t="n">
        <f aca="false">D724</f>
        <v>0</v>
      </c>
      <c r="E741" s="58" t="n">
        <f aca="false">E724</f>
        <v>10000</v>
      </c>
      <c r="F741" s="58" t="n">
        <f aca="false">F724</f>
        <v>30000</v>
      </c>
      <c r="G741" s="58" t="n">
        <f aca="false">G724</f>
        <v>60000</v>
      </c>
      <c r="H741" s="2" t="s">
        <v>1215</v>
      </c>
    </row>
    <row r="742" customFormat="false" ht="15" hidden="false" customHeight="false" outlineLevel="1" collapsed="false">
      <c r="A742" s="52" t="s">
        <v>599</v>
      </c>
      <c r="B742" s="53" t="s">
        <v>10</v>
      </c>
      <c r="C742" s="59" t="n">
        <f aca="false">C734+C738+C739+C740+C741</f>
        <v>29375.6118721462</v>
      </c>
      <c r="D742" s="59" t="n">
        <f aca="false">D734+D738+D739+D740+D741</f>
        <v>225646.642235525</v>
      </c>
      <c r="E742" s="59" t="n">
        <f aca="false">E734+E738+E739+E740+E741</f>
        <v>530196.172959596</v>
      </c>
      <c r="F742" s="59" t="n">
        <f aca="false">F734+F738+F739+F740+F741</f>
        <v>957600.562411267</v>
      </c>
      <c r="G742" s="59" t="n">
        <f aca="false">G734+G738+G739+G740+G741</f>
        <v>1458148.74427305</v>
      </c>
      <c r="H742" s="2" t="s">
        <v>1216</v>
      </c>
    </row>
    <row r="743" customFormat="false" ht="15" hidden="false" customHeight="false" outlineLevel="0" collapsed="false">
      <c r="A743" s="3" t="s">
        <v>1217</v>
      </c>
      <c r="B743" s="4"/>
      <c r="C743" s="4"/>
      <c r="D743" s="4"/>
      <c r="E743" s="4"/>
      <c r="F743" s="4"/>
      <c r="G743" s="4"/>
      <c r="H743" s="4"/>
    </row>
    <row r="744" customFormat="false" ht="15" hidden="false" customHeight="false" outlineLevel="1" collapsed="false">
      <c r="A744" s="7" t="s">
        <v>647</v>
      </c>
      <c r="B744" s="8" t="s">
        <v>10</v>
      </c>
      <c r="C744" s="58" t="n">
        <f aca="false">C631*1000*(C647+C650)+C632*1000*(C670+C673)+C633*1000*(C693+C696)</f>
        <v>321000</v>
      </c>
      <c r="D744" s="58" t="n">
        <f aca="false">D631*1000*(D647+D650)+D632*1000*(D670+D673)+D633*1000*(D693+D696)</f>
        <v>2606200</v>
      </c>
      <c r="E744" s="58" t="n">
        <f aca="false">E631*1000*(E647+E650)+E632*1000*(E670+E673)+E633*1000*(E693+E696)</f>
        <v>5220500</v>
      </c>
      <c r="F744" s="58" t="n">
        <f aca="false">F631*1000*(F647+F650)+F632*1000*(F670+F673)+F633*1000*(F693+F696)</f>
        <v>8841000</v>
      </c>
      <c r="G744" s="58" t="n">
        <f aca="false">G631*1000*(G647+G650)+G632*1000*(G670+G673)+G633*1000*(G693+G696)</f>
        <v>13261500</v>
      </c>
      <c r="H744" s="2" t="s">
        <v>1218</v>
      </c>
    </row>
    <row r="745" customFormat="false" ht="15" hidden="false" customHeight="false" outlineLevel="1" collapsed="false">
      <c r="A745" s="7" t="s">
        <v>648</v>
      </c>
      <c r="B745" s="8" t="s">
        <v>10</v>
      </c>
      <c r="C745" s="58" t="n">
        <f aca="false">C642*1000*Pressupostos!$C$90</f>
        <v>0</v>
      </c>
      <c r="D745" s="58" t="n">
        <f aca="false">D642*1000*Pressupostos!$C$90</f>
        <v>140000</v>
      </c>
      <c r="E745" s="58" t="n">
        <f aca="false">E642*1000*Pressupostos!$C$90</f>
        <v>350000</v>
      </c>
      <c r="F745" s="58" t="n">
        <f aca="false">F642*1000*Pressupostos!$C$90</f>
        <v>700000</v>
      </c>
      <c r="G745" s="58" t="n">
        <f aca="false">G642*1000*Pressupostos!$C$90</f>
        <v>1120000</v>
      </c>
      <c r="H745" s="2" t="s">
        <v>1219</v>
      </c>
    </row>
    <row r="746" customFormat="false" ht="15" hidden="false" customHeight="false" outlineLevel="1" collapsed="false">
      <c r="A746" s="7" t="s">
        <v>649</v>
      </c>
      <c r="B746" s="8" t="s">
        <v>10</v>
      </c>
      <c r="C746" s="58" t="n">
        <f aca="false">C744+C745</f>
        <v>321000</v>
      </c>
      <c r="D746" s="58" t="n">
        <f aca="false">D744+D745</f>
        <v>2746200</v>
      </c>
      <c r="E746" s="58" t="n">
        <f aca="false">E744+E745</f>
        <v>5570500</v>
      </c>
      <c r="F746" s="58" t="n">
        <f aca="false">F744+F745</f>
        <v>9541000</v>
      </c>
      <c r="G746" s="58" t="n">
        <f aca="false">G744+G745</f>
        <v>14381500</v>
      </c>
      <c r="H746" s="2" t="s">
        <v>1220</v>
      </c>
    </row>
    <row r="747" customFormat="false" ht="15" hidden="false" customHeight="false" outlineLevel="1" collapsed="false">
      <c r="A747" s="7" t="s">
        <v>205</v>
      </c>
      <c r="B747" s="8" t="s">
        <v>10</v>
      </c>
      <c r="C747" s="58" t="n">
        <f aca="false">C631*1000*(C651)+C632*1000*(C674)+C633*1000*(C697)+C642*1000*Pressupostos!$C$92</f>
        <v>10000</v>
      </c>
      <c r="D747" s="58" t="n">
        <f aca="false">D631*1000*(D651)+D632*1000*(D674)+D633*1000*(D697)+D642*1000*Pressupostos!$C$92</f>
        <v>73280</v>
      </c>
      <c r="E747" s="58" t="n">
        <f aca="false">E631*1000*(E651)+E632*1000*(E674)+E633*1000*(E697)+E642*1000*Pressupostos!$C$92</f>
        <v>148400</v>
      </c>
      <c r="F747" s="58" t="n">
        <f aca="false">F631*1000*(F651)+F632*1000*(F674)+F633*1000*(F697)+F642*1000*Pressupostos!$C$92</f>
        <v>260700</v>
      </c>
      <c r="G747" s="58" t="n">
        <f aca="false">G631*1000*(G651)+G632*1000*(G674)+G633*1000*(G697)+G642*1000*Pressupostos!$C$92</f>
        <v>392550</v>
      </c>
      <c r="H747" s="2" t="s">
        <v>1221</v>
      </c>
    </row>
    <row r="748" customFormat="false" ht="15" hidden="false" customHeight="false" outlineLevel="1" collapsed="false">
      <c r="A748" s="7" t="s">
        <v>109</v>
      </c>
      <c r="B748" s="8" t="s">
        <v>10</v>
      </c>
      <c r="C748" s="58" t="n">
        <f aca="false">C631*1000*(C652)+C632*1000*(C675)+C633*1000*(C698)</f>
        <v>600</v>
      </c>
      <c r="D748" s="58" t="n">
        <f aca="false">D631*1000*(D652)+D632*1000*(D675)+D633*1000*(D698)</f>
        <v>3720</v>
      </c>
      <c r="E748" s="58" t="n">
        <f aca="false">E631*1000*(E652)+E632*1000*(E675)+E633*1000*(E698)</f>
        <v>12300</v>
      </c>
      <c r="F748" s="58" t="n">
        <f aca="false">F631*1000*(F652)+F632*1000*(F675)+F633*1000*(F698)</f>
        <v>24600</v>
      </c>
      <c r="G748" s="58" t="n">
        <f aca="false">G631*1000*(G652)+G632*1000*(G675)+G633*1000*(G698)</f>
        <v>36900</v>
      </c>
      <c r="H748" s="2" t="s">
        <v>1222</v>
      </c>
    </row>
    <row r="749" customFormat="false" ht="15" hidden="false" customHeight="false" outlineLevel="1" collapsed="false">
      <c r="A749" s="7" t="s">
        <v>650</v>
      </c>
      <c r="B749" s="8" t="s">
        <v>10</v>
      </c>
      <c r="C749" s="58" t="n">
        <f aca="false">C631*1000*(C655+C656)+C632*1000*(C678+C679)+C633*1000*(C701+C702)</f>
        <v>542.388127853881</v>
      </c>
      <c r="D749" s="58" t="n">
        <f aca="false">D631*1000*(D655+D656)+D632*1000*(D678+D679)+D633*1000*(D701+D702)</f>
        <v>3098.48767123288</v>
      </c>
      <c r="E749" s="58" t="n">
        <f aca="false">E631*1000*(E655+E656)+E632*1000*(E678+E679)+E633*1000*(E701+E702)</f>
        <v>5591.94520547945</v>
      </c>
      <c r="F749" s="58" t="n">
        <f aca="false">F631*1000*(F655+F656)+F632*1000*(F678+F679)+F633*1000*(F701+F702)</f>
        <v>9656.03652968037</v>
      </c>
      <c r="G749" s="58" t="n">
        <f aca="false">G631*1000*(G655+G656)+G632*1000*(G678+G679)+G633*1000*(G701+G702)</f>
        <v>14484.0547945205</v>
      </c>
      <c r="H749" s="2" t="s">
        <v>1223</v>
      </c>
    </row>
    <row r="750" customFormat="false" ht="15" hidden="false" customHeight="false" outlineLevel="1" collapsed="false">
      <c r="A750" s="7" t="s">
        <v>651</v>
      </c>
      <c r="B750" s="8" t="s">
        <v>10</v>
      </c>
      <c r="C750" s="58" t="n">
        <f aca="false">C631*1000*(C657+C658+C659)+C632*1000*(C680+C681+C682)+C633*1000*(C703+C704+C705)</f>
        <v>3475</v>
      </c>
      <c r="D750" s="58" t="n">
        <f aca="false">D631*1000*(D657+D658+D659)+D632*1000*(D680+D681+D682)+D633*1000*(D703+D704+D705)</f>
        <v>27185.5</v>
      </c>
      <c r="E750" s="58" t="n">
        <f aca="false">E631*1000*(E657+E658+E659)+E632*1000*(E680+E681+E682)+E633*1000*(E703+E704+E705)</f>
        <v>54785</v>
      </c>
      <c r="F750" s="58" t="n">
        <f aca="false">F631*1000*(F657+F658+F659)+F632*1000*(F680+F681+F682)+F633*1000*(F703+F704+F705)</f>
        <v>93470</v>
      </c>
      <c r="G750" s="58" t="n">
        <f aca="false">G631*1000*(G657+G658+G659)+G632*1000*(G680+G681+G682)+G633*1000*(G703+G704+G705)</f>
        <v>140205</v>
      </c>
      <c r="H750" s="2" t="s">
        <v>1224</v>
      </c>
    </row>
    <row r="751" customFormat="false" ht="15" hidden="false" customHeight="false" outlineLevel="1" collapsed="false">
      <c r="A751" s="7" t="s">
        <v>637</v>
      </c>
      <c r="B751" s="8" t="s">
        <v>10</v>
      </c>
      <c r="C751" s="58" t="n">
        <f aca="false">C631*1000*(C660)+C632*1000*(C683)+C633*1000*(C706)</f>
        <v>3800</v>
      </c>
      <c r="D751" s="58" t="n">
        <f aca="false">D631*1000*(D660)+D632*1000*(D683)+D633*1000*(D706)</f>
        <v>29720</v>
      </c>
      <c r="E751" s="58" t="n">
        <f aca="false">E631*1000*(E660)+E632*1000*(E683)+E633*1000*(E706)</f>
        <v>64300</v>
      </c>
      <c r="F751" s="58" t="n">
        <f aca="false">F631*1000*(F660)+F632*1000*(F683)+F633*1000*(F706)</f>
        <v>112600</v>
      </c>
      <c r="G751" s="58" t="n">
        <f aca="false">G631*1000*(G660)+G632*1000*(G683)+G633*1000*(G706)</f>
        <v>168900</v>
      </c>
      <c r="H751" s="2" t="s">
        <v>1225</v>
      </c>
    </row>
    <row r="752" customFormat="false" ht="15" hidden="false" customHeight="false" outlineLevel="1" collapsed="false">
      <c r="A752" s="7" t="s">
        <v>652</v>
      </c>
      <c r="B752" s="8" t="s">
        <v>10</v>
      </c>
      <c r="C752" s="58" t="n">
        <f aca="false">C631*1000*(C661)+C632*1000*(C684)+C633*1000*(C707)+C642*1000*Pressupostos!$C$97</f>
        <v>450</v>
      </c>
      <c r="D752" s="58" t="n">
        <f aca="false">D631*1000*(D661)+D632*1000*(D684)+D633*1000*(D707)+D642*1000*Pressupostos!$C$97</f>
        <v>4160</v>
      </c>
      <c r="E752" s="58" t="n">
        <f aca="false">E631*1000*(E661)+E632*1000*(E684)+E633*1000*(E707)+E642*1000*Pressupostos!$C$97</f>
        <v>9025</v>
      </c>
      <c r="F752" s="58" t="n">
        <f aca="false">F631*1000*(F661)+F632*1000*(F684)+F633*1000*(F707)+F642*1000*Pressupostos!$C$97</f>
        <v>16050</v>
      </c>
      <c r="G752" s="58" t="n">
        <f aca="false">G631*1000*(G661)+G632*1000*(G684)+G633*1000*(G707)+G642*1000*Pressupostos!$C$97</f>
        <v>24375</v>
      </c>
      <c r="H752" s="2" t="s">
        <v>1226</v>
      </c>
    </row>
    <row r="753" customFormat="false" ht="15" hidden="false" customHeight="false" outlineLevel="1" collapsed="false">
      <c r="A753" s="7" t="s">
        <v>76</v>
      </c>
      <c r="B753" s="8" t="s">
        <v>10</v>
      </c>
      <c r="C753" s="58" t="n">
        <f aca="false">C631*1000*(C662)+C632*1000*(C685)+C633*1000*(C708)+C642*1000*Pressupostos!$C$96*Pressupostos!$C$91</f>
        <v>1215</v>
      </c>
      <c r="D753" s="58" t="n">
        <f aca="false">D631*1000*(D662)+D632*1000*(D685)+D633*1000*(D708)+D642*1000*Pressupostos!$C$96*Pressupostos!$C$91</f>
        <v>10554</v>
      </c>
      <c r="E753" s="58" t="n">
        <f aca="false">E631*1000*(E662)+E632*1000*(E685)+E633*1000*(E708)+E642*1000*Pressupostos!$C$96*Pressupostos!$C$91</f>
        <v>22672.5</v>
      </c>
      <c r="F753" s="58" t="n">
        <f aca="false">F631*1000*(F662)+F632*1000*(F685)+F633*1000*(F708)+F642*1000*Pressupostos!$C$96*Pressupostos!$C$91</f>
        <v>39945</v>
      </c>
      <c r="G753" s="58" t="n">
        <f aca="false">G631*1000*(G662)+G632*1000*(G685)+G633*1000*(G708)+G642*1000*Pressupostos!$C$96*Pressupostos!$C$91</f>
        <v>60388.5</v>
      </c>
      <c r="H753" s="2" t="s">
        <v>1227</v>
      </c>
    </row>
    <row r="754" customFormat="false" ht="15" hidden="false" customHeight="false" outlineLevel="1" collapsed="false">
      <c r="A754" s="7" t="s">
        <v>653</v>
      </c>
      <c r="B754" s="8" t="s">
        <v>10</v>
      </c>
      <c r="C754" s="58" t="n">
        <f aca="false">C631*1000*(C663)+C632*1000*(C686)+C633*1000*(C709)+C642*1000*Pressupostos!$E$29*Pressupostos!$C$90</f>
        <v>0</v>
      </c>
      <c r="D754" s="58" t="n">
        <f aca="false">D631*1000*(D663)+D632*1000*(D686)+D633*1000*(D709)+D642*1000*Pressupostos!$E$29*Pressupostos!$C$90</f>
        <v>0</v>
      </c>
      <c r="E754" s="58" t="n">
        <f aca="false">E631*1000*(E663)+E632*1000*(E686)+E633*1000*(E709)+E642*1000*Pressupostos!$E$29*Pressupostos!$C$90</f>
        <v>0</v>
      </c>
      <c r="F754" s="58" t="n">
        <f aca="false">F631*1000*(F663)+F632*1000*(F686)+F633*1000*(F709)+F642*1000*Pressupostos!$E$29*Pressupostos!$C$90</f>
        <v>0</v>
      </c>
      <c r="G754" s="58" t="n">
        <f aca="false">G631*1000*(G663)+G632*1000*(G686)+G633*1000*(G709)+G642*1000*Pressupostos!$E$29*Pressupostos!$C$90</f>
        <v>0</v>
      </c>
      <c r="H754" s="2" t="s">
        <v>1228</v>
      </c>
    </row>
    <row r="755" customFormat="false" ht="15" hidden="false" customHeight="false" outlineLevel="1" collapsed="false">
      <c r="A755" s="7" t="s">
        <v>654</v>
      </c>
      <c r="B755" s="8" t="s">
        <v>10</v>
      </c>
      <c r="C755" s="58" t="n">
        <f aca="false">C645*1000*Pressupostos!$C$102*Pressupostos!$E$30</f>
        <v>0</v>
      </c>
      <c r="D755" s="58" t="n">
        <f aca="false">D645*1000*Pressupostos!$C$102*Pressupostos!$E$30</f>
        <v>16457.1428571429</v>
      </c>
      <c r="E755" s="58" t="n">
        <f aca="false">E645*1000*Pressupostos!$C$102*Pressupostos!$E$30</f>
        <v>49371.4285714286</v>
      </c>
      <c r="F755" s="58" t="n">
        <f aca="false">F645*1000*Pressupostos!$C$102*Pressupostos!$E$30</f>
        <v>98742.8571428571</v>
      </c>
      <c r="G755" s="58" t="n">
        <f aca="false">G645*1000*Pressupostos!$C$102*Pressupostos!$E$30</f>
        <v>164571.428571429</v>
      </c>
      <c r="H755" s="2" t="s">
        <v>1229</v>
      </c>
    </row>
    <row r="756" customFormat="false" ht="15" hidden="false" customHeight="false" outlineLevel="1" collapsed="false">
      <c r="A756" s="7" t="s">
        <v>655</v>
      </c>
      <c r="B756" s="8" t="s">
        <v>10</v>
      </c>
      <c r="C756" s="58" t="n">
        <f aca="false">C747+C748+C749+C750+C751+C752+C753+C754+C755</f>
        <v>20082.3881278539</v>
      </c>
      <c r="D756" s="58" t="n">
        <f aca="false">D747+D748+D749+D750+D751+D752+D753+D754+D755</f>
        <v>168175.130528376</v>
      </c>
      <c r="E756" s="58" t="n">
        <f aca="false">E747+E748+E749+E750+E751+E752+E753+E754+E755</f>
        <v>366445.873776908</v>
      </c>
      <c r="F756" s="58" t="n">
        <f aca="false">F747+F748+F749+F750+F751+F752+F753+F754+F755</f>
        <v>655763.893672538</v>
      </c>
      <c r="G756" s="58" t="n">
        <f aca="false">G747+G748+G749+G750+G751+G752+G753+G754+G755</f>
        <v>1002373.98336595</v>
      </c>
      <c r="H756" s="2" t="s">
        <v>1230</v>
      </c>
    </row>
    <row r="757" customFormat="false" ht="15" hidden="false" customHeight="false" outlineLevel="1" collapsed="false">
      <c r="A757" s="7" t="s">
        <v>656</v>
      </c>
      <c r="B757" s="8" t="s">
        <v>10</v>
      </c>
      <c r="C757" s="58" t="n">
        <f aca="false">C631*1000*(C664)+C632*1000*(C687)+C633*1000*(C710)</f>
        <v>0</v>
      </c>
      <c r="D757" s="58" t="n">
        <f aca="false">D631*1000*(D664)+D632*1000*(D687)+D633*1000*(D710)</f>
        <v>22887.5584206285</v>
      </c>
      <c r="E757" s="58" t="n">
        <f aca="false">E631*1000*(E664)+E632*1000*(E687)+E633*1000*(E710)</f>
        <v>38809.7260273973</v>
      </c>
      <c r="F757" s="58" t="n">
        <f aca="false">F631*1000*(F664)+F632*1000*(F687)+F633*1000*(F710)</f>
        <v>61515.9790491539</v>
      </c>
      <c r="G757" s="58" t="n">
        <f aca="false">G631*1000*(G664)+G632*1000*(G687)+G633*1000*(G710)</f>
        <v>92273.9685737309</v>
      </c>
      <c r="H757" s="2" t="s">
        <v>1231</v>
      </c>
    </row>
    <row r="758" customFormat="false" ht="15" hidden="false" customHeight="false" outlineLevel="1" collapsed="false">
      <c r="A758" s="7" t="s">
        <v>657</v>
      </c>
      <c r="B758" s="8" t="s">
        <v>10</v>
      </c>
      <c r="C758" s="58" t="n">
        <f aca="false">C642*1000*C737</f>
        <v>0</v>
      </c>
      <c r="D758" s="58" t="n">
        <f aca="false">D642*1000*D737</f>
        <v>1370.66881547139</v>
      </c>
      <c r="E758" s="58" t="n">
        <f aca="false">E642*1000*E737</f>
        <v>3198.22723609992</v>
      </c>
      <c r="F758" s="58" t="n">
        <f aca="false">F642*1000*F737</f>
        <v>5939.56486704271</v>
      </c>
      <c r="G758" s="58" t="n">
        <f aca="false">G642*1000*G737</f>
        <v>9503.30378726833</v>
      </c>
      <c r="H758" s="2" t="s">
        <v>1232</v>
      </c>
    </row>
    <row r="759" customFormat="false" ht="15" hidden="false" customHeight="false" outlineLevel="1" collapsed="false">
      <c r="A759" s="7" t="s">
        <v>658</v>
      </c>
      <c r="B759" s="8" t="s">
        <v>10</v>
      </c>
      <c r="C759" s="58" t="n">
        <f aca="false">C757+C758</f>
        <v>0</v>
      </c>
      <c r="D759" s="58" t="n">
        <f aca="false">D757+D758</f>
        <v>24258.2272360999</v>
      </c>
      <c r="E759" s="58" t="n">
        <f aca="false">E757+E758</f>
        <v>42007.9532634972</v>
      </c>
      <c r="F759" s="58" t="n">
        <f aca="false">F757+F758</f>
        <v>67455.5439161966</v>
      </c>
      <c r="G759" s="58" t="n">
        <f aca="false">G757+G758</f>
        <v>101777.272360999</v>
      </c>
      <c r="H759" s="2" t="s">
        <v>1233</v>
      </c>
    </row>
    <row r="760" customFormat="false" ht="15" hidden="false" customHeight="false" outlineLevel="1" collapsed="false">
      <c r="A760" s="8" t="s">
        <v>659</v>
      </c>
      <c r="B760" s="8" t="s">
        <v>10</v>
      </c>
      <c r="C760" s="66" t="n">
        <f aca="false">ROUND(C725-C746-C756-C759-C742,6)</f>
        <v>0</v>
      </c>
      <c r="D760" s="66" t="n">
        <f aca="false">ROUND(D725-D746-D756-D759-D742,6)</f>
        <v>0</v>
      </c>
      <c r="E760" s="66" t="n">
        <f aca="false">ROUND(E725-E746-E756-E759-E742,6)</f>
        <v>0</v>
      </c>
      <c r="F760" s="66" t="n">
        <f aca="false">ROUND(F725-F746-F756-F759-F742,6)</f>
        <v>0</v>
      </c>
      <c r="G760" s="66" t="n">
        <f aca="false">ROUND(G725-G746-G756-G759-G742,6)</f>
        <v>0</v>
      </c>
      <c r="H760" s="2" t="s">
        <v>1234</v>
      </c>
    </row>
    <row r="761" customFormat="false" ht="15" hidden="false" customHeight="false" outlineLevel="0" collapsed="false">
      <c r="A761" s="3" t="s">
        <v>1235</v>
      </c>
      <c r="B761" s="4"/>
      <c r="C761" s="4"/>
      <c r="D761" s="4"/>
      <c r="E761" s="4"/>
      <c r="F761" s="4"/>
      <c r="G761" s="4"/>
      <c r="H761" s="4"/>
    </row>
    <row r="762" customFormat="false" ht="15" hidden="false" customHeight="false" outlineLevel="1" collapsed="false">
      <c r="A762" s="7" t="s">
        <v>602</v>
      </c>
      <c r="B762" s="8" t="s">
        <v>413</v>
      </c>
      <c r="C762" s="61" t="n">
        <f aca="false">Pressupostos!$C$316</f>
        <v>1</v>
      </c>
      <c r="D762" s="61" t="n">
        <f aca="false">Pressupostos!$D$316</f>
        <v>1</v>
      </c>
      <c r="E762" s="61" t="n">
        <f aca="false">Pressupostos!$E$316</f>
        <v>1</v>
      </c>
      <c r="F762" s="61" t="n">
        <f aca="false">Pressupostos!$F$316</f>
        <v>1</v>
      </c>
      <c r="G762" s="61" t="n">
        <f aca="false">Pressupostos!$G$316</f>
        <v>1</v>
      </c>
      <c r="H762" s="2" t="s">
        <v>1236</v>
      </c>
    </row>
    <row r="763" customFormat="false" ht="15" hidden="false" customHeight="false" outlineLevel="1" collapsed="false">
      <c r="A763" s="7" t="s">
        <v>603</v>
      </c>
      <c r="B763" s="8" t="s">
        <v>413</v>
      </c>
      <c r="C763" s="61" t="n">
        <f aca="false">Pressupostos!$C$322</f>
        <v>1</v>
      </c>
      <c r="D763" s="61" t="n">
        <f aca="false">Pressupostos!$D$322</f>
        <v>1</v>
      </c>
      <c r="E763" s="61" t="n">
        <f aca="false">Pressupostos!$E$322</f>
        <v>1</v>
      </c>
      <c r="F763" s="61" t="n">
        <f aca="false">Pressupostos!$F$322</f>
        <v>1</v>
      </c>
      <c r="G763" s="61" t="n">
        <f aca="false">Pressupostos!$G$322</f>
        <v>1</v>
      </c>
      <c r="H763" s="2" t="s">
        <v>1237</v>
      </c>
    </row>
    <row r="764" customFormat="false" ht="15" hidden="false" customHeight="false" outlineLevel="1" collapsed="false">
      <c r="A764" s="7" t="s">
        <v>604</v>
      </c>
      <c r="B764" s="8" t="s">
        <v>413</v>
      </c>
      <c r="C764" s="61" t="n">
        <f aca="false">Pressupostos!$C$328</f>
        <v>1</v>
      </c>
      <c r="D764" s="61" t="n">
        <f aca="false">Pressupostos!$D$328</f>
        <v>2</v>
      </c>
      <c r="E764" s="61" t="n">
        <f aca="false">Pressupostos!$E$328</f>
        <v>3</v>
      </c>
      <c r="F764" s="61" t="n">
        <f aca="false">Pressupostos!$F$328</f>
        <v>4</v>
      </c>
      <c r="G764" s="61" t="n">
        <f aca="false">Pressupostos!$G$328</f>
        <v>4</v>
      </c>
      <c r="H764" s="2" t="s">
        <v>1238</v>
      </c>
    </row>
    <row r="765" customFormat="false" ht="15" hidden="false" customHeight="false" outlineLevel="1" collapsed="false">
      <c r="A765" s="7" t="s">
        <v>605</v>
      </c>
      <c r="B765" s="8" t="s">
        <v>413</v>
      </c>
      <c r="C765" s="61" t="n">
        <f aca="false">Pressupostos!$C$334</f>
        <v>1</v>
      </c>
      <c r="D765" s="61" t="n">
        <f aca="false">Pressupostos!$D$334</f>
        <v>1</v>
      </c>
      <c r="E765" s="61" t="n">
        <f aca="false">Pressupostos!$E$334</f>
        <v>1</v>
      </c>
      <c r="F765" s="61" t="n">
        <f aca="false">Pressupostos!$F$334</f>
        <v>1</v>
      </c>
      <c r="G765" s="61" t="n">
        <f aca="false">Pressupostos!$G$334</f>
        <v>1</v>
      </c>
      <c r="H765" s="2" t="s">
        <v>1239</v>
      </c>
    </row>
    <row r="766" customFormat="false" ht="15" hidden="false" customHeight="false" outlineLevel="1" collapsed="false">
      <c r="A766" s="7" t="s">
        <v>606</v>
      </c>
      <c r="B766" s="8" t="s">
        <v>413</v>
      </c>
      <c r="C766" s="61" t="n">
        <f aca="false">Pressupostos!$C$340</f>
        <v>0.5</v>
      </c>
      <c r="D766" s="61" t="n">
        <f aca="false">Pressupostos!$D$340</f>
        <v>1</v>
      </c>
      <c r="E766" s="61" t="n">
        <f aca="false">Pressupostos!$E$340</f>
        <v>1</v>
      </c>
      <c r="F766" s="61" t="n">
        <f aca="false">Pressupostos!$F$340</f>
        <v>1</v>
      </c>
      <c r="G766" s="61" t="n">
        <f aca="false">Pressupostos!$G$340</f>
        <v>2</v>
      </c>
      <c r="H766" s="2" t="s">
        <v>1240</v>
      </c>
    </row>
    <row r="767" customFormat="false" ht="15" hidden="false" customHeight="false" outlineLevel="1" collapsed="false">
      <c r="A767" s="7" t="s">
        <v>607</v>
      </c>
      <c r="B767" s="8" t="s">
        <v>413</v>
      </c>
      <c r="C767" s="61" t="n">
        <f aca="false">Pressupostos!$C$346</f>
        <v>1</v>
      </c>
      <c r="D767" s="61" t="n">
        <f aca="false">Pressupostos!$D$346</f>
        <v>2</v>
      </c>
      <c r="E767" s="61" t="n">
        <f aca="false">Pressupostos!$E$346</f>
        <v>2</v>
      </c>
      <c r="F767" s="61" t="n">
        <f aca="false">Pressupostos!$F$346</f>
        <v>3</v>
      </c>
      <c r="G767" s="61" t="n">
        <f aca="false">Pressupostos!$G$346</f>
        <v>4</v>
      </c>
      <c r="H767" s="2" t="s">
        <v>1241</v>
      </c>
    </row>
    <row r="768" customFormat="false" ht="15" hidden="false" customHeight="false" outlineLevel="1" collapsed="false">
      <c r="A768" s="7" t="s">
        <v>608</v>
      </c>
      <c r="B768" s="8" t="s">
        <v>413</v>
      </c>
      <c r="C768" s="61" t="n">
        <f aca="false">Pressupostos!$C$352</f>
        <v>0.5</v>
      </c>
      <c r="D768" s="61" t="n">
        <f aca="false">Pressupostos!$D$352</f>
        <v>1</v>
      </c>
      <c r="E768" s="61" t="n">
        <f aca="false">Pressupostos!$E$352</f>
        <v>1</v>
      </c>
      <c r="F768" s="61" t="n">
        <f aca="false">Pressupostos!$F$352</f>
        <v>1</v>
      </c>
      <c r="G768" s="61" t="n">
        <f aca="false">Pressupostos!$G$352</f>
        <v>2</v>
      </c>
      <c r="H768" s="2" t="s">
        <v>1242</v>
      </c>
    </row>
    <row r="769" customFormat="false" ht="15" hidden="false" customHeight="false" outlineLevel="1" collapsed="false">
      <c r="A769" s="7" t="s">
        <v>609</v>
      </c>
      <c r="B769" s="8" t="s">
        <v>413</v>
      </c>
      <c r="C769" s="61" t="n">
        <f aca="false">Pressupostos!$C$358</f>
        <v>1</v>
      </c>
      <c r="D769" s="61" t="n">
        <f aca="false">Pressupostos!$D$358</f>
        <v>2</v>
      </c>
      <c r="E769" s="61" t="n">
        <f aca="false">Pressupostos!$E$358</f>
        <v>3</v>
      </c>
      <c r="F769" s="61" t="n">
        <f aca="false">Pressupostos!$F$358</f>
        <v>5</v>
      </c>
      <c r="G769" s="61" t="n">
        <f aca="false">Pressupostos!$G$358</f>
        <v>8</v>
      </c>
      <c r="H769" s="2" t="s">
        <v>1243</v>
      </c>
    </row>
    <row r="770" customFormat="false" ht="15" hidden="false" customHeight="false" outlineLevel="1" collapsed="false">
      <c r="A770" s="7" t="s">
        <v>610</v>
      </c>
      <c r="B770" s="8" t="s">
        <v>413</v>
      </c>
      <c r="C770" s="61" t="n">
        <f aca="false">Pressupostos!$C$364</f>
        <v>0</v>
      </c>
      <c r="D770" s="61" t="n">
        <f aca="false">Pressupostos!$D$364</f>
        <v>0</v>
      </c>
      <c r="E770" s="61" t="n">
        <f aca="false">Pressupostos!$E$364</f>
        <v>1</v>
      </c>
      <c r="F770" s="61" t="n">
        <f aca="false">Pressupostos!$F$364</f>
        <v>1</v>
      </c>
      <c r="G770" s="61" t="n">
        <f aca="false">Pressupostos!$G$364</f>
        <v>1</v>
      </c>
      <c r="H770" s="2" t="s">
        <v>1244</v>
      </c>
    </row>
    <row r="771" customFormat="false" ht="15" hidden="false" customHeight="false" outlineLevel="1" collapsed="false">
      <c r="A771" s="7" t="s">
        <v>611</v>
      </c>
      <c r="B771" s="8" t="s">
        <v>413</v>
      </c>
      <c r="C771" s="61" t="n">
        <f aca="false">Pressupostos!$C$370</f>
        <v>0</v>
      </c>
      <c r="D771" s="61" t="n">
        <f aca="false">Pressupostos!$D$370</f>
        <v>0</v>
      </c>
      <c r="E771" s="61" t="n">
        <f aca="false">Pressupostos!$E$370</f>
        <v>1</v>
      </c>
      <c r="F771" s="61" t="n">
        <f aca="false">Pressupostos!$F$370</f>
        <v>1</v>
      </c>
      <c r="G771" s="61" t="n">
        <f aca="false">Pressupostos!$G$370</f>
        <v>1</v>
      </c>
      <c r="H771" s="2" t="s">
        <v>1245</v>
      </c>
    </row>
    <row r="772" customFormat="false" ht="15" hidden="false" customHeight="false" outlineLevel="1" collapsed="false">
      <c r="A772" s="7" t="s">
        <v>612</v>
      </c>
      <c r="B772" s="8" t="s">
        <v>413</v>
      </c>
      <c r="C772" s="61" t="n">
        <f aca="false">Pressupostos!$C$376</f>
        <v>0</v>
      </c>
      <c r="D772" s="61" t="n">
        <f aca="false">Pressupostos!$D$376</f>
        <v>1</v>
      </c>
      <c r="E772" s="61" t="n">
        <f aca="false">Pressupostos!$E$376</f>
        <v>1</v>
      </c>
      <c r="F772" s="61" t="n">
        <f aca="false">Pressupostos!$F$376</f>
        <v>2</v>
      </c>
      <c r="G772" s="61" t="n">
        <f aca="false">Pressupostos!$G$376</f>
        <v>3</v>
      </c>
      <c r="H772" s="2" t="s">
        <v>1246</v>
      </c>
    </row>
    <row r="773" customFormat="false" ht="15" hidden="false" customHeight="false" outlineLevel="1" collapsed="false">
      <c r="A773" s="7" t="s">
        <v>613</v>
      </c>
      <c r="B773" s="8" t="s">
        <v>413</v>
      </c>
      <c r="C773" s="61" t="n">
        <f aca="false">Pressupostos!$C$382</f>
        <v>0</v>
      </c>
      <c r="D773" s="61" t="n">
        <f aca="false">Pressupostos!$D$382</f>
        <v>0</v>
      </c>
      <c r="E773" s="61" t="n">
        <f aca="false">Pressupostos!$E$382</f>
        <v>0</v>
      </c>
      <c r="F773" s="61" t="n">
        <f aca="false">Pressupostos!$F$382</f>
        <v>0</v>
      </c>
      <c r="G773" s="61" t="n">
        <f aca="false">Pressupostos!$G$382</f>
        <v>0</v>
      </c>
      <c r="H773" s="2" t="s">
        <v>1247</v>
      </c>
    </row>
    <row r="774" customFormat="false" ht="15" hidden="false" customHeight="false" outlineLevel="1" collapsed="false">
      <c r="A774" s="52" t="s">
        <v>614</v>
      </c>
      <c r="B774" s="53" t="s">
        <v>413</v>
      </c>
      <c r="C774" s="62" t="n">
        <f aca="false">C762+C763+C764+C765+C766+C767+C768+C769+C770+C771+C772+C773</f>
        <v>7</v>
      </c>
      <c r="D774" s="62" t="n">
        <f aca="false">D762+D763+D764+D765+D766+D767+D768+D769+D770+D771+D772+D773</f>
        <v>12</v>
      </c>
      <c r="E774" s="62" t="n">
        <f aca="false">E762+E763+E764+E765+E766+E767+E768+E769+E770+E771+E772+E773</f>
        <v>16</v>
      </c>
      <c r="F774" s="62" t="n">
        <f aca="false">F762+F763+F764+F765+F766+F767+F768+F769+F770+F771+F772+F773</f>
        <v>21</v>
      </c>
      <c r="G774" s="62" t="n">
        <f aca="false">G762+G763+G764+G765+G766+G767+G768+G769+G770+G771+G772+G773</f>
        <v>28</v>
      </c>
      <c r="H774" s="2" t="s">
        <v>1248</v>
      </c>
    </row>
    <row r="775" customFormat="false" ht="15" hidden="false" customHeight="false" outlineLevel="0" collapsed="false">
      <c r="A775" s="3" t="s">
        <v>1249</v>
      </c>
      <c r="B775" s="4"/>
      <c r="C775" s="4"/>
      <c r="D775" s="4"/>
      <c r="E775" s="4"/>
      <c r="F775" s="4"/>
      <c r="G775" s="4"/>
      <c r="H775" s="4"/>
    </row>
    <row r="776" customFormat="false" ht="15" hidden="false" customHeight="false" outlineLevel="1" collapsed="false">
      <c r="A776" s="7" t="s">
        <v>602</v>
      </c>
      <c r="B776" s="8" t="s">
        <v>10</v>
      </c>
      <c r="C776" s="58" t="n">
        <f aca="false">C762*Pressupostos!$C$129*(1+Pressupostos!$C$125)^0*(1+Pressupostos!$C$130)*Pressupostos!$C$126</f>
        <v>43998</v>
      </c>
      <c r="D776" s="58" t="n">
        <f aca="false">D762*Pressupostos!$C$129*(1+Pressupostos!$C$125)^1*(1+Pressupostos!$C$130)</f>
        <v>61800</v>
      </c>
      <c r="E776" s="58" t="n">
        <f aca="false">E762*Pressupostos!$C$129*(1+Pressupostos!$C$125)^2*(1+Pressupostos!$C$130)</f>
        <v>63654</v>
      </c>
      <c r="F776" s="58" t="n">
        <f aca="false">F762*Pressupostos!$C$129*(1+Pressupostos!$C$125)^3*(1+Pressupostos!$C$130)</f>
        <v>65563.62</v>
      </c>
      <c r="G776" s="58" t="n">
        <f aca="false">G762*Pressupostos!$C$129*(1+Pressupostos!$C$125)^4*(1+Pressupostos!$C$130)</f>
        <v>67530.5286</v>
      </c>
      <c r="H776" s="2" t="s">
        <v>1250</v>
      </c>
    </row>
    <row r="777" customFormat="false" ht="15" hidden="false" customHeight="false" outlineLevel="1" collapsed="false">
      <c r="A777" s="7" t="s">
        <v>603</v>
      </c>
      <c r="B777" s="8" t="s">
        <v>10</v>
      </c>
      <c r="C777" s="58" t="n">
        <f aca="false">C763*Pressupostos!$C$131*(1+Pressupostos!$C$125)^0*(1+Pressupostos!$C$132)*Pressupostos!$C$126</f>
        <v>47664.5</v>
      </c>
      <c r="D777" s="58" t="n">
        <f aca="false">D763*Pressupostos!$C$131*(1+Pressupostos!$C$125)^1*(1+Pressupostos!$C$132)</f>
        <v>66950</v>
      </c>
      <c r="E777" s="58" t="n">
        <f aca="false">E763*Pressupostos!$C$131*(1+Pressupostos!$C$125)^2*(1+Pressupostos!$C$132)</f>
        <v>68958.5</v>
      </c>
      <c r="F777" s="58" t="n">
        <f aca="false">F763*Pressupostos!$C$131*(1+Pressupostos!$C$125)^3*(1+Pressupostos!$C$132)</f>
        <v>71027.255</v>
      </c>
      <c r="G777" s="58" t="n">
        <f aca="false">G763*Pressupostos!$C$131*(1+Pressupostos!$C$125)^4*(1+Pressupostos!$C$132)</f>
        <v>73158.07265</v>
      </c>
      <c r="H777" s="2" t="s">
        <v>1251</v>
      </c>
    </row>
    <row r="778" customFormat="false" ht="15" hidden="false" customHeight="false" outlineLevel="1" collapsed="false">
      <c r="A778" s="7" t="s">
        <v>604</v>
      </c>
      <c r="B778" s="8" t="s">
        <v>10</v>
      </c>
      <c r="C778" s="58" t="n">
        <f aca="false">C764*Pressupostos!$C$133*(1+Pressupostos!$C$125)^0*(1+Pressupostos!$C$134)</f>
        <v>45000</v>
      </c>
      <c r="D778" s="58" t="n">
        <f aca="false">D764*Pressupostos!$C$133*(1+Pressupostos!$C$125)^1*(1+Pressupostos!$C$134)</f>
        <v>92700</v>
      </c>
      <c r="E778" s="58" t="n">
        <f aca="false">E764*Pressupostos!$C$133*(1+Pressupostos!$C$125)^2*(1+Pressupostos!$C$134)</f>
        <v>143221.5</v>
      </c>
      <c r="F778" s="58" t="n">
        <f aca="false">F764*Pressupostos!$C$133*(1+Pressupostos!$C$125)^3*(1+Pressupostos!$C$134)</f>
        <v>196690.86</v>
      </c>
      <c r="G778" s="58" t="n">
        <f aca="false">G764*Pressupostos!$C$133*(1+Pressupostos!$C$125)^4*(1+Pressupostos!$C$134)</f>
        <v>202591.5858</v>
      </c>
      <c r="H778" s="2" t="s">
        <v>1252</v>
      </c>
    </row>
    <row r="779" customFormat="false" ht="15" hidden="false" customHeight="false" outlineLevel="1" collapsed="false">
      <c r="A779" s="7" t="s">
        <v>605</v>
      </c>
      <c r="B779" s="8" t="s">
        <v>10</v>
      </c>
      <c r="C779" s="58" t="n">
        <f aca="false">C765*Pressupostos!$C$135*(1+Pressupostos!$C$125)^0*(1+Pressupostos!$C$136)</f>
        <v>60000</v>
      </c>
      <c r="D779" s="58" t="n">
        <f aca="false">D765*Pressupostos!$C$135*(1+Pressupostos!$C$125)^1*(1+Pressupostos!$C$136)</f>
        <v>61800</v>
      </c>
      <c r="E779" s="58" t="n">
        <f aca="false">E765*Pressupostos!$C$135*(1+Pressupostos!$C$125)^2*(1+Pressupostos!$C$136)</f>
        <v>63654</v>
      </c>
      <c r="F779" s="58" t="n">
        <f aca="false">F765*Pressupostos!$C$135*(1+Pressupostos!$C$125)^3*(1+Pressupostos!$C$136)</f>
        <v>65563.62</v>
      </c>
      <c r="G779" s="58" t="n">
        <f aca="false">G765*Pressupostos!$C$135*(1+Pressupostos!$C$125)^4*(1+Pressupostos!$C$136)</f>
        <v>67530.5286</v>
      </c>
      <c r="H779" s="2" t="s">
        <v>1253</v>
      </c>
    </row>
    <row r="780" customFormat="false" ht="15" hidden="false" customHeight="false" outlineLevel="1" collapsed="false">
      <c r="A780" s="7" t="s">
        <v>606</v>
      </c>
      <c r="B780" s="8" t="s">
        <v>10</v>
      </c>
      <c r="C780" s="58" t="n">
        <f aca="false">C766*Pressupostos!$C$137*(1+Pressupostos!$C$125)^0*(1+Pressupostos!$C$138)</f>
        <v>22500</v>
      </c>
      <c r="D780" s="58" t="n">
        <f aca="false">D766*Pressupostos!$C$137*(1+Pressupostos!$C$125)^1*(1+Pressupostos!$C$138)</f>
        <v>46350</v>
      </c>
      <c r="E780" s="58" t="n">
        <f aca="false">E766*Pressupostos!$C$137*(1+Pressupostos!$C$125)^2*(1+Pressupostos!$C$138)</f>
        <v>47740.5</v>
      </c>
      <c r="F780" s="58" t="n">
        <f aca="false">F766*Pressupostos!$C$137*(1+Pressupostos!$C$125)^3*(1+Pressupostos!$C$138)</f>
        <v>49172.715</v>
      </c>
      <c r="G780" s="58" t="n">
        <f aca="false">G766*Pressupostos!$C$137*(1+Pressupostos!$C$125)^4*(1+Pressupostos!$C$138)</f>
        <v>101295.7929</v>
      </c>
      <c r="H780" s="2" t="s">
        <v>1254</v>
      </c>
    </row>
    <row r="781" customFormat="false" ht="15" hidden="false" customHeight="false" outlineLevel="1" collapsed="false">
      <c r="A781" s="7" t="s">
        <v>607</v>
      </c>
      <c r="B781" s="8" t="s">
        <v>10</v>
      </c>
      <c r="C781" s="58" t="n">
        <f aca="false">C767*Pressupostos!$C$139*(1+Pressupostos!$C$125)^0*(1+Pressupostos!$C$140)</f>
        <v>38000</v>
      </c>
      <c r="D781" s="58" t="n">
        <f aca="false">D767*Pressupostos!$C$139*(1+Pressupostos!$C$125)^1*(1+Pressupostos!$C$140)</f>
        <v>78280</v>
      </c>
      <c r="E781" s="58" t="n">
        <f aca="false">E767*Pressupostos!$C$139*(1+Pressupostos!$C$125)^2*(1+Pressupostos!$C$140)</f>
        <v>80628.4</v>
      </c>
      <c r="F781" s="58" t="n">
        <f aca="false">F767*Pressupostos!$C$139*(1+Pressupostos!$C$125)^3*(1+Pressupostos!$C$140)</f>
        <v>124570.878</v>
      </c>
      <c r="G781" s="58" t="n">
        <f aca="false">G767*Pressupostos!$C$139*(1+Pressupostos!$C$125)^4*(1+Pressupostos!$C$140)</f>
        <v>171077.33912</v>
      </c>
      <c r="H781" s="2" t="s">
        <v>1255</v>
      </c>
    </row>
    <row r="782" customFormat="false" ht="15" hidden="false" customHeight="false" outlineLevel="1" collapsed="false">
      <c r="A782" s="7" t="s">
        <v>608</v>
      </c>
      <c r="B782" s="8" t="s">
        <v>10</v>
      </c>
      <c r="C782" s="58" t="n">
        <f aca="false">C768*Pressupostos!$C$141*(1+Pressupostos!$C$125)^0*(1+Pressupostos!$C$142)</f>
        <v>16000</v>
      </c>
      <c r="D782" s="58" t="n">
        <f aca="false">D768*Pressupostos!$C$141*(1+Pressupostos!$C$125)^1*(1+Pressupostos!$C$142)</f>
        <v>32960</v>
      </c>
      <c r="E782" s="58" t="n">
        <f aca="false">E768*Pressupostos!$C$141*(1+Pressupostos!$C$125)^2*(1+Pressupostos!$C$142)</f>
        <v>33948.8</v>
      </c>
      <c r="F782" s="58" t="n">
        <f aca="false">F768*Pressupostos!$C$141*(1+Pressupostos!$C$125)^3*(1+Pressupostos!$C$142)</f>
        <v>34967.264</v>
      </c>
      <c r="G782" s="58" t="n">
        <f aca="false">G768*Pressupostos!$C$141*(1+Pressupostos!$C$125)^4*(1+Pressupostos!$C$142)</f>
        <v>72032.56384</v>
      </c>
      <c r="H782" s="2" t="s">
        <v>1256</v>
      </c>
    </row>
    <row r="783" customFormat="false" ht="15" hidden="false" customHeight="false" outlineLevel="1" collapsed="false">
      <c r="A783" s="7" t="s">
        <v>609</v>
      </c>
      <c r="B783" s="8" t="s">
        <v>10</v>
      </c>
      <c r="C783" s="58" t="n">
        <f aca="false">C769*Pressupostos!$C$143*(1+Pressupostos!$C$125)^0*(1+Pressupostos!$C$144)</f>
        <v>34500</v>
      </c>
      <c r="D783" s="58" t="n">
        <f aca="false">D769*Pressupostos!$C$143*(1+Pressupostos!$C$125)^1*(1+Pressupostos!$C$144)</f>
        <v>71070</v>
      </c>
      <c r="E783" s="58" t="n">
        <f aca="false">E769*Pressupostos!$C$143*(1+Pressupostos!$C$125)^2*(1+Pressupostos!$C$144)</f>
        <v>109803.15</v>
      </c>
      <c r="F783" s="58" t="n">
        <f aca="false">F769*Pressupostos!$C$143*(1+Pressupostos!$C$125)^3*(1+Pressupostos!$C$144)</f>
        <v>188495.4075</v>
      </c>
      <c r="G783" s="58" t="n">
        <f aca="false">G769*Pressupostos!$C$143*(1+Pressupostos!$C$125)^4*(1+Pressupostos!$C$144)</f>
        <v>310640.43156</v>
      </c>
      <c r="H783" s="2" t="s">
        <v>1257</v>
      </c>
    </row>
    <row r="784" customFormat="false" ht="15" hidden="false" customHeight="false" outlineLevel="1" collapsed="false">
      <c r="A784" s="7" t="s">
        <v>610</v>
      </c>
      <c r="B784" s="8" t="s">
        <v>10</v>
      </c>
      <c r="C784" s="58" t="n">
        <f aca="false">C770*Pressupostos!$C$145*(1+Pressupostos!$C$125)^0*(1+Pressupostos!$C$146)</f>
        <v>0</v>
      </c>
      <c r="D784" s="58" t="n">
        <f aca="false">D770*Pressupostos!$C$145*(1+Pressupostos!$C$125)^1*(1+Pressupostos!$C$146)</f>
        <v>0</v>
      </c>
      <c r="E784" s="58" t="n">
        <f aca="false">E770*Pressupostos!$C$145*(1+Pressupostos!$C$125)^2*(1+Pressupostos!$C$146)</f>
        <v>47740.5</v>
      </c>
      <c r="F784" s="58" t="n">
        <f aca="false">F770*Pressupostos!$C$145*(1+Pressupostos!$C$125)^3*(1+Pressupostos!$C$146)</f>
        <v>49172.715</v>
      </c>
      <c r="G784" s="58" t="n">
        <f aca="false">G770*Pressupostos!$C$145*(1+Pressupostos!$C$125)^4*(1+Pressupostos!$C$146)</f>
        <v>50647.89645</v>
      </c>
      <c r="H784" s="2" t="s">
        <v>1258</v>
      </c>
    </row>
    <row r="785" customFormat="false" ht="15" hidden="false" customHeight="false" outlineLevel="1" collapsed="false">
      <c r="A785" s="7" t="s">
        <v>611</v>
      </c>
      <c r="B785" s="8" t="s">
        <v>10</v>
      </c>
      <c r="C785" s="58" t="n">
        <f aca="false">C771*Pressupostos!$C$147*(1+Pressupostos!$C$125)^0*(1+Pressupostos!$C$148)</f>
        <v>0</v>
      </c>
      <c r="D785" s="58" t="n">
        <f aca="false">D771*Pressupostos!$C$147*(1+Pressupostos!$C$125)^1*(1+Pressupostos!$C$148)</f>
        <v>0</v>
      </c>
      <c r="E785" s="58" t="n">
        <f aca="false">E771*Pressupostos!$C$147*(1+Pressupostos!$C$125)^2*(1+Pressupostos!$C$148)</f>
        <v>42436</v>
      </c>
      <c r="F785" s="58" t="n">
        <f aca="false">F771*Pressupostos!$C$147*(1+Pressupostos!$C$125)^3*(1+Pressupostos!$C$148)</f>
        <v>43709.08</v>
      </c>
      <c r="G785" s="58" t="n">
        <f aca="false">G771*Pressupostos!$C$147*(1+Pressupostos!$C$125)^4*(1+Pressupostos!$C$148)</f>
        <v>45020.3524</v>
      </c>
      <c r="H785" s="2" t="s">
        <v>1259</v>
      </c>
    </row>
    <row r="786" customFormat="false" ht="15" hidden="false" customHeight="false" outlineLevel="1" collapsed="false">
      <c r="A786" s="7" t="s">
        <v>612</v>
      </c>
      <c r="B786" s="8" t="s">
        <v>10</v>
      </c>
      <c r="C786" s="58" t="n">
        <f aca="false">C772*Pressupostos!$C$149*(1+Pressupostos!$C$125)^0*(1+Pressupostos!$C$150)</f>
        <v>0</v>
      </c>
      <c r="D786" s="58" t="n">
        <f aca="false">D772*Pressupostos!$C$149*(1+Pressupostos!$C$125)^1*(1+Pressupostos!$C$150)</f>
        <v>24720</v>
      </c>
      <c r="E786" s="58" t="n">
        <f aca="false">E772*Pressupostos!$C$149*(1+Pressupostos!$C$125)^2*(1+Pressupostos!$C$150)</f>
        <v>25461.6</v>
      </c>
      <c r="F786" s="58" t="n">
        <f aca="false">F772*Pressupostos!$C$149*(1+Pressupostos!$C$125)^3*(1+Pressupostos!$C$150)</f>
        <v>52450.896</v>
      </c>
      <c r="G786" s="58" t="n">
        <f aca="false">G772*Pressupostos!$C$149*(1+Pressupostos!$C$125)^4*(1+Pressupostos!$C$150)</f>
        <v>81036.63432</v>
      </c>
      <c r="H786" s="2" t="s">
        <v>1260</v>
      </c>
    </row>
    <row r="787" customFormat="false" ht="15" hidden="false" customHeight="false" outlineLevel="1" collapsed="false">
      <c r="A787" s="7" t="s">
        <v>613</v>
      </c>
      <c r="B787" s="8" t="s">
        <v>10</v>
      </c>
      <c r="C787" s="58" t="n">
        <f aca="false">C773*Pressupostos!$C$151*(1+Pressupostos!$C$125)^0*(1+Pressupostos!$C$152)</f>
        <v>0</v>
      </c>
      <c r="D787" s="58" t="n">
        <f aca="false">D773*Pressupostos!$C$151*(1+Pressupostos!$C$125)^1*(1+Pressupostos!$C$152)</f>
        <v>0</v>
      </c>
      <c r="E787" s="58" t="n">
        <f aca="false">E773*Pressupostos!$C$151*(1+Pressupostos!$C$125)^2*(1+Pressupostos!$C$152)</f>
        <v>0</v>
      </c>
      <c r="F787" s="58" t="n">
        <f aca="false">F773*Pressupostos!$C$151*(1+Pressupostos!$C$125)^3*(1+Pressupostos!$C$152)</f>
        <v>0</v>
      </c>
      <c r="G787" s="58" t="n">
        <f aca="false">G773*Pressupostos!$C$151*(1+Pressupostos!$C$125)^4*(1+Pressupostos!$C$152)</f>
        <v>0</v>
      </c>
      <c r="H787" s="2" t="s">
        <v>1261</v>
      </c>
    </row>
    <row r="788" customFormat="false" ht="15" hidden="false" customHeight="false" outlineLevel="1" collapsed="false">
      <c r="A788" s="7" t="s">
        <v>616</v>
      </c>
      <c r="B788" s="8" t="s">
        <v>10</v>
      </c>
      <c r="C788" s="58" t="n">
        <f aca="false">C776+C777+C778+C779+C780+C781+C782+C783+C784+C785+C786+C787</f>
        <v>307662.5</v>
      </c>
      <c r="D788" s="58" t="n">
        <f aca="false">D776+D777+D778+D779+D780+D781+D782+D783+D784+D785+D786+D787</f>
        <v>536630</v>
      </c>
      <c r="E788" s="58" t="n">
        <f aca="false">E776+E777+E778+E779+E780+E781+E782+E783+E784+E785+E786+E787</f>
        <v>727246.95</v>
      </c>
      <c r="F788" s="58" t="n">
        <f aca="false">F776+F777+F778+F779+F780+F781+F782+F783+F784+F785+F786+F787</f>
        <v>941384.3105</v>
      </c>
      <c r="G788" s="58" t="n">
        <f aca="false">G776+G777+G778+G779+G780+G781+G782+G783+G784+G785+G786+G787</f>
        <v>1242561.72624</v>
      </c>
      <c r="H788" s="2" t="s">
        <v>1262</v>
      </c>
    </row>
    <row r="789" customFormat="false" ht="15" hidden="false" customHeight="false" outlineLevel="1" collapsed="false">
      <c r="A789" s="7" t="s">
        <v>617</v>
      </c>
      <c r="B789" s="8" t="s">
        <v>10</v>
      </c>
      <c r="C789" s="58" t="n">
        <f aca="false">C788*(Pressupostos!$C$122+Pressupostos!$C$123)</f>
        <v>79223.09375</v>
      </c>
      <c r="D789" s="58" t="n">
        <f aca="false">D788*(Pressupostos!$C$122+Pressupostos!$C$123)</f>
        <v>138182.225</v>
      </c>
      <c r="E789" s="58" t="n">
        <f aca="false">E788*(Pressupostos!$C$122+Pressupostos!$C$123)</f>
        <v>187266.089625</v>
      </c>
      <c r="F789" s="58" t="n">
        <f aca="false">F788*(Pressupostos!$C$122+Pressupostos!$C$123)</f>
        <v>242406.45995375</v>
      </c>
      <c r="G789" s="58" t="n">
        <f aca="false">G788*(Pressupostos!$C$122+Pressupostos!$C$123)</f>
        <v>319959.6445068</v>
      </c>
      <c r="H789" s="2" t="s">
        <v>1263</v>
      </c>
    </row>
    <row r="790" customFormat="false" ht="15" hidden="false" customHeight="false" outlineLevel="1" collapsed="false">
      <c r="A790" s="7" t="s">
        <v>618</v>
      </c>
      <c r="B790" s="8" t="s">
        <v>10</v>
      </c>
      <c r="C790" s="58" t="n">
        <f aca="false">C774*Pressupostos!$C$124*(1+Pressupostos!$C$125)^0</f>
        <v>14000</v>
      </c>
      <c r="D790" s="58" t="n">
        <f aca="false">D774*Pressupostos!$C$124*(1+Pressupostos!$C$125)^1</f>
        <v>24720</v>
      </c>
      <c r="E790" s="58" t="n">
        <f aca="false">E774*Pressupostos!$C$124*(1+Pressupostos!$C$125)^2</f>
        <v>33948.8</v>
      </c>
      <c r="F790" s="58" t="n">
        <f aca="false">F774*Pressupostos!$C$124*(1+Pressupostos!$C$125)^3</f>
        <v>45894.534</v>
      </c>
      <c r="G790" s="58" t="n">
        <f aca="false">G774*Pressupostos!$C$124*(1+Pressupostos!$C$125)^4</f>
        <v>63028.49336</v>
      </c>
      <c r="H790" s="2" t="s">
        <v>1264</v>
      </c>
    </row>
    <row r="791" customFormat="false" ht="15" hidden="false" customHeight="false" outlineLevel="1" collapsed="false">
      <c r="A791" s="52" t="s">
        <v>619</v>
      </c>
      <c r="B791" s="53" t="s">
        <v>10</v>
      </c>
      <c r="C791" s="59" t="n">
        <f aca="false">C788+C789+C790</f>
        <v>400885.59375</v>
      </c>
      <c r="D791" s="59" t="n">
        <f aca="false">D788+D789+D790</f>
        <v>699532.225</v>
      </c>
      <c r="E791" s="59" t="n">
        <f aca="false">E788+E789+E790</f>
        <v>948461.839625</v>
      </c>
      <c r="F791" s="59" t="n">
        <f aca="false">F788+F789+F790</f>
        <v>1229685.30445375</v>
      </c>
      <c r="G791" s="59" t="n">
        <f aca="false">G788+G789+G790</f>
        <v>1625549.8641068</v>
      </c>
      <c r="H791" s="2" t="s">
        <v>1265</v>
      </c>
    </row>
    <row r="792" customFormat="false" ht="15" hidden="false" customHeight="false" outlineLevel="1" collapsed="false">
      <c r="A792" s="2" t="s">
        <v>620</v>
      </c>
      <c r="B792" s="8" t="s">
        <v>10</v>
      </c>
      <c r="C792" s="58" t="n">
        <f aca="false">IF(C774&gt;0,C791/C774,0)</f>
        <v>57269.3705357143</v>
      </c>
      <c r="D792" s="58" t="n">
        <f aca="false">IF(D774&gt;0,D791/D774,0)</f>
        <v>58294.3520833333</v>
      </c>
      <c r="E792" s="58" t="n">
        <f aca="false">IF(E774&gt;0,E791/E774,0)</f>
        <v>59278.8649765625</v>
      </c>
      <c r="F792" s="58" t="n">
        <f aca="false">IF(F774&gt;0,F791/F774,0)</f>
        <v>58556.4430692262</v>
      </c>
      <c r="G792" s="58" t="n">
        <f aca="false">IF(G774&gt;0,G791/G774,0)</f>
        <v>58055.3522895286</v>
      </c>
      <c r="H792" s="2" t="s">
        <v>1266</v>
      </c>
    </row>
    <row r="793" customFormat="false" ht="15" hidden="false" customHeight="false" outlineLevel="0" collapsed="false">
      <c r="A793" s="3" t="s">
        <v>1267</v>
      </c>
      <c r="B793" s="4"/>
      <c r="C793" s="4"/>
      <c r="D793" s="4"/>
      <c r="E793" s="4"/>
      <c r="F793" s="4"/>
      <c r="G793" s="4"/>
      <c r="H793" s="4"/>
    </row>
    <row r="794" customFormat="false" ht="15" hidden="false" customHeight="false" outlineLevel="1" collapsed="false">
      <c r="A794" s="7" t="s">
        <v>430</v>
      </c>
      <c r="B794" s="8" t="s">
        <v>10</v>
      </c>
      <c r="C794" s="58" t="n">
        <f aca="false">Pressupostos!$C$389*(1+Pressupostos!$C$154)*(1+Pressupostos!$C$155)^0</f>
        <v>94500</v>
      </c>
      <c r="D794" s="58" t="n">
        <f aca="false">Pressupostos!$D$389*(1+Pressupostos!$C$154)*(1+Pressupostos!$C$155)^1</f>
        <v>58905</v>
      </c>
      <c r="E794" s="58" t="n">
        <f aca="false">Pressupostos!$E$389*(1+Pressupostos!$C$154)*(1+Pressupostos!$C$155)^2</f>
        <v>54621</v>
      </c>
      <c r="F794" s="58" t="n">
        <f aca="false">Pressupostos!$F$389*(1+Pressupostos!$C$154)*(1+Pressupostos!$C$155)^3</f>
        <v>55713.42</v>
      </c>
      <c r="G794" s="58" t="n">
        <f aca="false">Pressupostos!$G$389*(1+Pressupostos!$C$154)*(1+Pressupostos!$C$155)^4</f>
        <v>62510.45724</v>
      </c>
      <c r="H794" s="2" t="s">
        <v>1268</v>
      </c>
    </row>
    <row r="795" customFormat="false" ht="15" hidden="false" customHeight="false" outlineLevel="1" collapsed="false">
      <c r="A795" s="7" t="s">
        <v>432</v>
      </c>
      <c r="B795" s="8" t="s">
        <v>10</v>
      </c>
      <c r="C795" s="58" t="n">
        <f aca="false">Pressupostos!$C$395*(1+Pressupostos!$C$154)*(1+Pressupostos!$C$155)^0</f>
        <v>10500</v>
      </c>
      <c r="D795" s="58" t="n">
        <f aca="false">Pressupostos!$D$395*(1+Pressupostos!$C$154)*(1+Pressupostos!$C$155)^1</f>
        <v>10710</v>
      </c>
      <c r="E795" s="58" t="n">
        <f aca="false">Pressupostos!$E$395*(1+Pressupostos!$C$154)*(1+Pressupostos!$C$155)^2</f>
        <v>13109.04</v>
      </c>
      <c r="F795" s="58" t="n">
        <f aca="false">Pressupostos!$F$395*(1+Pressupostos!$C$154)*(1+Pressupostos!$C$155)^3</f>
        <v>13371.2208</v>
      </c>
      <c r="G795" s="58" t="n">
        <f aca="false">Pressupostos!$G$395*(1+Pressupostos!$C$154)*(1+Pressupostos!$C$155)^4</f>
        <v>17048.30652</v>
      </c>
      <c r="H795" s="2" t="s">
        <v>1269</v>
      </c>
    </row>
    <row r="796" customFormat="false" ht="15" hidden="false" customHeight="false" outlineLevel="1" collapsed="false">
      <c r="A796" s="7" t="s">
        <v>433</v>
      </c>
      <c r="B796" s="8" t="s">
        <v>10</v>
      </c>
      <c r="C796" s="58" t="n">
        <f aca="false">Pressupostos!$C$401*(1+Pressupostos!$C$154)*(1+Pressupostos!$C$155)^0</f>
        <v>12600</v>
      </c>
      <c r="D796" s="58" t="n">
        <f aca="false">Pressupostos!$D$401*(1+Pressupostos!$C$154)*(1+Pressupostos!$C$155)^1</f>
        <v>12852</v>
      </c>
      <c r="E796" s="58" t="n">
        <f aca="false">Pressupostos!$E$401*(1+Pressupostos!$C$154)*(1+Pressupostos!$C$155)^2</f>
        <v>0</v>
      </c>
      <c r="F796" s="58" t="n">
        <f aca="false">Pressupostos!$F$401*(1+Pressupostos!$C$154)*(1+Pressupostos!$C$155)^3</f>
        <v>0</v>
      </c>
      <c r="G796" s="58" t="n">
        <f aca="false">Pressupostos!$G$401*(1+Pressupostos!$C$154)*(1+Pressupostos!$C$155)^4</f>
        <v>0</v>
      </c>
      <c r="H796" s="2" t="s">
        <v>1270</v>
      </c>
    </row>
    <row r="797" customFormat="false" ht="15" hidden="false" customHeight="false" outlineLevel="1" collapsed="false">
      <c r="A797" s="7" t="s">
        <v>435</v>
      </c>
      <c r="B797" s="8" t="s">
        <v>10</v>
      </c>
      <c r="C797" s="58" t="n">
        <f aca="false">Pressupostos!$C$407*(1+Pressupostos!$C$154)*(1+Pressupostos!$C$155)^0</f>
        <v>33600</v>
      </c>
      <c r="D797" s="58" t="n">
        <f aca="false">Pressupostos!$D$407*(1+Pressupostos!$C$154)*(1+Pressupostos!$C$155)^1</f>
        <v>53550</v>
      </c>
      <c r="E797" s="58" t="n">
        <f aca="false">Pressupostos!$E$407*(1+Pressupostos!$C$154)*(1+Pressupostos!$C$155)^2</f>
        <v>76469.4</v>
      </c>
      <c r="F797" s="58" t="n">
        <f aca="false">Pressupostos!$F$407*(1+Pressupostos!$C$154)*(1+Pressupostos!$C$155)^3</f>
        <v>100284.156</v>
      </c>
      <c r="G797" s="58" t="n">
        <f aca="false">Pressupostos!$G$407*(1+Pressupostos!$C$154)*(1+Pressupostos!$C$155)^4</f>
        <v>125020.91448</v>
      </c>
      <c r="H797" s="2" t="s">
        <v>1271</v>
      </c>
    </row>
    <row r="798" customFormat="false" ht="15" hidden="false" customHeight="false" outlineLevel="1" collapsed="false">
      <c r="A798" s="7" t="s">
        <v>437</v>
      </c>
      <c r="B798" s="8" t="s">
        <v>10</v>
      </c>
      <c r="C798" s="58" t="n">
        <f aca="false">Pressupostos!$C$413*(1+Pressupostos!$C$154)*(1+Pressupostos!$C$155)^0</f>
        <v>15750</v>
      </c>
      <c r="D798" s="58" t="n">
        <f aca="false">Pressupostos!$D$413*(1+Pressupostos!$C$154)*(1+Pressupostos!$C$155)^1</f>
        <v>37485</v>
      </c>
      <c r="E798" s="58" t="n">
        <f aca="false">Pressupostos!$E$413*(1+Pressupostos!$C$154)*(1+Pressupostos!$C$155)^2</f>
        <v>21848.4</v>
      </c>
      <c r="F798" s="58" t="n">
        <f aca="false">Pressupostos!$F$413*(1+Pressupostos!$C$154)*(1+Pressupostos!$C$155)^3</f>
        <v>22285.368</v>
      </c>
      <c r="G798" s="58" t="n">
        <f aca="false">Pressupostos!$G$413*(1+Pressupostos!$C$154)*(1+Pressupostos!$C$155)^4</f>
        <v>28413.8442</v>
      </c>
      <c r="H798" s="2" t="s">
        <v>1272</v>
      </c>
    </row>
    <row r="799" customFormat="false" ht="15" hidden="false" customHeight="false" outlineLevel="1" collapsed="false">
      <c r="A799" s="7" t="s">
        <v>439</v>
      </c>
      <c r="B799" s="8" t="s">
        <v>10</v>
      </c>
      <c r="C799" s="58" t="n">
        <f aca="false">Pressupostos!$C$419*(1+Pressupostos!$C$154)*(1+Pressupostos!$C$155)^0</f>
        <v>10500</v>
      </c>
      <c r="D799" s="58" t="n">
        <f aca="false">Pressupostos!$D$419*(1+Pressupostos!$C$154)*(1+Pressupostos!$C$155)^1</f>
        <v>14994</v>
      </c>
      <c r="E799" s="58" t="n">
        <f aca="false">Pressupostos!$E$419*(1+Pressupostos!$C$154)*(1+Pressupostos!$C$155)^2</f>
        <v>19663.56</v>
      </c>
      <c r="F799" s="58" t="n">
        <f aca="false">Pressupostos!$F$419*(1+Pressupostos!$C$154)*(1+Pressupostos!$C$155)^3</f>
        <v>24513.9048</v>
      </c>
      <c r="G799" s="58" t="n">
        <f aca="false">Pressupostos!$G$419*(1+Pressupostos!$C$154)*(1+Pressupostos!$C$155)^4</f>
        <v>29550.397968</v>
      </c>
      <c r="H799" s="2" t="s">
        <v>1273</v>
      </c>
    </row>
    <row r="800" customFormat="false" ht="15" hidden="false" customHeight="false" outlineLevel="1" collapsed="false">
      <c r="A800" s="7" t="s">
        <v>440</v>
      </c>
      <c r="B800" s="8" t="s">
        <v>10</v>
      </c>
      <c r="C800" s="58" t="n">
        <f aca="false">Pressupostos!$C$425*(1+Pressupostos!$C$154)*(1+Pressupostos!$C$155)^0</f>
        <v>52500</v>
      </c>
      <c r="D800" s="58" t="n">
        <f aca="false">Pressupostos!$D$425*(1+Pressupostos!$C$154)*(1+Pressupostos!$C$155)^1</f>
        <v>74970</v>
      </c>
      <c r="E800" s="58" t="n">
        <f aca="false">Pressupostos!$E$425*(1+Pressupostos!$C$154)*(1+Pressupostos!$C$155)^2</f>
        <v>109242</v>
      </c>
      <c r="F800" s="58" t="n">
        <f aca="false">Pressupostos!$F$425*(1+Pressupostos!$C$154)*(1+Pressupostos!$C$155)^3</f>
        <v>144854.892</v>
      </c>
      <c r="G800" s="58" t="n">
        <f aca="false">Pressupostos!$G$425*(1+Pressupostos!$C$154)*(1+Pressupostos!$C$155)^4</f>
        <v>181848.60288</v>
      </c>
      <c r="H800" s="2" t="s">
        <v>1274</v>
      </c>
    </row>
    <row r="801" customFormat="false" ht="15" hidden="false" customHeight="false" outlineLevel="1" collapsed="false">
      <c r="A801" s="7" t="s">
        <v>442</v>
      </c>
      <c r="B801" s="8" t="s">
        <v>10</v>
      </c>
      <c r="C801" s="58" t="n">
        <f aca="false">Pressupostos!$C$431*(1+Pressupostos!$C$154)*(1+Pressupostos!$C$155)^0</f>
        <v>12600</v>
      </c>
      <c r="D801" s="58" t="n">
        <f aca="false">Pressupostos!$D$431*(1+Pressupostos!$C$154)*(1+Pressupostos!$C$155)^1</f>
        <v>21420</v>
      </c>
      <c r="E801" s="58" t="n">
        <f aca="false">Pressupostos!$E$431*(1+Pressupostos!$C$154)*(1+Pressupostos!$C$155)^2</f>
        <v>32772.6</v>
      </c>
      <c r="F801" s="58" t="n">
        <f aca="false">Pressupostos!$F$431*(1+Pressupostos!$C$154)*(1+Pressupostos!$C$155)^3</f>
        <v>44570.736</v>
      </c>
      <c r="G801" s="58" t="n">
        <f aca="false">Pressupostos!$G$431*(1+Pressupostos!$C$154)*(1+Pressupostos!$C$155)^4</f>
        <v>54554.580864</v>
      </c>
      <c r="H801" s="2" t="s">
        <v>1275</v>
      </c>
    </row>
    <row r="802" customFormat="false" ht="15" hidden="false" customHeight="false" outlineLevel="1" collapsed="false">
      <c r="A802" s="7" t="s">
        <v>444</v>
      </c>
      <c r="B802" s="8" t="s">
        <v>10</v>
      </c>
      <c r="C802" s="58" t="n">
        <f aca="false">Pressupostos!$C$437*(1+Pressupostos!$C$154)*(1+Pressupostos!$C$155)^0</f>
        <v>21000</v>
      </c>
      <c r="D802" s="58" t="n">
        <f aca="false">Pressupostos!$D$437*(1+Pressupostos!$C$154)*(1+Pressupostos!$C$155)^1</f>
        <v>29988</v>
      </c>
      <c r="E802" s="58" t="n">
        <f aca="false">Pressupostos!$E$437*(1+Pressupostos!$C$154)*(1+Pressupostos!$C$155)^2</f>
        <v>41511.96</v>
      </c>
      <c r="F802" s="58" t="n">
        <f aca="false">Pressupostos!$F$437*(1+Pressupostos!$C$154)*(1+Pressupostos!$C$155)^3</f>
        <v>53484.8832</v>
      </c>
      <c r="G802" s="58" t="n">
        <f aca="false">Pressupostos!$G$437*(1+Pressupostos!$C$154)*(1+Pressupostos!$C$155)^4</f>
        <v>65920.118544</v>
      </c>
      <c r="H802" s="2" t="s">
        <v>1276</v>
      </c>
    </row>
    <row r="803" customFormat="false" ht="15" hidden="false" customHeight="false" outlineLevel="1" collapsed="false">
      <c r="A803" s="7" t="s">
        <v>445</v>
      </c>
      <c r="B803" s="8" t="s">
        <v>10</v>
      </c>
      <c r="C803" s="58" t="n">
        <f aca="false">Pressupostos!$C$443*(1+Pressupostos!$C$154)*(1+Pressupostos!$C$155)^0</f>
        <v>6300</v>
      </c>
      <c r="D803" s="58" t="n">
        <f aca="false">Pressupostos!$D$443*(1+Pressupostos!$C$154)*(1+Pressupostos!$C$155)^1</f>
        <v>12852</v>
      </c>
      <c r="E803" s="58" t="n">
        <f aca="false">Pressupostos!$E$443*(1+Pressupostos!$C$154)*(1+Pressupostos!$C$155)^2</f>
        <v>17478.72</v>
      </c>
      <c r="F803" s="58" t="n">
        <f aca="false">Pressupostos!$F$443*(1+Pressupostos!$C$154)*(1+Pressupostos!$C$155)^3</f>
        <v>22285.368</v>
      </c>
      <c r="G803" s="58" t="n">
        <f aca="false">Pressupostos!$G$443*(1+Pressupostos!$C$154)*(1+Pressupostos!$C$155)^4</f>
        <v>27277.290432</v>
      </c>
      <c r="H803" s="2" t="s">
        <v>1277</v>
      </c>
    </row>
    <row r="804" customFormat="false" ht="15" hidden="false" customHeight="false" outlineLevel="1" collapsed="false">
      <c r="A804" s="7" t="s">
        <v>661</v>
      </c>
      <c r="B804" s="8" t="s">
        <v>10</v>
      </c>
      <c r="C804" s="58" t="n">
        <f aca="false">C794+C795+C796+C797+C798+C799+C800+C801+C802+C803</f>
        <v>269850</v>
      </c>
      <c r="D804" s="58" t="n">
        <f aca="false">D794+D795+D796+D797+D798+D799+D800+D801+D802+D803</f>
        <v>327726</v>
      </c>
      <c r="E804" s="58" t="n">
        <f aca="false">E794+E795+E796+E797+E798+E799+E800+E801+E802+E803</f>
        <v>386716.68</v>
      </c>
      <c r="F804" s="58" t="n">
        <f aca="false">F794+F795+F796+F797+F798+F799+F800+F801+F802+F803</f>
        <v>481363.9488</v>
      </c>
      <c r="G804" s="58" t="n">
        <f aca="false">G794+G795+G796+G797+G798+G799+G800+G801+G802+G803</f>
        <v>592144.513128</v>
      </c>
      <c r="H804" s="2" t="s">
        <v>1278</v>
      </c>
    </row>
    <row r="805" customFormat="false" ht="15" hidden="false" customHeight="false" outlineLevel="1" collapsed="false">
      <c r="A805" s="7" t="s">
        <v>662</v>
      </c>
      <c r="B805" s="8" t="s">
        <v>10</v>
      </c>
      <c r="C805" s="58" t="n">
        <f aca="false">Pressupostos!$C$112+Pressupostos!$C$113+Pressupostos!$C$114*Pressupostos!$C$290+Pressupostos!$C$449</f>
        <v>65000</v>
      </c>
      <c r="D805" s="58" t="n">
        <f aca="false">Pressupostos!$C$113+Pressupostos!$C$114*Pressupostos!$D$290+Pressupostos!$D$449</f>
        <v>70000</v>
      </c>
      <c r="E805" s="58" t="n">
        <f aca="false">Pressupostos!$C$113+Pressupostos!$C$114*Pressupostos!$E$290+Pressupostos!$E$449</f>
        <v>75000</v>
      </c>
      <c r="F805" s="58" t="n">
        <f aca="false">Pressupostos!$C$113+Pressupostos!$C$114*Pressupostos!$F$290+Pressupostos!$F$449</f>
        <v>80000</v>
      </c>
      <c r="G805" s="58" t="n">
        <f aca="false">Pressupostos!$C$113+Pressupostos!$C$114*Pressupostos!$G$290+Pressupostos!$G$449</f>
        <v>85000</v>
      </c>
      <c r="H805" s="2" t="s">
        <v>1279</v>
      </c>
    </row>
    <row r="806" customFormat="false" ht="15" hidden="false" customHeight="false" outlineLevel="1" collapsed="false">
      <c r="A806" s="7" t="s">
        <v>663</v>
      </c>
      <c r="B806" s="8" t="s">
        <v>10</v>
      </c>
      <c r="C806" s="58" t="n">
        <f aca="false">IF(C628&lt;Pressupostos!$C$118,0,MAX(Pressupostos!$C$296,Pressupostos!$C$116*(C716+C717)+Pressupostos!$C$117*C718))</f>
        <v>0</v>
      </c>
      <c r="D806" s="58" t="n">
        <f aca="false">IF(D628&lt;Pressupostos!$C$118,0,MAX(Pressupostos!$D$296,Pressupostos!$C$116*(D716+D717)+Pressupostos!$C$117*D718))</f>
        <v>11923.2</v>
      </c>
      <c r="E806" s="58" t="n">
        <f aca="false">IF(E628&lt;Pressupostos!$C$118,0,MAX(Pressupostos!$E$296,Pressupostos!$C$116*(E716+E717)+Pressupostos!$C$117*E718))</f>
        <v>24138</v>
      </c>
      <c r="F806" s="58" t="n">
        <f aca="false">IF(F628&lt;Pressupostos!$C$118,0,MAX(Pressupostos!$F$296,Pressupostos!$C$116*(F716+F717)+Pressupostos!$C$117*F718))</f>
        <v>41076</v>
      </c>
      <c r="G806" s="58" t="n">
        <f aca="false">IF(G628&lt;Pressupostos!$C$118,0,MAX(Pressupostos!$G$296,Pressupostos!$C$116*(G716+G717)+Pressupostos!$C$117*G718))</f>
        <v>61614</v>
      </c>
      <c r="H806" s="2" t="s">
        <v>1280</v>
      </c>
    </row>
    <row r="807" customFormat="false" ht="15" hidden="false" customHeight="false" outlineLevel="1" collapsed="false">
      <c r="A807" s="52" t="s">
        <v>664</v>
      </c>
      <c r="B807" s="53" t="s">
        <v>10</v>
      </c>
      <c r="C807" s="59" t="n">
        <f aca="false">C804+C805+C806</f>
        <v>334850</v>
      </c>
      <c r="D807" s="59" t="n">
        <f aca="false">D804+D805+D806</f>
        <v>409649.2</v>
      </c>
      <c r="E807" s="59" t="n">
        <f aca="false">E804+E805+E806</f>
        <v>485854.68</v>
      </c>
      <c r="F807" s="59" t="n">
        <f aca="false">F804+F805+F806</f>
        <v>602439.9488</v>
      </c>
      <c r="G807" s="59" t="n">
        <f aca="false">G804+G805+G806</f>
        <v>738758.513128</v>
      </c>
      <c r="H807" s="2" t="s">
        <v>1281</v>
      </c>
    </row>
    <row r="808" customFormat="false" ht="15" hidden="false" customHeight="false" outlineLevel="0" collapsed="false">
      <c r="A808" s="3" t="s">
        <v>1282</v>
      </c>
      <c r="B808" s="4"/>
      <c r="C808" s="4"/>
      <c r="D808" s="4"/>
      <c r="E808" s="4"/>
      <c r="F808" s="4"/>
      <c r="G808" s="4"/>
      <c r="H808" s="4"/>
    </row>
    <row r="809" customFormat="false" ht="15" hidden="false" customHeight="false" outlineLevel="1" collapsed="false">
      <c r="A809" s="7" t="s">
        <v>666</v>
      </c>
      <c r="B809" s="8" t="s">
        <v>10</v>
      </c>
      <c r="C809" s="58" t="n">
        <f aca="false">Pressupostos!$C$163*Pressupostos!$C$303</f>
        <v>18000</v>
      </c>
      <c r="D809" s="58" t="n">
        <f aca="false">Pressupostos!$C$163*Pressupostos!$D$303</f>
        <v>18000</v>
      </c>
      <c r="E809" s="58" t="n">
        <f aca="false">Pressupostos!$C$163*Pressupostos!$E$303</f>
        <v>18000</v>
      </c>
      <c r="F809" s="58" t="n">
        <f aca="false">Pressupostos!$C$163*Pressupostos!$F$303</f>
        <v>18000</v>
      </c>
      <c r="G809" s="58" t="n">
        <f aca="false">Pressupostos!$C$163*Pressupostos!$G$303</f>
        <v>18000</v>
      </c>
      <c r="H809" s="2" t="s">
        <v>1283</v>
      </c>
    </row>
    <row r="810" customFormat="false" ht="15" hidden="false" customHeight="false" outlineLevel="1" collapsed="false">
      <c r="A810" s="7" t="s">
        <v>667</v>
      </c>
      <c r="B810" s="8" t="s">
        <v>10</v>
      </c>
      <c r="C810" s="50" t="n">
        <f aca="false">Pressupostos!$C$309</f>
        <v>60000</v>
      </c>
      <c r="D810" s="50" t="n">
        <f aca="false">Pressupostos!$D$309</f>
        <v>45000</v>
      </c>
      <c r="E810" s="50" t="n">
        <f aca="false">Pressupostos!$E$309</f>
        <v>40000</v>
      </c>
      <c r="F810" s="50" t="n">
        <f aca="false">Pressupostos!$F$309</f>
        <v>30000</v>
      </c>
      <c r="G810" s="50" t="n">
        <f aca="false">Pressupostos!$G$309</f>
        <v>30000</v>
      </c>
      <c r="H810" s="2" t="s">
        <v>1284</v>
      </c>
    </row>
    <row r="811" customFormat="false" ht="15" hidden="false" customHeight="false" outlineLevel="1" collapsed="false">
      <c r="A811" s="7" t="s">
        <v>668</v>
      </c>
      <c r="B811" s="8" t="s">
        <v>10</v>
      </c>
      <c r="C811" s="58" t="n">
        <f aca="false">Pressupostos!$C$164*MAX(0,C774)</f>
        <v>14000</v>
      </c>
      <c r="D811" s="58" t="n">
        <f aca="false">Pressupostos!$C$164*MAX(0,D774-C774)</f>
        <v>10000</v>
      </c>
      <c r="E811" s="58" t="n">
        <f aca="false">Pressupostos!$C$164*MAX(0,E774-D774)</f>
        <v>8000</v>
      </c>
      <c r="F811" s="58" t="n">
        <f aca="false">Pressupostos!$C$164*MAX(0,F774-E774)</f>
        <v>10000</v>
      </c>
      <c r="G811" s="58" t="n">
        <f aca="false">Pressupostos!$C$164*MAX(0,G774-F774)</f>
        <v>14000</v>
      </c>
      <c r="H811" s="2" t="s">
        <v>1285</v>
      </c>
    </row>
    <row r="812" customFormat="false" ht="15" hidden="false" customHeight="false" outlineLevel="1" collapsed="false">
      <c r="A812" s="7" t="s">
        <v>407</v>
      </c>
      <c r="B812" s="8" t="s">
        <v>10</v>
      </c>
      <c r="C812" s="58" t="n">
        <f aca="false">C809+C810+C811</f>
        <v>92000</v>
      </c>
      <c r="D812" s="58" t="n">
        <f aca="false">D809+D810+D811</f>
        <v>73000</v>
      </c>
      <c r="E812" s="58" t="n">
        <f aca="false">E809+E810+E811</f>
        <v>66000</v>
      </c>
      <c r="F812" s="58" t="n">
        <f aca="false">F809+F810+F811</f>
        <v>58000</v>
      </c>
      <c r="G812" s="58" t="n">
        <f aca="false">G809+G810+G811</f>
        <v>62000</v>
      </c>
      <c r="H812" s="2" t="s">
        <v>1286</v>
      </c>
    </row>
    <row r="813" customFormat="false" ht="15" hidden="false" customHeight="false" outlineLevel="1" collapsed="false">
      <c r="A813" s="7" t="s">
        <v>669</v>
      </c>
      <c r="B813" s="8" t="s">
        <v>10</v>
      </c>
      <c r="C813" s="58" t="n">
        <f aca="false">(C810*((0)&lt;Pressupostos!$C$165))/Pressupostos!$C$165</f>
        <v>20000</v>
      </c>
      <c r="D813" s="58" t="n">
        <f aca="false">(C810*((1)&lt;Pressupostos!$C$165)+D810*((0)&lt;Pressupostos!$C$165))/Pressupostos!$C$165</f>
        <v>35000</v>
      </c>
      <c r="E813" s="58" t="n">
        <f aca="false">(C810*((2)&lt;Pressupostos!$C$165)+D810*((1)&lt;Pressupostos!$C$165)+E810*((0)&lt;Pressupostos!$C$165))/Pressupostos!$C$165</f>
        <v>48333.3333333333</v>
      </c>
      <c r="F813" s="58" t="n">
        <f aca="false">(C810*((3)&lt;Pressupostos!$C$165)+D810*((2)&lt;Pressupostos!$C$165)+E810*((1)&lt;Pressupostos!$C$165)+F810*((0)&lt;Pressupostos!$C$165))/Pressupostos!$C$165</f>
        <v>38333.3333333333</v>
      </c>
      <c r="G813" s="58" t="n">
        <f aca="false">(C810*((4)&lt;Pressupostos!$C$165)+D810*((3)&lt;Pressupostos!$C$165)+E810*((2)&lt;Pressupostos!$C$165)+F810*((1)&lt;Pressupostos!$C$165)+G810*((0)&lt;Pressupostos!$C$165))/Pressupostos!$C$165</f>
        <v>33333.3333333333</v>
      </c>
      <c r="H813" s="2" t="s">
        <v>1287</v>
      </c>
    </row>
    <row r="814" customFormat="false" ht="15" hidden="false" customHeight="false" outlineLevel="1" collapsed="false">
      <c r="A814" s="7" t="s">
        <v>670</v>
      </c>
      <c r="B814" s="8" t="s">
        <v>10</v>
      </c>
      <c r="C814" s="58" t="n">
        <f aca="false">(C809*((0)&lt;Pressupostos!$C$167))/Pressupostos!$C$167</f>
        <v>3600</v>
      </c>
      <c r="D814" s="58" t="n">
        <f aca="false">(C809*((1)&lt;Pressupostos!$C$167)+D809*((0)&lt;Pressupostos!$C$167))/Pressupostos!$C$167</f>
        <v>7200</v>
      </c>
      <c r="E814" s="58" t="n">
        <f aca="false">(C809*((2)&lt;Pressupostos!$C$167)+D809*((1)&lt;Pressupostos!$C$167)+E809*((0)&lt;Pressupostos!$C$167))/Pressupostos!$C$167</f>
        <v>10800</v>
      </c>
      <c r="F814" s="58" t="n">
        <f aca="false">(C809*((3)&lt;Pressupostos!$C$167)+D809*((2)&lt;Pressupostos!$C$167)+E809*((1)&lt;Pressupostos!$C$167)+F809*((0)&lt;Pressupostos!$C$167))/Pressupostos!$C$167</f>
        <v>14400</v>
      </c>
      <c r="G814" s="58" t="n">
        <f aca="false">(C809*((4)&lt;Pressupostos!$C$167)+D809*((3)&lt;Pressupostos!$C$167)+E809*((2)&lt;Pressupostos!$C$167)+F809*((1)&lt;Pressupostos!$C$167)+G809*((0)&lt;Pressupostos!$C$167))/Pressupostos!$C$167</f>
        <v>18000</v>
      </c>
      <c r="H814" s="2" t="s">
        <v>1288</v>
      </c>
    </row>
    <row r="815" customFormat="false" ht="15" hidden="false" customHeight="false" outlineLevel="1" collapsed="false">
      <c r="A815" s="7" t="s">
        <v>671</v>
      </c>
      <c r="B815" s="8" t="s">
        <v>10</v>
      </c>
      <c r="C815" s="58" t="n">
        <f aca="false">(C811*((0)&lt;Pressupostos!$C$166))/Pressupostos!$C$166</f>
        <v>3500</v>
      </c>
      <c r="D815" s="58" t="n">
        <f aca="false">(C811*((1)&lt;Pressupostos!$C$166)+D811*((0)&lt;Pressupostos!$C$166))/Pressupostos!$C$166</f>
        <v>6000</v>
      </c>
      <c r="E815" s="58" t="n">
        <f aca="false">(C811*((2)&lt;Pressupostos!$C$166)+D811*((1)&lt;Pressupostos!$C$166)+E811*((0)&lt;Pressupostos!$C$166))/Pressupostos!$C$166</f>
        <v>8000</v>
      </c>
      <c r="F815" s="58" t="n">
        <f aca="false">(C811*((3)&lt;Pressupostos!$C$166)+D811*((2)&lt;Pressupostos!$C$166)+E811*((1)&lt;Pressupostos!$C$166)+F811*((0)&lt;Pressupostos!$C$166))/Pressupostos!$C$166</f>
        <v>10500</v>
      </c>
      <c r="G815" s="58" t="n">
        <f aca="false">(C811*((4)&lt;Pressupostos!$C$166)+D811*((3)&lt;Pressupostos!$C$166)+E811*((2)&lt;Pressupostos!$C$166)+F811*((1)&lt;Pressupostos!$C$166)+G811*((0)&lt;Pressupostos!$C$166))/Pressupostos!$C$166</f>
        <v>10500</v>
      </c>
      <c r="H815" s="2" t="s">
        <v>1289</v>
      </c>
    </row>
    <row r="816" customFormat="false" ht="15" hidden="false" customHeight="false" outlineLevel="1" collapsed="false">
      <c r="A816" s="7" t="s">
        <v>672</v>
      </c>
      <c r="B816" s="8" t="s">
        <v>10</v>
      </c>
      <c r="C816" s="58" t="n">
        <f aca="false">C813+C814+C815</f>
        <v>27100</v>
      </c>
      <c r="D816" s="58" t="n">
        <f aca="false">D813+D814+D815</f>
        <v>48200</v>
      </c>
      <c r="E816" s="58" t="n">
        <f aca="false">E813+E814+E815</f>
        <v>67133.3333333333</v>
      </c>
      <c r="F816" s="58" t="n">
        <f aca="false">F813+F814+F815</f>
        <v>63233.3333333333</v>
      </c>
      <c r="G816" s="58" t="n">
        <f aca="false">G813+G814+G815</f>
        <v>61833.3333333333</v>
      </c>
      <c r="H816" s="2" t="s">
        <v>1290</v>
      </c>
    </row>
    <row r="817" customFormat="false" ht="15" hidden="false" customHeight="false" outlineLevel="0" collapsed="false">
      <c r="A817" s="3" t="s">
        <v>1291</v>
      </c>
      <c r="B817" s="4"/>
      <c r="C817" s="4"/>
      <c r="D817" s="4"/>
      <c r="E817" s="4"/>
      <c r="F817" s="4"/>
      <c r="G817" s="4"/>
      <c r="H817" s="4"/>
    </row>
    <row r="818" customFormat="false" ht="15" hidden="false" customHeight="false" outlineLevel="1" collapsed="false">
      <c r="A818" s="52" t="s">
        <v>676</v>
      </c>
      <c r="B818" s="53" t="s">
        <v>10</v>
      </c>
      <c r="C818" s="59" t="n">
        <f aca="false">C725</f>
        <v>370458</v>
      </c>
      <c r="D818" s="59" t="n">
        <f aca="false">D725</f>
        <v>3164280</v>
      </c>
      <c r="E818" s="59" t="n">
        <f aca="false">E725</f>
        <v>6509150</v>
      </c>
      <c r="F818" s="59" t="n">
        <f aca="false">F725</f>
        <v>11221820</v>
      </c>
      <c r="G818" s="59" t="n">
        <f aca="false">G725</f>
        <v>16943800</v>
      </c>
      <c r="H818" s="2" t="s">
        <v>1292</v>
      </c>
    </row>
    <row r="819" customFormat="false" ht="15" hidden="false" customHeight="false" outlineLevel="1" collapsed="false">
      <c r="A819" s="7" t="s">
        <v>649</v>
      </c>
      <c r="B819" s="8" t="s">
        <v>10</v>
      </c>
      <c r="C819" s="58" t="n">
        <f aca="false">-C746</f>
        <v>-321000</v>
      </c>
      <c r="D819" s="58" t="n">
        <f aca="false">-D746</f>
        <v>-2746200</v>
      </c>
      <c r="E819" s="58" t="n">
        <f aca="false">-E746</f>
        <v>-5570500</v>
      </c>
      <c r="F819" s="58" t="n">
        <f aca="false">-F746</f>
        <v>-9541000</v>
      </c>
      <c r="G819" s="58" t="n">
        <f aca="false">-G746</f>
        <v>-14381500</v>
      </c>
      <c r="H819" s="2" t="s">
        <v>1293</v>
      </c>
    </row>
    <row r="820" customFormat="false" ht="15" hidden="false" customHeight="false" outlineLevel="1" collapsed="false">
      <c r="A820" s="52" t="s">
        <v>677</v>
      </c>
      <c r="B820" s="53" t="s">
        <v>10</v>
      </c>
      <c r="C820" s="59" t="n">
        <f aca="false">C818+C819</f>
        <v>49458</v>
      </c>
      <c r="D820" s="59" t="n">
        <f aca="false">D818+D819</f>
        <v>418080</v>
      </c>
      <c r="E820" s="59" t="n">
        <f aca="false">E818+E819</f>
        <v>938650</v>
      </c>
      <c r="F820" s="59" t="n">
        <f aca="false">F818+F819</f>
        <v>1680820</v>
      </c>
      <c r="G820" s="59" t="n">
        <f aca="false">G818+G819</f>
        <v>2562300</v>
      </c>
      <c r="H820" s="2" t="s">
        <v>1294</v>
      </c>
    </row>
    <row r="821" customFormat="false" ht="15" hidden="false" customHeight="false" outlineLevel="1" collapsed="false">
      <c r="A821" s="2" t="s">
        <v>678</v>
      </c>
      <c r="B821" s="8" t="s">
        <v>71</v>
      </c>
      <c r="C821" s="55" t="n">
        <f aca="false">IF(C818&gt;0,C820/C818,0)</f>
        <v>0.133505012713992</v>
      </c>
      <c r="D821" s="55" t="n">
        <f aca="false">IF(D818&gt;0,D820/D818,0)</f>
        <v>0.132124843566309</v>
      </c>
      <c r="E821" s="55" t="n">
        <f aca="false">IF(E818&gt;0,E820/E818,0)</f>
        <v>0.144204696465744</v>
      </c>
      <c r="F821" s="55" t="n">
        <f aca="false">IF(F818&gt;0,F820/F818,0)</f>
        <v>0.149781408006901</v>
      </c>
      <c r="G821" s="55" t="n">
        <f aca="false">IF(G818&gt;0,G820/G818,0)</f>
        <v>0.151223456367521</v>
      </c>
      <c r="H821" s="2" t="s">
        <v>1295</v>
      </c>
    </row>
    <row r="822" customFormat="false" ht="15" hidden="false" customHeight="false" outlineLevel="1" collapsed="false">
      <c r="A822" s="7" t="s">
        <v>679</v>
      </c>
      <c r="B822" s="8" t="s">
        <v>10</v>
      </c>
      <c r="C822" s="58" t="n">
        <f aca="false">-C756</f>
        <v>-20082.3881278539</v>
      </c>
      <c r="D822" s="58" t="n">
        <f aca="false">-D756</f>
        <v>-168175.130528376</v>
      </c>
      <c r="E822" s="58" t="n">
        <f aca="false">-E756</f>
        <v>-366445.873776908</v>
      </c>
      <c r="F822" s="58" t="n">
        <f aca="false">-F756</f>
        <v>-655763.893672538</v>
      </c>
      <c r="G822" s="58" t="n">
        <f aca="false">-G756</f>
        <v>-1002373.98336595</v>
      </c>
      <c r="H822" s="2" t="s">
        <v>1296</v>
      </c>
    </row>
    <row r="823" customFormat="false" ht="15" hidden="false" customHeight="false" outlineLevel="1" collapsed="false">
      <c r="A823" s="7" t="s">
        <v>658</v>
      </c>
      <c r="B823" s="8" t="s">
        <v>10</v>
      </c>
      <c r="C823" s="58" t="n">
        <f aca="false">-C759</f>
        <v>-0</v>
      </c>
      <c r="D823" s="58" t="n">
        <f aca="false">-D759</f>
        <v>-24258.2272360999</v>
      </c>
      <c r="E823" s="58" t="n">
        <f aca="false">-E759</f>
        <v>-42007.9532634972</v>
      </c>
      <c r="F823" s="58" t="n">
        <f aca="false">-F759</f>
        <v>-67455.5439161966</v>
      </c>
      <c r="G823" s="58" t="n">
        <f aca="false">-G759</f>
        <v>-101777.272360999</v>
      </c>
      <c r="H823" s="2" t="s">
        <v>1297</v>
      </c>
    </row>
    <row r="824" customFormat="false" ht="15" hidden="false" customHeight="false" outlineLevel="1" collapsed="false">
      <c r="A824" s="52" t="s">
        <v>641</v>
      </c>
      <c r="B824" s="53" t="s">
        <v>10</v>
      </c>
      <c r="C824" s="59" t="n">
        <f aca="false">C820+C822+C823</f>
        <v>29375.6118721461</v>
      </c>
      <c r="D824" s="59" t="n">
        <f aca="false">D820+D822+D823</f>
        <v>225646.642235524</v>
      </c>
      <c r="E824" s="59" t="n">
        <f aca="false">E820+E822+E823</f>
        <v>530196.172959595</v>
      </c>
      <c r="F824" s="59" t="n">
        <f aca="false">F820+F822+F823</f>
        <v>957600.562411266</v>
      </c>
      <c r="G824" s="59" t="n">
        <f aca="false">G820+G822+G823</f>
        <v>1458148.74427305</v>
      </c>
      <c r="H824" s="2" t="s">
        <v>1298</v>
      </c>
    </row>
    <row r="825" customFormat="false" ht="15" hidden="false" customHeight="false" outlineLevel="1" collapsed="false">
      <c r="A825" s="7" t="s">
        <v>251</v>
      </c>
      <c r="B825" s="8" t="s">
        <v>10</v>
      </c>
      <c r="C825" s="58" t="n">
        <f aca="false">-C791</f>
        <v>-400885.59375</v>
      </c>
      <c r="D825" s="58" t="n">
        <f aca="false">-D791</f>
        <v>-699532.225</v>
      </c>
      <c r="E825" s="58" t="n">
        <f aca="false">-E791</f>
        <v>-948461.839625</v>
      </c>
      <c r="F825" s="58" t="n">
        <f aca="false">-F791</f>
        <v>-1229685.30445375</v>
      </c>
      <c r="G825" s="58" t="n">
        <f aca="false">-G791</f>
        <v>-1625549.8641068</v>
      </c>
      <c r="H825" s="2" t="s">
        <v>1299</v>
      </c>
    </row>
    <row r="826" customFormat="false" ht="15" hidden="false" customHeight="false" outlineLevel="1" collapsed="false">
      <c r="A826" s="7" t="s">
        <v>680</v>
      </c>
      <c r="B826" s="8" t="s">
        <v>10</v>
      </c>
      <c r="C826" s="58" t="n">
        <f aca="false">-C807</f>
        <v>-334850</v>
      </c>
      <c r="D826" s="58" t="n">
        <f aca="false">-D807</f>
        <v>-409649.2</v>
      </c>
      <c r="E826" s="58" t="n">
        <f aca="false">-E807</f>
        <v>-485854.68</v>
      </c>
      <c r="F826" s="58" t="n">
        <f aca="false">-F807</f>
        <v>-602439.9488</v>
      </c>
      <c r="G826" s="58" t="n">
        <f aca="false">-G807</f>
        <v>-738758.513128</v>
      </c>
      <c r="H826" s="2" t="s">
        <v>1300</v>
      </c>
    </row>
    <row r="827" customFormat="false" ht="15" hidden="false" customHeight="false" outlineLevel="1" collapsed="false">
      <c r="A827" s="52" t="s">
        <v>681</v>
      </c>
      <c r="B827" s="53" t="s">
        <v>10</v>
      </c>
      <c r="C827" s="59" t="n">
        <f aca="false">C824+C825+C826</f>
        <v>-706359.981877854</v>
      </c>
      <c r="D827" s="59" t="n">
        <f aca="false">D824+D825+D826</f>
        <v>-883534.782764476</v>
      </c>
      <c r="E827" s="59" t="n">
        <f aca="false">E824+E825+E826</f>
        <v>-904120.346665405</v>
      </c>
      <c r="F827" s="59" t="n">
        <f aca="false">F824+F825+F826</f>
        <v>-874524.690842484</v>
      </c>
      <c r="G827" s="59" t="n">
        <f aca="false">G824+G825+G826</f>
        <v>-906159.632961748</v>
      </c>
      <c r="H827" s="2" t="s">
        <v>1301</v>
      </c>
    </row>
    <row r="828" customFormat="false" ht="15" hidden="false" customHeight="false" outlineLevel="1" collapsed="false">
      <c r="A828" s="2" t="s">
        <v>683</v>
      </c>
      <c r="B828" s="8" t="s">
        <v>71</v>
      </c>
      <c r="C828" s="55" t="n">
        <f aca="false">IF(C818&gt;0,C827/C818,0)</f>
        <v>-1.90672082092397</v>
      </c>
      <c r="D828" s="55" t="n">
        <f aca="false">IF(D818&gt;0,D827/D818,0)</f>
        <v>-0.279221428813024</v>
      </c>
      <c r="E828" s="55" t="n">
        <f aca="false">IF(E818&gt;0,E827/E818,0)</f>
        <v>-0.138899909614221</v>
      </c>
      <c r="F828" s="55" t="n">
        <f aca="false">IF(F818&gt;0,F827/F818,0)</f>
        <v>-0.0779307359093698</v>
      </c>
      <c r="G828" s="55" t="n">
        <f aca="false">IF(G818&gt;0,G827/G818,0)</f>
        <v>-0.0534803074258282</v>
      </c>
      <c r="H828" s="2" t="s">
        <v>1302</v>
      </c>
    </row>
    <row r="829" customFormat="false" ht="15" hidden="false" customHeight="false" outlineLevel="1" collapsed="false">
      <c r="A829" s="2" t="s">
        <v>684</v>
      </c>
      <c r="B829" s="8" t="s">
        <v>10</v>
      </c>
      <c r="C829" s="58" t="n">
        <f aca="false">C827+C759</f>
        <v>-706359.981877854</v>
      </c>
      <c r="D829" s="58" t="n">
        <f aca="false">D827+D759</f>
        <v>-859276.555528376</v>
      </c>
      <c r="E829" s="58" t="n">
        <f aca="false">E827+E759</f>
        <v>-862112.393401908</v>
      </c>
      <c r="F829" s="58" t="n">
        <f aca="false">F827+F759</f>
        <v>-807069.146926287</v>
      </c>
      <c r="G829" s="58" t="n">
        <f aca="false">G827+G759</f>
        <v>-804382.360600749</v>
      </c>
      <c r="H829" s="2" t="s">
        <v>1303</v>
      </c>
    </row>
    <row r="830" customFormat="false" ht="15" hidden="false" customHeight="false" outlineLevel="1" collapsed="false">
      <c r="A830" s="7" t="s">
        <v>672</v>
      </c>
      <c r="B830" s="8" t="s">
        <v>10</v>
      </c>
      <c r="C830" s="58" t="n">
        <f aca="false">-C816</f>
        <v>-27100</v>
      </c>
      <c r="D830" s="58" t="n">
        <f aca="false">-D816</f>
        <v>-48200</v>
      </c>
      <c r="E830" s="58" t="n">
        <f aca="false">-E816</f>
        <v>-67133.3333333333</v>
      </c>
      <c r="F830" s="58" t="n">
        <f aca="false">-F816</f>
        <v>-63233.3333333333</v>
      </c>
      <c r="G830" s="58" t="n">
        <f aca="false">-G816</f>
        <v>-61833.3333333333</v>
      </c>
      <c r="H830" s="2" t="s">
        <v>1304</v>
      </c>
    </row>
    <row r="831" customFormat="false" ht="15" hidden="false" customHeight="false" outlineLevel="1" collapsed="false">
      <c r="A831" s="52" t="s">
        <v>685</v>
      </c>
      <c r="B831" s="53" t="s">
        <v>10</v>
      </c>
      <c r="C831" s="59" t="n">
        <f aca="false">C827+C830</f>
        <v>-733459.981877854</v>
      </c>
      <c r="D831" s="59" t="n">
        <f aca="false">D827+D830</f>
        <v>-931734.782764476</v>
      </c>
      <c r="E831" s="59" t="n">
        <f aca="false">E827+E830</f>
        <v>-971253.679998739</v>
      </c>
      <c r="F831" s="59" t="n">
        <f aca="false">F827+F830</f>
        <v>-937758.024175817</v>
      </c>
      <c r="G831" s="59" t="n">
        <f aca="false">G827+G830</f>
        <v>-967992.966295082</v>
      </c>
      <c r="H831" s="2" t="s">
        <v>1305</v>
      </c>
    </row>
    <row r="832" customFormat="false" ht="15" hidden="false" customHeight="false" outlineLevel="0" collapsed="false">
      <c r="A832" s="3" t="s">
        <v>1306</v>
      </c>
      <c r="B832" s="4"/>
      <c r="C832" s="4"/>
      <c r="D832" s="4"/>
      <c r="E832" s="4"/>
      <c r="F832" s="4"/>
      <c r="G832" s="4"/>
      <c r="H832" s="4"/>
    </row>
    <row r="833" customFormat="false" ht="15" hidden="false" customHeight="false" outlineLevel="1" collapsed="false">
      <c r="A833" s="7" t="s">
        <v>687</v>
      </c>
      <c r="B833" s="8" t="s">
        <v>10</v>
      </c>
      <c r="C833" s="58" t="n">
        <f aca="false">C831</f>
        <v>-733459.981877854</v>
      </c>
      <c r="D833" s="58" t="n">
        <f aca="false">D831</f>
        <v>-931734.782764476</v>
      </c>
      <c r="E833" s="58" t="n">
        <f aca="false">E831</f>
        <v>-971253.679998739</v>
      </c>
      <c r="F833" s="58" t="n">
        <f aca="false">F831</f>
        <v>-937758.024175817</v>
      </c>
      <c r="G833" s="58" t="n">
        <f aca="false">G831</f>
        <v>-967992.966295082</v>
      </c>
      <c r="H833" s="2" t="s">
        <v>1307</v>
      </c>
    </row>
    <row r="834" customFormat="false" ht="15" hidden="false" customHeight="false" outlineLevel="1" collapsed="false">
      <c r="A834" s="7" t="s">
        <v>688</v>
      </c>
      <c r="B834" s="8" t="s">
        <v>10</v>
      </c>
      <c r="C834" s="58" t="n">
        <f aca="false">0</f>
        <v>0</v>
      </c>
      <c r="D834" s="58" t="n">
        <f aca="false">C837</f>
        <v>733459.981877854</v>
      </c>
      <c r="E834" s="58" t="n">
        <f aca="false">D837</f>
        <v>1665194.76464233</v>
      </c>
      <c r="F834" s="58" t="n">
        <f aca="false">E837</f>
        <v>2636448.44464107</v>
      </c>
      <c r="G834" s="58" t="n">
        <f aca="false">F837</f>
        <v>3574206.46881689</v>
      </c>
      <c r="H834" s="2" t="s">
        <v>1308</v>
      </c>
    </row>
    <row r="835" customFormat="false" ht="15" hidden="false" customHeight="false" outlineLevel="1" collapsed="false">
      <c r="A835" s="7" t="s">
        <v>689</v>
      </c>
      <c r="B835" s="8" t="s">
        <v>10</v>
      </c>
      <c r="C835" s="58" t="n">
        <f aca="false">MAX(0,-C833)</f>
        <v>733459.981877854</v>
      </c>
      <c r="D835" s="58" t="n">
        <f aca="false">MAX(0,-D833)</f>
        <v>931734.782764476</v>
      </c>
      <c r="E835" s="58" t="n">
        <f aca="false">MAX(0,-E833)</f>
        <v>971253.679998739</v>
      </c>
      <c r="F835" s="58" t="n">
        <f aca="false">MAX(0,-F833)</f>
        <v>937758.024175817</v>
      </c>
      <c r="G835" s="58" t="n">
        <f aca="false">MAX(0,-G833)</f>
        <v>967992.966295082</v>
      </c>
      <c r="H835" s="2" t="s">
        <v>1309</v>
      </c>
    </row>
    <row r="836" customFormat="false" ht="15" hidden="false" customHeight="false" outlineLevel="1" collapsed="false">
      <c r="A836" s="7" t="s">
        <v>690</v>
      </c>
      <c r="B836" s="8" t="s">
        <v>10</v>
      </c>
      <c r="C836" s="58" t="n">
        <f aca="false">MIN(C834,Pressupostos!$C$179*MAX(0,C833))</f>
        <v>0</v>
      </c>
      <c r="D836" s="58" t="n">
        <f aca="false">MIN(D834,Pressupostos!$C$179*MAX(0,D833))</f>
        <v>0</v>
      </c>
      <c r="E836" s="58" t="n">
        <f aca="false">MIN(E834,Pressupostos!$C$179*MAX(0,E833))</f>
        <v>0</v>
      </c>
      <c r="F836" s="58" t="n">
        <f aca="false">MIN(F834,Pressupostos!$C$179*MAX(0,F833))</f>
        <v>0</v>
      </c>
      <c r="G836" s="58" t="n">
        <f aca="false">MIN(G834,Pressupostos!$C$179*MAX(0,G833))</f>
        <v>0</v>
      </c>
      <c r="H836" s="2" t="s">
        <v>1310</v>
      </c>
    </row>
    <row r="837" customFormat="false" ht="15" hidden="false" customHeight="false" outlineLevel="1" collapsed="false">
      <c r="A837" s="7" t="s">
        <v>691</v>
      </c>
      <c r="B837" s="8" t="s">
        <v>10</v>
      </c>
      <c r="C837" s="58" t="n">
        <f aca="false">C834+C835-C836</f>
        <v>733459.981877854</v>
      </c>
      <c r="D837" s="58" t="n">
        <f aca="false">D834+D835-D836</f>
        <v>1665194.76464233</v>
      </c>
      <c r="E837" s="58" t="n">
        <f aca="false">E834+E835-E836</f>
        <v>2636448.44464107</v>
      </c>
      <c r="F837" s="58" t="n">
        <f aca="false">F834+F835-F836</f>
        <v>3574206.46881689</v>
      </c>
      <c r="G837" s="58" t="n">
        <f aca="false">G834+G835-G836</f>
        <v>4542199.43511197</v>
      </c>
      <c r="H837" s="2" t="s">
        <v>1311</v>
      </c>
    </row>
    <row r="838" customFormat="false" ht="15" hidden="false" customHeight="false" outlineLevel="1" collapsed="false">
      <c r="A838" s="7" t="s">
        <v>692</v>
      </c>
      <c r="B838" s="8" t="s">
        <v>10</v>
      </c>
      <c r="C838" s="58" t="n">
        <f aca="false">MAX(0,C833)-C836</f>
        <v>0</v>
      </c>
      <c r="D838" s="58" t="n">
        <f aca="false">MAX(0,D833)-D836</f>
        <v>0</v>
      </c>
      <c r="E838" s="58" t="n">
        <f aca="false">MAX(0,E833)-E836</f>
        <v>0</v>
      </c>
      <c r="F838" s="58" t="n">
        <f aca="false">MAX(0,F833)-F836</f>
        <v>0</v>
      </c>
      <c r="G838" s="58" t="n">
        <f aca="false">MAX(0,G833)-G836</f>
        <v>0</v>
      </c>
      <c r="H838" s="2" t="s">
        <v>1312</v>
      </c>
    </row>
    <row r="839" customFormat="false" ht="15" hidden="false" customHeight="false" outlineLevel="1" collapsed="false">
      <c r="A839" s="7" t="s">
        <v>693</v>
      </c>
      <c r="B839" s="8" t="s">
        <v>10</v>
      </c>
      <c r="C839" s="58" t="n">
        <f aca="false">Pressupostos!$C$170*MIN(C838,Pressupostos!$C$171)+Pressupostos!$C$450*MAX(0,C838-Pressupostos!$C$171)</f>
        <v>0</v>
      </c>
      <c r="D839" s="58" t="n">
        <f aca="false">Pressupostos!$C$170*MIN(D838,Pressupostos!$C$171)+Pressupostos!$D$450*MAX(0,D838-Pressupostos!$C$171)</f>
        <v>0</v>
      </c>
      <c r="E839" s="58" t="n">
        <f aca="false">Pressupostos!$C$170*MIN(E838,Pressupostos!$C$171)+Pressupostos!$E$450*MAX(0,E838-Pressupostos!$C$171)</f>
        <v>0</v>
      </c>
      <c r="F839" s="58" t="n">
        <f aca="false">Pressupostos!$C$170*MIN(F838,Pressupostos!$C$171)+Pressupostos!$F$450*MAX(0,F838-Pressupostos!$C$171)</f>
        <v>0</v>
      </c>
      <c r="G839" s="58" t="n">
        <f aca="false">Pressupostos!$C$170*MIN(G838,Pressupostos!$C$171)+Pressupostos!$G$450*MAX(0,G838-Pressupostos!$C$171)</f>
        <v>0</v>
      </c>
      <c r="H839" s="2" t="s">
        <v>1313</v>
      </c>
    </row>
    <row r="840" customFormat="false" ht="15" hidden="false" customHeight="false" outlineLevel="1" collapsed="false">
      <c r="A840" s="7" t="s">
        <v>694</v>
      </c>
      <c r="B840" s="8" t="s">
        <v>10</v>
      </c>
      <c r="C840" s="58" t="n">
        <f aca="false">Pressupostos!$C$172*MAX(0,C833)</f>
        <v>0</v>
      </c>
      <c r="D840" s="58" t="n">
        <f aca="false">Pressupostos!$C$172*MAX(0,D833)</f>
        <v>0</v>
      </c>
      <c r="E840" s="58" t="n">
        <f aca="false">Pressupostos!$C$172*MAX(0,E833)</f>
        <v>0</v>
      </c>
      <c r="F840" s="58" t="n">
        <f aca="false">Pressupostos!$C$172*MAX(0,F833)</f>
        <v>0</v>
      </c>
      <c r="G840" s="58" t="n">
        <f aca="false">Pressupostos!$C$172*MAX(0,G833)</f>
        <v>0</v>
      </c>
      <c r="H840" s="2" t="s">
        <v>1314</v>
      </c>
    </row>
    <row r="841" customFormat="false" ht="15" hidden="false" customHeight="false" outlineLevel="1" collapsed="false">
      <c r="A841" s="7" t="s">
        <v>695</v>
      </c>
      <c r="B841" s="8" t="s">
        <v>10</v>
      </c>
      <c r="C841" s="58" t="n">
        <f aca="false">Pressupostos!$C$174*MAX(0,MIN(C833,Pressupostos!$C$175)-Pressupostos!$C$173)+Pressupostos!$C$176*MAX(0,MIN(C833,Pressupostos!$C$177)-Pressupostos!$C$175)+Pressupostos!$C$178*MAX(0,C833-Pressupostos!$C$177)</f>
        <v>0</v>
      </c>
      <c r="D841" s="58" t="n">
        <f aca="false">Pressupostos!$C$174*MAX(0,MIN(D833,Pressupostos!$C$175)-Pressupostos!$C$173)+Pressupostos!$C$176*MAX(0,MIN(D833,Pressupostos!$C$177)-Pressupostos!$C$175)+Pressupostos!$C$178*MAX(0,D833-Pressupostos!$C$177)</f>
        <v>0</v>
      </c>
      <c r="E841" s="58" t="n">
        <f aca="false">Pressupostos!$C$174*MAX(0,MIN(E833,Pressupostos!$C$175)-Pressupostos!$C$173)+Pressupostos!$C$176*MAX(0,MIN(E833,Pressupostos!$C$177)-Pressupostos!$C$175)+Pressupostos!$C$178*MAX(0,E833-Pressupostos!$C$177)</f>
        <v>0</v>
      </c>
      <c r="F841" s="58" t="n">
        <f aca="false">Pressupostos!$C$174*MAX(0,MIN(F833,Pressupostos!$C$175)-Pressupostos!$C$173)+Pressupostos!$C$176*MAX(0,MIN(F833,Pressupostos!$C$177)-Pressupostos!$C$175)+Pressupostos!$C$178*MAX(0,F833-Pressupostos!$C$177)</f>
        <v>0</v>
      </c>
      <c r="G841" s="58" t="n">
        <f aca="false">Pressupostos!$C$174*MAX(0,MIN(G833,Pressupostos!$C$175)-Pressupostos!$C$173)+Pressupostos!$C$176*MAX(0,MIN(G833,Pressupostos!$C$177)-Pressupostos!$C$175)+Pressupostos!$C$178*MAX(0,G833-Pressupostos!$C$177)</f>
        <v>0</v>
      </c>
      <c r="H841" s="2" t="s">
        <v>1315</v>
      </c>
    </row>
    <row r="842" customFormat="false" ht="15" hidden="false" customHeight="false" outlineLevel="1" collapsed="false">
      <c r="A842" s="7" t="s">
        <v>696</v>
      </c>
      <c r="B842" s="8" t="s">
        <v>10</v>
      </c>
      <c r="C842" s="58" t="n">
        <f aca="false">C839+C840+C841</f>
        <v>0</v>
      </c>
      <c r="D842" s="58" t="n">
        <f aca="false">D839+D840+D841</f>
        <v>0</v>
      </c>
      <c r="E842" s="58" t="n">
        <f aca="false">E839+E840+E841</f>
        <v>0</v>
      </c>
      <c r="F842" s="58" t="n">
        <f aca="false">F839+F840+F841</f>
        <v>0</v>
      </c>
      <c r="G842" s="58" t="n">
        <f aca="false">G839+G840+G841</f>
        <v>0</v>
      </c>
      <c r="H842" s="2" t="s">
        <v>1316</v>
      </c>
    </row>
    <row r="843" customFormat="false" ht="15" hidden="false" customHeight="false" outlineLevel="0" collapsed="false">
      <c r="A843" s="3" t="s">
        <v>1317</v>
      </c>
      <c r="B843" s="4"/>
      <c r="C843" s="4"/>
      <c r="D843" s="4"/>
      <c r="E843" s="4"/>
      <c r="F843" s="4"/>
      <c r="G843" s="4"/>
      <c r="H843" s="4"/>
    </row>
    <row r="844" customFormat="false" ht="15" hidden="false" customHeight="false" outlineLevel="1" collapsed="false">
      <c r="A844" s="7" t="s">
        <v>696</v>
      </c>
      <c r="B844" s="8" t="s">
        <v>10</v>
      </c>
      <c r="C844" s="58" t="n">
        <f aca="false">-C842</f>
        <v>-0</v>
      </c>
      <c r="D844" s="58" t="n">
        <f aca="false">-D842</f>
        <v>-0</v>
      </c>
      <c r="E844" s="58" t="n">
        <f aca="false">-E842</f>
        <v>-0</v>
      </c>
      <c r="F844" s="58" t="n">
        <f aca="false">-F842</f>
        <v>-0</v>
      </c>
      <c r="G844" s="58" t="n">
        <f aca="false">-G842</f>
        <v>-0</v>
      </c>
      <c r="H844" s="2" t="s">
        <v>1318</v>
      </c>
    </row>
    <row r="845" customFormat="false" ht="15" hidden="false" customHeight="false" outlineLevel="1" collapsed="false">
      <c r="A845" s="52" t="s">
        <v>698</v>
      </c>
      <c r="B845" s="53" t="s">
        <v>10</v>
      </c>
      <c r="C845" s="59" t="n">
        <f aca="false">C831+C844</f>
        <v>-733459.981877854</v>
      </c>
      <c r="D845" s="59" t="n">
        <f aca="false">D831+D844</f>
        <v>-931734.782764476</v>
      </c>
      <c r="E845" s="59" t="n">
        <f aca="false">E831+E844</f>
        <v>-971253.679998739</v>
      </c>
      <c r="F845" s="59" t="n">
        <f aca="false">F831+F844</f>
        <v>-937758.024175817</v>
      </c>
      <c r="G845" s="59" t="n">
        <f aca="false">G831+G844</f>
        <v>-967992.966295082</v>
      </c>
      <c r="H845" s="2" t="s">
        <v>1319</v>
      </c>
    </row>
    <row r="846" customFormat="false" ht="15" hidden="false" customHeight="false" outlineLevel="0" collapsed="false">
      <c r="A846" s="3" t="s">
        <v>1320</v>
      </c>
      <c r="B846" s="4"/>
      <c r="C846" s="4"/>
      <c r="D846" s="4"/>
      <c r="E846" s="4"/>
      <c r="F846" s="4"/>
      <c r="G846" s="4"/>
      <c r="H846" s="4"/>
    </row>
    <row r="847" customFormat="false" ht="15" hidden="false" customHeight="false" outlineLevel="1" collapsed="false">
      <c r="A847" s="7" t="s">
        <v>702</v>
      </c>
      <c r="B847" s="8" t="s">
        <v>10</v>
      </c>
      <c r="C847" s="58" t="n">
        <f aca="false">C631*1000*((C647+C650)*C653/365)+C632*1000*((C670+C673)*C676/365)+C633*1000*((C693+C696)*C699/365)</f>
        <v>39397.2602739726</v>
      </c>
      <c r="D847" s="58" t="n">
        <f aca="false">D631*1000*((D647+D650)*D653/365)+D632*1000*((D670+D673)*D676/365)+D633*1000*((D693+D696)*D699/365)</f>
        <v>223775.342465753</v>
      </c>
      <c r="E847" s="58" t="n">
        <f aca="false">E631*1000*((E647+E650)*E653/365)+E632*1000*((E670+E673)*E676/365)+E633*1000*((E693+E696)*E699/365)</f>
        <v>403623.287671233</v>
      </c>
      <c r="F847" s="58" t="n">
        <f aca="false">F631*1000*((F647+F650)*F653/365)+F632*1000*((F670+F673)*F676/365)+F633*1000*((F693+F696)*F699/365)</f>
        <v>697657.534246575</v>
      </c>
      <c r="G847" s="58" t="n">
        <f aca="false">G631*1000*((G647+G650)*G653/365)+G632*1000*((G670+G673)*G676/365)+G633*1000*((G693+G696)*G699/365)</f>
        <v>1046486.30136986</v>
      </c>
      <c r="H847" s="2" t="s">
        <v>1321</v>
      </c>
    </row>
    <row r="848" customFormat="false" ht="15" hidden="false" customHeight="false" outlineLevel="1" collapsed="false">
      <c r="A848" s="7" t="s">
        <v>703</v>
      </c>
      <c r="B848" s="8" t="s">
        <v>10</v>
      </c>
      <c r="C848" s="58" t="n">
        <f aca="false">C847+C642*1000*Pressupostos!$C$90*Pressupostos!$C$93/365</f>
        <v>39397.2602739726</v>
      </c>
      <c r="D848" s="58" t="n">
        <f aca="false">D847+D642*1000*Pressupostos!$C$90*Pressupostos!$C$93/365</f>
        <v>241035.616438356</v>
      </c>
      <c r="E848" s="58" t="n">
        <f aca="false">E847+E642*1000*Pressupostos!$C$90*Pressupostos!$C$93/365</f>
        <v>446773.97260274</v>
      </c>
      <c r="F848" s="58" t="n">
        <f aca="false">F847+F642*1000*Pressupostos!$C$90*Pressupostos!$C$93/365</f>
        <v>783958.904109589</v>
      </c>
      <c r="G848" s="58" t="n">
        <f aca="false">G847+G642*1000*Pressupostos!$C$90*Pressupostos!$C$93/365</f>
        <v>1184568.49315069</v>
      </c>
      <c r="H848" s="2" t="s">
        <v>1322</v>
      </c>
    </row>
    <row r="849" customFormat="false" ht="15" hidden="false" customHeight="false" outlineLevel="1" collapsed="false">
      <c r="A849" s="7" t="s">
        <v>704</v>
      </c>
      <c r="B849" s="8" t="s">
        <v>10</v>
      </c>
      <c r="C849" s="58" t="n">
        <f aca="false">C631*1000*(C649*C654/365)+C632*1000*(C672*C677/365)+C633*1000*(C695*C700/365)+C720*Pressupostos!$C$94/365+C722*Pressupostos!$C$80/365</f>
        <v>39078.7397260274</v>
      </c>
      <c r="D849" s="58" t="n">
        <f aca="false">D631*1000*(D649*D654/365)+D632*1000*(D672*D677/365)+D633*1000*(D695*D700/365)+D720*Pressupostos!$C$94/365+D722*Pressupostos!$C$80/365</f>
        <v>330927.123287671</v>
      </c>
      <c r="E849" s="58" t="n">
        <f aca="false">E631*1000*(E649*E654/365)+E632*1000*(E672*E677/365)+E633*1000*(E695*E700/365)+E720*Pressupostos!$C$94/365+E722*Pressupostos!$C$80/365</f>
        <v>664245.205479452</v>
      </c>
      <c r="F849" s="58" t="n">
        <f aca="false">F631*1000*(F649*F654/365)+F632*1000*(F672*F677/365)+F633*1000*(F695*F700/365)+F720*Pressupostos!$C$94/365+F722*Pressupostos!$C$80/365</f>
        <v>1130697.53424658</v>
      </c>
      <c r="G849" s="58" t="n">
        <f aca="false">G631*1000*(G649*G654/365)+G632*1000*(G672*G677/365)+G633*1000*(G695*G700/365)+G720*Pressupostos!$C$94/365+G722*Pressupostos!$C$80/365</f>
        <v>1702298.63013699</v>
      </c>
      <c r="H849" s="2" t="s">
        <v>1323</v>
      </c>
    </row>
    <row r="850" customFormat="false" ht="15" hidden="false" customHeight="false" outlineLevel="1" collapsed="false">
      <c r="A850" s="7" t="s">
        <v>705</v>
      </c>
      <c r="B850" s="8" t="s">
        <v>10</v>
      </c>
      <c r="C850" s="58" t="n">
        <f aca="false">C631*1000*((C647+C650)*Pressupostos!$C$70/365)+C632*1000*((C670+C673)*Pressupostos!$C$70/365)+C633*1000*((C693+C696)*Pressupostos!$C$70/365)+C642*1000*Pressupostos!$C$90*Pressupostos!$C$95/365</f>
        <v>26383.5616438356</v>
      </c>
      <c r="D850" s="58" t="n">
        <f aca="false">D631*1000*((D647+D650)*Pressupostos!$C$70/365)+D632*1000*((D670+D673)*Pressupostos!$C$70/365)+D633*1000*((D693+D696)*Pressupostos!$C$70/365)+D642*1000*Pressupostos!$C$90*Pressupostos!$C$95/365</f>
        <v>225715.068493151</v>
      </c>
      <c r="E850" s="58" t="n">
        <f aca="false">E631*1000*((E647+E650)*Pressupostos!$C$70/365)+E632*1000*((E670+E673)*Pressupostos!$C$70/365)+E633*1000*((E693+E696)*Pressupostos!$C$70/365)+E642*1000*Pressupostos!$C$90*Pressupostos!$C$95/365</f>
        <v>457849.315068493</v>
      </c>
      <c r="F850" s="58" t="n">
        <f aca="false">F631*1000*((F647+F650)*Pressupostos!$C$70/365)+F632*1000*((F670+F673)*Pressupostos!$C$70/365)+F633*1000*((F693+F696)*Pressupostos!$C$70/365)+F642*1000*Pressupostos!$C$90*Pressupostos!$C$95/365</f>
        <v>784191.780821918</v>
      </c>
      <c r="G850" s="58" t="n">
        <f aca="false">G631*1000*((G647+G650)*Pressupostos!$C$70/365)+G632*1000*((G670+G673)*Pressupostos!$C$70/365)+G633*1000*((G693+G696)*Pressupostos!$C$70/365)+G642*1000*Pressupostos!$C$90*Pressupostos!$C$95/365</f>
        <v>1182041.09589041</v>
      </c>
      <c r="H850" s="2" t="s">
        <v>1324</v>
      </c>
    </row>
    <row r="851" customFormat="false" ht="15" hidden="false" customHeight="false" outlineLevel="1" collapsed="false">
      <c r="A851" s="52" t="s">
        <v>706</v>
      </c>
      <c r="B851" s="53" t="s">
        <v>10</v>
      </c>
      <c r="C851" s="59" t="n">
        <f aca="false">C848+C849-C850</f>
        <v>52092.4383561644</v>
      </c>
      <c r="D851" s="59" t="n">
        <f aca="false">D848+D849-D850</f>
        <v>346247.671232877</v>
      </c>
      <c r="E851" s="59" t="n">
        <f aca="false">E848+E849-E850</f>
        <v>653169.863013699</v>
      </c>
      <c r="F851" s="59" t="n">
        <f aca="false">F848+F849-F850</f>
        <v>1130464.65753425</v>
      </c>
      <c r="G851" s="59" t="n">
        <f aca="false">G848+G849-G850</f>
        <v>1704826.02739726</v>
      </c>
      <c r="H851" s="2" t="s">
        <v>1325</v>
      </c>
    </row>
    <row r="852" customFormat="false" ht="15" hidden="false" customHeight="false" outlineLevel="0" collapsed="false">
      <c r="A852" s="3" t="s">
        <v>1326</v>
      </c>
      <c r="B852" s="4"/>
      <c r="C852" s="4"/>
      <c r="D852" s="4"/>
      <c r="E852" s="4"/>
      <c r="F852" s="4"/>
      <c r="G852" s="4"/>
      <c r="H852" s="4"/>
    </row>
    <row r="853" customFormat="false" ht="15" hidden="false" customHeight="false" outlineLevel="1" collapsed="false">
      <c r="A853" s="52" t="s">
        <v>708</v>
      </c>
      <c r="B853" s="53" t="s">
        <v>10</v>
      </c>
      <c r="C853" s="59" t="n">
        <f aca="false">Pressupostos!$C$278*C851/Pressupostos!$E$31</f>
        <v>0</v>
      </c>
      <c r="D853" s="59" t="n">
        <f aca="false">Pressupostos!$D$278*D851/Pressupostos!$E$31</f>
        <v>366615.181305399</v>
      </c>
      <c r="E853" s="59" t="n">
        <f aca="false">Pressupostos!$E$278*E851/Pressupostos!$E$31</f>
        <v>691591.619661563</v>
      </c>
      <c r="F853" s="59" t="n">
        <f aca="false">Pressupostos!$F$278*F851/Pressupostos!$E$31</f>
        <v>1196962.57856567</v>
      </c>
      <c r="G853" s="59" t="n">
        <f aca="false">Pressupostos!$G$278*G851/Pressupostos!$E$31</f>
        <v>1805109.91136181</v>
      </c>
      <c r="H853" s="2" t="s">
        <v>1327</v>
      </c>
    </row>
    <row r="854" customFormat="false" ht="15" hidden="false" customHeight="false" outlineLevel="1" collapsed="false">
      <c r="A854" s="7" t="s">
        <v>709</v>
      </c>
      <c r="B854" s="8" t="s">
        <v>10</v>
      </c>
      <c r="C854" s="58" t="n">
        <f aca="false">Pressupostos!$C$278*C851</f>
        <v>0</v>
      </c>
      <c r="D854" s="58" t="n">
        <f aca="false">Pressupostos!$D$278*D851</f>
        <v>311622.904109589</v>
      </c>
      <c r="E854" s="58" t="n">
        <f aca="false">Pressupostos!$E$278*E851</f>
        <v>587852.876712329</v>
      </c>
      <c r="F854" s="58" t="n">
        <f aca="false">Pressupostos!$F$278*F851</f>
        <v>1017418.19178082</v>
      </c>
      <c r="G854" s="58" t="n">
        <f aca="false">Pressupostos!$G$278*G851</f>
        <v>1534343.42465753</v>
      </c>
      <c r="H854" s="2" t="s">
        <v>1328</v>
      </c>
    </row>
    <row r="855" customFormat="false" ht="15" hidden="false" customHeight="false" outlineLevel="1" collapsed="false">
      <c r="A855" s="7" t="s">
        <v>710</v>
      </c>
      <c r="B855" s="8" t="s">
        <v>10</v>
      </c>
      <c r="C855" s="58" t="n">
        <f aca="false">C853-C854</f>
        <v>0</v>
      </c>
      <c r="D855" s="58" t="n">
        <f aca="false">D853-D854</f>
        <v>54992.2771958098</v>
      </c>
      <c r="E855" s="58" t="n">
        <f aca="false">E853-E854</f>
        <v>103738.742949235</v>
      </c>
      <c r="F855" s="58" t="n">
        <f aca="false">F853-F854</f>
        <v>179544.386784851</v>
      </c>
      <c r="G855" s="58" t="n">
        <f aca="false">G853-G854</f>
        <v>270766.486704271</v>
      </c>
      <c r="H855" s="2" t="s">
        <v>1329</v>
      </c>
    </row>
    <row r="856" customFormat="false" ht="15" hidden="false" customHeight="false" outlineLevel="1" collapsed="false">
      <c r="A856" s="7" t="s">
        <v>711</v>
      </c>
      <c r="B856" s="8" t="s">
        <v>10</v>
      </c>
      <c r="C856" s="58" t="n">
        <f aca="false">C851-C854</f>
        <v>52092.4383561644</v>
      </c>
      <c r="D856" s="58" t="n">
        <f aca="false">D851-D854</f>
        <v>34624.7671232877</v>
      </c>
      <c r="E856" s="58" t="n">
        <f aca="false">E851-E854</f>
        <v>65316.9863013699</v>
      </c>
      <c r="F856" s="58" t="n">
        <f aca="false">F851-F854</f>
        <v>113046.465753425</v>
      </c>
      <c r="G856" s="58" t="n">
        <f aca="false">G851-G854</f>
        <v>170482.602739726</v>
      </c>
      <c r="H856" s="2" t="s">
        <v>1330</v>
      </c>
    </row>
    <row r="857" customFormat="false" ht="15" hidden="false" customHeight="false" outlineLevel="1" collapsed="false">
      <c r="A857" s="7" t="s">
        <v>712</v>
      </c>
      <c r="B857" s="8" t="s">
        <v>10</v>
      </c>
      <c r="C857" s="58" t="n">
        <f aca="false">MAX(0,Pressupostos!$C$106-C856)</f>
        <v>0</v>
      </c>
      <c r="D857" s="58" t="n">
        <f aca="false">MAX(0,Pressupostos!$C$106-D856)</f>
        <v>15375.2328767123</v>
      </c>
      <c r="E857" s="58" t="n">
        <f aca="false">MAX(0,Pressupostos!$C$106-E856)</f>
        <v>0</v>
      </c>
      <c r="F857" s="58" t="n">
        <f aca="false">MAX(0,Pressupostos!$C$106-F856)</f>
        <v>0</v>
      </c>
      <c r="G857" s="58" t="n">
        <f aca="false">MAX(0,Pressupostos!$C$106-G856)</f>
        <v>0</v>
      </c>
      <c r="H857" s="2" t="s">
        <v>1331</v>
      </c>
    </row>
    <row r="858" customFormat="false" ht="15" hidden="false" customHeight="false" outlineLevel="1" collapsed="false">
      <c r="A858" s="7" t="s">
        <v>713</v>
      </c>
      <c r="B858" s="8" t="s">
        <v>10</v>
      </c>
      <c r="C858" s="58" t="n">
        <f aca="false">Pressupostos!$C$107*C853</f>
        <v>0</v>
      </c>
      <c r="D858" s="58" t="n">
        <f aca="false">Pressupostos!$C$107*D853</f>
        <v>18330.7590652699</v>
      </c>
      <c r="E858" s="58" t="n">
        <f aca="false">Pressupostos!$C$107*E853</f>
        <v>34579.5809830782</v>
      </c>
      <c r="F858" s="58" t="n">
        <f aca="false">Pressupostos!$C$107*F853</f>
        <v>59848.1289282837</v>
      </c>
      <c r="G858" s="58" t="n">
        <f aca="false">Pressupostos!$C$107*G853</f>
        <v>90255.4955680903</v>
      </c>
      <c r="H858" s="2" t="s">
        <v>1332</v>
      </c>
    </row>
    <row r="859" customFormat="false" ht="15" hidden="false" customHeight="false" outlineLevel="1" collapsed="false">
      <c r="A859" s="2" t="s">
        <v>714</v>
      </c>
      <c r="B859" s="8" t="s">
        <v>115</v>
      </c>
      <c r="C859" s="58" t="n">
        <f aca="false">C853/Pressupostos!$C$110</f>
        <v>0</v>
      </c>
      <c r="D859" s="58" t="n">
        <f aca="false">D853/Pressupostos!$C$110</f>
        <v>7.33230362610798</v>
      </c>
      <c r="E859" s="58" t="n">
        <f aca="false">E853/Pressupostos!$C$110</f>
        <v>13.8318323932313</v>
      </c>
      <c r="F859" s="58" t="n">
        <f aca="false">F853/Pressupostos!$C$110</f>
        <v>23.9392515713135</v>
      </c>
      <c r="G859" s="58" t="n">
        <f aca="false">G853/Pressupostos!$C$110</f>
        <v>36.1021982272361</v>
      </c>
      <c r="H859" s="2" t="s">
        <v>1333</v>
      </c>
    </row>
    <row r="860" customFormat="false" ht="15" hidden="false" customHeight="false" outlineLevel="0" collapsed="false">
      <c r="A860" s="3" t="s">
        <v>1334</v>
      </c>
      <c r="B860" s="4"/>
      <c r="C860" s="4"/>
      <c r="D860" s="4"/>
      <c r="E860" s="4"/>
      <c r="F860" s="4"/>
      <c r="G860" s="4"/>
      <c r="H860" s="4"/>
    </row>
    <row r="861" customFormat="false" ht="15" hidden="false" customHeight="false" outlineLevel="1" collapsed="false">
      <c r="A861" s="7" t="s">
        <v>681</v>
      </c>
      <c r="B861" s="8" t="s">
        <v>10</v>
      </c>
      <c r="C861" s="58" t="n">
        <f aca="false">C827</f>
        <v>-706359.981877854</v>
      </c>
      <c r="D861" s="58" t="n">
        <f aca="false">D827</f>
        <v>-883534.782764476</v>
      </c>
      <c r="E861" s="58" t="n">
        <f aca="false">E827</f>
        <v>-904120.346665405</v>
      </c>
      <c r="F861" s="58" t="n">
        <f aca="false">F827</f>
        <v>-874524.690842484</v>
      </c>
      <c r="G861" s="58" t="n">
        <f aca="false">G827</f>
        <v>-906159.632961748</v>
      </c>
      <c r="H861" s="2" t="s">
        <v>1335</v>
      </c>
    </row>
    <row r="862" customFormat="false" ht="15" hidden="false" customHeight="false" outlineLevel="1" collapsed="false">
      <c r="A862" s="7" t="s">
        <v>716</v>
      </c>
      <c r="B862" s="8" t="s">
        <v>10</v>
      </c>
      <c r="C862" s="58" t="n">
        <f aca="false">-C842</f>
        <v>-0</v>
      </c>
      <c r="D862" s="58" t="n">
        <f aca="false">-D842</f>
        <v>-0</v>
      </c>
      <c r="E862" s="58" t="n">
        <f aca="false">-E842</f>
        <v>-0</v>
      </c>
      <c r="F862" s="58" t="n">
        <f aca="false">-F842</f>
        <v>-0</v>
      </c>
      <c r="G862" s="58" t="n">
        <f aca="false">-G842</f>
        <v>-0</v>
      </c>
      <c r="H862" s="2" t="s">
        <v>1336</v>
      </c>
    </row>
    <row r="863" customFormat="false" ht="15" hidden="false" customHeight="false" outlineLevel="1" collapsed="false">
      <c r="A863" s="7" t="s">
        <v>717</v>
      </c>
      <c r="B863" s="8" t="s">
        <v>10</v>
      </c>
      <c r="C863" s="58" t="n">
        <f aca="false">-C851</f>
        <v>-52092.4383561644</v>
      </c>
      <c r="D863" s="58" t="n">
        <f aca="false">-(D851-C851)</f>
        <v>-294155.232876712</v>
      </c>
      <c r="E863" s="58" t="n">
        <f aca="false">-(E851-D851)</f>
        <v>-306922.191780822</v>
      </c>
      <c r="F863" s="58" t="n">
        <f aca="false">-(F851-E851)</f>
        <v>-477294.794520548</v>
      </c>
      <c r="G863" s="58" t="n">
        <f aca="false">-(G851-F851)</f>
        <v>-574361.369863014</v>
      </c>
      <c r="H863" s="2" t="s">
        <v>1337</v>
      </c>
    </row>
    <row r="864" customFormat="false" ht="15" hidden="false" customHeight="false" outlineLevel="1" collapsed="false">
      <c r="A864" s="7" t="s">
        <v>407</v>
      </c>
      <c r="B864" s="8" t="s">
        <v>10</v>
      </c>
      <c r="C864" s="58" t="n">
        <f aca="false">-C812</f>
        <v>-92000</v>
      </c>
      <c r="D864" s="58" t="n">
        <f aca="false">-D812</f>
        <v>-73000</v>
      </c>
      <c r="E864" s="58" t="n">
        <f aca="false">-E812</f>
        <v>-66000</v>
      </c>
      <c r="F864" s="58" t="n">
        <f aca="false">-F812</f>
        <v>-58000</v>
      </c>
      <c r="G864" s="58" t="n">
        <f aca="false">-G812</f>
        <v>-62000</v>
      </c>
      <c r="H864" s="2" t="s">
        <v>1338</v>
      </c>
    </row>
    <row r="865" customFormat="false" ht="15" hidden="false" customHeight="false" outlineLevel="1" collapsed="false">
      <c r="A865" s="7" t="s">
        <v>718</v>
      </c>
      <c r="B865" s="8" t="s">
        <v>10</v>
      </c>
      <c r="C865" s="58" t="n">
        <f aca="false">C861+C862+C863+C864</f>
        <v>-850452.420234018</v>
      </c>
      <c r="D865" s="58" t="n">
        <f aca="false">D861+D862+D863+D864</f>
        <v>-1250690.01564119</v>
      </c>
      <c r="E865" s="58" t="n">
        <f aca="false">E861+E862+E863+E864</f>
        <v>-1277042.53844623</v>
      </c>
      <c r="F865" s="58" t="n">
        <f aca="false">F861+F862+F863+F864</f>
        <v>-1409819.48536303</v>
      </c>
      <c r="G865" s="58" t="n">
        <f aca="false">G861+G862+G863+G864</f>
        <v>-1542521.00282476</v>
      </c>
      <c r="H865" s="2" t="s">
        <v>1339</v>
      </c>
    </row>
    <row r="866" customFormat="false" ht="15" hidden="false" customHeight="false" outlineLevel="1" collapsed="false">
      <c r="A866" s="7" t="s">
        <v>719</v>
      </c>
      <c r="B866" s="8" t="s">
        <v>10</v>
      </c>
      <c r="C866" s="58" t="n">
        <f aca="false">C853</f>
        <v>0</v>
      </c>
      <c r="D866" s="58" t="n">
        <f aca="false">D853-C853</f>
        <v>366615.181305399</v>
      </c>
      <c r="E866" s="58" t="n">
        <f aca="false">E853-D853</f>
        <v>324976.438356165</v>
      </c>
      <c r="F866" s="58" t="n">
        <f aca="false">F853-E853</f>
        <v>505370.95890411</v>
      </c>
      <c r="G866" s="58" t="n">
        <f aca="false">G853-F853</f>
        <v>608147.332796132</v>
      </c>
      <c r="H866" s="2" t="s">
        <v>1340</v>
      </c>
    </row>
    <row r="867" customFormat="false" ht="15" hidden="false" customHeight="false" outlineLevel="1" collapsed="false">
      <c r="A867" s="7" t="s">
        <v>720</v>
      </c>
      <c r="B867" s="8" t="s">
        <v>10</v>
      </c>
      <c r="C867" s="58" t="n">
        <f aca="false">-C855</f>
        <v>-0</v>
      </c>
      <c r="D867" s="58" t="n">
        <f aca="false">-(D855-C855)</f>
        <v>-54992.2771958098</v>
      </c>
      <c r="E867" s="58" t="n">
        <f aca="false">-(E855-D855)</f>
        <v>-48746.4657534247</v>
      </c>
      <c r="F867" s="58" t="n">
        <f aca="false">-(F855-E855)</f>
        <v>-75805.6438356165</v>
      </c>
      <c r="G867" s="58" t="n">
        <f aca="false">-(G855-F855)</f>
        <v>-91222.0999194197</v>
      </c>
      <c r="H867" s="2" t="s">
        <v>1341</v>
      </c>
    </row>
    <row r="868" customFormat="false" ht="15" hidden="false" customHeight="false" outlineLevel="1" collapsed="false">
      <c r="A868" s="7" t="s">
        <v>721</v>
      </c>
      <c r="B868" s="8" t="s">
        <v>10</v>
      </c>
      <c r="C868" s="58" t="n">
        <f aca="false">-C858</f>
        <v>-0</v>
      </c>
      <c r="D868" s="58" t="n">
        <f aca="false">-(D858-C858)</f>
        <v>-18330.7590652699</v>
      </c>
      <c r="E868" s="58" t="n">
        <f aca="false">-(E858-D858)</f>
        <v>-16248.8219178082</v>
      </c>
      <c r="F868" s="58" t="n">
        <f aca="false">-(F858-E858)</f>
        <v>-25268.5479452055</v>
      </c>
      <c r="G868" s="58" t="n">
        <f aca="false">-(G858-F858)</f>
        <v>-30407.3666398066</v>
      </c>
      <c r="H868" s="2" t="s">
        <v>1342</v>
      </c>
    </row>
    <row r="869" customFormat="false" ht="15" hidden="false" customHeight="false" outlineLevel="1" collapsed="false">
      <c r="A869" s="7" t="s">
        <v>722</v>
      </c>
      <c r="B869" s="8" t="s">
        <v>10</v>
      </c>
      <c r="C869" s="58" t="n">
        <f aca="false">-(C857-Pressupostos!$C$106)</f>
        <v>50000</v>
      </c>
      <c r="D869" s="58" t="n">
        <f aca="false">-(D857-C857)</f>
        <v>-15375.2328767123</v>
      </c>
      <c r="E869" s="58" t="n">
        <f aca="false">-(E857-D857)</f>
        <v>15375.2328767123</v>
      </c>
      <c r="F869" s="58" t="n">
        <f aca="false">-(F857-E857)</f>
        <v>-0</v>
      </c>
      <c r="G869" s="58" t="n">
        <f aca="false">-(G857-F857)</f>
        <v>-0</v>
      </c>
      <c r="H869" s="2" t="s">
        <v>1343</v>
      </c>
    </row>
    <row r="870" customFormat="false" ht="15" hidden="false" customHeight="false" outlineLevel="1" collapsed="false">
      <c r="A870" s="52" t="s">
        <v>723</v>
      </c>
      <c r="B870" s="53" t="s">
        <v>10</v>
      </c>
      <c r="C870" s="59" t="n">
        <f aca="false">C865+C866+C867+C868+C869</f>
        <v>-800452.420234018</v>
      </c>
      <c r="D870" s="59" t="n">
        <f aca="false">D865+D866+D867+D868+D869</f>
        <v>-972773.103473581</v>
      </c>
      <c r="E870" s="59" t="n">
        <f aca="false">E865+E866+E867+E868+E869</f>
        <v>-1001686.15488458</v>
      </c>
      <c r="F870" s="59" t="n">
        <f aca="false">F865+F866+F867+F868+F869</f>
        <v>-1005522.71823974</v>
      </c>
      <c r="G870" s="59" t="n">
        <f aca="false">G865+G866+G867+G868+G869</f>
        <v>-1056003.13658786</v>
      </c>
      <c r="H870" s="2" t="s">
        <v>1344</v>
      </c>
    </row>
    <row r="871" customFormat="false" ht="15" hidden="false" customHeight="false" outlineLevel="1" collapsed="false">
      <c r="A871" s="52" t="s">
        <v>724</v>
      </c>
      <c r="B871" s="53" t="s">
        <v>10</v>
      </c>
      <c r="C871" s="59" t="n">
        <f aca="false">C870</f>
        <v>-800452.420234018</v>
      </c>
      <c r="D871" s="59" t="n">
        <f aca="false">C871+D870</f>
        <v>-1773225.5237076</v>
      </c>
      <c r="E871" s="59" t="n">
        <f aca="false">D871+E870</f>
        <v>-2774911.67859218</v>
      </c>
      <c r="F871" s="59" t="n">
        <f aca="false">E871+F870</f>
        <v>-3780434.39683193</v>
      </c>
      <c r="G871" s="59" t="n">
        <f aca="false">F871+G870</f>
        <v>-4836437.53341978</v>
      </c>
      <c r="H871" s="2" t="s">
        <v>1345</v>
      </c>
    </row>
    <row r="872" customFormat="false" ht="15" hidden="false" customHeight="false" outlineLevel="1" collapsed="false">
      <c r="A872" s="8" t="s">
        <v>725</v>
      </c>
      <c r="B872" s="8" t="s">
        <v>10</v>
      </c>
      <c r="C872" s="66" t="n">
        <f aca="false">ROUND(C827-C812-C842-(MAX(C856,Pressupostos!$C$106)-Pressupostos!$C$106)-(C858)-C870,6)</f>
        <v>0</v>
      </c>
      <c r="D872" s="66" t="n">
        <f aca="false">ROUND(D827-D812-D842-(MAX(D856,Pressupostos!$C$106)-MAX(C856,Pressupostos!$C$106))-(D858-C858)-D870,6)</f>
        <v>0</v>
      </c>
      <c r="E872" s="66" t="n">
        <f aca="false">ROUND(E827-E812-E842-(MAX(E856,Pressupostos!$C$106)-MAX(D856,Pressupostos!$C$106))-(E858-D858)-E870,6)</f>
        <v>0</v>
      </c>
      <c r="F872" s="66" t="n">
        <f aca="false">ROUND(F827-F812-F842-(MAX(F856,Pressupostos!$C$106)-MAX(E856,Pressupostos!$C$106))-(F858-E858)-F870,6)</f>
        <v>0</v>
      </c>
      <c r="G872" s="66" t="n">
        <f aca="false">ROUND(G827-G812-G842-(MAX(G856,Pressupostos!$C$106)-MAX(F856,Pressupostos!$C$106))-(G858-F858)-G870,6)</f>
        <v>0</v>
      </c>
      <c r="H872" s="2" t="s">
        <v>1346</v>
      </c>
    </row>
    <row r="873" customFormat="false" ht="15" hidden="false" customHeight="false" outlineLevel="0" collapsed="false">
      <c r="A873" s="3" t="s">
        <v>1347</v>
      </c>
      <c r="B873" s="4"/>
      <c r="C873" s="4"/>
      <c r="D873" s="4"/>
      <c r="E873" s="4"/>
      <c r="F873" s="4"/>
      <c r="G873" s="4"/>
      <c r="H873" s="4"/>
    </row>
    <row r="874" customFormat="false" ht="15" hidden="false" customHeight="false" outlineLevel="1" collapsed="false">
      <c r="A874" s="7" t="s">
        <v>727</v>
      </c>
      <c r="B874" s="8" t="s">
        <v>10</v>
      </c>
      <c r="C874" s="58" t="n">
        <f aca="false">0</f>
        <v>0</v>
      </c>
      <c r="D874" s="58" t="n">
        <f aca="false">C879</f>
        <v>154547.579765982</v>
      </c>
      <c r="E874" s="58" t="n">
        <f aca="false">D879</f>
        <v>150000</v>
      </c>
      <c r="F874" s="58" t="n">
        <f aca="false">E879</f>
        <v>150000</v>
      </c>
      <c r="G874" s="58" t="n">
        <f aca="false">F879</f>
        <v>150000</v>
      </c>
      <c r="H874" s="2" t="s">
        <v>1348</v>
      </c>
    </row>
    <row r="875" customFormat="false" ht="15" hidden="false" customHeight="false" outlineLevel="1" collapsed="false">
      <c r="A875" s="7" t="s">
        <v>728</v>
      </c>
      <c r="B875" s="8" t="s">
        <v>10</v>
      </c>
      <c r="C875" s="58" t="n">
        <f aca="false">-(Pressupostos!$C$157+Pressupostos!$C$158+Pressupostos!$C$159+Pressupostos!$C$160+Pressupostos!$C$161+Pressupostos!$C$106)</f>
        <v>-145000</v>
      </c>
      <c r="D875" s="58" t="n">
        <f aca="false">0</f>
        <v>0</v>
      </c>
      <c r="E875" s="58" t="n">
        <f aca="false">0</f>
        <v>0</v>
      </c>
      <c r="F875" s="58" t="n">
        <f aca="false">0</f>
        <v>0</v>
      </c>
      <c r="G875" s="58" t="n">
        <f aca="false">0</f>
        <v>0</v>
      </c>
      <c r="H875" s="2" t="s">
        <v>1349</v>
      </c>
    </row>
    <row r="876" customFormat="false" ht="15" hidden="false" customHeight="false" outlineLevel="1" collapsed="false">
      <c r="A876" s="7" t="s">
        <v>729</v>
      </c>
      <c r="B876" s="8" t="s">
        <v>10</v>
      </c>
      <c r="C876" s="50" t="n">
        <f aca="false">Pressupostos!$E$32</f>
        <v>1100000</v>
      </c>
      <c r="D876" s="58" t="n">
        <f aca="false">0</f>
        <v>0</v>
      </c>
      <c r="E876" s="58" t="n">
        <f aca="false">0</f>
        <v>0</v>
      </c>
      <c r="F876" s="58" t="n">
        <f aca="false">0</f>
        <v>0</v>
      </c>
      <c r="G876" s="58" t="n">
        <f aca="false">0</f>
        <v>0</v>
      </c>
      <c r="H876" s="2" t="s">
        <v>1350</v>
      </c>
    </row>
    <row r="877" customFormat="false" ht="15" hidden="false" customHeight="false" outlineLevel="1" collapsed="false">
      <c r="A877" s="7" t="s">
        <v>730</v>
      </c>
      <c r="B877" s="8" t="s">
        <v>10</v>
      </c>
      <c r="C877" s="58" t="n">
        <f aca="false">C874+C875+C876+C870</f>
        <v>154547.579765982</v>
      </c>
      <c r="D877" s="58" t="n">
        <f aca="false">D874+D875+D876+D870</f>
        <v>-818225.523707599</v>
      </c>
      <c r="E877" s="58" t="n">
        <f aca="false">E874+E875+E876+E870</f>
        <v>-851686.154884583</v>
      </c>
      <c r="F877" s="58" t="n">
        <f aca="false">F874+F875+F876+F870</f>
        <v>-855522.718239744</v>
      </c>
      <c r="G877" s="58" t="n">
        <f aca="false">G874+G875+G876+G870</f>
        <v>-906003.136587856</v>
      </c>
      <c r="H877" s="2" t="s">
        <v>1351</v>
      </c>
    </row>
    <row r="878" customFormat="false" ht="15" hidden="false" customHeight="false" outlineLevel="1" collapsed="false">
      <c r="A878" s="52" t="s">
        <v>731</v>
      </c>
      <c r="B878" s="53" t="s">
        <v>10</v>
      </c>
      <c r="C878" s="59" t="n">
        <f aca="false">MAX(0,Pressupostos!$C$168-C877)</f>
        <v>0</v>
      </c>
      <c r="D878" s="59" t="n">
        <f aca="false">MAX(0,Pressupostos!$C$168-D877)</f>
        <v>968225.523707599</v>
      </c>
      <c r="E878" s="59" t="n">
        <f aca="false">MAX(0,Pressupostos!$C$168-E877)</f>
        <v>1001686.15488458</v>
      </c>
      <c r="F878" s="59" t="n">
        <f aca="false">MAX(0,Pressupostos!$C$168-F877)</f>
        <v>1005522.71823974</v>
      </c>
      <c r="G878" s="59" t="n">
        <f aca="false">MAX(0,Pressupostos!$C$168-G877)</f>
        <v>1056003.13658786</v>
      </c>
      <c r="H878" s="2" t="s">
        <v>1352</v>
      </c>
    </row>
    <row r="879" customFormat="false" ht="15" hidden="false" customHeight="false" outlineLevel="1" collapsed="false">
      <c r="A879" s="52" t="s">
        <v>732</v>
      </c>
      <c r="B879" s="53" t="s">
        <v>10</v>
      </c>
      <c r="C879" s="59" t="n">
        <f aca="false">C877+C878</f>
        <v>154547.579765982</v>
      </c>
      <c r="D879" s="59" t="n">
        <f aca="false">D877+D878</f>
        <v>150000</v>
      </c>
      <c r="E879" s="59" t="n">
        <f aca="false">E877+E878</f>
        <v>150000</v>
      </c>
      <c r="F879" s="59" t="n">
        <f aca="false">F877+F878</f>
        <v>150000</v>
      </c>
      <c r="G879" s="59" t="n">
        <f aca="false">G877+G878</f>
        <v>150000</v>
      </c>
      <c r="H879" s="2" t="s">
        <v>1353</v>
      </c>
    </row>
    <row r="880" customFormat="false" ht="15" hidden="false" customHeight="false" outlineLevel="1" collapsed="false">
      <c r="A880" s="7" t="s">
        <v>733</v>
      </c>
      <c r="B880" s="8" t="s">
        <v>10</v>
      </c>
      <c r="C880" s="58" t="n">
        <f aca="false">C855+C858+C857</f>
        <v>0</v>
      </c>
      <c r="D880" s="58" t="n">
        <f aca="false">D855+D858+D857</f>
        <v>88698.2691377921</v>
      </c>
      <c r="E880" s="58" t="n">
        <f aca="false">E855+E858+E857</f>
        <v>138318.323932313</v>
      </c>
      <c r="F880" s="58" t="n">
        <f aca="false">F855+F858+F857</f>
        <v>239392.515713135</v>
      </c>
      <c r="G880" s="58" t="n">
        <f aca="false">G855+G858+G857</f>
        <v>361021.982272361</v>
      </c>
      <c r="H880" s="2" t="s">
        <v>1354</v>
      </c>
    </row>
    <row r="881" customFormat="false" ht="15" hidden="false" customHeight="false" outlineLevel="1" collapsed="false">
      <c r="A881" s="7" t="s">
        <v>734</v>
      </c>
      <c r="B881" s="8" t="s">
        <v>10</v>
      </c>
      <c r="C881" s="58" t="n">
        <f aca="false">C879+C880</f>
        <v>154547.579765982</v>
      </c>
      <c r="D881" s="58" t="n">
        <f aca="false">D879+D880</f>
        <v>238698.269137792</v>
      </c>
      <c r="E881" s="58" t="n">
        <f aca="false">E879+E880</f>
        <v>288318.323932313</v>
      </c>
      <c r="F881" s="58" t="n">
        <f aca="false">F879+F880</f>
        <v>389392.515713135</v>
      </c>
      <c r="G881" s="58" t="n">
        <f aca="false">G879+G880</f>
        <v>511021.982272361</v>
      </c>
      <c r="H881" s="2" t="s">
        <v>1355</v>
      </c>
    </row>
    <row r="882" customFormat="false" ht="15" hidden="false" customHeight="false" outlineLevel="1" collapsed="false">
      <c r="A882" s="7" t="s">
        <v>735</v>
      </c>
      <c r="B882" s="8" t="s">
        <v>10</v>
      </c>
      <c r="C882" s="58" t="n">
        <f aca="false">C876+C878</f>
        <v>1100000</v>
      </c>
      <c r="D882" s="58" t="n">
        <f aca="false">C882+D876+D878</f>
        <v>2068225.5237076</v>
      </c>
      <c r="E882" s="58" t="n">
        <f aca="false">D882+E876+E878</f>
        <v>3069911.67859218</v>
      </c>
      <c r="F882" s="58" t="n">
        <f aca="false">E882+F876+F878</f>
        <v>4075434.39683193</v>
      </c>
      <c r="G882" s="58" t="n">
        <f aca="false">F882+G876+G878</f>
        <v>5131437.53341978</v>
      </c>
      <c r="H882" s="2" t="s">
        <v>1356</v>
      </c>
    </row>
    <row r="883" customFormat="false" ht="15" hidden="false" customHeight="false" outlineLevel="0" collapsed="false">
      <c r="A883" s="3" t="s">
        <v>1357</v>
      </c>
      <c r="B883" s="4"/>
      <c r="C883" s="4"/>
      <c r="D883" s="4"/>
      <c r="E883" s="4"/>
      <c r="F883" s="4"/>
      <c r="G883" s="4"/>
      <c r="H883" s="4"/>
    </row>
    <row r="884" customFormat="false" ht="15" hidden="false" customHeight="false" outlineLevel="1" collapsed="false">
      <c r="A884" s="7" t="s">
        <v>739</v>
      </c>
      <c r="B884" s="8" t="s">
        <v>10</v>
      </c>
      <c r="C884" s="68" t="n">
        <f aca="false">Pressupostos!$C$157+Pressupostos!$C$158+Pressupostos!$C$159+Pressupostos!$C$160+Pressupostos!$C$161</f>
        <v>95000</v>
      </c>
      <c r="H884" s="2" t="s">
        <v>1358</v>
      </c>
    </row>
    <row r="885" customFormat="false" ht="15" hidden="false" customHeight="false" outlineLevel="1" collapsed="false">
      <c r="A885" s="7" t="s">
        <v>740</v>
      </c>
      <c r="B885" s="8" t="s">
        <v>10</v>
      </c>
      <c r="C885" s="69" t="n">
        <f aca="false">Pressupostos!$C$106</f>
        <v>50000</v>
      </c>
      <c r="H885" s="2" t="s">
        <v>1359</v>
      </c>
    </row>
    <row r="886" customFormat="false" ht="15" hidden="false" customHeight="false" outlineLevel="1" collapsed="false">
      <c r="A886" s="7" t="s">
        <v>312</v>
      </c>
      <c r="B886" s="8" t="s">
        <v>10</v>
      </c>
      <c r="C886" s="69" t="n">
        <f aca="false">Pressupostos!$C$168</f>
        <v>150000</v>
      </c>
      <c r="H886" s="2" t="s">
        <v>1360</v>
      </c>
    </row>
    <row r="887" customFormat="false" ht="15" hidden="false" customHeight="false" outlineLevel="1" collapsed="false">
      <c r="A887" s="7" t="s">
        <v>741</v>
      </c>
      <c r="B887" s="8" t="s">
        <v>10</v>
      </c>
      <c r="C887" s="68" t="n">
        <f aca="false">MAX(0,-MIN($C$871:$G$871))</f>
        <v>4836437.53341978</v>
      </c>
      <c r="H887" s="2" t="s">
        <v>1361</v>
      </c>
    </row>
    <row r="888" customFormat="false" ht="15" hidden="false" customHeight="false" outlineLevel="1" collapsed="false">
      <c r="A888" s="52" t="s">
        <v>14</v>
      </c>
      <c r="B888" s="53" t="s">
        <v>10</v>
      </c>
      <c r="C888" s="70" t="n">
        <f aca="false">C884+C885+C886+C887</f>
        <v>5131437.53341978</v>
      </c>
      <c r="H888" s="2" t="s">
        <v>1362</v>
      </c>
    </row>
    <row r="889" customFormat="false" ht="15" hidden="false" customHeight="false" outlineLevel="1" collapsed="false">
      <c r="A889" s="7" t="s">
        <v>742</v>
      </c>
      <c r="B889" s="8" t="s">
        <v>18</v>
      </c>
      <c r="C889" s="71" t="n">
        <f aca="false">INDEX($C$628:$G$628,1,MATCH(MIN($C$871:$G$871),$C$871:$G$871,0))</f>
        <v>2031</v>
      </c>
      <c r="H889" s="2" t="s">
        <v>1363</v>
      </c>
    </row>
    <row r="890" customFormat="false" ht="15" hidden="false" customHeight="false" outlineLevel="1" collapsed="false">
      <c r="A890" s="7" t="s">
        <v>743</v>
      </c>
      <c r="B890" s="8"/>
      <c r="C890" s="72" t="str">
        <f aca="false">IF(G870&lt;0,"sim","não")</f>
        <v>sim</v>
      </c>
      <c r="H890" s="2" t="s">
        <v>1364</v>
      </c>
    </row>
    <row r="891" customFormat="false" ht="15" hidden="false" customHeight="false" outlineLevel="1" collapsed="false">
      <c r="A891" s="7" t="s">
        <v>744</v>
      </c>
      <c r="B891" s="8" t="s">
        <v>10</v>
      </c>
      <c r="C891" s="68" t="n">
        <f aca="false">G882</f>
        <v>5131437.53341978</v>
      </c>
      <c r="H891" s="2" t="s">
        <v>1365</v>
      </c>
    </row>
    <row r="892" customFormat="false" ht="15" hidden="false" customHeight="false" outlineLevel="0" collapsed="false">
      <c r="A892" s="3" t="s">
        <v>1366</v>
      </c>
      <c r="B892" s="4"/>
      <c r="C892" s="4"/>
      <c r="D892" s="4"/>
      <c r="E892" s="4"/>
      <c r="F892" s="4"/>
      <c r="G892" s="4"/>
      <c r="H892" s="4"/>
    </row>
    <row r="893" customFormat="false" ht="15" hidden="false" customHeight="false" outlineLevel="1" collapsed="false">
      <c r="A893" s="7" t="s">
        <v>746</v>
      </c>
      <c r="B893" s="8" t="s">
        <v>10</v>
      </c>
      <c r="C893" s="68" t="n">
        <f aca="false">C884+C885</f>
        <v>145000</v>
      </c>
      <c r="H893" s="2" t="s">
        <v>1367</v>
      </c>
    </row>
    <row r="894" customFormat="false" ht="15" hidden="false" customHeight="false" outlineLevel="1" collapsed="false">
      <c r="A894" s="7" t="s">
        <v>747</v>
      </c>
      <c r="B894" s="8" t="s">
        <v>10</v>
      </c>
      <c r="C894" s="68" t="n">
        <f aca="false">-SUMPRODUCT(($C$628:$G$628&lt;=C889)*$C$827:$G$827)</f>
        <v>4274699.43511197</v>
      </c>
      <c r="H894" s="2" t="s">
        <v>1368</v>
      </c>
    </row>
    <row r="895" customFormat="false" ht="15" hidden="false" customHeight="false" outlineLevel="1" collapsed="false">
      <c r="A895" s="7" t="s">
        <v>407</v>
      </c>
      <c r="B895" s="8" t="s">
        <v>10</v>
      </c>
      <c r="C895" s="68" t="n">
        <f aca="false">SUMPRODUCT(($C$628:$G$628&lt;=C889)*$C$812:$G$812)</f>
        <v>351000</v>
      </c>
      <c r="H895" s="2" t="s">
        <v>1369</v>
      </c>
    </row>
    <row r="896" customFormat="false" ht="15" hidden="false" customHeight="false" outlineLevel="1" collapsed="false">
      <c r="A896" s="7" t="s">
        <v>748</v>
      </c>
      <c r="B896" s="8" t="s">
        <v>10</v>
      </c>
      <c r="C896" s="68" t="n">
        <f aca="false">SUMPRODUCT(($C$628:$G$628&lt;=C889)*$C$842:$G$842)</f>
        <v>0</v>
      </c>
      <c r="H896" s="2" t="s">
        <v>1370</v>
      </c>
    </row>
    <row r="897" customFormat="false" ht="15" hidden="false" customHeight="false" outlineLevel="1" collapsed="false">
      <c r="A897" s="7" t="s">
        <v>749</v>
      </c>
      <c r="B897" s="8" t="s">
        <v>10</v>
      </c>
      <c r="C897" s="68" t="n">
        <f aca="false">C887-C894-C895-C896</f>
        <v>210738.098307816</v>
      </c>
      <c r="H897" s="2" t="s">
        <v>1371</v>
      </c>
    </row>
    <row r="898" customFormat="false" ht="15" hidden="false" customHeight="false" outlineLevel="1" collapsed="false">
      <c r="A898" s="7" t="s">
        <v>312</v>
      </c>
      <c r="B898" s="8" t="s">
        <v>10</v>
      </c>
      <c r="C898" s="68" t="n">
        <f aca="false">C886</f>
        <v>150000</v>
      </c>
      <c r="H898" s="2" t="s">
        <v>1372</v>
      </c>
    </row>
    <row r="899" customFormat="false" ht="15" hidden="false" customHeight="false" outlineLevel="1" collapsed="false">
      <c r="A899" s="52" t="s">
        <v>750</v>
      </c>
      <c r="B899" s="53" t="s">
        <v>10</v>
      </c>
      <c r="C899" s="70" t="n">
        <f aca="false">C893+C894+C895+C896+C897+C898</f>
        <v>5131437.53341978</v>
      </c>
      <c r="H899" s="2" t="s">
        <v>1373</v>
      </c>
    </row>
    <row r="900" customFormat="false" ht="15" hidden="false" customHeight="false" outlineLevel="0" collapsed="false">
      <c r="A900" s="3" t="s">
        <v>1374</v>
      </c>
      <c r="B900" s="4"/>
      <c r="C900" s="4"/>
      <c r="D900" s="4"/>
      <c r="E900" s="4"/>
      <c r="F900" s="4"/>
      <c r="G900" s="4"/>
      <c r="H900" s="4"/>
    </row>
    <row r="901" customFormat="false" ht="15" hidden="false" customHeight="false" outlineLevel="1" collapsed="false">
      <c r="A901" s="7" t="s">
        <v>729</v>
      </c>
      <c r="B901" s="8" t="s">
        <v>10</v>
      </c>
      <c r="C901" s="69" t="n">
        <f aca="false">Pressupostos!$E$32</f>
        <v>1100000</v>
      </c>
      <c r="H901" s="2" t="s">
        <v>1375</v>
      </c>
    </row>
    <row r="902" customFormat="false" ht="15" hidden="false" customHeight="false" outlineLevel="1" collapsed="false">
      <c r="A902" s="7" t="s">
        <v>752</v>
      </c>
      <c r="B902" s="8" t="s">
        <v>10</v>
      </c>
      <c r="C902" s="68" t="n">
        <f aca="false">C884+Pressupostos!$C$106+Pressupostos!$C$128/12*((C788-C776-C777+(C776+C777)/Pressupostos!$C$126*Pressupostos!$C$127)*(1+Pressupostos!$C$122+Pressupostos!$C$123)+C774*Pressupostos!$C$124+C807)+C812+MAX(0,Pressupostos!$C$181*1000*(C647+C650)+Pressupostos!$C$182*1000*(C670+C673)-Pressupostos!$C$106)</f>
        <v>743921.666666667</v>
      </c>
      <c r="H902" s="2" t="s">
        <v>1376</v>
      </c>
    </row>
    <row r="903" customFormat="false" ht="15" hidden="false" customHeight="false" outlineLevel="1" collapsed="false">
      <c r="A903" s="7" t="s">
        <v>754</v>
      </c>
      <c r="B903" s="8" t="s">
        <v>10</v>
      </c>
      <c r="C903" s="68" t="n">
        <f aca="false">C884+Pressupostos!$C$106-C870</f>
        <v>945452.420234018</v>
      </c>
      <c r="H903" s="2" t="s">
        <v>1377</v>
      </c>
    </row>
    <row r="904" customFormat="false" ht="15" hidden="false" customHeight="false" outlineLevel="1" collapsed="false">
      <c r="A904" s="7" t="s">
        <v>755</v>
      </c>
      <c r="B904" s="8" t="s">
        <v>10</v>
      </c>
      <c r="C904" s="58" t="n">
        <f aca="false">Pressupostos!$E$32-C884-Pressupostos!$C$106+C871</f>
        <v>154547.579765982</v>
      </c>
      <c r="D904" s="58" t="n">
        <f aca="false">Pressupostos!$E$32-C884-Pressupostos!$C$106+D871</f>
        <v>-818225.523707599</v>
      </c>
      <c r="E904" s="58" t="n">
        <f aca="false">Pressupostos!$E$32-C884-Pressupostos!$C$106+E871</f>
        <v>-1819911.67859218</v>
      </c>
      <c r="F904" s="58" t="n">
        <f aca="false">Pressupostos!$E$32-C884-Pressupostos!$C$106+F871</f>
        <v>-2825434.39683193</v>
      </c>
      <c r="G904" s="58" t="n">
        <f aca="false">Pressupostos!$E$32-C884-Pressupostos!$C$106+G871</f>
        <v>-3881437.53341978</v>
      </c>
      <c r="H904" s="2" t="s">
        <v>1378</v>
      </c>
    </row>
    <row r="905" customFormat="false" ht="15" hidden="false" customHeight="false" outlineLevel="1" collapsed="false">
      <c r="A905" s="7" t="s">
        <v>756</v>
      </c>
      <c r="B905" s="8" t="s">
        <v>16</v>
      </c>
      <c r="C905" s="73" t="str">
        <f aca="false">IF(AND(Pressupostos!$E$32-C884-Pressupostos!$C$106&gt;0,C904&lt;=0),12*(Pressupostos!$E$32-C884-Pressupostos!$C$106)/(Pressupostos!$E$32-C884-Pressupostos!$C$106-C904),"")</f>
        <v/>
      </c>
      <c r="D905" s="73" t="n">
        <f aca="false">IF(AND(C904&gt;0,D904&lt;=0),12+12*C904/(C904-D904),"")</f>
        <v>13.9064784486428</v>
      </c>
      <c r="E905" s="73" t="str">
        <f aca="false">IF(AND(D904&gt;0,E904&lt;=0),24+12*D904/(D904-E904),"")</f>
        <v/>
      </c>
      <c r="F905" s="73" t="str">
        <f aca="false">IF(AND(E904&gt;0,F904&lt;=0),36+12*E904/(E904-F904),"")</f>
        <v/>
      </c>
      <c r="G905" s="73" t="str">
        <f aca="false">IF(AND(F904&gt;0,G904&lt;=0),48+12*F904/(F904-G904),"")</f>
        <v/>
      </c>
      <c r="H905" s="2" t="s">
        <v>1379</v>
      </c>
    </row>
    <row r="906" customFormat="false" ht="15" hidden="false" customHeight="false" outlineLevel="1" collapsed="false">
      <c r="A906" s="52" t="s">
        <v>757</v>
      </c>
      <c r="B906" s="53" t="s">
        <v>264</v>
      </c>
      <c r="C906" s="74" t="n">
        <f aca="false">IF(COUNT($C$905:$G$905)=0,"&gt; 60",MIN($C$905:$G$905))</f>
        <v>13.9064784486428</v>
      </c>
      <c r="H906" s="2" t="s">
        <v>1380</v>
      </c>
    </row>
    <row r="907" customFormat="false" ht="15" hidden="false" customHeight="false" outlineLevel="0" collapsed="false">
      <c r="A907" s="3" t="s">
        <v>1381</v>
      </c>
      <c r="B907" s="4"/>
      <c r="C907" s="4"/>
      <c r="D907" s="4"/>
      <c r="E907" s="4"/>
      <c r="F907" s="4"/>
      <c r="G907" s="4"/>
      <c r="H907" s="4"/>
    </row>
    <row r="908" customFormat="false" ht="15" hidden="false" customHeight="false" outlineLevel="1" collapsed="false">
      <c r="A908" s="7" t="s">
        <v>759</v>
      </c>
      <c r="B908" s="8" t="s">
        <v>16</v>
      </c>
      <c r="C908" s="73" t="str">
        <f aca="false">IF(C827&gt;=0,1,"")</f>
        <v/>
      </c>
      <c r="D908" s="73" t="str">
        <f aca="false">IF(AND(C827&lt;0,D827&gt;=0),6.5+12*(-C827)/(D827-C827),"")</f>
        <v/>
      </c>
      <c r="E908" s="73" t="str">
        <f aca="false">IF(AND(D827&lt;0,E827&gt;=0),18.5+12*(-D827)/(E827-D827),"")</f>
        <v/>
      </c>
      <c r="F908" s="73" t="str">
        <f aca="false">IF(AND(E827&lt;0,F827&gt;=0),30.5+12*(-E827)/(F827-E827),"")</f>
        <v/>
      </c>
      <c r="G908" s="73" t="str">
        <f aca="false">IF(AND(F827&lt;0,G827&gt;=0),42.5+12*(-F827)/(G827-F827),"")</f>
        <v/>
      </c>
      <c r="H908" s="2" t="s">
        <v>1382</v>
      </c>
    </row>
    <row r="909" customFormat="false" ht="15" hidden="false" customHeight="false" outlineLevel="1" collapsed="false">
      <c r="A909" s="7" t="s">
        <v>760</v>
      </c>
      <c r="B909" s="8" t="s">
        <v>16</v>
      </c>
      <c r="C909" s="75" t="str">
        <f aca="false">IF(COUNT($C$908:$G$908)=0,"não atinge até 2031",ROUNDUP(MIN($C$908:$G$908),0))</f>
        <v>não atinge até 2031</v>
      </c>
      <c r="H909" s="2" t="s">
        <v>1383</v>
      </c>
    </row>
    <row r="910" customFormat="false" ht="15" hidden="false" customHeight="false" outlineLevel="1" collapsed="false">
      <c r="A910" s="52" t="s">
        <v>761</v>
      </c>
      <c r="B910" s="53" t="s">
        <v>762</v>
      </c>
      <c r="C910" s="76" t="str">
        <f aca="false">IF(ISNUMBER(C909),DATE(2027,C909,1),"não atinge até 2031")</f>
        <v>não atinge até 2031</v>
      </c>
      <c r="H910" s="2" t="s">
        <v>1384</v>
      </c>
    </row>
    <row r="911" customFormat="false" ht="15" hidden="false" customHeight="false" outlineLevel="1" collapsed="false">
      <c r="A911" s="7" t="s">
        <v>763</v>
      </c>
      <c r="B911" s="8" t="s">
        <v>18</v>
      </c>
      <c r="C911" s="77" t="str">
        <f aca="false">IF(C827&gt;=0,C628,"")</f>
        <v/>
      </c>
      <c r="D911" s="77" t="str">
        <f aca="false">IF(D827&gt;=0,D628,"")</f>
        <v/>
      </c>
      <c r="E911" s="77" t="str">
        <f aca="false">IF(E827&gt;=0,E628,"")</f>
        <v/>
      </c>
      <c r="F911" s="77" t="str">
        <f aca="false">IF(F827&gt;=0,F628,"")</f>
        <v/>
      </c>
      <c r="G911" s="77" t="str">
        <f aca="false">IF(G827&gt;=0,G628,"")</f>
        <v/>
      </c>
      <c r="H911" s="2" t="s">
        <v>1385</v>
      </c>
    </row>
    <row r="912" customFormat="false" ht="15" hidden="false" customHeight="false" outlineLevel="1" collapsed="false">
      <c r="A912" s="7" t="s">
        <v>764</v>
      </c>
      <c r="B912" s="8" t="s">
        <v>18</v>
      </c>
      <c r="C912" s="71" t="str">
        <f aca="false">IF(COUNT($C$911:$G$911)=0,"não atinge até 2031",MIN($C$911:$G$911))</f>
        <v>não atinge até 2031</v>
      </c>
      <c r="H912" s="2" t="s">
        <v>1386</v>
      </c>
    </row>
    <row r="913" customFormat="false" ht="15" hidden="false" customHeight="false" outlineLevel="1" collapsed="false">
      <c r="A913" s="7" t="s">
        <v>765</v>
      </c>
      <c r="B913" s="8" t="s">
        <v>18</v>
      </c>
      <c r="C913" s="77" t="str">
        <f aca="false">IF(C845&gt;=0,C628,"")</f>
        <v/>
      </c>
      <c r="D913" s="77" t="str">
        <f aca="false">IF(D845&gt;=0,D628,"")</f>
        <v/>
      </c>
      <c r="E913" s="77" t="str">
        <f aca="false">IF(E845&gt;=0,E628,"")</f>
        <v/>
      </c>
      <c r="F913" s="77" t="str">
        <f aca="false">IF(F845&gt;=0,F628,"")</f>
        <v/>
      </c>
      <c r="G913" s="77" t="str">
        <f aca="false">IF(G845&gt;=0,G628,"")</f>
        <v/>
      </c>
      <c r="H913" s="2" t="s">
        <v>1387</v>
      </c>
    </row>
    <row r="914" customFormat="false" ht="15" hidden="false" customHeight="false" outlineLevel="1" collapsed="false">
      <c r="A914" s="7" t="s">
        <v>766</v>
      </c>
      <c r="B914" s="8" t="s">
        <v>18</v>
      </c>
      <c r="C914" s="71" t="str">
        <f aca="false">IF(COUNT($C$913:$G$913)=0,"não atinge até 2031",MIN($C$913:$G$913))</f>
        <v>não atinge até 2031</v>
      </c>
      <c r="H914" s="2" t="s">
        <v>1388</v>
      </c>
    </row>
    <row r="915" customFormat="false" ht="15" hidden="false" customHeight="false" outlineLevel="1" collapsed="false">
      <c r="A915" s="7" t="s">
        <v>767</v>
      </c>
      <c r="B915" s="8" t="s">
        <v>18</v>
      </c>
      <c r="C915" s="77" t="str">
        <f aca="false">IF(C870&gt;=0,C628,"")</f>
        <v/>
      </c>
      <c r="D915" s="77" t="str">
        <f aca="false">IF(D870&gt;=0,D628,"")</f>
        <v/>
      </c>
      <c r="E915" s="77" t="str">
        <f aca="false">IF(E870&gt;=0,E628,"")</f>
        <v/>
      </c>
      <c r="F915" s="77" t="str">
        <f aca="false">IF(F870&gt;=0,F628,"")</f>
        <v/>
      </c>
      <c r="G915" s="77" t="str">
        <f aca="false">IF(G870&gt;=0,G628,"")</f>
        <v/>
      </c>
      <c r="H915" s="2" t="s">
        <v>1389</v>
      </c>
    </row>
    <row r="916" customFormat="false" ht="15" hidden="false" customHeight="false" outlineLevel="1" collapsed="false">
      <c r="A916" s="7" t="s">
        <v>17</v>
      </c>
      <c r="B916" s="8" t="s">
        <v>18</v>
      </c>
      <c r="C916" s="71" t="str">
        <f aca="false">IF(COUNT($C$915:$G$915)=0,"não atinge até 2031",MIN($C$915:$G$915))</f>
        <v>não atinge até 2031</v>
      </c>
      <c r="H916" s="2" t="s">
        <v>1390</v>
      </c>
    </row>
    <row r="917" customFormat="false" ht="15" hidden="false" customHeight="false" outlineLevel="0" collapsed="false">
      <c r="A917" s="3" t="s">
        <v>1391</v>
      </c>
      <c r="B917" s="4"/>
      <c r="C917" s="4"/>
      <c r="D917" s="4"/>
      <c r="E917" s="4"/>
      <c r="F917" s="4"/>
      <c r="G917" s="4"/>
      <c r="H917" s="4"/>
    </row>
    <row r="918" customFormat="false" ht="15" hidden="false" customHeight="false" outlineLevel="1" collapsed="false">
      <c r="A918" s="7" t="s">
        <v>769</v>
      </c>
      <c r="B918" s="8" t="s">
        <v>10</v>
      </c>
      <c r="C918" s="58" t="n">
        <f aca="false">C853</f>
        <v>0</v>
      </c>
      <c r="D918" s="58" t="n">
        <f aca="false">D853</f>
        <v>366615.181305399</v>
      </c>
      <c r="E918" s="58" t="n">
        <f aca="false">E853</f>
        <v>691591.619661563</v>
      </c>
      <c r="F918" s="58" t="n">
        <f aca="false">F853</f>
        <v>1196962.57856567</v>
      </c>
      <c r="G918" s="58" t="n">
        <f aca="false">G853</f>
        <v>1805109.91136181</v>
      </c>
      <c r="H918" s="2" t="s">
        <v>1392</v>
      </c>
    </row>
    <row r="919" customFormat="false" ht="15" hidden="false" customHeight="false" outlineLevel="1" collapsed="false">
      <c r="A919" s="7" t="s">
        <v>487</v>
      </c>
      <c r="B919" s="8" t="s">
        <v>71</v>
      </c>
      <c r="C919" s="78" t="n">
        <f aca="false">Pressupostos!$C$284</f>
        <v>0.08</v>
      </c>
      <c r="D919" s="78" t="n">
        <f aca="false">Pressupostos!$D$284</f>
        <v>0.075</v>
      </c>
      <c r="E919" s="78" t="n">
        <f aca="false">Pressupostos!$E$284</f>
        <v>0.07</v>
      </c>
      <c r="F919" s="78" t="n">
        <f aca="false">Pressupostos!$F$284</f>
        <v>0.065</v>
      </c>
      <c r="G919" s="78" t="n">
        <f aca="false">Pressupostos!$G$284</f>
        <v>0.065</v>
      </c>
      <c r="H919" s="2" t="s">
        <v>1393</v>
      </c>
    </row>
    <row r="920" customFormat="false" ht="15" hidden="false" customHeight="false" outlineLevel="1" collapsed="false">
      <c r="A920" s="7" t="s">
        <v>770</v>
      </c>
      <c r="B920" s="8" t="s">
        <v>71</v>
      </c>
      <c r="C920" s="56" t="n">
        <f aca="false">Pressupostos!$C$284*(1-Pressupostos!$C$109)</f>
        <v>0.0576</v>
      </c>
      <c r="D920" s="56" t="n">
        <f aca="false">Pressupostos!$D$284*(1-Pressupostos!$C$109)</f>
        <v>0.054</v>
      </c>
      <c r="E920" s="56" t="n">
        <f aca="false">Pressupostos!$E$284*(1-Pressupostos!$C$109)</f>
        <v>0.0504</v>
      </c>
      <c r="F920" s="56" t="n">
        <f aca="false">Pressupostos!$F$284*(1-Pressupostos!$C$109)</f>
        <v>0.0468</v>
      </c>
      <c r="G920" s="56" t="n">
        <f aca="false">Pressupostos!$G$284*(1-Pressupostos!$C$109)</f>
        <v>0.0468</v>
      </c>
      <c r="H920" s="2" t="s">
        <v>1394</v>
      </c>
    </row>
    <row r="921" customFormat="false" ht="15" hidden="false" customHeight="false" outlineLevel="1" collapsed="false">
      <c r="A921" s="7" t="s">
        <v>771</v>
      </c>
      <c r="B921" s="8" t="s">
        <v>10</v>
      </c>
      <c r="C921" s="58" t="n">
        <f aca="false">C759</f>
        <v>0</v>
      </c>
      <c r="D921" s="58" t="n">
        <f aca="false">D759</f>
        <v>24258.2272360999</v>
      </c>
      <c r="E921" s="58" t="n">
        <f aca="false">E759</f>
        <v>42007.9532634972</v>
      </c>
      <c r="F921" s="58" t="n">
        <f aca="false">F759</f>
        <v>67455.5439161966</v>
      </c>
      <c r="G921" s="58" t="n">
        <f aca="false">G759</f>
        <v>101777.272360999</v>
      </c>
      <c r="H921" s="2" t="s">
        <v>1395</v>
      </c>
    </row>
    <row r="922" customFormat="false" ht="15" hidden="false" customHeight="false" outlineLevel="1" collapsed="false">
      <c r="A922" s="7" t="s">
        <v>772</v>
      </c>
      <c r="B922" s="8" t="s">
        <v>71</v>
      </c>
      <c r="C922" s="55" t="n">
        <f aca="false">IF(C853&gt;0,(C856+C858)/C853,0)</f>
        <v>0</v>
      </c>
      <c r="D922" s="55" t="n">
        <f aca="false">IF(D853&gt;0,(D856+D858)/D853,0)</f>
        <v>0.144444444444444</v>
      </c>
      <c r="E922" s="55" t="n">
        <f aca="false">IF(E853&gt;0,(E856+E858)/E853,0)</f>
        <v>0.144444444444444</v>
      </c>
      <c r="F922" s="55" t="n">
        <f aca="false">IF(F853&gt;0,(F856+F858)/F853,0)</f>
        <v>0.144444444444444</v>
      </c>
      <c r="G922" s="55" t="n">
        <f aca="false">IF(G853&gt;0,(G856+G858)/G853,0)</f>
        <v>0.144444444444444</v>
      </c>
      <c r="H922" s="2" t="s">
        <v>1396</v>
      </c>
    </row>
    <row r="923" customFormat="false" ht="15" hidden="false" customHeight="false" outlineLevel="1" collapsed="false">
      <c r="A923" s="7" t="s">
        <v>773</v>
      </c>
      <c r="B923" s="8" t="s">
        <v>115</v>
      </c>
      <c r="C923" s="58" t="n">
        <f aca="false">C859</f>
        <v>0</v>
      </c>
      <c r="D923" s="58" t="n">
        <f aca="false">D859</f>
        <v>7.33230362610798</v>
      </c>
      <c r="E923" s="58" t="n">
        <f aca="false">E859</f>
        <v>13.8318323932313</v>
      </c>
      <c r="F923" s="58" t="n">
        <f aca="false">F859</f>
        <v>23.9392515713135</v>
      </c>
      <c r="G923" s="58" t="n">
        <f aca="false">G859</f>
        <v>36.1021982272361</v>
      </c>
      <c r="H923" s="2" t="s">
        <v>1397</v>
      </c>
    </row>
    <row r="924" customFormat="false" ht="15" hidden="false" customHeight="false" outlineLevel="0" collapsed="false">
      <c r="A924" s="3" t="s">
        <v>1398</v>
      </c>
      <c r="B924" s="4"/>
      <c r="C924" s="4"/>
      <c r="D924" s="4"/>
      <c r="E924" s="4"/>
      <c r="F924" s="4"/>
      <c r="G924" s="4"/>
      <c r="H924" s="4"/>
    </row>
    <row r="925" customFormat="false" ht="15" hidden="false" customHeight="false" outlineLevel="1" collapsed="false">
      <c r="A925" s="7" t="s">
        <v>775</v>
      </c>
      <c r="B925" s="8" t="s">
        <v>10</v>
      </c>
      <c r="C925" s="58" t="n">
        <f aca="false">MAX(0,-C827)</f>
        <v>706359.981877854</v>
      </c>
      <c r="D925" s="58" t="n">
        <f aca="false">MAX(0,-D827)</f>
        <v>883534.782764476</v>
      </c>
      <c r="E925" s="58" t="n">
        <f aca="false">MAX(0,-E827)</f>
        <v>904120.346665405</v>
      </c>
      <c r="F925" s="58" t="n">
        <f aca="false">MAX(0,-F827)</f>
        <v>874524.690842484</v>
      </c>
      <c r="G925" s="58" t="n">
        <f aca="false">MAX(0,-G827)</f>
        <v>906159.632961748</v>
      </c>
      <c r="H925" s="2" t="s">
        <v>1399</v>
      </c>
    </row>
    <row r="926" customFormat="false" ht="15" hidden="false" customHeight="false" outlineLevel="1" collapsed="false">
      <c r="A926" s="2" t="s">
        <v>776</v>
      </c>
      <c r="B926" s="8"/>
      <c r="C926" s="58" t="n">
        <f aca="false">IF(AND(C628&gt;=Pressupostos!$C$118,Pressupostos!$C$116*(C716+C717)+Pressupostos!$C$117*C718&gt;Pressupostos!$C$296),1,0)</f>
        <v>0</v>
      </c>
      <c r="D926" s="58" t="n">
        <f aca="false">IF(AND(D628&gt;=Pressupostos!$C$118,Pressupostos!$C$116*(D716+D717)+Pressupostos!$C$117*D718&gt;Pressupostos!$D$296),1,0)</f>
        <v>1</v>
      </c>
      <c r="E926" s="58" t="n">
        <f aca="false">IF(AND(E628&gt;=Pressupostos!$C$118,Pressupostos!$C$116*(E716+E717)+Pressupostos!$C$117*E718&gt;Pressupostos!$E$296),1,0)</f>
        <v>1</v>
      </c>
      <c r="F926" s="58" t="n">
        <f aca="false">IF(AND(F628&gt;=Pressupostos!$C$118,Pressupostos!$C$116*(F716+F717)+Pressupostos!$C$117*F718&gt;Pressupostos!$F$296),1,0)</f>
        <v>1</v>
      </c>
      <c r="G926" s="58" t="n">
        <f aca="false">IF(AND(G628&gt;=Pressupostos!$C$118,Pressupostos!$C$116*(G716+G717)+Pressupostos!$C$117*G718&gt;Pressupostos!$G$296),1,0)</f>
        <v>1</v>
      </c>
      <c r="H926" s="2" t="s">
        <v>1400</v>
      </c>
    </row>
    <row r="927" customFormat="false" ht="15" hidden="false" customHeight="false" outlineLevel="1" collapsed="false">
      <c r="A927" s="7" t="s">
        <v>777</v>
      </c>
      <c r="B927" s="8" t="s">
        <v>59</v>
      </c>
      <c r="C927" s="60" t="n">
        <f aca="false">IF(C632&gt;0,C925/(C632*1000*(1-Pressupostos!$E$22)*(1-Pressupostos!$E$25-C926*Pressupostos!$C$116)),"n/a")</f>
        <v>10.1212205456062</v>
      </c>
      <c r="D927" s="60" t="n">
        <f aca="false">IF(D632&gt;0,D925/(D632*1000*(1-Pressupostos!$E$22)*(1-Pressupostos!$E$25-D926*Pressupostos!$C$116)),"n/a")</f>
        <v>1.51320259291996</v>
      </c>
      <c r="E927" s="60" t="n">
        <f aca="false">IF(E632&gt;0,E925/(E632*1000*(1-Pressupostos!$E$22)*(1-Pressupostos!$E$25-E926*Pressupostos!$C$116)),"n/a")</f>
        <v>0.831501190217739</v>
      </c>
      <c r="F927" s="60" t="n">
        <f aca="false">IF(F632&gt;0,F925/(F632*1000*(1-Pressupostos!$E$22)*(1-Pressupostos!$E$25-F926*Pressupostos!$C$116)),"n/a")</f>
        <v>0.492005317019406</v>
      </c>
      <c r="G927" s="60" t="n">
        <f aca="false">IF(G632&gt;0,G925/(G632*1000*(1-Pressupostos!$E$22)*(1-Pressupostos!$E$25-G926*Pressupostos!$C$116)),"n/a")</f>
        <v>0.339868702129712</v>
      </c>
      <c r="H927" s="2" t="s">
        <v>1401</v>
      </c>
    </row>
    <row r="928" customFormat="false" ht="15" hidden="false" customHeight="false" outlineLevel="1" collapsed="false">
      <c r="A928" s="7" t="s">
        <v>778</v>
      </c>
      <c r="B928" s="8" t="s">
        <v>59</v>
      </c>
      <c r="C928" s="60" t="n">
        <f aca="false">IF(C631&gt;0,Pressupostos!$E$15+C925/(C631*1000*(1-Pressupostos!$E$16)*(1-Pressupostos!$E$18-C926*Pressupostos!$C$116)),"n/a")</f>
        <v>84.8788366139424</v>
      </c>
      <c r="D928" s="60" t="n">
        <f aca="false">IF(D631&gt;0,Pressupostos!$E$15+D925/(D631*1000*(1-Pressupostos!$E$16)*(1-Pressupostos!$E$18-D926*Pressupostos!$C$116)),"n/a")</f>
        <v>21.9777564887658</v>
      </c>
      <c r="E928" s="60" t="n">
        <f aca="false">IF(E631&gt;0,Pressupostos!$E$15+E925/(E631*1000*(1-Pressupostos!$E$16)*(1-Pressupostos!$E$18-E926*Pressupostos!$C$116)),"n/a")</f>
        <v>10.9448852499892</v>
      </c>
      <c r="F928" s="60" t="n">
        <f aca="false">IF(F631&gt;0,Pressupostos!$E$15+F925/(F631*1000*(1-Pressupostos!$E$16)*(1-Pressupostos!$E$18-F926*Pressupostos!$C$116)),"n/a")</f>
        <v>8.39150919479238</v>
      </c>
      <c r="G928" s="60" t="n">
        <f aca="false">IF(G631&gt;0,Pressupostos!$E$15+G925/(G631*1000*(1-Pressupostos!$E$16)*(1-Pressupostos!$E$18-G926*Pressupostos!$C$116)),"n/a")</f>
        <v>7.6520128910178</v>
      </c>
      <c r="H928" s="2" t="s">
        <v>1402</v>
      </c>
    </row>
    <row r="929" customFormat="false" ht="15" hidden="false" customHeight="false" outlineLevel="1" collapsed="false">
      <c r="A929" s="7" t="s">
        <v>779</v>
      </c>
      <c r="B929" s="8" t="s">
        <v>59</v>
      </c>
      <c r="C929" s="60" t="n">
        <f aca="false">C712-C926*Pressupostos!$C$117*C695</f>
        <v>0.058762328767124</v>
      </c>
      <c r="D929" s="60" t="n">
        <f aca="false">D712-D926*Pressupostos!$C$117*D695</f>
        <v>0.0286178485092673</v>
      </c>
      <c r="E929" s="60" t="n">
        <f aca="false">E712-E926*Pressupostos!$C$117*E695</f>
        <v>0.0301408138597913</v>
      </c>
      <c r="F929" s="60" t="n">
        <f aca="false">F712-F926*Pressupostos!$C$117*F695</f>
        <v>0.0316637792103148</v>
      </c>
      <c r="G929" s="60" t="n">
        <f aca="false">G712-G926*Pressupostos!$C$117*G695</f>
        <v>0.0316637792103148</v>
      </c>
      <c r="H929" s="2" t="s">
        <v>1403</v>
      </c>
    </row>
    <row r="930" customFormat="false" ht="15" hidden="false" customHeight="false" outlineLevel="1" collapsed="false">
      <c r="A930" s="7" t="s">
        <v>780</v>
      </c>
      <c r="B930" s="8" t="s">
        <v>112</v>
      </c>
      <c r="C930" s="57" t="n">
        <f aca="false">IF(C929&gt;0,C633+C925/(C929*1000),"n/a")</f>
        <v>12020.6260830331</v>
      </c>
      <c r="D930" s="57" t="n">
        <f aca="false">IF(D929&gt;0,D633+D925/(D929*1000),"n/a")</f>
        <v>30873.557195551</v>
      </c>
      <c r="E930" s="57" t="n">
        <f aca="false">IF(E929&gt;0,E633+E925/(E929*1000),"n/a")</f>
        <v>29996.5472356249</v>
      </c>
      <c r="F930" s="57" t="n">
        <f aca="false">IF(F929&gt;0,F633+F925/(F929*1000),"n/a")</f>
        <v>27619.087571126</v>
      </c>
      <c r="G930" s="57" t="n">
        <f aca="false">IF(G929&gt;0,G633+G925/(G929*1000),"n/a")</f>
        <v>28618.1768431027</v>
      </c>
      <c r="H930" s="2" t="s">
        <v>1404</v>
      </c>
    </row>
    <row r="931" customFormat="false" ht="15" hidden="false" customHeight="false" outlineLevel="1" collapsed="false">
      <c r="A931" s="7" t="s">
        <v>781</v>
      </c>
      <c r="B931" s="8" t="s">
        <v>71</v>
      </c>
      <c r="C931" s="55" t="n">
        <f aca="false">C925/(C791+C804+C805)</f>
        <v>0.960073140239933</v>
      </c>
      <c r="D931" s="55" t="n">
        <f aca="false">D925/(D791+D804+D805)</f>
        <v>0.805220469196734</v>
      </c>
      <c r="E931" s="55" t="n">
        <f aca="false">E925/(E791+E804+E805)</f>
        <v>0.641138929634123</v>
      </c>
      <c r="F931" s="55" t="n">
        <f aca="false">F925/(F791+F804+F805)</f>
        <v>0.488275065162926</v>
      </c>
      <c r="G931" s="55" t="n">
        <f aca="false">G925/(G791+G804+G805)</f>
        <v>0.393521451183597</v>
      </c>
      <c r="H931" s="2" t="s">
        <v>1405</v>
      </c>
    </row>
    <row r="932" customFormat="false" ht="15" hidden="false" customHeight="false" outlineLevel="1" collapsed="false">
      <c r="A932" s="2" t="s">
        <v>782</v>
      </c>
      <c r="B932" s="8" t="s">
        <v>71</v>
      </c>
      <c r="C932" s="56" t="n">
        <f aca="false">Pressupostos!$C$99*Pressupostos!$C$100+Pressupostos!$C$101-Pressupostos!$E$30*Pressupostos!$C$102*Pressupostos!$C$100/(Pressupostos!$C$103*Pressupostos!$C$104)</f>
        <v>0.00354285714285715</v>
      </c>
      <c r="D932" s="56" t="n">
        <f aca="false">Pressupostos!$C$99*Pressupostos!$C$100+Pressupostos!$C$101-Pressupostos!$E$30*Pressupostos!$C$102*Pressupostos!$C$100/(Pressupostos!$C$103*Pressupostos!$C$104)</f>
        <v>0.00354285714285715</v>
      </c>
      <c r="E932" s="56" t="n">
        <f aca="false">Pressupostos!$C$99*Pressupostos!$C$100+Pressupostos!$C$101-Pressupostos!$E$30*Pressupostos!$C$102*Pressupostos!$C$100/(Pressupostos!$C$103*Pressupostos!$C$104)</f>
        <v>0.00354285714285715</v>
      </c>
      <c r="F932" s="56" t="n">
        <f aca="false">Pressupostos!$C$99*Pressupostos!$C$100+Pressupostos!$C$101-Pressupostos!$E$30*Pressupostos!$C$102*Pressupostos!$C$100/(Pressupostos!$C$103*Pressupostos!$C$104)</f>
        <v>0.00354285714285715</v>
      </c>
      <c r="G932" s="56" t="n">
        <f aca="false">Pressupostos!$C$99*Pressupostos!$C$100+Pressupostos!$C$101-Pressupostos!$E$30*Pressupostos!$C$102*Pressupostos!$C$100/(Pressupostos!$C$103*Pressupostos!$C$104)</f>
        <v>0.00354285714285715</v>
      </c>
      <c r="H932" s="2" t="s">
        <v>1406</v>
      </c>
    </row>
    <row r="933" customFormat="false" ht="15" hidden="false" customHeight="false" outlineLevel="1" collapsed="false">
      <c r="A933" s="7" t="s">
        <v>783</v>
      </c>
      <c r="B933" s="8" t="s">
        <v>10</v>
      </c>
      <c r="C933" s="58" t="n">
        <f aca="false">IF(C932&gt;0,C644+C925/C932,"n/a")</f>
        <v>199375801.336491</v>
      </c>
      <c r="D933" s="58" t="n">
        <f aca="false">IF(D932&gt;0,D644+D925/D932,"n/a")</f>
        <v>250384817.715779</v>
      </c>
      <c r="E933" s="58" t="n">
        <f aca="false">IF(E932&gt;0,E644+E925/E932,"n/a")</f>
        <v>258195259.139429</v>
      </c>
      <c r="F933" s="58" t="n">
        <f aca="false">IF(F932&gt;0,F644+F925/F932,"n/a")</f>
        <v>252841646.608765</v>
      </c>
      <c r="G933" s="58" t="n">
        <f aca="false">IF(G932&gt;0,G644+G925/G932,"n/a")</f>
        <v>265770864.142429</v>
      </c>
      <c r="H933" s="2" t="s">
        <v>1407</v>
      </c>
    </row>
    <row r="936" customFormat="false" ht="15" hidden="false" customHeight="false" outlineLevel="0" collapsed="false">
      <c r="A936" s="104" t="s">
        <v>1410</v>
      </c>
      <c r="B936" s="105"/>
      <c r="C936" s="105"/>
      <c r="D936" s="105"/>
      <c r="E936" s="105"/>
      <c r="F936" s="105"/>
      <c r="G936" s="105"/>
      <c r="H936" s="105"/>
    </row>
    <row r="937" customFormat="false" ht="15" hidden="false" customHeight="false" outlineLevel="0" collapsed="false">
      <c r="A937" s="3" t="s">
        <v>1102</v>
      </c>
      <c r="B937" s="4"/>
      <c r="C937" s="4"/>
      <c r="D937" s="4"/>
      <c r="E937" s="4"/>
      <c r="F937" s="4"/>
      <c r="G937" s="4"/>
      <c r="H937" s="4"/>
    </row>
    <row r="938" customFormat="false" ht="15" hidden="false" customHeight="false" outlineLevel="1" collapsed="false">
      <c r="A938" s="7" t="s">
        <v>557</v>
      </c>
      <c r="B938" s="8"/>
      <c r="C938" s="49" t="n">
        <v>2027</v>
      </c>
      <c r="D938" s="49" t="n">
        <v>2028</v>
      </c>
      <c r="E938" s="49" t="n">
        <v>2029</v>
      </c>
      <c r="F938" s="49" t="n">
        <v>2030</v>
      </c>
      <c r="G938" s="49" t="n">
        <v>2031</v>
      </c>
      <c r="H938" s="2" t="s">
        <v>18</v>
      </c>
    </row>
    <row r="939" customFormat="false" ht="15" hidden="false" customHeight="false" outlineLevel="0" collapsed="false">
      <c r="A939" s="3" t="s">
        <v>1103</v>
      </c>
      <c r="B939" s="4"/>
      <c r="C939" s="4"/>
      <c r="D939" s="4"/>
      <c r="E939" s="4"/>
      <c r="F939" s="4"/>
      <c r="G939" s="4"/>
      <c r="H939" s="4"/>
    </row>
    <row r="940" customFormat="false" ht="15" hidden="false" customHeight="false" outlineLevel="1" collapsed="false">
      <c r="A940" s="7" t="s">
        <v>372</v>
      </c>
      <c r="B940" s="8" t="s">
        <v>115</v>
      </c>
      <c r="C940" s="50" t="n">
        <f aca="false">Pressupostos!$C$210</f>
        <v>40</v>
      </c>
      <c r="D940" s="50" t="n">
        <f aca="false">Pressupostos!$D$210</f>
        <v>150</v>
      </c>
      <c r="E940" s="50" t="n">
        <f aca="false">Pressupostos!$E$210</f>
        <v>400</v>
      </c>
      <c r="F940" s="50" t="n">
        <f aca="false">Pressupostos!$F$210</f>
        <v>700</v>
      </c>
      <c r="G940" s="50" t="n">
        <f aca="false">Pressupostos!$G$210</f>
        <v>1000</v>
      </c>
      <c r="H940" s="2" t="s">
        <v>1104</v>
      </c>
    </row>
    <row r="941" customFormat="false" ht="15" hidden="false" customHeight="false" outlineLevel="1" collapsed="false">
      <c r="A941" s="7" t="s">
        <v>559</v>
      </c>
      <c r="B941" s="8" t="s">
        <v>112</v>
      </c>
      <c r="C941" s="51" t="n">
        <f aca="false">Pressupostos!$C$216</f>
        <v>8.2</v>
      </c>
      <c r="D941" s="51" t="n">
        <f aca="false">Pressupostos!$D$216</f>
        <v>30.75</v>
      </c>
      <c r="E941" s="51" t="n">
        <f aca="false">Pressupostos!$E$216</f>
        <v>82</v>
      </c>
      <c r="F941" s="51" t="n">
        <f aca="false">Pressupostos!$F$216</f>
        <v>143.5</v>
      </c>
      <c r="G941" s="51" t="n">
        <f aca="false">Pressupostos!$G$216</f>
        <v>205</v>
      </c>
      <c r="H941" s="2" t="s">
        <v>1105</v>
      </c>
    </row>
    <row r="942" customFormat="false" ht="15" hidden="false" customHeight="false" outlineLevel="1" collapsed="false">
      <c r="A942" s="7" t="s">
        <v>560</v>
      </c>
      <c r="B942" s="8" t="s">
        <v>112</v>
      </c>
      <c r="C942" s="51" t="n">
        <f aca="false">Pressupostos!$C$222</f>
        <v>52</v>
      </c>
      <c r="D942" s="51" t="n">
        <f aca="false">Pressupostos!$D$222</f>
        <v>363</v>
      </c>
      <c r="E942" s="51" t="n">
        <f aca="false">Pressupostos!$E$222</f>
        <v>717</v>
      </c>
      <c r="F942" s="51" t="n">
        <f aca="false">Pressupostos!$F$222</f>
        <v>1183</v>
      </c>
      <c r="G942" s="51" t="n">
        <f aca="false">Pressupostos!$G$222</f>
        <v>1790</v>
      </c>
      <c r="H942" s="2" t="s">
        <v>1106</v>
      </c>
    </row>
    <row r="943" customFormat="false" ht="15" hidden="false" customHeight="false" outlineLevel="1" collapsed="false">
      <c r="A943" s="7" t="s">
        <v>383</v>
      </c>
      <c r="B943" s="8" t="s">
        <v>112</v>
      </c>
      <c r="C943" s="51" t="n">
        <f aca="false">Pressupostos!$C$228</f>
        <v>0</v>
      </c>
      <c r="D943" s="51" t="n">
        <f aca="false">Pressupostos!$D$228</f>
        <v>500</v>
      </c>
      <c r="E943" s="51" t="n">
        <f aca="false">Pressupostos!$E$228</f>
        <v>1500</v>
      </c>
      <c r="F943" s="51" t="n">
        <f aca="false">Pressupostos!$F$228</f>
        <v>2500</v>
      </c>
      <c r="G943" s="51" t="n">
        <f aca="false">Pressupostos!$G$228</f>
        <v>3500</v>
      </c>
      <c r="H943" s="2" t="s">
        <v>1107</v>
      </c>
    </row>
    <row r="944" customFormat="false" ht="15" hidden="false" customHeight="false" outlineLevel="1" collapsed="false">
      <c r="A944" s="52" t="s">
        <v>561</v>
      </c>
      <c r="B944" s="53" t="s">
        <v>112</v>
      </c>
      <c r="C944" s="54" t="n">
        <f aca="false">C941+C942+C943</f>
        <v>60.2</v>
      </c>
      <c r="D944" s="54" t="n">
        <f aca="false">D941+D942+D943</f>
        <v>893.75</v>
      </c>
      <c r="E944" s="54" t="n">
        <f aca="false">E941+E942+E943</f>
        <v>2299</v>
      </c>
      <c r="F944" s="54" t="n">
        <f aca="false">F941+F942+F943</f>
        <v>3826.5</v>
      </c>
      <c r="G944" s="54" t="n">
        <f aca="false">G941+G942+G943</f>
        <v>5495</v>
      </c>
      <c r="H944" s="2" t="s">
        <v>1108</v>
      </c>
    </row>
    <row r="945" customFormat="false" ht="15" hidden="false" customHeight="false" outlineLevel="1" collapsed="false">
      <c r="A945" s="7" t="s">
        <v>562</v>
      </c>
      <c r="B945" s="8" t="s">
        <v>71</v>
      </c>
      <c r="C945" s="55" t="n">
        <f aca="false">IF(C944&gt;0,C941/C944,0)</f>
        <v>0.136212624584718</v>
      </c>
      <c r="D945" s="55" t="n">
        <f aca="false">IF(D944&gt;0,D941/D944,0)</f>
        <v>0.0344055944055944</v>
      </c>
      <c r="E945" s="55" t="n">
        <f aca="false">IF(E944&gt;0,E941/E944,0)</f>
        <v>0.035667681600696</v>
      </c>
      <c r="F945" s="55" t="n">
        <f aca="false">IF(F944&gt;0,F941/F944,0)</f>
        <v>0.0375016333464001</v>
      </c>
      <c r="G945" s="55" t="n">
        <f aca="false">IF(G944&gt;0,G941/G944,0)</f>
        <v>0.0373066424021838</v>
      </c>
      <c r="H945" s="2" t="s">
        <v>1109</v>
      </c>
    </row>
    <row r="946" customFormat="false" ht="15" hidden="false" customHeight="false" outlineLevel="1" collapsed="false">
      <c r="A946" s="7" t="s">
        <v>563</v>
      </c>
      <c r="B946" s="8" t="s">
        <v>71</v>
      </c>
      <c r="C946" s="56" t="n">
        <f aca="false">C944/(Pressupostos!$C$74*1000)</f>
        <v>0.000344</v>
      </c>
      <c r="D946" s="56" t="n">
        <f aca="false">D944/(Pressupostos!$C$74*1000)</f>
        <v>0.00510714285714286</v>
      </c>
      <c r="E946" s="56" t="n">
        <f aca="false">E944/(Pressupostos!$C$74*1000)</f>
        <v>0.0131371428571429</v>
      </c>
      <c r="F946" s="56" t="n">
        <f aca="false">F944/(Pressupostos!$C$74*1000)</f>
        <v>0.0218657142857143</v>
      </c>
      <c r="G946" s="56" t="n">
        <f aca="false">G944/(Pressupostos!$C$74*1000)</f>
        <v>0.0314</v>
      </c>
      <c r="H946" s="2" t="s">
        <v>1110</v>
      </c>
    </row>
    <row r="947" customFormat="false" ht="15" hidden="false" customHeight="false" outlineLevel="1" collapsed="false">
      <c r="A947" s="7" t="s">
        <v>564</v>
      </c>
      <c r="B947" s="8" t="s">
        <v>115</v>
      </c>
      <c r="C947" s="57" t="n">
        <f aca="false">C941/Pressupostos!$C$39+C942/Pressupostos!$C$46+C943/Pressupostos!$C$58</f>
        <v>2.14333333333333</v>
      </c>
      <c r="D947" s="57" t="n">
        <f aca="false">D941/Pressupostos!$C$39+D942/Pressupostos!$C$46+D943/Pressupostos!$C$58</f>
        <v>18.6375</v>
      </c>
      <c r="E947" s="57" t="n">
        <f aca="false">E941/Pressupostos!$C$39+E942/Pressupostos!$C$46+E943/Pressupostos!$C$58</f>
        <v>43</v>
      </c>
      <c r="F947" s="57" t="n">
        <f aca="false">F941/Pressupostos!$C$39+F942/Pressupostos!$C$46+F943/Pressupostos!$C$58</f>
        <v>71.6083333333333</v>
      </c>
      <c r="G947" s="57" t="n">
        <f aca="false">G941/Pressupostos!$C$39+G942/Pressupostos!$C$46+G943/Pressupostos!$C$58</f>
        <v>104.916666666667</v>
      </c>
      <c r="H947" s="2" t="s">
        <v>1111</v>
      </c>
    </row>
    <row r="948" customFormat="false" ht="15" hidden="false" customHeight="false" outlineLevel="0" collapsed="false">
      <c r="A948" s="3" t="s">
        <v>1112</v>
      </c>
      <c r="B948" s="4"/>
      <c r="C948" s="4"/>
      <c r="D948" s="4"/>
      <c r="E948" s="4"/>
      <c r="F948" s="4"/>
      <c r="G948" s="4"/>
      <c r="H948" s="4"/>
    </row>
    <row r="949" customFormat="false" ht="15" hidden="false" customHeight="false" outlineLevel="1" collapsed="false">
      <c r="A949" s="7" t="s">
        <v>566</v>
      </c>
      <c r="B949" s="8" t="s">
        <v>192</v>
      </c>
      <c r="C949" s="50" t="n">
        <f aca="false">Pressupostos!$C$254</f>
        <v>36</v>
      </c>
      <c r="D949" s="50" t="n">
        <f aca="false">Pressupostos!$D$254</f>
        <v>135</v>
      </c>
      <c r="E949" s="50" t="n">
        <f aca="false">Pressupostos!$E$254</f>
        <v>360</v>
      </c>
      <c r="F949" s="50" t="n">
        <f aca="false">Pressupostos!$F$254</f>
        <v>630</v>
      </c>
      <c r="G949" s="50" t="n">
        <f aca="false">Pressupostos!$G$254</f>
        <v>900</v>
      </c>
      <c r="H949" s="2" t="s">
        <v>1113</v>
      </c>
    </row>
    <row r="950" customFormat="false" ht="15" hidden="false" customHeight="false" outlineLevel="1" collapsed="false">
      <c r="A950" s="7" t="s">
        <v>566</v>
      </c>
      <c r="B950" s="8" t="s">
        <v>179</v>
      </c>
      <c r="C950" s="58" t="n">
        <f aca="false">C949*Pressupostos!$C$76</f>
        <v>27000</v>
      </c>
      <c r="D950" s="58" t="n">
        <f aca="false">D949*Pressupostos!$C$76</f>
        <v>101250</v>
      </c>
      <c r="E950" s="58" t="n">
        <f aca="false">E949*Pressupostos!$C$76</f>
        <v>270000</v>
      </c>
      <c r="F950" s="58" t="n">
        <f aca="false">F949*Pressupostos!$C$76</f>
        <v>472500</v>
      </c>
      <c r="G950" s="58" t="n">
        <f aca="false">G949*Pressupostos!$C$76</f>
        <v>675000</v>
      </c>
      <c r="H950" s="2" t="s">
        <v>1114</v>
      </c>
    </row>
    <row r="951" customFormat="false" ht="15" hidden="false" customHeight="false" outlineLevel="0" collapsed="false">
      <c r="A951" s="3" t="s">
        <v>1115</v>
      </c>
      <c r="B951" s="4"/>
      <c r="C951" s="4"/>
      <c r="D951" s="4"/>
      <c r="E951" s="4"/>
      <c r="F951" s="4"/>
      <c r="G951" s="4"/>
      <c r="H951" s="4"/>
    </row>
    <row r="952" customFormat="false" ht="15" hidden="false" customHeight="false" outlineLevel="1" collapsed="false">
      <c r="A952" s="7" t="s">
        <v>568</v>
      </c>
      <c r="B952" s="8" t="s">
        <v>112</v>
      </c>
      <c r="C952" s="57" t="n">
        <f aca="false">IF(C938&lt;Pressupostos!$F$28,0,Pressupostos!$C$260)</f>
        <v>0</v>
      </c>
      <c r="D952" s="57" t="n">
        <f aca="false">IF(D938&lt;Pressupostos!$F$28,0,Pressupostos!$D$260)</f>
        <v>0</v>
      </c>
      <c r="E952" s="57" t="n">
        <f aca="false">IF(E938&lt;Pressupostos!$F$28,0,Pressupostos!$E$260)</f>
        <v>0</v>
      </c>
      <c r="F952" s="57" t="n">
        <f aca="false">IF(F938&lt;Pressupostos!$F$28,0,Pressupostos!$F$260)</f>
        <v>20</v>
      </c>
      <c r="G952" s="57" t="n">
        <f aca="false">IF(G938&lt;Pressupostos!$F$28,0,Pressupostos!$G$260)</f>
        <v>50</v>
      </c>
      <c r="H952" s="2" t="s">
        <v>1116</v>
      </c>
    </row>
    <row r="953" customFormat="false" ht="15" hidden="false" customHeight="false" outlineLevel="0" collapsed="false">
      <c r="A953" s="3" t="s">
        <v>1117</v>
      </c>
      <c r="B953" s="4"/>
      <c r="C953" s="4"/>
      <c r="D953" s="4"/>
      <c r="E953" s="4"/>
      <c r="F953" s="4"/>
      <c r="G953" s="4"/>
      <c r="H953" s="4"/>
    </row>
    <row r="954" customFormat="false" ht="15" hidden="false" customHeight="false" outlineLevel="1" collapsed="false">
      <c r="A954" s="7" t="s">
        <v>570</v>
      </c>
      <c r="B954" s="8" t="s">
        <v>10</v>
      </c>
      <c r="C954" s="50" t="n">
        <f aca="false">Pressupostos!$C$266</f>
        <v>0</v>
      </c>
      <c r="D954" s="50" t="n">
        <f aca="false">Pressupostos!$D$266</f>
        <v>500000</v>
      </c>
      <c r="E954" s="50" t="n">
        <f aca="false">Pressupostos!$E$266</f>
        <v>1500000</v>
      </c>
      <c r="F954" s="50" t="n">
        <f aca="false">Pressupostos!$F$266</f>
        <v>3000000</v>
      </c>
      <c r="G954" s="50" t="n">
        <f aca="false">Pressupostos!$G$266</f>
        <v>5000000</v>
      </c>
      <c r="H954" s="2" t="s">
        <v>1118</v>
      </c>
    </row>
    <row r="955" customFormat="false" ht="15" hidden="false" customHeight="false" outlineLevel="1" collapsed="false">
      <c r="A955" s="7" t="s">
        <v>571</v>
      </c>
      <c r="B955" s="8" t="s">
        <v>112</v>
      </c>
      <c r="C955" s="57" t="n">
        <f aca="false">C954/(Pressupostos!$C$103*Pressupostos!$C$104)*Pressupostos!$C$100/1000</f>
        <v>0</v>
      </c>
      <c r="D955" s="57" t="n">
        <f aca="false">D954/(Pressupostos!$C$103*Pressupostos!$C$104)*Pressupostos!$C$100/1000</f>
        <v>457.142857142857</v>
      </c>
      <c r="E955" s="57" t="n">
        <f aca="false">E954/(Pressupostos!$C$103*Pressupostos!$C$104)*Pressupostos!$C$100/1000</f>
        <v>1371.42857142857</v>
      </c>
      <c r="F955" s="57" t="n">
        <f aca="false">F954/(Pressupostos!$C$103*Pressupostos!$C$104)*Pressupostos!$C$100/1000</f>
        <v>2742.85714285714</v>
      </c>
      <c r="G955" s="57" t="n">
        <f aca="false">G954/(Pressupostos!$C$103*Pressupostos!$C$104)*Pressupostos!$C$100/1000</f>
        <v>4571.42857142857</v>
      </c>
      <c r="H955" s="2" t="s">
        <v>1119</v>
      </c>
    </row>
    <row r="956" customFormat="false" ht="15" hidden="false" customHeight="false" outlineLevel="0" collapsed="false">
      <c r="A956" s="3" t="s">
        <v>1120</v>
      </c>
      <c r="B956" s="4"/>
      <c r="C956" s="4"/>
      <c r="D956" s="4"/>
      <c r="E956" s="4"/>
      <c r="F956" s="4"/>
      <c r="G956" s="4"/>
      <c r="H956" s="4"/>
    </row>
    <row r="957" customFormat="false" ht="15" hidden="false" customHeight="false" outlineLevel="1" collapsed="false">
      <c r="A957" s="7" t="s">
        <v>633</v>
      </c>
      <c r="B957" s="8" t="s">
        <v>59</v>
      </c>
      <c r="C957" s="60" t="n">
        <f aca="false">Pressupostos!$F$10+Pressupostos!$F$11</f>
        <v>3.65</v>
      </c>
      <c r="D957" s="60" t="n">
        <f aca="false">Pressupostos!$F$10+Pressupostos!$F$11</f>
        <v>3.65</v>
      </c>
      <c r="E957" s="60" t="n">
        <f aca="false">Pressupostos!$F$10+Pressupostos!$F$11</f>
        <v>3.65</v>
      </c>
      <c r="F957" s="60" t="n">
        <f aca="false">Pressupostos!$F$10+Pressupostos!$F$11</f>
        <v>3.65</v>
      </c>
      <c r="G957" s="60" t="n">
        <f aca="false">Pressupostos!$F$10+Pressupostos!$F$11</f>
        <v>3.65</v>
      </c>
      <c r="H957" s="2" t="s">
        <v>1121</v>
      </c>
    </row>
    <row r="958" customFormat="false" ht="15" hidden="false" customHeight="false" outlineLevel="1" collapsed="false">
      <c r="A958" s="7" t="s">
        <v>634</v>
      </c>
      <c r="B958" s="8" t="s">
        <v>59</v>
      </c>
      <c r="C958" s="63" t="n">
        <f aca="false">Pressupostos!$F$15</f>
        <v>6</v>
      </c>
      <c r="D958" s="63" t="n">
        <f aca="false">Pressupostos!$F$15</f>
        <v>6</v>
      </c>
      <c r="E958" s="63" t="n">
        <f aca="false">Pressupostos!$F$15</f>
        <v>6</v>
      </c>
      <c r="F958" s="63" t="n">
        <f aca="false">Pressupostos!$F$15</f>
        <v>6</v>
      </c>
      <c r="G958" s="63" t="n">
        <f aca="false">Pressupostos!$F$15</f>
        <v>6</v>
      </c>
      <c r="H958" s="2" t="s">
        <v>1122</v>
      </c>
    </row>
    <row r="959" customFormat="false" ht="15" hidden="false" customHeight="false" outlineLevel="1" collapsed="false">
      <c r="A959" s="52" t="s">
        <v>635</v>
      </c>
      <c r="B959" s="53" t="s">
        <v>59</v>
      </c>
      <c r="C959" s="64" t="n">
        <f aca="false">C958*(1-Pressupostos!$F$16)</f>
        <v>5.4</v>
      </c>
      <c r="D959" s="64" t="n">
        <f aca="false">D958*(1-Pressupostos!$F$16)</f>
        <v>5.4</v>
      </c>
      <c r="E959" s="64" t="n">
        <f aca="false">E958*(1-Pressupostos!$F$16)</f>
        <v>5.4</v>
      </c>
      <c r="F959" s="64" t="n">
        <f aca="false">F958*(1-Pressupostos!$F$16)</f>
        <v>5.4</v>
      </c>
      <c r="G959" s="64" t="n">
        <f aca="false">G958*(1-Pressupostos!$F$16)</f>
        <v>5.4</v>
      </c>
      <c r="H959" s="2" t="s">
        <v>1123</v>
      </c>
    </row>
    <row r="960" customFormat="false" ht="15" hidden="false" customHeight="false" outlineLevel="1" collapsed="false">
      <c r="A960" s="7" t="s">
        <v>136</v>
      </c>
      <c r="B960" s="8" t="s">
        <v>59</v>
      </c>
      <c r="C960" s="63" t="n">
        <f aca="false">Pressupostos!$C$37</f>
        <v>0.55</v>
      </c>
      <c r="D960" s="63" t="n">
        <f aca="false">Pressupostos!$C$37</f>
        <v>0.55</v>
      </c>
      <c r="E960" s="63" t="n">
        <f aca="false">Pressupostos!$C$37</f>
        <v>0.55</v>
      </c>
      <c r="F960" s="63" t="n">
        <f aca="false">Pressupostos!$C$37</f>
        <v>0.55</v>
      </c>
      <c r="G960" s="63" t="n">
        <f aca="false">Pressupostos!$C$37</f>
        <v>0.55</v>
      </c>
      <c r="H960" s="2" t="s">
        <v>1124</v>
      </c>
    </row>
    <row r="961" customFormat="false" ht="15" hidden="false" customHeight="false" outlineLevel="1" collapsed="false">
      <c r="A961" s="7" t="s">
        <v>205</v>
      </c>
      <c r="B961" s="8" t="s">
        <v>59</v>
      </c>
      <c r="C961" s="63" t="n">
        <f aca="false">Pressupostos!$C$235</f>
        <v>0.3</v>
      </c>
      <c r="D961" s="63" t="n">
        <f aca="false">Pressupostos!$D$235</f>
        <v>0.3</v>
      </c>
      <c r="E961" s="63" t="n">
        <f aca="false">Pressupostos!$E$235</f>
        <v>0.28</v>
      </c>
      <c r="F961" s="63" t="n">
        <f aca="false">Pressupostos!$F$235</f>
        <v>0.27</v>
      </c>
      <c r="G961" s="63" t="n">
        <f aca="false">Pressupostos!$G$235</f>
        <v>0.27</v>
      </c>
      <c r="H961" s="2" t="s">
        <v>1125</v>
      </c>
    </row>
    <row r="962" customFormat="false" ht="15" hidden="false" customHeight="false" outlineLevel="1" collapsed="false">
      <c r="A962" s="7" t="s">
        <v>109</v>
      </c>
      <c r="B962" s="8" t="s">
        <v>59</v>
      </c>
      <c r="C962" s="63" t="n">
        <f aca="false">Pressupostos!$C$38</f>
        <v>0.06</v>
      </c>
      <c r="D962" s="63" t="n">
        <f aca="false">Pressupostos!$C$38</f>
        <v>0.06</v>
      </c>
      <c r="E962" s="63" t="n">
        <f aca="false">Pressupostos!$C$38</f>
        <v>0.06</v>
      </c>
      <c r="F962" s="63" t="n">
        <f aca="false">Pressupostos!$C$38</f>
        <v>0.06</v>
      </c>
      <c r="G962" s="63" t="n">
        <f aca="false">Pressupostos!$C$38</f>
        <v>0.06</v>
      </c>
      <c r="H962" s="2" t="s">
        <v>1126</v>
      </c>
    </row>
    <row r="963" customFormat="false" ht="15" hidden="false" customHeight="false" outlineLevel="1" collapsed="false">
      <c r="A963" s="7" t="s">
        <v>86</v>
      </c>
      <c r="B963" s="8" t="s">
        <v>74</v>
      </c>
      <c r="C963" s="65" t="n">
        <f aca="false">Pressupostos!$C$241</f>
        <v>180</v>
      </c>
      <c r="D963" s="65" t="n">
        <f aca="false">Pressupostos!$D$241</f>
        <v>180</v>
      </c>
      <c r="E963" s="65" t="n">
        <f aca="false">Pressupostos!$E$241</f>
        <v>45</v>
      </c>
      <c r="F963" s="65" t="n">
        <f aca="false">Pressupostos!$F$241</f>
        <v>45</v>
      </c>
      <c r="G963" s="65" t="n">
        <f aca="false">Pressupostos!$G$241</f>
        <v>45</v>
      </c>
      <c r="H963" s="2" t="s">
        <v>1127</v>
      </c>
    </row>
    <row r="964" customFormat="false" ht="15" hidden="false" customHeight="false" outlineLevel="1" collapsed="false">
      <c r="A964" s="7" t="s">
        <v>73</v>
      </c>
      <c r="B964" s="8" t="s">
        <v>74</v>
      </c>
      <c r="C964" s="65" t="n">
        <f aca="false">Pressupostos!$F$17</f>
        <v>35</v>
      </c>
      <c r="D964" s="65" t="n">
        <f aca="false">Pressupostos!$F$17</f>
        <v>35</v>
      </c>
      <c r="E964" s="65" t="n">
        <f aca="false">Pressupostos!$F$17</f>
        <v>35</v>
      </c>
      <c r="F964" s="65" t="n">
        <f aca="false">Pressupostos!$F$17</f>
        <v>35</v>
      </c>
      <c r="G964" s="65" t="n">
        <f aca="false">Pressupostos!$F$17</f>
        <v>35</v>
      </c>
      <c r="H964" s="2" t="s">
        <v>1128</v>
      </c>
    </row>
    <row r="965" customFormat="false" ht="15" hidden="false" customHeight="false" outlineLevel="1" collapsed="false">
      <c r="A965" s="7" t="s">
        <v>471</v>
      </c>
      <c r="B965" s="8" t="s">
        <v>59</v>
      </c>
      <c r="C965" s="60" t="n">
        <f aca="false">Pressupostos!$C$64*C963/30/1000</f>
        <v>0.024</v>
      </c>
      <c r="D965" s="60" t="n">
        <f aca="false">Pressupostos!$C$64*D963/30/1000</f>
        <v>0.024</v>
      </c>
      <c r="E965" s="60" t="n">
        <f aca="false">Pressupostos!$C$64*E963/30/1000</f>
        <v>0.006</v>
      </c>
      <c r="F965" s="60" t="n">
        <f aca="false">Pressupostos!$C$64*F963/30/1000</f>
        <v>0.006</v>
      </c>
      <c r="G965" s="60" t="n">
        <f aca="false">Pressupostos!$C$64*G963/30/1000</f>
        <v>0.006</v>
      </c>
      <c r="H965" s="2" t="s">
        <v>1129</v>
      </c>
    </row>
    <row r="966" customFormat="false" ht="15" hidden="false" customHeight="false" outlineLevel="1" collapsed="false">
      <c r="A966" s="7" t="s">
        <v>154</v>
      </c>
      <c r="B966" s="8" t="s">
        <v>59</v>
      </c>
      <c r="C966" s="60" t="n">
        <f aca="false">C957*Pressupostos!$C$65*C963/365</f>
        <v>0.0036</v>
      </c>
      <c r="D966" s="60" t="n">
        <f aca="false">D957*Pressupostos!$C$65*D963/365</f>
        <v>0.0036</v>
      </c>
      <c r="E966" s="60" t="n">
        <f aca="false">E957*Pressupostos!$C$65*E963/365</f>
        <v>0.0009</v>
      </c>
      <c r="F966" s="60" t="n">
        <f aca="false">F957*Pressupostos!$C$65*F963/365</f>
        <v>0.0009</v>
      </c>
      <c r="G966" s="60" t="n">
        <f aca="false">G957*Pressupostos!$C$65*G963/365</f>
        <v>0.0009</v>
      </c>
      <c r="H966" s="2" t="s">
        <v>1130</v>
      </c>
    </row>
    <row r="967" customFormat="false" ht="15" hidden="false" customHeight="false" outlineLevel="1" collapsed="false">
      <c r="A967" s="7" t="s">
        <v>636</v>
      </c>
      <c r="B967" s="8" t="s">
        <v>59</v>
      </c>
      <c r="C967" s="60" t="n">
        <f aca="false">Pressupostos!$C$40*Pressupostos!$C$66/(Pressupostos!$C$39*1000)</f>
        <v>0.03</v>
      </c>
      <c r="D967" s="60" t="n">
        <f aca="false">Pressupostos!$C$40*Pressupostos!$C$66/(Pressupostos!$C$39*1000)</f>
        <v>0.03</v>
      </c>
      <c r="E967" s="60" t="n">
        <f aca="false">Pressupostos!$C$40*Pressupostos!$C$66/(Pressupostos!$C$39*1000)</f>
        <v>0.03</v>
      </c>
      <c r="F967" s="60" t="n">
        <f aca="false">Pressupostos!$C$40*Pressupostos!$C$66/(Pressupostos!$C$39*1000)</f>
        <v>0.03</v>
      </c>
      <c r="G967" s="60" t="n">
        <f aca="false">Pressupostos!$C$40*Pressupostos!$C$66/(Pressupostos!$C$39*1000)</f>
        <v>0.03</v>
      </c>
      <c r="H967" s="2" t="s">
        <v>1131</v>
      </c>
    </row>
    <row r="968" customFormat="false" ht="15" hidden="false" customHeight="false" outlineLevel="1" collapsed="false">
      <c r="A968" s="7" t="s">
        <v>473</v>
      </c>
      <c r="B968" s="8" t="s">
        <v>59</v>
      </c>
      <c r="C968" s="60" t="n">
        <f aca="false">Pressupostos!$C$67*C957</f>
        <v>0.01825</v>
      </c>
      <c r="D968" s="60" t="n">
        <f aca="false">Pressupostos!$C$67*D957</f>
        <v>0.01825</v>
      </c>
      <c r="E968" s="60" t="n">
        <f aca="false">Pressupostos!$C$67*E957</f>
        <v>0.01825</v>
      </c>
      <c r="F968" s="60" t="n">
        <f aca="false">Pressupostos!$C$67*F957</f>
        <v>0.01825</v>
      </c>
      <c r="G968" s="60" t="n">
        <f aca="false">Pressupostos!$C$67*G957</f>
        <v>0.01825</v>
      </c>
      <c r="H968" s="2" t="s">
        <v>1132</v>
      </c>
    </row>
    <row r="969" customFormat="false" ht="15" hidden="false" customHeight="false" outlineLevel="1" collapsed="false">
      <c r="A969" s="7" t="s">
        <v>474</v>
      </c>
      <c r="B969" s="8" t="s">
        <v>59</v>
      </c>
      <c r="C969" s="60" t="n">
        <f aca="false">Pressupostos!$C$68*Pressupostos!$C$69*C963/90</f>
        <v>0.018</v>
      </c>
      <c r="D969" s="60" t="n">
        <f aca="false">Pressupostos!$C$68*Pressupostos!$C$69*D963/90</f>
        <v>0.018</v>
      </c>
      <c r="E969" s="60" t="n">
        <f aca="false">Pressupostos!$C$68*Pressupostos!$C$69*E963/90</f>
        <v>0.0045</v>
      </c>
      <c r="F969" s="60" t="n">
        <f aca="false">Pressupostos!$C$68*Pressupostos!$C$69*F963/90</f>
        <v>0.0045</v>
      </c>
      <c r="G969" s="60" t="n">
        <f aca="false">Pressupostos!$C$68*Pressupostos!$C$69*G963/90</f>
        <v>0.0045</v>
      </c>
      <c r="H969" s="2" t="s">
        <v>1133</v>
      </c>
    </row>
    <row r="970" customFormat="false" ht="15" hidden="false" customHeight="false" outlineLevel="1" collapsed="false">
      <c r="A970" s="7" t="s">
        <v>637</v>
      </c>
      <c r="B970" s="8" t="s">
        <v>59</v>
      </c>
      <c r="C970" s="60" t="n">
        <f aca="false">Pressupostos!$C$41/(Pressupostos!$C$39*1000)</f>
        <v>0.1</v>
      </c>
      <c r="D970" s="60" t="n">
        <f aca="false">Pressupostos!$C$41/(Pressupostos!$C$39*1000)</f>
        <v>0.1</v>
      </c>
      <c r="E970" s="60" t="n">
        <f aca="false">Pressupostos!$C$41/(Pressupostos!$C$39*1000)</f>
        <v>0.1</v>
      </c>
      <c r="F970" s="60" t="n">
        <f aca="false">Pressupostos!$C$41/(Pressupostos!$C$39*1000)</f>
        <v>0.1</v>
      </c>
      <c r="G970" s="60" t="n">
        <f aca="false">Pressupostos!$C$41/(Pressupostos!$C$39*1000)</f>
        <v>0.1</v>
      </c>
      <c r="H970" s="2" t="s">
        <v>1134</v>
      </c>
    </row>
    <row r="971" customFormat="false" ht="15" hidden="false" customHeight="false" outlineLevel="1" collapsed="false">
      <c r="A971" s="7" t="s">
        <v>131</v>
      </c>
      <c r="B971" s="8" t="s">
        <v>59</v>
      </c>
      <c r="C971" s="63" t="n">
        <f aca="false">Pressupostos!$C$42</f>
        <v>0.01</v>
      </c>
      <c r="D971" s="63" t="n">
        <f aca="false">Pressupostos!$C$42</f>
        <v>0.01</v>
      </c>
      <c r="E971" s="63" t="n">
        <f aca="false">Pressupostos!$C$42</f>
        <v>0.01</v>
      </c>
      <c r="F971" s="63" t="n">
        <f aca="false">Pressupostos!$C$42</f>
        <v>0.01</v>
      </c>
      <c r="G971" s="63" t="n">
        <f aca="false">Pressupostos!$C$42</f>
        <v>0.01</v>
      </c>
      <c r="H971" s="2" t="s">
        <v>1135</v>
      </c>
    </row>
    <row r="972" customFormat="false" ht="15" hidden="false" customHeight="false" outlineLevel="1" collapsed="false">
      <c r="A972" s="7" t="s">
        <v>76</v>
      </c>
      <c r="B972" s="8" t="s">
        <v>59</v>
      </c>
      <c r="C972" s="60" t="n">
        <f aca="false">Pressupostos!$F$18*C959</f>
        <v>0.0324</v>
      </c>
      <c r="D972" s="60" t="n">
        <f aca="false">Pressupostos!$F$18*D959</f>
        <v>0.0324</v>
      </c>
      <c r="E972" s="60" t="n">
        <f aca="false">Pressupostos!$F$18*E959</f>
        <v>0.0324</v>
      </c>
      <c r="F972" s="60" t="n">
        <f aca="false">Pressupostos!$F$18*F959</f>
        <v>0.0324</v>
      </c>
      <c r="G972" s="60" t="n">
        <f aca="false">Pressupostos!$F$18*G959</f>
        <v>0.0324</v>
      </c>
      <c r="H972" s="2" t="s">
        <v>1136</v>
      </c>
    </row>
    <row r="973" customFormat="false" ht="15" hidden="false" customHeight="false" outlineLevel="1" collapsed="false">
      <c r="A973" s="7" t="s">
        <v>638</v>
      </c>
      <c r="B973" s="8" t="s">
        <v>59</v>
      </c>
      <c r="C973" s="60" t="n">
        <f aca="false">Pressupostos!$C$71*C959</f>
        <v>0</v>
      </c>
      <c r="D973" s="60" t="n">
        <f aca="false">Pressupostos!$C$71*D959</f>
        <v>0</v>
      </c>
      <c r="E973" s="60" t="n">
        <f aca="false">Pressupostos!$C$71*E959</f>
        <v>0</v>
      </c>
      <c r="F973" s="60" t="n">
        <f aca="false">Pressupostos!$C$71*F959</f>
        <v>0</v>
      </c>
      <c r="G973" s="60" t="n">
        <f aca="false">Pressupostos!$C$71*G959</f>
        <v>0</v>
      </c>
      <c r="H973" s="2" t="s">
        <v>1137</v>
      </c>
    </row>
    <row r="974" customFormat="false" ht="15" hidden="false" customHeight="false" outlineLevel="1" collapsed="false">
      <c r="A974" s="7" t="s">
        <v>639</v>
      </c>
      <c r="B974" s="8" t="s">
        <v>59</v>
      </c>
      <c r="C974" s="60" t="n">
        <f aca="false">Pressupostos!$C$285*(C957+C960)*(C963+C964-Pressupostos!$C$70)/365*Pressupostos!$C$279/Pressupostos!$F$31</f>
        <v>0</v>
      </c>
      <c r="D974" s="60" t="n">
        <f aca="false">Pressupostos!$D$285*(D957+D960)*(D963+D964-Pressupostos!$C$70)/365*Pressupostos!$D$279/Pressupostos!$F$31</f>
        <v>0.19158904109589</v>
      </c>
      <c r="E974" s="60" t="n">
        <f aca="false">Pressupostos!$E$285*(E957+E960)*(E963+E964-Pressupostos!$C$70)/365*Pressupostos!$E$279/Pressupostos!$F$31</f>
        <v>0.0485445205479452</v>
      </c>
      <c r="F974" s="60" t="n">
        <f aca="false">Pressupostos!$F$285*(F957+F960)*(F963+F964-Pressupostos!$C$70)/365*Pressupostos!$F$279/Pressupostos!$F$31</f>
        <v>0.0453082191780822</v>
      </c>
      <c r="G974" s="60" t="n">
        <f aca="false">Pressupostos!$G$285*(G957+G960)*(G963+G964-Pressupostos!$C$70)/365*Pressupostos!$G$279/Pressupostos!$F$31</f>
        <v>0.0453082191780822</v>
      </c>
      <c r="H974" s="2" t="s">
        <v>1138</v>
      </c>
    </row>
    <row r="975" customFormat="false" ht="15" hidden="false" customHeight="false" outlineLevel="1" collapsed="false">
      <c r="A975" s="7" t="s">
        <v>640</v>
      </c>
      <c r="B975" s="8" t="s">
        <v>59</v>
      </c>
      <c r="C975" s="60" t="n">
        <f aca="false">C957+C960+C961+C962+C965+C966+C967+C968+C969+C970+C971+C972+C973+C974</f>
        <v>4.79625</v>
      </c>
      <c r="D975" s="60" t="n">
        <f aca="false">D957+D960+D961+D962+D965+D966+D967+D968+D969+D970+D971+D972+D973+D974</f>
        <v>4.98783904109589</v>
      </c>
      <c r="E975" s="60" t="n">
        <f aca="false">E957+E960+E961+E962+E965+E966+E967+E968+E969+E970+E971+E972+E973+E974</f>
        <v>4.79059452054795</v>
      </c>
      <c r="F975" s="60" t="n">
        <f aca="false">F957+F960+F961+F962+F965+F966+F967+F968+F969+F970+F971+F972+F973+F974</f>
        <v>4.77735821917808</v>
      </c>
      <c r="G975" s="60" t="n">
        <f aca="false">G957+G960+G961+G962+G965+G966+G967+G968+G969+G970+G971+G972+G973+G974</f>
        <v>4.77735821917808</v>
      </c>
      <c r="H975" s="2" t="s">
        <v>1139</v>
      </c>
    </row>
    <row r="976" customFormat="false" ht="15" hidden="false" customHeight="false" outlineLevel="1" collapsed="false">
      <c r="A976" s="52" t="s">
        <v>641</v>
      </c>
      <c r="B976" s="53" t="s">
        <v>59</v>
      </c>
      <c r="C976" s="64" t="n">
        <f aca="false">C959-C975</f>
        <v>0.603750000000002</v>
      </c>
      <c r="D976" s="64" t="n">
        <f aca="false">D959-D975</f>
        <v>0.412160958904111</v>
      </c>
      <c r="E976" s="64" t="n">
        <f aca="false">E959-E975</f>
        <v>0.609405479452056</v>
      </c>
      <c r="F976" s="64" t="n">
        <f aca="false">F959-F975</f>
        <v>0.622641780821918</v>
      </c>
      <c r="G976" s="64" t="n">
        <f aca="false">G959-G975</f>
        <v>0.622641780821918</v>
      </c>
      <c r="H976" s="2" t="s">
        <v>1140</v>
      </c>
    </row>
    <row r="977" customFormat="false" ht="15" hidden="false" customHeight="false" outlineLevel="1" collapsed="false">
      <c r="A977" s="7" t="s">
        <v>642</v>
      </c>
      <c r="B977" s="8" t="s">
        <v>71</v>
      </c>
      <c r="C977" s="55" t="n">
        <f aca="false">IF(C959&gt;0,C976/C959,0)</f>
        <v>0.111805555555556</v>
      </c>
      <c r="D977" s="55" t="n">
        <f aca="false">IF(D959&gt;0,D976/D959,0)</f>
        <v>0.0763261035007613</v>
      </c>
      <c r="E977" s="55" t="n">
        <f aca="false">IF(E959&gt;0,E976/E959,0)</f>
        <v>0.112852866565195</v>
      </c>
      <c r="F977" s="55" t="n">
        <f aca="false">IF(F959&gt;0,F976/F959,0)</f>
        <v>0.11530403348554</v>
      </c>
      <c r="G977" s="55" t="n">
        <f aca="false">IF(G959&gt;0,G976/G959,0)</f>
        <v>0.11530403348554</v>
      </c>
      <c r="H977" s="2" t="s">
        <v>1141</v>
      </c>
    </row>
    <row r="978" customFormat="false" ht="15" hidden="false" customHeight="false" outlineLevel="1" collapsed="false">
      <c r="A978" s="7" t="s">
        <v>643</v>
      </c>
      <c r="B978" s="8" t="s">
        <v>59</v>
      </c>
      <c r="C978" s="60" t="n">
        <f aca="false">(C957+C960)*(C963-Pressupostos!$C$70)/365+C959*C964/365</f>
        <v>2.24383561643836</v>
      </c>
      <c r="D978" s="60" t="n">
        <f aca="false">(D957+D960)*(D963-Pressupostos!$C$70)/365+D959*D964/365</f>
        <v>2.24383561643836</v>
      </c>
      <c r="E978" s="60" t="n">
        <f aca="false">(E957+E960)*(E963-Pressupostos!$C$70)/365+E959*E964/365</f>
        <v>0.69041095890411</v>
      </c>
      <c r="F978" s="60" t="n">
        <f aca="false">(F957+F960)*(F963-Pressupostos!$C$70)/365+F959*F964/365</f>
        <v>0.69041095890411</v>
      </c>
      <c r="G978" s="60" t="n">
        <f aca="false">(G957+G960)*(G963-Pressupostos!$C$70)/365+G959*G964/365</f>
        <v>0.69041095890411</v>
      </c>
      <c r="H978" s="2" t="s">
        <v>1142</v>
      </c>
    </row>
    <row r="979" customFormat="false" ht="15" hidden="false" customHeight="false" outlineLevel="0" collapsed="false">
      <c r="A979" s="3" t="s">
        <v>1143</v>
      </c>
      <c r="B979" s="4"/>
      <c r="C979" s="4"/>
      <c r="D979" s="4"/>
      <c r="E979" s="4"/>
      <c r="F979" s="4"/>
      <c r="G979" s="4"/>
      <c r="H979" s="4"/>
    </row>
    <row r="980" customFormat="false" ht="15" hidden="false" customHeight="false" outlineLevel="1" collapsed="false">
      <c r="A980" s="7" t="s">
        <v>633</v>
      </c>
      <c r="B980" s="8" t="s">
        <v>59</v>
      </c>
      <c r="C980" s="60" t="n">
        <f aca="false">Pressupostos!$F$10+Pressupostos!$F$12</f>
        <v>3.6</v>
      </c>
      <c r="D980" s="60" t="n">
        <f aca="false">Pressupostos!$F$10+Pressupostos!$F$12</f>
        <v>3.6</v>
      </c>
      <c r="E980" s="60" t="n">
        <f aca="false">Pressupostos!$F$10+Pressupostos!$F$12</f>
        <v>3.6</v>
      </c>
      <c r="F980" s="60" t="n">
        <f aca="false">Pressupostos!$F$10+Pressupostos!$F$12</f>
        <v>3.6</v>
      </c>
      <c r="G980" s="60" t="n">
        <f aca="false">Pressupostos!$F$10+Pressupostos!$F$12</f>
        <v>3.6</v>
      </c>
      <c r="H980" s="2" t="s">
        <v>1144</v>
      </c>
    </row>
    <row r="981" customFormat="false" ht="15" hidden="false" customHeight="false" outlineLevel="1" collapsed="false">
      <c r="A981" s="7" t="s">
        <v>634</v>
      </c>
      <c r="B981" s="8" t="s">
        <v>59</v>
      </c>
      <c r="C981" s="60" t="n">
        <f aca="false">Pressupostos!$F$20+Pressupostos!$F$21</f>
        <v>4.45</v>
      </c>
      <c r="D981" s="60" t="n">
        <f aca="false">Pressupostos!$F$20+Pressupostos!$F$21</f>
        <v>4.45</v>
      </c>
      <c r="E981" s="60" t="n">
        <f aca="false">Pressupostos!$F$20+Pressupostos!$F$21</f>
        <v>4.45</v>
      </c>
      <c r="F981" s="60" t="n">
        <f aca="false">Pressupostos!$F$20+Pressupostos!$F$21</f>
        <v>4.45</v>
      </c>
      <c r="G981" s="60" t="n">
        <f aca="false">Pressupostos!$F$20+Pressupostos!$F$21</f>
        <v>4.45</v>
      </c>
      <c r="H981" s="2" t="s">
        <v>1145</v>
      </c>
    </row>
    <row r="982" customFormat="false" ht="15" hidden="false" customHeight="false" outlineLevel="1" collapsed="false">
      <c r="A982" s="52" t="s">
        <v>635</v>
      </c>
      <c r="B982" s="53" t="s">
        <v>59</v>
      </c>
      <c r="C982" s="64" t="n">
        <f aca="false">C981*(1-Pressupostos!$F$22)</f>
        <v>4.45</v>
      </c>
      <c r="D982" s="64" t="n">
        <f aca="false">D981*(1-Pressupostos!$F$22)</f>
        <v>4.45</v>
      </c>
      <c r="E982" s="64" t="n">
        <f aca="false">E981*(1-Pressupostos!$F$22)</f>
        <v>4.45</v>
      </c>
      <c r="F982" s="64" t="n">
        <f aca="false">F981*(1-Pressupostos!$F$22)</f>
        <v>4.45</v>
      </c>
      <c r="G982" s="64" t="n">
        <f aca="false">G981*(1-Pressupostos!$F$22)</f>
        <v>4.45</v>
      </c>
      <c r="H982" s="2" t="s">
        <v>1146</v>
      </c>
    </row>
    <row r="983" customFormat="false" ht="15" hidden="false" customHeight="false" outlineLevel="1" collapsed="false">
      <c r="A983" s="7" t="s">
        <v>136</v>
      </c>
      <c r="B983" s="8" t="s">
        <v>59</v>
      </c>
      <c r="C983" s="63" t="n">
        <f aca="false">Pressupostos!$C$44</f>
        <v>0.45</v>
      </c>
      <c r="D983" s="63" t="n">
        <f aca="false">Pressupostos!$C$44</f>
        <v>0.45</v>
      </c>
      <c r="E983" s="63" t="n">
        <f aca="false">Pressupostos!$C$44</f>
        <v>0.45</v>
      </c>
      <c r="F983" s="63" t="n">
        <f aca="false">Pressupostos!$C$44</f>
        <v>0.45</v>
      </c>
      <c r="G983" s="63" t="n">
        <f aca="false">Pressupostos!$C$44</f>
        <v>0.45</v>
      </c>
      <c r="H983" s="2" t="s">
        <v>1147</v>
      </c>
    </row>
    <row r="984" customFormat="false" ht="15" hidden="false" customHeight="false" outlineLevel="1" collapsed="false">
      <c r="A984" s="7" t="s">
        <v>205</v>
      </c>
      <c r="B984" s="8" t="s">
        <v>59</v>
      </c>
      <c r="C984" s="63" t="n">
        <f aca="false">Pressupostos!$C$247</f>
        <v>0.1</v>
      </c>
      <c r="D984" s="63" t="n">
        <f aca="false">Pressupostos!$D$247</f>
        <v>0.1</v>
      </c>
      <c r="E984" s="63" t="n">
        <f aca="false">Pressupostos!$E$247</f>
        <v>0.09</v>
      </c>
      <c r="F984" s="63" t="n">
        <f aca="false">Pressupostos!$F$247</f>
        <v>0.09</v>
      </c>
      <c r="G984" s="63" t="n">
        <f aca="false">Pressupostos!$G$247</f>
        <v>0.09</v>
      </c>
      <c r="H984" s="2" t="s">
        <v>1148</v>
      </c>
    </row>
    <row r="985" customFormat="false" ht="15" hidden="false" customHeight="false" outlineLevel="1" collapsed="false">
      <c r="A985" s="7" t="s">
        <v>109</v>
      </c>
      <c r="B985" s="8" t="s">
        <v>59</v>
      </c>
      <c r="C985" s="63" t="n">
        <f aca="false">Pressupostos!$C$45</f>
        <v>0</v>
      </c>
      <c r="D985" s="63" t="n">
        <f aca="false">Pressupostos!$C$45</f>
        <v>0</v>
      </c>
      <c r="E985" s="63" t="n">
        <f aca="false">Pressupostos!$C$45</f>
        <v>0</v>
      </c>
      <c r="F985" s="63" t="n">
        <f aca="false">Pressupostos!$C$45</f>
        <v>0</v>
      </c>
      <c r="G985" s="63" t="n">
        <f aca="false">Pressupostos!$C$45</f>
        <v>0</v>
      </c>
      <c r="H985" s="2" t="s">
        <v>1149</v>
      </c>
    </row>
    <row r="986" customFormat="false" ht="15" hidden="false" customHeight="false" outlineLevel="1" collapsed="false">
      <c r="A986" s="7" t="s">
        <v>86</v>
      </c>
      <c r="B986" s="8" t="s">
        <v>74</v>
      </c>
      <c r="C986" s="65" t="n">
        <f aca="false">Pressupostos!$F$23</f>
        <v>30</v>
      </c>
      <c r="D986" s="65" t="n">
        <f aca="false">Pressupostos!$F$23</f>
        <v>30</v>
      </c>
      <c r="E986" s="65" t="n">
        <f aca="false">Pressupostos!$F$23</f>
        <v>30</v>
      </c>
      <c r="F986" s="65" t="n">
        <f aca="false">Pressupostos!$F$23</f>
        <v>30</v>
      </c>
      <c r="G986" s="65" t="n">
        <f aca="false">Pressupostos!$F$23</f>
        <v>30</v>
      </c>
      <c r="H986" s="2" t="s">
        <v>1150</v>
      </c>
    </row>
    <row r="987" customFormat="false" ht="15" hidden="false" customHeight="false" outlineLevel="1" collapsed="false">
      <c r="A987" s="7" t="s">
        <v>73</v>
      </c>
      <c r="B987" s="8" t="s">
        <v>74</v>
      </c>
      <c r="C987" s="65" t="n">
        <f aca="false">Pressupostos!$F$24</f>
        <v>55</v>
      </c>
      <c r="D987" s="65" t="n">
        <f aca="false">Pressupostos!$F$24</f>
        <v>55</v>
      </c>
      <c r="E987" s="65" t="n">
        <f aca="false">Pressupostos!$F$24</f>
        <v>55</v>
      </c>
      <c r="F987" s="65" t="n">
        <f aca="false">Pressupostos!$F$24</f>
        <v>55</v>
      </c>
      <c r="G987" s="65" t="n">
        <f aca="false">Pressupostos!$F$24</f>
        <v>55</v>
      </c>
      <c r="H987" s="2" t="s">
        <v>1151</v>
      </c>
    </row>
    <row r="988" customFormat="false" ht="15" hidden="false" customHeight="false" outlineLevel="1" collapsed="false">
      <c r="A988" s="7" t="s">
        <v>471</v>
      </c>
      <c r="B988" s="8" t="s">
        <v>59</v>
      </c>
      <c r="C988" s="60" t="n">
        <f aca="false">Pressupostos!$C$64*C986/30/1000</f>
        <v>0.004</v>
      </c>
      <c r="D988" s="60" t="n">
        <f aca="false">Pressupostos!$C$64*D986/30/1000</f>
        <v>0.004</v>
      </c>
      <c r="E988" s="60" t="n">
        <f aca="false">Pressupostos!$C$64*E986/30/1000</f>
        <v>0.004</v>
      </c>
      <c r="F988" s="60" t="n">
        <f aca="false">Pressupostos!$C$64*F986/30/1000</f>
        <v>0.004</v>
      </c>
      <c r="G988" s="60" t="n">
        <f aca="false">Pressupostos!$C$64*G986/30/1000</f>
        <v>0.004</v>
      </c>
      <c r="H988" s="2" t="s">
        <v>1152</v>
      </c>
    </row>
    <row r="989" customFormat="false" ht="15" hidden="false" customHeight="false" outlineLevel="1" collapsed="false">
      <c r="A989" s="7" t="s">
        <v>154</v>
      </c>
      <c r="B989" s="8" t="s">
        <v>59</v>
      </c>
      <c r="C989" s="60" t="n">
        <f aca="false">C980*Pressupostos!$C$65*C986/365</f>
        <v>0.000591780821917808</v>
      </c>
      <c r="D989" s="60" t="n">
        <f aca="false">D980*Pressupostos!$C$65*D986/365</f>
        <v>0.000591780821917808</v>
      </c>
      <c r="E989" s="60" t="n">
        <f aca="false">E980*Pressupostos!$C$65*E986/365</f>
        <v>0.000591780821917808</v>
      </c>
      <c r="F989" s="60" t="n">
        <f aca="false">F980*Pressupostos!$C$65*F986/365</f>
        <v>0.000591780821917808</v>
      </c>
      <c r="G989" s="60" t="n">
        <f aca="false">G980*Pressupostos!$C$65*G986/365</f>
        <v>0.000591780821917808</v>
      </c>
      <c r="H989" s="2" t="s">
        <v>1153</v>
      </c>
    </row>
    <row r="990" customFormat="false" ht="15" hidden="false" customHeight="false" outlineLevel="1" collapsed="false">
      <c r="A990" s="7" t="s">
        <v>636</v>
      </c>
      <c r="B990" s="8" t="s">
        <v>59</v>
      </c>
      <c r="C990" s="60" t="n">
        <f aca="false">Pressupostos!$C$47*Pressupostos!$C$66/(Pressupostos!$C$46*1000)</f>
        <v>0.02</v>
      </c>
      <c r="D990" s="60" t="n">
        <f aca="false">Pressupostos!$C$47*Pressupostos!$C$66/(Pressupostos!$C$46*1000)</f>
        <v>0.02</v>
      </c>
      <c r="E990" s="60" t="n">
        <f aca="false">Pressupostos!$C$47*Pressupostos!$C$66/(Pressupostos!$C$46*1000)</f>
        <v>0.02</v>
      </c>
      <c r="F990" s="60" t="n">
        <f aca="false">Pressupostos!$C$47*Pressupostos!$C$66/(Pressupostos!$C$46*1000)</f>
        <v>0.02</v>
      </c>
      <c r="G990" s="60" t="n">
        <f aca="false">Pressupostos!$C$47*Pressupostos!$C$66/(Pressupostos!$C$46*1000)</f>
        <v>0.02</v>
      </c>
      <c r="H990" s="2" t="s">
        <v>1154</v>
      </c>
    </row>
    <row r="991" customFormat="false" ht="15" hidden="false" customHeight="false" outlineLevel="1" collapsed="false">
      <c r="A991" s="7" t="s">
        <v>473</v>
      </c>
      <c r="B991" s="8" t="s">
        <v>59</v>
      </c>
      <c r="C991" s="60" t="n">
        <f aca="false">Pressupostos!$C$67*C980</f>
        <v>0.018</v>
      </c>
      <c r="D991" s="60" t="n">
        <f aca="false">Pressupostos!$C$67*D980</f>
        <v>0.018</v>
      </c>
      <c r="E991" s="60" t="n">
        <f aca="false">Pressupostos!$C$67*E980</f>
        <v>0.018</v>
      </c>
      <c r="F991" s="60" t="n">
        <f aca="false">Pressupostos!$C$67*F980</f>
        <v>0.018</v>
      </c>
      <c r="G991" s="60" t="n">
        <f aca="false">Pressupostos!$C$67*G980</f>
        <v>0.018</v>
      </c>
      <c r="H991" s="2" t="s">
        <v>1155</v>
      </c>
    </row>
    <row r="992" customFormat="false" ht="15" hidden="false" customHeight="false" outlineLevel="1" collapsed="false">
      <c r="A992" s="7" t="s">
        <v>474</v>
      </c>
      <c r="B992" s="8" t="s">
        <v>59</v>
      </c>
      <c r="C992" s="60" t="n">
        <f aca="false">Pressupostos!$C$68*Pressupostos!$C$69*C986/90</f>
        <v>0.003</v>
      </c>
      <c r="D992" s="60" t="n">
        <f aca="false">Pressupostos!$C$68*Pressupostos!$C$69*D986/90</f>
        <v>0.003</v>
      </c>
      <c r="E992" s="60" t="n">
        <f aca="false">Pressupostos!$C$68*Pressupostos!$C$69*E986/90</f>
        <v>0.003</v>
      </c>
      <c r="F992" s="60" t="n">
        <f aca="false">Pressupostos!$C$68*Pressupostos!$C$69*F986/90</f>
        <v>0.003</v>
      </c>
      <c r="G992" s="60" t="n">
        <f aca="false">Pressupostos!$C$68*Pressupostos!$C$69*G986/90</f>
        <v>0.003</v>
      </c>
      <c r="H992" s="2" t="s">
        <v>1156</v>
      </c>
    </row>
    <row r="993" customFormat="false" ht="15" hidden="false" customHeight="false" outlineLevel="1" collapsed="false">
      <c r="A993" s="7" t="s">
        <v>637</v>
      </c>
      <c r="B993" s="8" t="s">
        <v>59</v>
      </c>
      <c r="C993" s="60" t="n">
        <f aca="false">Pressupostos!$C$48/(Pressupostos!$C$46*1000)</f>
        <v>0.04</v>
      </c>
      <c r="D993" s="60" t="n">
        <f aca="false">Pressupostos!$C$48/(Pressupostos!$C$46*1000)</f>
        <v>0.04</v>
      </c>
      <c r="E993" s="60" t="n">
        <f aca="false">Pressupostos!$C$48/(Pressupostos!$C$46*1000)</f>
        <v>0.04</v>
      </c>
      <c r="F993" s="60" t="n">
        <f aca="false">Pressupostos!$C$48/(Pressupostos!$C$46*1000)</f>
        <v>0.04</v>
      </c>
      <c r="G993" s="60" t="n">
        <f aca="false">Pressupostos!$C$48/(Pressupostos!$C$46*1000)</f>
        <v>0.04</v>
      </c>
      <c r="H993" s="2" t="s">
        <v>1157</v>
      </c>
    </row>
    <row r="994" customFormat="false" ht="15" hidden="false" customHeight="false" outlineLevel="1" collapsed="false">
      <c r="A994" s="7" t="s">
        <v>131</v>
      </c>
      <c r="B994" s="8" t="s">
        <v>59</v>
      </c>
      <c r="C994" s="63" t="n">
        <f aca="false">Pressupostos!$C$49</f>
        <v>0.005</v>
      </c>
      <c r="D994" s="63" t="n">
        <f aca="false">Pressupostos!$C$49</f>
        <v>0.005</v>
      </c>
      <c r="E994" s="63" t="n">
        <f aca="false">Pressupostos!$C$49</f>
        <v>0.005</v>
      </c>
      <c r="F994" s="63" t="n">
        <f aca="false">Pressupostos!$C$49</f>
        <v>0.005</v>
      </c>
      <c r="G994" s="63" t="n">
        <f aca="false">Pressupostos!$C$49</f>
        <v>0.005</v>
      </c>
      <c r="H994" s="2" t="s">
        <v>1158</v>
      </c>
    </row>
    <row r="995" customFormat="false" ht="15" hidden="false" customHeight="false" outlineLevel="1" collapsed="false">
      <c r="A995" s="7" t="s">
        <v>76</v>
      </c>
      <c r="B995" s="8" t="s">
        <v>59</v>
      </c>
      <c r="C995" s="60" t="n">
        <f aca="false">Pressupostos!$F$25*C982</f>
        <v>0.01335</v>
      </c>
      <c r="D995" s="60" t="n">
        <f aca="false">Pressupostos!$F$25*D982</f>
        <v>0.01335</v>
      </c>
      <c r="E995" s="60" t="n">
        <f aca="false">Pressupostos!$F$25*E982</f>
        <v>0.01335</v>
      </c>
      <c r="F995" s="60" t="n">
        <f aca="false">Pressupostos!$F$25*F982</f>
        <v>0.01335</v>
      </c>
      <c r="G995" s="60" t="n">
        <f aca="false">Pressupostos!$F$25*G982</f>
        <v>0.01335</v>
      </c>
      <c r="H995" s="2" t="s">
        <v>1159</v>
      </c>
    </row>
    <row r="996" customFormat="false" ht="15" hidden="false" customHeight="false" outlineLevel="1" collapsed="false">
      <c r="A996" s="7" t="s">
        <v>638</v>
      </c>
      <c r="B996" s="8" t="s">
        <v>59</v>
      </c>
      <c r="C996" s="60" t="n">
        <f aca="false">Pressupostos!$C$71*C982</f>
        <v>0</v>
      </c>
      <c r="D996" s="60" t="n">
        <f aca="false">Pressupostos!$C$71*D982</f>
        <v>0</v>
      </c>
      <c r="E996" s="60" t="n">
        <f aca="false">Pressupostos!$C$71*E982</f>
        <v>0</v>
      </c>
      <c r="F996" s="60" t="n">
        <f aca="false">Pressupostos!$C$71*F982</f>
        <v>0</v>
      </c>
      <c r="G996" s="60" t="n">
        <f aca="false">Pressupostos!$C$71*G982</f>
        <v>0</v>
      </c>
      <c r="H996" s="2" t="s">
        <v>1160</v>
      </c>
    </row>
    <row r="997" customFormat="false" ht="15" hidden="false" customHeight="false" outlineLevel="1" collapsed="false">
      <c r="A997" s="7" t="s">
        <v>639</v>
      </c>
      <c r="B997" s="8" t="s">
        <v>59</v>
      </c>
      <c r="C997" s="60" t="n">
        <f aca="false">Pressupostos!$C$285*(C980+C983)*(C986+C987-Pressupostos!$C$70)/365*Pressupostos!$C$279/Pressupostos!$F$31</f>
        <v>0</v>
      </c>
      <c r="D997" s="60" t="n">
        <f aca="false">Pressupostos!$D$285*(D980+D983)*(D986+D987-Pressupostos!$C$70)/365*Pressupostos!$D$279/Pressupostos!$F$31</f>
        <v>0.0549246575342466</v>
      </c>
      <c r="E997" s="60" t="n">
        <f aca="false">Pressupostos!$E$285*(E980+E983)*(E986+E987-Pressupostos!$C$70)/365*Pressupostos!$E$279/Pressupostos!$F$31</f>
        <v>0.0514918664383562</v>
      </c>
      <c r="F997" s="60" t="n">
        <f aca="false">Pressupostos!$F$285*(F980+F983)*(F986+F987-Pressupostos!$C$70)/365*Pressupostos!$F$279/Pressupostos!$F$31</f>
        <v>0.0480590753424658</v>
      </c>
      <c r="G997" s="60" t="n">
        <f aca="false">Pressupostos!$G$285*(G980+G983)*(G986+G987-Pressupostos!$C$70)/365*Pressupostos!$G$279/Pressupostos!$F$31</f>
        <v>0.0480590753424658</v>
      </c>
      <c r="H997" s="2" t="s">
        <v>1161</v>
      </c>
    </row>
    <row r="998" customFormat="false" ht="15" hidden="false" customHeight="false" outlineLevel="1" collapsed="false">
      <c r="A998" s="7" t="s">
        <v>640</v>
      </c>
      <c r="B998" s="8" t="s">
        <v>59</v>
      </c>
      <c r="C998" s="60" t="n">
        <f aca="false">C980+C983+C984+C985+C988+C989+C990+C991+C992+C993+C994+C995+C996+C997</f>
        <v>4.25394178082192</v>
      </c>
      <c r="D998" s="60" t="n">
        <f aca="false">D980+D983+D984+D985+D988+D989+D990+D991+D992+D993+D994+D995+D996+D997</f>
        <v>4.30886643835616</v>
      </c>
      <c r="E998" s="60" t="n">
        <f aca="false">E980+E983+E984+E985+E988+E989+E990+E991+E992+E993+E994+E995+E996+E997</f>
        <v>4.29543364726027</v>
      </c>
      <c r="F998" s="60" t="n">
        <f aca="false">F980+F983+F984+F985+F988+F989+F990+F991+F992+F993+F994+F995+F996+F997</f>
        <v>4.29200085616438</v>
      </c>
      <c r="G998" s="60" t="n">
        <f aca="false">G980+G983+G984+G985+G988+G989+G990+G991+G992+G993+G994+G995+G996+G997</f>
        <v>4.29200085616438</v>
      </c>
      <c r="H998" s="2" t="s">
        <v>1162</v>
      </c>
    </row>
    <row r="999" customFormat="false" ht="15" hidden="false" customHeight="false" outlineLevel="1" collapsed="false">
      <c r="A999" s="52" t="s">
        <v>641</v>
      </c>
      <c r="B999" s="53" t="s">
        <v>59</v>
      </c>
      <c r="C999" s="64" t="n">
        <f aca="false">C982-C998</f>
        <v>0.196058219178083</v>
      </c>
      <c r="D999" s="64" t="n">
        <f aca="false">D982-D998</f>
        <v>0.141133561643836</v>
      </c>
      <c r="E999" s="64" t="n">
        <f aca="false">E982-E998</f>
        <v>0.154566352739726</v>
      </c>
      <c r="F999" s="64" t="n">
        <f aca="false">F982-F998</f>
        <v>0.157999143835617</v>
      </c>
      <c r="G999" s="64" t="n">
        <f aca="false">G982-G998</f>
        <v>0.157999143835617</v>
      </c>
      <c r="H999" s="2" t="s">
        <v>1163</v>
      </c>
    </row>
    <row r="1000" customFormat="false" ht="15" hidden="false" customHeight="false" outlineLevel="1" collapsed="false">
      <c r="A1000" s="7" t="s">
        <v>642</v>
      </c>
      <c r="B1000" s="8" t="s">
        <v>71</v>
      </c>
      <c r="C1000" s="55" t="n">
        <f aca="false">IF(C982&gt;0,C999/C982,0)</f>
        <v>0.0440580267815916</v>
      </c>
      <c r="D1000" s="55" t="n">
        <f aca="false">IF(D982&gt;0,D999/D982,0)</f>
        <v>0.0317154071109745</v>
      </c>
      <c r="E1000" s="55" t="n">
        <f aca="false">IF(E982&gt;0,E999/E982,0)</f>
        <v>0.0347340118516239</v>
      </c>
      <c r="F1000" s="55" t="n">
        <f aca="false">IF(F982&gt;0,F999/F982,0)</f>
        <v>0.0355054255810374</v>
      </c>
      <c r="G1000" s="55" t="n">
        <f aca="false">IF(G982&gt;0,G999/G982,0)</f>
        <v>0.0355054255810374</v>
      </c>
      <c r="H1000" s="2" t="s">
        <v>1164</v>
      </c>
    </row>
    <row r="1001" customFormat="false" ht="15" hidden="false" customHeight="false" outlineLevel="1" collapsed="false">
      <c r="A1001" s="7" t="s">
        <v>643</v>
      </c>
      <c r="B1001" s="8" t="s">
        <v>59</v>
      </c>
      <c r="C1001" s="60" t="n">
        <f aca="false">(C980+C983)*(C986-Pressupostos!$C$70)/365+C982*C987/365</f>
        <v>0.670547945205479</v>
      </c>
      <c r="D1001" s="60" t="n">
        <f aca="false">(D980+D983)*(D986-Pressupostos!$C$70)/365+D982*D987/365</f>
        <v>0.670547945205479</v>
      </c>
      <c r="E1001" s="60" t="n">
        <f aca="false">(E980+E983)*(E986-Pressupostos!$C$70)/365+E982*E987/365</f>
        <v>0.670547945205479</v>
      </c>
      <c r="F1001" s="60" t="n">
        <f aca="false">(F980+F983)*(F986-Pressupostos!$C$70)/365+F982*F987/365</f>
        <v>0.670547945205479</v>
      </c>
      <c r="G1001" s="60" t="n">
        <f aca="false">(G980+G983)*(G986-Pressupostos!$C$70)/365+G982*G987/365</f>
        <v>0.670547945205479</v>
      </c>
      <c r="H1001" s="2" t="s">
        <v>1165</v>
      </c>
    </row>
    <row r="1002" customFormat="false" ht="15" hidden="false" customHeight="false" outlineLevel="0" collapsed="false">
      <c r="A1002" s="3" t="s">
        <v>1166</v>
      </c>
      <c r="B1002" s="4"/>
      <c r="C1002" s="4"/>
      <c r="D1002" s="4"/>
      <c r="E1002" s="4"/>
      <c r="F1002" s="4"/>
      <c r="G1002" s="4"/>
      <c r="H1002" s="4"/>
    </row>
    <row r="1003" customFormat="false" ht="15" hidden="false" customHeight="false" outlineLevel="1" collapsed="false">
      <c r="A1003" s="7" t="s">
        <v>633</v>
      </c>
      <c r="B1003" s="8" t="s">
        <v>59</v>
      </c>
      <c r="C1003" s="60" t="n">
        <f aca="false">Pressupostos!$F$10+Pressupostos!$F$13</f>
        <v>3.5</v>
      </c>
      <c r="D1003" s="60" t="n">
        <f aca="false">Pressupostos!$F$10+Pressupostos!$F$13</f>
        <v>3.5</v>
      </c>
      <c r="E1003" s="60" t="n">
        <f aca="false">Pressupostos!$F$10+Pressupostos!$F$13</f>
        <v>3.5</v>
      </c>
      <c r="F1003" s="60" t="n">
        <f aca="false">Pressupostos!$F$10+Pressupostos!$F$13</f>
        <v>3.5</v>
      </c>
      <c r="G1003" s="60" t="n">
        <f aca="false">Pressupostos!$F$10+Pressupostos!$F$13</f>
        <v>3.5</v>
      </c>
      <c r="H1003" s="2" t="s">
        <v>1167</v>
      </c>
    </row>
    <row r="1004" customFormat="false" ht="15" hidden="false" customHeight="false" outlineLevel="1" collapsed="false">
      <c r="A1004" s="7" t="s">
        <v>634</v>
      </c>
      <c r="B1004" s="8" t="s">
        <v>59</v>
      </c>
      <c r="C1004" s="60" t="n">
        <f aca="false">Pressupostos!$F$10+Pressupostos!$C$51</f>
        <v>3.65</v>
      </c>
      <c r="D1004" s="60" t="n">
        <f aca="false">Pressupostos!$F$10+Pressupostos!$C$51</f>
        <v>3.65</v>
      </c>
      <c r="E1004" s="60" t="n">
        <f aca="false">Pressupostos!$F$10+Pressupostos!$C$51</f>
        <v>3.65</v>
      </c>
      <c r="F1004" s="60" t="n">
        <f aca="false">Pressupostos!$F$10+Pressupostos!$C$51</f>
        <v>3.65</v>
      </c>
      <c r="G1004" s="60" t="n">
        <f aca="false">Pressupostos!$F$10+Pressupostos!$C$51</f>
        <v>3.65</v>
      </c>
      <c r="H1004" s="2" t="s">
        <v>1168</v>
      </c>
    </row>
    <row r="1005" customFormat="false" ht="15" hidden="false" customHeight="false" outlineLevel="1" collapsed="false">
      <c r="A1005" s="52" t="s">
        <v>635</v>
      </c>
      <c r="B1005" s="53" t="s">
        <v>59</v>
      </c>
      <c r="C1005" s="64" t="n">
        <f aca="false">C1004*(1-Pressupostos!$C$52)</f>
        <v>3.65</v>
      </c>
      <c r="D1005" s="64" t="n">
        <f aca="false">D1004*(1-Pressupostos!$C$52)</f>
        <v>3.65</v>
      </c>
      <c r="E1005" s="64" t="n">
        <f aca="false">E1004*(1-Pressupostos!$C$52)</f>
        <v>3.65</v>
      </c>
      <c r="F1005" s="64" t="n">
        <f aca="false">F1004*(1-Pressupostos!$C$52)</f>
        <v>3.65</v>
      </c>
      <c r="G1005" s="64" t="n">
        <f aca="false">G1004*(1-Pressupostos!$C$52)</f>
        <v>3.65</v>
      </c>
      <c r="H1005" s="2" t="s">
        <v>1169</v>
      </c>
    </row>
    <row r="1006" customFormat="false" ht="15" hidden="false" customHeight="false" outlineLevel="1" collapsed="false">
      <c r="A1006" s="7" t="s">
        <v>136</v>
      </c>
      <c r="B1006" s="8" t="s">
        <v>59</v>
      </c>
      <c r="C1006" s="63" t="n">
        <f aca="false">Pressupostos!$C$53</f>
        <v>0</v>
      </c>
      <c r="D1006" s="63" t="n">
        <f aca="false">Pressupostos!$C$53</f>
        <v>0</v>
      </c>
      <c r="E1006" s="63" t="n">
        <f aca="false">Pressupostos!$C$53</f>
        <v>0</v>
      </c>
      <c r="F1006" s="63" t="n">
        <f aca="false">Pressupostos!$C$53</f>
        <v>0</v>
      </c>
      <c r="G1006" s="63" t="n">
        <f aca="false">Pressupostos!$C$53</f>
        <v>0</v>
      </c>
      <c r="H1006" s="2" t="s">
        <v>1170</v>
      </c>
    </row>
    <row r="1007" customFormat="false" ht="15" hidden="false" customHeight="false" outlineLevel="1" collapsed="false">
      <c r="A1007" s="7" t="s">
        <v>205</v>
      </c>
      <c r="B1007" s="8" t="s">
        <v>59</v>
      </c>
      <c r="C1007" s="63" t="n">
        <f aca="false">Pressupostos!$C$54</f>
        <v>0.04</v>
      </c>
      <c r="D1007" s="63" t="n">
        <f aca="false">Pressupostos!$C$54</f>
        <v>0.04</v>
      </c>
      <c r="E1007" s="63" t="n">
        <f aca="false">Pressupostos!$C$54</f>
        <v>0.04</v>
      </c>
      <c r="F1007" s="63" t="n">
        <f aca="false">Pressupostos!$C$54</f>
        <v>0.04</v>
      </c>
      <c r="G1007" s="63" t="n">
        <f aca="false">Pressupostos!$C$54</f>
        <v>0.04</v>
      </c>
      <c r="H1007" s="2" t="s">
        <v>1171</v>
      </c>
    </row>
    <row r="1008" customFormat="false" ht="15" hidden="false" customHeight="false" outlineLevel="1" collapsed="false">
      <c r="A1008" s="7" t="s">
        <v>109</v>
      </c>
      <c r="B1008" s="8" t="s">
        <v>59</v>
      </c>
      <c r="C1008" s="63" t="n">
        <f aca="false">Pressupostos!$C$55</f>
        <v>0</v>
      </c>
      <c r="D1008" s="63" t="n">
        <f aca="false">Pressupostos!$C$55</f>
        <v>0</v>
      </c>
      <c r="E1008" s="63" t="n">
        <f aca="false">Pressupostos!$C$55</f>
        <v>0</v>
      </c>
      <c r="F1008" s="63" t="n">
        <f aca="false">Pressupostos!$C$55</f>
        <v>0</v>
      </c>
      <c r="G1008" s="63" t="n">
        <f aca="false">Pressupostos!$C$55</f>
        <v>0</v>
      </c>
      <c r="H1008" s="2" t="s">
        <v>1172</v>
      </c>
    </row>
    <row r="1009" customFormat="false" ht="15" hidden="false" customHeight="false" outlineLevel="1" collapsed="false">
      <c r="A1009" s="7" t="s">
        <v>86</v>
      </c>
      <c r="B1009" s="8" t="s">
        <v>74</v>
      </c>
      <c r="C1009" s="65" t="n">
        <f aca="false">Pressupostos!$C$56</f>
        <v>15</v>
      </c>
      <c r="D1009" s="65" t="n">
        <f aca="false">Pressupostos!$C$56</f>
        <v>15</v>
      </c>
      <c r="E1009" s="65" t="n">
        <f aca="false">Pressupostos!$C$56</f>
        <v>15</v>
      </c>
      <c r="F1009" s="65" t="n">
        <f aca="false">Pressupostos!$C$56</f>
        <v>15</v>
      </c>
      <c r="G1009" s="65" t="n">
        <f aca="false">Pressupostos!$C$56</f>
        <v>15</v>
      </c>
      <c r="H1009" s="2" t="s">
        <v>1173</v>
      </c>
    </row>
    <row r="1010" customFormat="false" ht="15" hidden="false" customHeight="false" outlineLevel="1" collapsed="false">
      <c r="A1010" s="7" t="s">
        <v>73</v>
      </c>
      <c r="B1010" s="8" t="s">
        <v>74</v>
      </c>
      <c r="C1010" s="65" t="n">
        <f aca="false">Pressupostos!$C$57</f>
        <v>45</v>
      </c>
      <c r="D1010" s="65" t="n">
        <f aca="false">Pressupostos!$C$57</f>
        <v>45</v>
      </c>
      <c r="E1010" s="65" t="n">
        <f aca="false">Pressupostos!$C$57</f>
        <v>45</v>
      </c>
      <c r="F1010" s="65" t="n">
        <f aca="false">Pressupostos!$C$57</f>
        <v>45</v>
      </c>
      <c r="G1010" s="65" t="n">
        <f aca="false">Pressupostos!$C$57</f>
        <v>45</v>
      </c>
      <c r="H1010" s="2" t="s">
        <v>1174</v>
      </c>
    </row>
    <row r="1011" customFormat="false" ht="15" hidden="false" customHeight="false" outlineLevel="1" collapsed="false">
      <c r="A1011" s="7" t="s">
        <v>471</v>
      </c>
      <c r="B1011" s="8" t="s">
        <v>59</v>
      </c>
      <c r="C1011" s="60" t="n">
        <f aca="false">Pressupostos!$C$64*C1009/30/1000</f>
        <v>0.002</v>
      </c>
      <c r="D1011" s="60" t="n">
        <f aca="false">Pressupostos!$C$64*D1009/30/1000</f>
        <v>0.002</v>
      </c>
      <c r="E1011" s="60" t="n">
        <f aca="false">Pressupostos!$C$64*E1009/30/1000</f>
        <v>0.002</v>
      </c>
      <c r="F1011" s="60" t="n">
        <f aca="false">Pressupostos!$C$64*F1009/30/1000</f>
        <v>0.002</v>
      </c>
      <c r="G1011" s="60" t="n">
        <f aca="false">Pressupostos!$C$64*G1009/30/1000</f>
        <v>0.002</v>
      </c>
      <c r="H1011" s="2" t="s">
        <v>1175</v>
      </c>
    </row>
    <row r="1012" customFormat="false" ht="15" hidden="false" customHeight="false" outlineLevel="1" collapsed="false">
      <c r="A1012" s="7" t="s">
        <v>154</v>
      </c>
      <c r="B1012" s="8" t="s">
        <v>59</v>
      </c>
      <c r="C1012" s="60" t="n">
        <f aca="false">C1003*Pressupostos!$C$65*C1009/365</f>
        <v>0.000287671232876712</v>
      </c>
      <c r="D1012" s="60" t="n">
        <f aca="false">D1003*Pressupostos!$C$65*D1009/365</f>
        <v>0.000287671232876712</v>
      </c>
      <c r="E1012" s="60" t="n">
        <f aca="false">E1003*Pressupostos!$C$65*E1009/365</f>
        <v>0.000287671232876712</v>
      </c>
      <c r="F1012" s="60" t="n">
        <f aca="false">F1003*Pressupostos!$C$65*F1009/365</f>
        <v>0.000287671232876712</v>
      </c>
      <c r="G1012" s="60" t="n">
        <f aca="false">G1003*Pressupostos!$C$65*G1009/365</f>
        <v>0.000287671232876712</v>
      </c>
      <c r="H1012" s="2" t="s">
        <v>1176</v>
      </c>
    </row>
    <row r="1013" customFormat="false" ht="15" hidden="false" customHeight="false" outlineLevel="1" collapsed="false">
      <c r="A1013" s="7" t="s">
        <v>636</v>
      </c>
      <c r="B1013" s="8" t="s">
        <v>59</v>
      </c>
      <c r="C1013" s="60" t="n">
        <f aca="false">Pressupostos!$C$59*Pressupostos!$C$66/(Pressupostos!$C$58*1000)</f>
        <v>0.006</v>
      </c>
      <c r="D1013" s="60" t="n">
        <f aca="false">Pressupostos!$C$59*Pressupostos!$C$66/(Pressupostos!$C$58*1000)</f>
        <v>0.006</v>
      </c>
      <c r="E1013" s="60" t="n">
        <f aca="false">Pressupostos!$C$59*Pressupostos!$C$66/(Pressupostos!$C$58*1000)</f>
        <v>0.006</v>
      </c>
      <c r="F1013" s="60" t="n">
        <f aca="false">Pressupostos!$C$59*Pressupostos!$C$66/(Pressupostos!$C$58*1000)</f>
        <v>0.006</v>
      </c>
      <c r="G1013" s="60" t="n">
        <f aca="false">Pressupostos!$C$59*Pressupostos!$C$66/(Pressupostos!$C$58*1000)</f>
        <v>0.006</v>
      </c>
      <c r="H1013" s="2" t="s">
        <v>1177</v>
      </c>
    </row>
    <row r="1014" customFormat="false" ht="15" hidden="false" customHeight="false" outlineLevel="1" collapsed="false">
      <c r="A1014" s="7" t="s">
        <v>473</v>
      </c>
      <c r="B1014" s="8" t="s">
        <v>59</v>
      </c>
      <c r="C1014" s="60" t="n">
        <f aca="false">Pressupostos!$C$67*C1003</f>
        <v>0.0175</v>
      </c>
      <c r="D1014" s="60" t="n">
        <f aca="false">Pressupostos!$C$67*D1003</f>
        <v>0.0175</v>
      </c>
      <c r="E1014" s="60" t="n">
        <f aca="false">Pressupostos!$C$67*E1003</f>
        <v>0.0175</v>
      </c>
      <c r="F1014" s="60" t="n">
        <f aca="false">Pressupostos!$C$67*F1003</f>
        <v>0.0175</v>
      </c>
      <c r="G1014" s="60" t="n">
        <f aca="false">Pressupostos!$C$67*G1003</f>
        <v>0.0175</v>
      </c>
      <c r="H1014" s="2" t="s">
        <v>1178</v>
      </c>
    </row>
    <row r="1015" customFormat="false" ht="15" hidden="false" customHeight="false" outlineLevel="1" collapsed="false">
      <c r="A1015" s="7" t="s">
        <v>474</v>
      </c>
      <c r="B1015" s="8" t="s">
        <v>59</v>
      </c>
      <c r="C1015" s="60" t="n">
        <f aca="false">Pressupostos!$C$68*Pressupostos!$C$69*C1009/90</f>
        <v>0.0015</v>
      </c>
      <c r="D1015" s="60" t="n">
        <f aca="false">Pressupostos!$C$68*Pressupostos!$C$69*D1009/90</f>
        <v>0.0015</v>
      </c>
      <c r="E1015" s="60" t="n">
        <f aca="false">Pressupostos!$C$68*Pressupostos!$C$69*E1009/90</f>
        <v>0.0015</v>
      </c>
      <c r="F1015" s="60" t="n">
        <f aca="false">Pressupostos!$C$68*Pressupostos!$C$69*F1009/90</f>
        <v>0.0015</v>
      </c>
      <c r="G1015" s="60" t="n">
        <f aca="false">Pressupostos!$C$68*Pressupostos!$C$69*G1009/90</f>
        <v>0.0015</v>
      </c>
      <c r="H1015" s="2" t="s">
        <v>1179</v>
      </c>
    </row>
    <row r="1016" customFormat="false" ht="15" hidden="false" customHeight="false" outlineLevel="1" collapsed="false">
      <c r="A1016" s="7" t="s">
        <v>637</v>
      </c>
      <c r="B1016" s="8" t="s">
        <v>59</v>
      </c>
      <c r="C1016" s="60" t="n">
        <f aca="false">Pressupostos!$C$60/(Pressupostos!$C$58*1000)</f>
        <v>0.012</v>
      </c>
      <c r="D1016" s="60" t="n">
        <f aca="false">Pressupostos!$C$60/(Pressupostos!$C$58*1000)</f>
        <v>0.012</v>
      </c>
      <c r="E1016" s="60" t="n">
        <f aca="false">Pressupostos!$C$60/(Pressupostos!$C$58*1000)</f>
        <v>0.012</v>
      </c>
      <c r="F1016" s="60" t="n">
        <f aca="false">Pressupostos!$C$60/(Pressupostos!$C$58*1000)</f>
        <v>0.012</v>
      </c>
      <c r="G1016" s="60" t="n">
        <f aca="false">Pressupostos!$C$60/(Pressupostos!$C$58*1000)</f>
        <v>0.012</v>
      </c>
      <c r="H1016" s="2" t="s">
        <v>1180</v>
      </c>
    </row>
    <row r="1017" customFormat="false" ht="15" hidden="false" customHeight="false" outlineLevel="1" collapsed="false">
      <c r="A1017" s="7" t="s">
        <v>131</v>
      </c>
      <c r="B1017" s="8" t="s">
        <v>59</v>
      </c>
      <c r="C1017" s="63" t="n">
        <f aca="false">Pressupostos!$C$61</f>
        <v>0.001</v>
      </c>
      <c r="D1017" s="63" t="n">
        <f aca="false">Pressupostos!$C$61</f>
        <v>0.001</v>
      </c>
      <c r="E1017" s="63" t="n">
        <f aca="false">Pressupostos!$C$61</f>
        <v>0.001</v>
      </c>
      <c r="F1017" s="63" t="n">
        <f aca="false">Pressupostos!$C$61</f>
        <v>0.001</v>
      </c>
      <c r="G1017" s="63" t="n">
        <f aca="false">Pressupostos!$C$61</f>
        <v>0.001</v>
      </c>
      <c r="H1017" s="2" t="s">
        <v>1181</v>
      </c>
    </row>
    <row r="1018" customFormat="false" ht="15" hidden="false" customHeight="false" outlineLevel="1" collapsed="false">
      <c r="A1018" s="7" t="s">
        <v>76</v>
      </c>
      <c r="B1018" s="8" t="s">
        <v>59</v>
      </c>
      <c r="C1018" s="60" t="n">
        <f aca="false">Pressupostos!$C$62*C1005</f>
        <v>0.01095</v>
      </c>
      <c r="D1018" s="60" t="n">
        <f aca="false">Pressupostos!$C$62*D1005</f>
        <v>0.01095</v>
      </c>
      <c r="E1018" s="60" t="n">
        <f aca="false">Pressupostos!$C$62*E1005</f>
        <v>0.01095</v>
      </c>
      <c r="F1018" s="60" t="n">
        <f aca="false">Pressupostos!$C$62*F1005</f>
        <v>0.01095</v>
      </c>
      <c r="G1018" s="60" t="n">
        <f aca="false">Pressupostos!$C$62*G1005</f>
        <v>0.01095</v>
      </c>
      <c r="H1018" s="2" t="s">
        <v>1182</v>
      </c>
    </row>
    <row r="1019" customFormat="false" ht="15" hidden="false" customHeight="false" outlineLevel="1" collapsed="false">
      <c r="A1019" s="7" t="s">
        <v>638</v>
      </c>
      <c r="B1019" s="8" t="s">
        <v>59</v>
      </c>
      <c r="C1019" s="60" t="n">
        <f aca="false">Pressupostos!$C$71*C1005</f>
        <v>0</v>
      </c>
      <c r="D1019" s="60" t="n">
        <f aca="false">Pressupostos!$C$71*D1005</f>
        <v>0</v>
      </c>
      <c r="E1019" s="60" t="n">
        <f aca="false">Pressupostos!$C$71*E1005</f>
        <v>0</v>
      </c>
      <c r="F1019" s="60" t="n">
        <f aca="false">Pressupostos!$C$71*F1005</f>
        <v>0</v>
      </c>
      <c r="G1019" s="60" t="n">
        <f aca="false">Pressupostos!$C$71*G1005</f>
        <v>0</v>
      </c>
      <c r="H1019" s="2" t="s">
        <v>1183</v>
      </c>
    </row>
    <row r="1020" customFormat="false" ht="15" hidden="false" customHeight="false" outlineLevel="1" collapsed="false">
      <c r="A1020" s="7" t="s">
        <v>639</v>
      </c>
      <c r="B1020" s="8" t="s">
        <v>59</v>
      </c>
      <c r="C1020" s="60" t="n">
        <f aca="false">Pressupostos!$C$285*(C1003+C1006)*(C1009+C1010-Pressupostos!$C$70)/365*Pressupostos!$C$279/Pressupostos!$F$31</f>
        <v>0</v>
      </c>
      <c r="D1020" s="60" t="n">
        <f aca="false">Pressupostos!$D$285*(D1003+D1006)*(D1009+D1010-Pressupostos!$C$70)/365*Pressupostos!$D$279/Pressupostos!$F$31</f>
        <v>0.0258904109589041</v>
      </c>
      <c r="E1020" s="60" t="n">
        <f aca="false">Pressupostos!$E$285*(E1003+E1006)*(E1009+E1010-Pressupostos!$C$70)/365*Pressupostos!$E$279/Pressupostos!$F$31</f>
        <v>0.0242722602739726</v>
      </c>
      <c r="F1020" s="60" t="n">
        <f aca="false">Pressupostos!$F$285*(F1003+F1006)*(F1009+F1010-Pressupostos!$C$70)/365*Pressupostos!$F$279/Pressupostos!$F$31</f>
        <v>0.0226541095890411</v>
      </c>
      <c r="G1020" s="60" t="n">
        <f aca="false">Pressupostos!$G$285*(G1003+G1006)*(G1009+G1010-Pressupostos!$C$70)/365*Pressupostos!$G$279/Pressupostos!$F$31</f>
        <v>0.0226541095890411</v>
      </c>
      <c r="H1020" s="2" t="s">
        <v>1184</v>
      </c>
    </row>
    <row r="1021" customFormat="false" ht="15" hidden="false" customHeight="false" outlineLevel="1" collapsed="false">
      <c r="A1021" s="7" t="s">
        <v>640</v>
      </c>
      <c r="B1021" s="8" t="s">
        <v>59</v>
      </c>
      <c r="C1021" s="60" t="n">
        <f aca="false">C1003+C1006+C1007+C1008+C1011+C1012+C1013+C1014+C1015+C1016+C1017+C1018+C1019+C1020</f>
        <v>3.59123767123288</v>
      </c>
      <c r="D1021" s="60" t="n">
        <f aca="false">D1003+D1006+D1007+D1008+D1011+D1012+D1013+D1014+D1015+D1016+D1017+D1018+D1019+D1020</f>
        <v>3.61712808219178</v>
      </c>
      <c r="E1021" s="60" t="n">
        <f aca="false">E1003+E1006+E1007+E1008+E1011+E1012+E1013+E1014+E1015+E1016+E1017+E1018+E1019+E1020</f>
        <v>3.61550993150685</v>
      </c>
      <c r="F1021" s="60" t="n">
        <f aca="false">F1003+F1006+F1007+F1008+F1011+F1012+F1013+F1014+F1015+F1016+F1017+F1018+F1019+F1020</f>
        <v>3.61389178082192</v>
      </c>
      <c r="G1021" s="60" t="n">
        <f aca="false">G1003+G1006+G1007+G1008+G1011+G1012+G1013+G1014+G1015+G1016+G1017+G1018+G1019+G1020</f>
        <v>3.61389178082192</v>
      </c>
      <c r="H1021" s="2" t="s">
        <v>1185</v>
      </c>
    </row>
    <row r="1022" customFormat="false" ht="15" hidden="false" customHeight="false" outlineLevel="1" collapsed="false">
      <c r="A1022" s="52" t="s">
        <v>641</v>
      </c>
      <c r="B1022" s="53" t="s">
        <v>59</v>
      </c>
      <c r="C1022" s="64" t="n">
        <f aca="false">C1005-C1021</f>
        <v>0.058762328767124</v>
      </c>
      <c r="D1022" s="64" t="n">
        <f aca="false">D1005-D1021</f>
        <v>0.0328719178082197</v>
      </c>
      <c r="E1022" s="64" t="n">
        <f aca="false">E1005-E1021</f>
        <v>0.0344900684931515</v>
      </c>
      <c r="F1022" s="64" t="n">
        <f aca="false">F1005-F1021</f>
        <v>0.0361082191780828</v>
      </c>
      <c r="G1022" s="64" t="n">
        <f aca="false">G1005-G1021</f>
        <v>0.0361082191780828</v>
      </c>
      <c r="H1022" s="2" t="s">
        <v>1186</v>
      </c>
    </row>
    <row r="1023" customFormat="false" ht="15" hidden="false" customHeight="false" outlineLevel="1" collapsed="false">
      <c r="A1023" s="7" t="s">
        <v>642</v>
      </c>
      <c r="B1023" s="8" t="s">
        <v>71</v>
      </c>
      <c r="C1023" s="55" t="n">
        <f aca="false">IF(C1005&gt;0,C1022/C1005,0)</f>
        <v>0.0160992681553764</v>
      </c>
      <c r="D1023" s="55" t="n">
        <f aca="false">IF(D1005&gt;0,D1022/D1005,0)</f>
        <v>0.00900600487896431</v>
      </c>
      <c r="E1023" s="55" t="n">
        <f aca="false">IF(E1005&gt;0,E1022/E1005,0)</f>
        <v>0.00944933383374014</v>
      </c>
      <c r="F1023" s="55" t="n">
        <f aca="false">IF(F1005&gt;0,F1022/F1005,0)</f>
        <v>0.00989266278851584</v>
      </c>
      <c r="G1023" s="55" t="n">
        <f aca="false">IF(G1005&gt;0,G1022/G1005,0)</f>
        <v>0.00989266278851584</v>
      </c>
      <c r="H1023" s="2" t="s">
        <v>1187</v>
      </c>
    </row>
    <row r="1024" customFormat="false" ht="15" hidden="false" customHeight="false" outlineLevel="1" collapsed="false">
      <c r="A1024" s="7" t="s">
        <v>643</v>
      </c>
      <c r="B1024" s="8" t="s">
        <v>59</v>
      </c>
      <c r="C1024" s="60" t="n">
        <f aca="false">(C1003+C1006)*(C1009-Pressupostos!$C$70)/365+C1005*C1010/365</f>
        <v>0.306164383561644</v>
      </c>
      <c r="D1024" s="60" t="n">
        <f aca="false">(D1003+D1006)*(D1009-Pressupostos!$C$70)/365+D1005*D1010/365</f>
        <v>0.306164383561644</v>
      </c>
      <c r="E1024" s="60" t="n">
        <f aca="false">(E1003+E1006)*(E1009-Pressupostos!$C$70)/365+E1005*E1010/365</f>
        <v>0.306164383561644</v>
      </c>
      <c r="F1024" s="60" t="n">
        <f aca="false">(F1003+F1006)*(F1009-Pressupostos!$C$70)/365+F1005*F1010/365</f>
        <v>0.306164383561644</v>
      </c>
      <c r="G1024" s="60" t="n">
        <f aca="false">(G1003+G1006)*(G1009-Pressupostos!$C$70)/365+G1005*G1010/365</f>
        <v>0.306164383561644</v>
      </c>
      <c r="H1024" s="2" t="s">
        <v>1188</v>
      </c>
    </row>
    <row r="1025" customFormat="false" ht="15" hidden="false" customHeight="false" outlineLevel="0" collapsed="false">
      <c r="A1025" s="3" t="s">
        <v>1189</v>
      </c>
      <c r="B1025" s="4"/>
      <c r="C1025" s="4"/>
      <c r="D1025" s="4"/>
      <c r="E1025" s="4"/>
      <c r="F1025" s="4"/>
      <c r="G1025" s="4"/>
      <c r="H1025" s="4"/>
    </row>
    <row r="1026" customFormat="false" ht="15" hidden="false" customHeight="false" outlineLevel="1" collapsed="false">
      <c r="A1026" s="7" t="s">
        <v>575</v>
      </c>
      <c r="B1026" s="8" t="s">
        <v>10</v>
      </c>
      <c r="C1026" s="58" t="n">
        <f aca="false">C941*1000*C959</f>
        <v>44280</v>
      </c>
      <c r="D1026" s="58" t="n">
        <f aca="false">D941*1000*D959</f>
        <v>166050</v>
      </c>
      <c r="E1026" s="58" t="n">
        <f aca="false">E941*1000*E959</f>
        <v>442800</v>
      </c>
      <c r="F1026" s="58" t="n">
        <f aca="false">F941*1000*F959</f>
        <v>774900</v>
      </c>
      <c r="G1026" s="58" t="n">
        <f aca="false">G941*1000*G959</f>
        <v>1107000</v>
      </c>
      <c r="H1026" s="2" t="s">
        <v>1190</v>
      </c>
    </row>
    <row r="1027" customFormat="false" ht="15" hidden="false" customHeight="false" outlineLevel="1" collapsed="false">
      <c r="A1027" s="7" t="s">
        <v>576</v>
      </c>
      <c r="B1027" s="8" t="s">
        <v>10</v>
      </c>
      <c r="C1027" s="58" t="n">
        <f aca="false">C942*1000*C982</f>
        <v>231400</v>
      </c>
      <c r="D1027" s="58" t="n">
        <f aca="false">D942*1000*D982</f>
        <v>1615350</v>
      </c>
      <c r="E1027" s="58" t="n">
        <f aca="false">E942*1000*E982</f>
        <v>3190650</v>
      </c>
      <c r="F1027" s="58" t="n">
        <f aca="false">F942*1000*F982</f>
        <v>5264350</v>
      </c>
      <c r="G1027" s="58" t="n">
        <f aca="false">G942*1000*G982</f>
        <v>7965500</v>
      </c>
      <c r="H1027" s="2" t="s">
        <v>1191</v>
      </c>
    </row>
    <row r="1028" customFormat="false" ht="15" hidden="false" customHeight="false" outlineLevel="1" collapsed="false">
      <c r="A1028" s="7" t="s">
        <v>577</v>
      </c>
      <c r="B1028" s="8" t="s">
        <v>10</v>
      </c>
      <c r="C1028" s="58" t="n">
        <f aca="false">C943*1000*C1005</f>
        <v>0</v>
      </c>
      <c r="D1028" s="58" t="n">
        <f aca="false">D943*1000*D1005</f>
        <v>1825000</v>
      </c>
      <c r="E1028" s="58" t="n">
        <f aca="false">E943*1000*E1005</f>
        <v>5475000</v>
      </c>
      <c r="F1028" s="58" t="n">
        <f aca="false">F943*1000*F1005</f>
        <v>9125000</v>
      </c>
      <c r="G1028" s="58" t="n">
        <f aca="false">G943*1000*G1005</f>
        <v>12775000</v>
      </c>
      <c r="H1028" s="2" t="s">
        <v>1192</v>
      </c>
    </row>
    <row r="1029" customFormat="false" ht="15" hidden="false" customHeight="false" outlineLevel="1" collapsed="false">
      <c r="A1029" s="7" t="s">
        <v>578</v>
      </c>
      <c r="B1029" s="8" t="s">
        <v>10</v>
      </c>
      <c r="C1029" s="58" t="n">
        <f aca="false">C1026+C1027+C1028</f>
        <v>275680</v>
      </c>
      <c r="D1029" s="58" t="n">
        <f aca="false">D1026+D1027+D1028</f>
        <v>3606400</v>
      </c>
      <c r="E1029" s="58" t="n">
        <f aca="false">E1026+E1027+E1028</f>
        <v>9108450</v>
      </c>
      <c r="F1029" s="58" t="n">
        <f aca="false">F1026+F1027+F1028</f>
        <v>15164250</v>
      </c>
      <c r="G1029" s="58" t="n">
        <f aca="false">G1026+G1027+G1028</f>
        <v>21847500</v>
      </c>
      <c r="H1029" s="2" t="s">
        <v>1193</v>
      </c>
    </row>
    <row r="1030" customFormat="false" ht="15" hidden="false" customHeight="false" outlineLevel="1" collapsed="false">
      <c r="A1030" s="7" t="s">
        <v>579</v>
      </c>
      <c r="B1030" s="8" t="s">
        <v>10</v>
      </c>
      <c r="C1030" s="58" t="n">
        <f aca="false">C952*1000*Pressupostos!$C$91</f>
        <v>0</v>
      </c>
      <c r="D1030" s="58" t="n">
        <f aca="false">D952*1000*Pressupostos!$C$91</f>
        <v>0</v>
      </c>
      <c r="E1030" s="58" t="n">
        <f aca="false">E952*1000*Pressupostos!$C$91</f>
        <v>0</v>
      </c>
      <c r="F1030" s="58" t="n">
        <f aca="false">F952*1000*Pressupostos!$C$91</f>
        <v>157000</v>
      </c>
      <c r="G1030" s="58" t="n">
        <f aca="false">G952*1000*Pressupostos!$C$91</f>
        <v>392500</v>
      </c>
      <c r="H1030" s="2" t="s">
        <v>1194</v>
      </c>
    </row>
    <row r="1031" customFormat="false" ht="15" hidden="false" customHeight="false" outlineLevel="1" collapsed="false">
      <c r="A1031" s="2" t="s">
        <v>580</v>
      </c>
      <c r="B1031" s="8" t="s">
        <v>10</v>
      </c>
      <c r="C1031" s="58" t="n">
        <f aca="false">C950*Pressupostos!$C$78*(1-Pressupostos!$C$79)</f>
        <v>9720</v>
      </c>
      <c r="D1031" s="58" t="n">
        <f aca="false">D950*Pressupostos!$C$78*(1-Pressupostos!$C$79)</f>
        <v>36450</v>
      </c>
      <c r="E1031" s="58" t="n">
        <f aca="false">E950*Pressupostos!$C$78*(1-Pressupostos!$C$79)</f>
        <v>97200</v>
      </c>
      <c r="F1031" s="58" t="n">
        <f aca="false">F950*Pressupostos!$C$78*(1-Pressupostos!$C$79)</f>
        <v>170100</v>
      </c>
      <c r="G1031" s="58" t="n">
        <f aca="false">G950*Pressupostos!$C$78*(1-Pressupostos!$C$79)</f>
        <v>243000</v>
      </c>
      <c r="H1031" s="2" t="s">
        <v>1195</v>
      </c>
    </row>
    <row r="1032" customFormat="false" ht="15" hidden="false" customHeight="false" outlineLevel="1" collapsed="false">
      <c r="A1032" s="7" t="s">
        <v>581</v>
      </c>
      <c r="B1032" s="8" t="s">
        <v>10</v>
      </c>
      <c r="C1032" s="58" t="n">
        <f aca="false">C1031*Pressupostos!$F$27</f>
        <v>194.4</v>
      </c>
      <c r="D1032" s="58" t="n">
        <f aca="false">D1031*Pressupostos!$F$27</f>
        <v>729</v>
      </c>
      <c r="E1032" s="58" t="n">
        <f aca="false">E1031*Pressupostos!$F$27</f>
        <v>1944</v>
      </c>
      <c r="F1032" s="58" t="n">
        <f aca="false">F1031*Pressupostos!$F$27</f>
        <v>3402</v>
      </c>
      <c r="G1032" s="58" t="n">
        <f aca="false">G1031*Pressupostos!$F$27</f>
        <v>4860</v>
      </c>
      <c r="H1032" s="2" t="s">
        <v>1196</v>
      </c>
    </row>
    <row r="1033" customFormat="false" ht="15" hidden="false" customHeight="false" outlineLevel="1" collapsed="false">
      <c r="A1033" s="7" t="s">
        <v>582</v>
      </c>
      <c r="B1033" s="8" t="s">
        <v>10</v>
      </c>
      <c r="C1033" s="58" t="n">
        <f aca="false">C954*(Pressupostos!$C$99*Pressupostos!$C$100+Pressupostos!$C$101)</f>
        <v>0</v>
      </c>
      <c r="D1033" s="58" t="n">
        <f aca="false">D954*(Pressupostos!$C$99*Pressupostos!$C$100+Pressupostos!$C$101)</f>
        <v>10000</v>
      </c>
      <c r="E1033" s="58" t="n">
        <f aca="false">E954*(Pressupostos!$C$99*Pressupostos!$C$100+Pressupostos!$C$101)</f>
        <v>30000</v>
      </c>
      <c r="F1033" s="58" t="n">
        <f aca="false">F954*(Pressupostos!$C$99*Pressupostos!$C$100+Pressupostos!$C$101)</f>
        <v>60000</v>
      </c>
      <c r="G1033" s="58" t="n">
        <f aca="false">G954*(Pressupostos!$C$99*Pressupostos!$C$100+Pressupostos!$C$101)</f>
        <v>100000</v>
      </c>
      <c r="H1033" s="2" t="s">
        <v>1197</v>
      </c>
    </row>
    <row r="1034" customFormat="false" ht="15" hidden="false" customHeight="false" outlineLevel="1" collapsed="false">
      <c r="A1034" s="7" t="s">
        <v>583</v>
      </c>
      <c r="B1034" s="8" t="s">
        <v>10</v>
      </c>
      <c r="C1034" s="50" t="n">
        <f aca="false">Pressupostos!$C$272</f>
        <v>0</v>
      </c>
      <c r="D1034" s="50" t="n">
        <f aca="false">Pressupostos!$D$272</f>
        <v>0</v>
      </c>
      <c r="E1034" s="50" t="n">
        <f aca="false">Pressupostos!$E$272</f>
        <v>0</v>
      </c>
      <c r="F1034" s="50" t="n">
        <f aca="false">Pressupostos!$F$272</f>
        <v>10000</v>
      </c>
      <c r="G1034" s="50" t="n">
        <f aca="false">Pressupostos!$G$272</f>
        <v>30000</v>
      </c>
      <c r="H1034" s="2" t="s">
        <v>1198</v>
      </c>
    </row>
    <row r="1035" customFormat="false" ht="15" hidden="false" customHeight="false" outlineLevel="1" collapsed="false">
      <c r="A1035" s="52" t="s">
        <v>584</v>
      </c>
      <c r="B1035" s="53" t="s">
        <v>10</v>
      </c>
      <c r="C1035" s="59" t="n">
        <f aca="false">C1029+C1030+C1032+C1033+C1034</f>
        <v>275874.4</v>
      </c>
      <c r="D1035" s="59" t="n">
        <f aca="false">D1029+D1030+D1032+D1033+D1034</f>
        <v>3617129</v>
      </c>
      <c r="E1035" s="59" t="n">
        <f aca="false">E1029+E1030+E1032+E1033+E1034</f>
        <v>9140394</v>
      </c>
      <c r="F1035" s="59" t="n">
        <f aca="false">F1029+F1030+F1032+F1033+F1034</f>
        <v>15394652</v>
      </c>
      <c r="G1035" s="59" t="n">
        <f aca="false">G1029+G1030+G1032+G1033+G1034</f>
        <v>22374860</v>
      </c>
      <c r="H1035" s="2" t="s">
        <v>1199</v>
      </c>
    </row>
    <row r="1036" customFormat="false" ht="15" hidden="false" customHeight="false" outlineLevel="0" collapsed="false">
      <c r="A1036" s="3" t="s">
        <v>1200</v>
      </c>
      <c r="B1036" s="4"/>
      <c r="C1036" s="4"/>
      <c r="D1036" s="4"/>
      <c r="E1036" s="4"/>
      <c r="F1036" s="4"/>
      <c r="G1036" s="4"/>
      <c r="H1036" s="4"/>
    </row>
    <row r="1037" customFormat="false" ht="15" hidden="false" customHeight="false" outlineLevel="1" collapsed="false">
      <c r="A1037" s="52" t="s">
        <v>586</v>
      </c>
      <c r="B1037" s="53" t="s">
        <v>10</v>
      </c>
      <c r="C1037" s="59" t="n">
        <f aca="false">C1029+C1030+C1031</f>
        <v>285400</v>
      </c>
      <c r="D1037" s="59" t="n">
        <f aca="false">D1029+D1030+D1031</f>
        <v>3642850</v>
      </c>
      <c r="E1037" s="59" t="n">
        <f aca="false">E1029+E1030+E1031</f>
        <v>9205650</v>
      </c>
      <c r="F1037" s="59" t="n">
        <f aca="false">F1029+F1030+F1031</f>
        <v>15491350</v>
      </c>
      <c r="G1037" s="59" t="n">
        <f aca="false">G1029+G1030+G1031</f>
        <v>22483000</v>
      </c>
      <c r="H1037" s="2" t="s">
        <v>1201</v>
      </c>
    </row>
    <row r="1038" customFormat="false" ht="15" hidden="false" customHeight="false" outlineLevel="1" collapsed="false">
      <c r="A1038" s="7" t="s">
        <v>587</v>
      </c>
      <c r="B1038" s="8" t="s">
        <v>10</v>
      </c>
      <c r="C1038" s="58" t="n">
        <f aca="false">C941*1000*(C957+C960)+C942*1000*(C980+C983)+C943*1000*(C1003+C1006)+C952*1000*Pressupostos!$C$90</f>
        <v>245040</v>
      </c>
      <c r="D1038" s="58" t="n">
        <f aca="false">D941*1000*(D957+D960)+D942*1000*(D980+D983)+D943*1000*(D1003+D1006)+D952*1000*Pressupostos!$C$90</f>
        <v>3349300</v>
      </c>
      <c r="E1038" s="58" t="n">
        <f aca="false">E941*1000*(E957+E960)+E942*1000*(E980+E983)+E943*1000*(E1003+E1006)+E952*1000*Pressupostos!$C$90</f>
        <v>8498250</v>
      </c>
      <c r="F1038" s="58" t="n">
        <f aca="false">F941*1000*(F957+F960)+F942*1000*(F980+F983)+F943*1000*(F1003+F1006)+F952*1000*Pressupostos!$C$90</f>
        <v>14283850</v>
      </c>
      <c r="G1038" s="58" t="n">
        <f aca="false">G941*1000*(G957+G960)+G942*1000*(G980+G983)+G943*1000*(G1003+G1006)+G952*1000*Pressupostos!$C$90</f>
        <v>20710500</v>
      </c>
      <c r="H1038" s="2" t="s">
        <v>1202</v>
      </c>
    </row>
    <row r="1039" customFormat="false" ht="15" hidden="false" customHeight="false" outlineLevel="1" collapsed="false">
      <c r="A1039" s="7" t="s">
        <v>588</v>
      </c>
      <c r="B1039" s="8" t="s">
        <v>10</v>
      </c>
      <c r="C1039" s="58" t="n">
        <f aca="false">C1038*Pressupostos!$C$279</f>
        <v>0</v>
      </c>
      <c r="D1039" s="58" t="n">
        <f aca="false">D1038*Pressupostos!$D$279</f>
        <v>3014370</v>
      </c>
      <c r="E1039" s="58" t="n">
        <f aca="false">E1038*Pressupostos!$E$279</f>
        <v>7648425</v>
      </c>
      <c r="F1039" s="58" t="n">
        <f aca="false">F1038*Pressupostos!$F$279</f>
        <v>12855465</v>
      </c>
      <c r="G1039" s="58" t="n">
        <f aca="false">G1038*Pressupostos!$G$279</f>
        <v>18639450</v>
      </c>
      <c r="H1039" s="2" t="s">
        <v>1203</v>
      </c>
    </row>
    <row r="1040" customFormat="false" ht="15" hidden="false" customHeight="false" outlineLevel="0" collapsed="false">
      <c r="A1040" s="3" t="s">
        <v>1204</v>
      </c>
      <c r="B1040" s="4"/>
      <c r="C1040" s="4"/>
      <c r="D1040" s="4"/>
      <c r="E1040" s="4"/>
      <c r="F1040" s="4"/>
      <c r="G1040" s="4"/>
      <c r="H1040" s="4"/>
    </row>
    <row r="1041" customFormat="false" ht="15" hidden="false" customHeight="false" outlineLevel="1" collapsed="false">
      <c r="A1041" s="7" t="s">
        <v>590</v>
      </c>
      <c r="B1041" s="8" t="s">
        <v>10</v>
      </c>
      <c r="C1041" s="58" t="n">
        <f aca="false">C941*1000*C976</f>
        <v>4950.75000000001</v>
      </c>
      <c r="D1041" s="58" t="n">
        <f aca="false">D941*1000*D976</f>
        <v>12673.9494863014</v>
      </c>
      <c r="E1041" s="58" t="n">
        <f aca="false">E941*1000*E976</f>
        <v>49971.2493150686</v>
      </c>
      <c r="F1041" s="58" t="n">
        <f aca="false">F941*1000*F976</f>
        <v>89349.0955479452</v>
      </c>
      <c r="G1041" s="58" t="n">
        <f aca="false">G941*1000*G976</f>
        <v>127641.565068493</v>
      </c>
      <c r="H1041" s="2" t="s">
        <v>1205</v>
      </c>
    </row>
    <row r="1042" customFormat="false" ht="15" hidden="false" customHeight="false" outlineLevel="1" collapsed="false">
      <c r="A1042" s="7" t="s">
        <v>591</v>
      </c>
      <c r="B1042" s="8" t="s">
        <v>10</v>
      </c>
      <c r="C1042" s="58" t="n">
        <f aca="false">C942*1000*C999</f>
        <v>10195.0273972603</v>
      </c>
      <c r="D1042" s="58" t="n">
        <f aca="false">D942*1000*D999</f>
        <v>51231.4828767126</v>
      </c>
      <c r="E1042" s="58" t="n">
        <f aca="false">E942*1000*E999</f>
        <v>110824.074914384</v>
      </c>
      <c r="F1042" s="58" t="n">
        <f aca="false">F942*1000*F999</f>
        <v>186912.987157534</v>
      </c>
      <c r="G1042" s="58" t="n">
        <f aca="false">G942*1000*G999</f>
        <v>282818.467465754</v>
      </c>
      <c r="H1042" s="2" t="s">
        <v>1206</v>
      </c>
    </row>
    <row r="1043" customFormat="false" ht="15" hidden="false" customHeight="false" outlineLevel="1" collapsed="false">
      <c r="A1043" s="7" t="s">
        <v>592</v>
      </c>
      <c r="B1043" s="8" t="s">
        <v>10</v>
      </c>
      <c r="C1043" s="58" t="n">
        <f aca="false">C943*1000*C1022</f>
        <v>0</v>
      </c>
      <c r="D1043" s="58" t="n">
        <f aca="false">D943*1000*D1022</f>
        <v>16435.9589041099</v>
      </c>
      <c r="E1043" s="58" t="n">
        <f aca="false">E943*1000*E1022</f>
        <v>51735.1027397273</v>
      </c>
      <c r="F1043" s="58" t="n">
        <f aca="false">F943*1000*F1022</f>
        <v>90270.5479452071</v>
      </c>
      <c r="G1043" s="58" t="n">
        <f aca="false">G943*1000*G1022</f>
        <v>126378.76712329</v>
      </c>
      <c r="H1043" s="2" t="s">
        <v>1207</v>
      </c>
    </row>
    <row r="1044" customFormat="false" ht="15" hidden="false" customHeight="false" outlineLevel="1" collapsed="false">
      <c r="A1044" s="7" t="s">
        <v>593</v>
      </c>
      <c r="B1044" s="8" t="s">
        <v>10</v>
      </c>
      <c r="C1044" s="58" t="n">
        <f aca="false">C1041+C1042+C1043</f>
        <v>15145.7773972603</v>
      </c>
      <c r="D1044" s="58" t="n">
        <f aca="false">D1041+D1042+D1043</f>
        <v>80341.3912671239</v>
      </c>
      <c r="E1044" s="58" t="n">
        <f aca="false">E1041+E1042+E1043</f>
        <v>212530.42696918</v>
      </c>
      <c r="F1044" s="58" t="n">
        <f aca="false">F1041+F1042+F1043</f>
        <v>366532.630650687</v>
      </c>
      <c r="G1044" s="58" t="n">
        <f aca="false">G1041+G1042+G1043</f>
        <v>536838.799657537</v>
      </c>
      <c r="H1044" s="2" t="s">
        <v>1208</v>
      </c>
    </row>
    <row r="1045" customFormat="false" ht="15" hidden="false" customHeight="false" outlineLevel="1" collapsed="false">
      <c r="A1045" s="7" t="s">
        <v>594</v>
      </c>
      <c r="B1045" s="8" t="s">
        <v>59</v>
      </c>
      <c r="C1045" s="60" t="n">
        <f aca="false">IF(C944&gt;0,C1044/(C944*1000),0)</f>
        <v>0.251590986665454</v>
      </c>
      <c r="D1045" s="60" t="n">
        <f aca="false">IF(D944&gt;0,D1044/(D944*1000),0)</f>
        <v>0.0898924657534253</v>
      </c>
      <c r="E1045" s="60" t="n">
        <f aca="false">IF(E944&gt;0,E1044/(E944*1000),0)</f>
        <v>0.0924447268243495</v>
      </c>
      <c r="F1045" s="60" t="n">
        <f aca="false">IF(F944&gt;0,F1044/(F944*1000),0)</f>
        <v>0.095787960447063</v>
      </c>
      <c r="G1045" s="60" t="n">
        <f aca="false">IF(G944&gt;0,G1044/(G944*1000),0)</f>
        <v>0.0976958689094698</v>
      </c>
      <c r="H1045" s="2" t="s">
        <v>1209</v>
      </c>
    </row>
    <row r="1046" customFormat="false" ht="15" hidden="false" customHeight="false" outlineLevel="1" collapsed="false">
      <c r="A1046" s="7" t="s">
        <v>595</v>
      </c>
      <c r="B1046" s="8" t="s">
        <v>71</v>
      </c>
      <c r="C1046" s="55" t="n">
        <f aca="false">IF(C1029&gt;0,C1044/C1029,0)</f>
        <v>0.0549397032692263</v>
      </c>
      <c r="D1046" s="55" t="n">
        <f aca="false">IF(D1029&gt;0,D1044/D1029,0)</f>
        <v>0.0222774487763764</v>
      </c>
      <c r="E1046" s="55" t="n">
        <f aca="false">IF(E1029&gt;0,E1044/E1029,0)</f>
        <v>0.0233333253154137</v>
      </c>
      <c r="F1046" s="55" t="n">
        <f aca="false">IF(F1029&gt;0,F1044/F1029,0)</f>
        <v>0.0241708380335781</v>
      </c>
      <c r="G1046" s="55" t="n">
        <f aca="false">IF(G1029&gt;0,G1044/G1029,0)</f>
        <v>0.0245720929011345</v>
      </c>
      <c r="H1046" s="2" t="s">
        <v>1210</v>
      </c>
    </row>
    <row r="1047" customFormat="false" ht="15" hidden="false" customHeight="false" outlineLevel="1" collapsed="false">
      <c r="A1047" s="2" t="s">
        <v>596</v>
      </c>
      <c r="B1047" s="8" t="s">
        <v>59</v>
      </c>
      <c r="C1047" s="60" t="n">
        <f aca="false">Pressupostos!$C$285*Pressupostos!$C$90*(Pressupostos!$C$93+Pressupostos!$C$94-Pressupostos!$C$95)/365*Pressupostos!$C$279/Pressupostos!$F$31</f>
        <v>0</v>
      </c>
      <c r="D1047" s="60" t="n">
        <f aca="false">Pressupostos!$D$285*Pressupostos!$C$90*(Pressupostos!$C$93+Pressupostos!$C$94-Pressupostos!$C$95)/365*Pressupostos!$D$279/Pressupostos!$F$31</f>
        <v>0.0776712328767123</v>
      </c>
      <c r="E1047" s="60" t="n">
        <f aca="false">Pressupostos!$E$285*Pressupostos!$C$90*(Pressupostos!$C$93+Pressupostos!$C$94-Pressupostos!$C$95)/365*Pressupostos!$E$279/Pressupostos!$F$31</f>
        <v>0.0728167808219178</v>
      </c>
      <c r="F1047" s="60" t="n">
        <f aca="false">Pressupostos!$F$285*Pressupostos!$C$90*(Pressupostos!$C$93+Pressupostos!$C$94-Pressupostos!$C$95)/365*Pressupostos!$F$279/Pressupostos!$F$31</f>
        <v>0.0679623287671233</v>
      </c>
      <c r="G1047" s="60" t="n">
        <f aca="false">Pressupostos!$G$285*Pressupostos!$C$90*(Pressupostos!$C$93+Pressupostos!$C$94-Pressupostos!$C$95)/365*Pressupostos!$G$279/Pressupostos!$F$31</f>
        <v>0.0679623287671233</v>
      </c>
      <c r="H1047" s="2" t="s">
        <v>1211</v>
      </c>
    </row>
    <row r="1048" customFormat="false" ht="15" hidden="false" customHeight="false" outlineLevel="1" collapsed="false">
      <c r="A1048" s="7" t="s">
        <v>567</v>
      </c>
      <c r="B1048" s="8" t="s">
        <v>10</v>
      </c>
      <c r="C1048" s="58" t="n">
        <f aca="false">C952*1000*(Pressupostos!$C$91-Pressupostos!$C$90-Pressupostos!$C$92-C1047-Pressupostos!$C$96*Pressupostos!$C$91-Pressupostos!$C$97-Pressupostos!$F$29*Pressupostos!$C$90)</f>
        <v>0</v>
      </c>
      <c r="D1048" s="58" t="n">
        <f aca="false">D952*1000*(Pressupostos!$C$91-Pressupostos!$C$90-Pressupostos!$C$92-D1047-Pressupostos!$C$96*Pressupostos!$C$91-Pressupostos!$C$97-Pressupostos!$F$29*Pressupostos!$C$90)</f>
        <v>0</v>
      </c>
      <c r="E1048" s="58" t="n">
        <f aca="false">E952*1000*(Pressupostos!$C$91-Pressupostos!$C$90-Pressupostos!$C$92-E1047-Pressupostos!$C$96*Pressupostos!$C$91-Pressupostos!$C$97-Pressupostos!$F$29*Pressupostos!$C$90)</f>
        <v>0</v>
      </c>
      <c r="F1048" s="58" t="n">
        <f aca="false">F952*1000*(Pressupostos!$C$91-Pressupostos!$C$90-Pressupostos!$C$92-F1047-Pressupostos!$C$96*Pressupostos!$C$91-Pressupostos!$C$97-Pressupostos!$F$29*Pressupostos!$C$90)</f>
        <v>10678.7534246575</v>
      </c>
      <c r="G1048" s="58" t="n">
        <f aca="false">G952*1000*(Pressupostos!$C$91-Pressupostos!$C$90-Pressupostos!$C$92-G1047-Pressupostos!$C$96*Pressupostos!$C$91-Pressupostos!$C$97-Pressupostos!$F$29*Pressupostos!$C$90)</f>
        <v>26696.8835616438</v>
      </c>
      <c r="H1048" s="2" t="s">
        <v>1212</v>
      </c>
    </row>
    <row r="1049" customFormat="false" ht="15" hidden="false" customHeight="false" outlineLevel="1" collapsed="false">
      <c r="A1049" s="7" t="s">
        <v>597</v>
      </c>
      <c r="B1049" s="8" t="s">
        <v>10</v>
      </c>
      <c r="C1049" s="58" t="n">
        <f aca="false">C1032</f>
        <v>194.4</v>
      </c>
      <c r="D1049" s="58" t="n">
        <f aca="false">D1032</f>
        <v>729</v>
      </c>
      <c r="E1049" s="58" t="n">
        <f aca="false">E1032</f>
        <v>1944</v>
      </c>
      <c r="F1049" s="58" t="n">
        <f aca="false">F1032</f>
        <v>3402</v>
      </c>
      <c r="G1049" s="58" t="n">
        <f aca="false">G1032</f>
        <v>4860</v>
      </c>
      <c r="H1049" s="2" t="s">
        <v>1213</v>
      </c>
    </row>
    <row r="1050" customFormat="false" ht="15" hidden="false" customHeight="false" outlineLevel="1" collapsed="false">
      <c r="A1050" s="7" t="s">
        <v>598</v>
      </c>
      <c r="B1050" s="8" t="s">
        <v>10</v>
      </c>
      <c r="C1050" s="58" t="n">
        <f aca="false">C1033-C1065</f>
        <v>0</v>
      </c>
      <c r="D1050" s="58" t="n">
        <f aca="false">D1033-D1065</f>
        <v>10000</v>
      </c>
      <c r="E1050" s="58" t="n">
        <f aca="false">E1033-E1065</f>
        <v>30000</v>
      </c>
      <c r="F1050" s="58" t="n">
        <f aca="false">F1033-F1065</f>
        <v>60000</v>
      </c>
      <c r="G1050" s="58" t="n">
        <f aca="false">G1033-G1065</f>
        <v>100000</v>
      </c>
      <c r="H1050" s="2" t="s">
        <v>1214</v>
      </c>
    </row>
    <row r="1051" customFormat="false" ht="15" hidden="false" customHeight="false" outlineLevel="1" collapsed="false">
      <c r="A1051" s="7" t="s">
        <v>583</v>
      </c>
      <c r="B1051" s="8" t="s">
        <v>10</v>
      </c>
      <c r="C1051" s="58" t="n">
        <f aca="false">C1034</f>
        <v>0</v>
      </c>
      <c r="D1051" s="58" t="n">
        <f aca="false">D1034</f>
        <v>0</v>
      </c>
      <c r="E1051" s="58" t="n">
        <f aca="false">E1034</f>
        <v>0</v>
      </c>
      <c r="F1051" s="58" t="n">
        <f aca="false">F1034</f>
        <v>10000</v>
      </c>
      <c r="G1051" s="58" t="n">
        <f aca="false">G1034</f>
        <v>30000</v>
      </c>
      <c r="H1051" s="2" t="s">
        <v>1215</v>
      </c>
    </row>
    <row r="1052" customFormat="false" ht="15" hidden="false" customHeight="false" outlineLevel="1" collapsed="false">
      <c r="A1052" s="52" t="s">
        <v>599</v>
      </c>
      <c r="B1052" s="53" t="s">
        <v>10</v>
      </c>
      <c r="C1052" s="59" t="n">
        <f aca="false">C1044+C1048+C1049+C1050+C1051</f>
        <v>15340.1773972603</v>
      </c>
      <c r="D1052" s="59" t="n">
        <f aca="false">D1044+D1048+D1049+D1050+D1051</f>
        <v>91070.3912671239</v>
      </c>
      <c r="E1052" s="59" t="n">
        <f aca="false">E1044+E1048+E1049+E1050+E1051</f>
        <v>244474.42696918</v>
      </c>
      <c r="F1052" s="59" t="n">
        <f aca="false">F1044+F1048+F1049+F1050+F1051</f>
        <v>450613.384075344</v>
      </c>
      <c r="G1052" s="59" t="n">
        <f aca="false">G1044+G1048+G1049+G1050+G1051</f>
        <v>698395.68321918</v>
      </c>
      <c r="H1052" s="2" t="s">
        <v>1216</v>
      </c>
    </row>
    <row r="1053" customFormat="false" ht="15" hidden="false" customHeight="false" outlineLevel="0" collapsed="false">
      <c r="A1053" s="3" t="s">
        <v>1217</v>
      </c>
      <c r="B1053" s="4"/>
      <c r="C1053" s="4"/>
      <c r="D1053" s="4"/>
      <c r="E1053" s="4"/>
      <c r="F1053" s="4"/>
      <c r="G1053" s="4"/>
      <c r="H1053" s="4"/>
    </row>
    <row r="1054" customFormat="false" ht="15" hidden="false" customHeight="false" outlineLevel="1" collapsed="false">
      <c r="A1054" s="7" t="s">
        <v>647</v>
      </c>
      <c r="B1054" s="8" t="s">
        <v>10</v>
      </c>
      <c r="C1054" s="58" t="n">
        <f aca="false">C941*1000*(C957+C960)+C942*1000*(C980+C983)+C943*1000*(C1003+C1006)</f>
        <v>245040</v>
      </c>
      <c r="D1054" s="58" t="n">
        <f aca="false">D941*1000*(D957+D960)+D942*1000*(D980+D983)+D943*1000*(D1003+D1006)</f>
        <v>3349300</v>
      </c>
      <c r="E1054" s="58" t="n">
        <f aca="false">E941*1000*(E957+E960)+E942*1000*(E980+E983)+E943*1000*(E1003+E1006)</f>
        <v>8498250</v>
      </c>
      <c r="F1054" s="58" t="n">
        <f aca="false">F941*1000*(F957+F960)+F942*1000*(F980+F983)+F943*1000*(F1003+F1006)</f>
        <v>14143850</v>
      </c>
      <c r="G1054" s="58" t="n">
        <f aca="false">G941*1000*(G957+G960)+G942*1000*(G980+G983)+G943*1000*(G1003+G1006)</f>
        <v>20360500</v>
      </c>
      <c r="H1054" s="2" t="s">
        <v>1218</v>
      </c>
    </row>
    <row r="1055" customFormat="false" ht="15" hidden="false" customHeight="false" outlineLevel="1" collapsed="false">
      <c r="A1055" s="7" t="s">
        <v>648</v>
      </c>
      <c r="B1055" s="8" t="s">
        <v>10</v>
      </c>
      <c r="C1055" s="58" t="n">
        <f aca="false">C952*1000*Pressupostos!$C$90</f>
        <v>0</v>
      </c>
      <c r="D1055" s="58" t="n">
        <f aca="false">D952*1000*Pressupostos!$C$90</f>
        <v>0</v>
      </c>
      <c r="E1055" s="58" t="n">
        <f aca="false">E952*1000*Pressupostos!$C$90</f>
        <v>0</v>
      </c>
      <c r="F1055" s="58" t="n">
        <f aca="false">F952*1000*Pressupostos!$C$90</f>
        <v>140000</v>
      </c>
      <c r="G1055" s="58" t="n">
        <f aca="false">G952*1000*Pressupostos!$C$90</f>
        <v>350000</v>
      </c>
      <c r="H1055" s="2" t="s">
        <v>1219</v>
      </c>
    </row>
    <row r="1056" customFormat="false" ht="15" hidden="false" customHeight="false" outlineLevel="1" collapsed="false">
      <c r="A1056" s="7" t="s">
        <v>649</v>
      </c>
      <c r="B1056" s="8" t="s">
        <v>10</v>
      </c>
      <c r="C1056" s="58" t="n">
        <f aca="false">C1054+C1055</f>
        <v>245040</v>
      </c>
      <c r="D1056" s="58" t="n">
        <f aca="false">D1054+D1055</f>
        <v>3349300</v>
      </c>
      <c r="E1056" s="58" t="n">
        <f aca="false">E1054+E1055</f>
        <v>8498250</v>
      </c>
      <c r="F1056" s="58" t="n">
        <f aca="false">F1054+F1055</f>
        <v>14283850</v>
      </c>
      <c r="G1056" s="58" t="n">
        <f aca="false">G1054+G1055</f>
        <v>20710500</v>
      </c>
      <c r="H1056" s="2" t="s">
        <v>1220</v>
      </c>
    </row>
    <row r="1057" customFormat="false" ht="15" hidden="false" customHeight="false" outlineLevel="1" collapsed="false">
      <c r="A1057" s="7" t="s">
        <v>205</v>
      </c>
      <c r="B1057" s="8" t="s">
        <v>10</v>
      </c>
      <c r="C1057" s="58" t="n">
        <f aca="false">C941*1000*(C961)+C942*1000*(C984)+C943*1000*(C1007)+C952*1000*Pressupostos!$C$92</f>
        <v>7660</v>
      </c>
      <c r="D1057" s="58" t="n">
        <f aca="false">D941*1000*(D961)+D942*1000*(D984)+D943*1000*(D1007)+D952*1000*Pressupostos!$C$92</f>
        <v>65525</v>
      </c>
      <c r="E1057" s="58" t="n">
        <f aca="false">E941*1000*(E961)+E942*1000*(E984)+E943*1000*(E1007)+E952*1000*Pressupostos!$C$92</f>
        <v>147490</v>
      </c>
      <c r="F1057" s="58" t="n">
        <f aca="false">F941*1000*(F961)+F942*1000*(F984)+F943*1000*(F1007)+F952*1000*Pressupostos!$C$92</f>
        <v>248215</v>
      </c>
      <c r="G1057" s="58" t="n">
        <f aca="false">G941*1000*(G961)+G942*1000*(G984)+G943*1000*(G1007)+G952*1000*Pressupostos!$C$92</f>
        <v>363950</v>
      </c>
      <c r="H1057" s="2" t="s">
        <v>1221</v>
      </c>
    </row>
    <row r="1058" customFormat="false" ht="15" hidden="false" customHeight="false" outlineLevel="1" collapsed="false">
      <c r="A1058" s="7" t="s">
        <v>109</v>
      </c>
      <c r="B1058" s="8" t="s">
        <v>10</v>
      </c>
      <c r="C1058" s="58" t="n">
        <f aca="false">C941*1000*(C962)+C942*1000*(C985)+C943*1000*(C1008)</f>
        <v>492</v>
      </c>
      <c r="D1058" s="58" t="n">
        <f aca="false">D941*1000*(D962)+D942*1000*(D985)+D943*1000*(D1008)</f>
        <v>1845</v>
      </c>
      <c r="E1058" s="58" t="n">
        <f aca="false">E941*1000*(E962)+E942*1000*(E985)+E943*1000*(E1008)</f>
        <v>4920</v>
      </c>
      <c r="F1058" s="58" t="n">
        <f aca="false">F941*1000*(F962)+F942*1000*(F985)+F943*1000*(F1008)</f>
        <v>8610</v>
      </c>
      <c r="G1058" s="58" t="n">
        <f aca="false">G941*1000*(G962)+G942*1000*(G985)+G943*1000*(G1008)</f>
        <v>12300</v>
      </c>
      <c r="H1058" s="2" t="s">
        <v>1222</v>
      </c>
    </row>
    <row r="1059" customFormat="false" ht="15" hidden="false" customHeight="false" outlineLevel="1" collapsed="false">
      <c r="A1059" s="7" t="s">
        <v>650</v>
      </c>
      <c r="B1059" s="8" t="s">
        <v>10</v>
      </c>
      <c r="C1059" s="58" t="n">
        <f aca="false">C941*1000*(C965+C966)+C942*1000*(C988+C989)+C943*1000*(C1011+C1012)</f>
        <v>465.092602739726</v>
      </c>
      <c r="D1059" s="58" t="n">
        <f aca="false">D941*1000*(D965+D966)+D942*1000*(D988+D989)+D943*1000*(D1011+D1012)</f>
        <v>3659.35205479452</v>
      </c>
      <c r="E1059" s="58" t="n">
        <f aca="false">E941*1000*(E965+E966)+E942*1000*(E988+E989)+E943*1000*(E1011+E1012)</f>
        <v>7289.61369863014</v>
      </c>
      <c r="F1059" s="58" t="n">
        <f aca="false">F941*1000*(F965+F966)+F942*1000*(F988+F989)+F943*1000*(F1011+F1012)</f>
        <v>12141.4047945205</v>
      </c>
      <c r="G1059" s="58" t="n">
        <f aca="false">G941*1000*(G965+G966)+G942*1000*(G988+G989)+G943*1000*(G1011+G1012)</f>
        <v>17640.6369863014</v>
      </c>
      <c r="H1059" s="2" t="s">
        <v>1223</v>
      </c>
    </row>
    <row r="1060" customFormat="false" ht="15" hidden="false" customHeight="false" outlineLevel="1" collapsed="false">
      <c r="A1060" s="7" t="s">
        <v>651</v>
      </c>
      <c r="B1060" s="8" t="s">
        <v>10</v>
      </c>
      <c r="C1060" s="58" t="n">
        <f aca="false">C941*1000*(C967+C968+C969)+C942*1000*(C990+C991+C992)+C943*1000*(C1013+C1014+C1015)</f>
        <v>2675.25</v>
      </c>
      <c r="D1060" s="58" t="n">
        <f aca="false">D941*1000*(D967+D968+D969)+D942*1000*(D990+D991+D992)+D943*1000*(D1013+D1014+D1015)</f>
        <v>29420.1875</v>
      </c>
      <c r="E1060" s="58" t="n">
        <f aca="false">E941*1000*(E967+E968+E969)+E942*1000*(E990+E991+E992)+E943*1000*(E1013+E1014+E1015)</f>
        <v>71222.5</v>
      </c>
      <c r="F1060" s="58" t="n">
        <f aca="false">F941*1000*(F967+F968+F969)+F942*1000*(F990+F991+F992)+F943*1000*(F1013+F1014+F1015)</f>
        <v>118572.625</v>
      </c>
      <c r="G1060" s="58" t="n">
        <f aca="false">G941*1000*(G967+G968+G969)+G942*1000*(G990+G991+G992)+G943*1000*(G1013+G1014+G1015)</f>
        <v>171703.75</v>
      </c>
      <c r="H1060" s="2" t="s">
        <v>1224</v>
      </c>
    </row>
    <row r="1061" customFormat="false" ht="15" hidden="false" customHeight="false" outlineLevel="1" collapsed="false">
      <c r="A1061" s="7" t="s">
        <v>637</v>
      </c>
      <c r="B1061" s="8" t="s">
        <v>10</v>
      </c>
      <c r="C1061" s="58" t="n">
        <f aca="false">C941*1000*(C970)+C942*1000*(C993)+C943*1000*(C1016)</f>
        <v>2900</v>
      </c>
      <c r="D1061" s="58" t="n">
        <f aca="false">D941*1000*(D970)+D942*1000*(D993)+D943*1000*(D1016)</f>
        <v>23595</v>
      </c>
      <c r="E1061" s="58" t="n">
        <f aca="false">E941*1000*(E970)+E942*1000*(E993)+E943*1000*(E1016)</f>
        <v>54880</v>
      </c>
      <c r="F1061" s="58" t="n">
        <f aca="false">F941*1000*(F970)+F942*1000*(F993)+F943*1000*(F1016)</f>
        <v>91670</v>
      </c>
      <c r="G1061" s="58" t="n">
        <f aca="false">G941*1000*(G970)+G942*1000*(G993)+G943*1000*(G1016)</f>
        <v>134100</v>
      </c>
      <c r="H1061" s="2" t="s">
        <v>1225</v>
      </c>
    </row>
    <row r="1062" customFormat="false" ht="15" hidden="false" customHeight="false" outlineLevel="1" collapsed="false">
      <c r="A1062" s="7" t="s">
        <v>652</v>
      </c>
      <c r="B1062" s="8" t="s">
        <v>10</v>
      </c>
      <c r="C1062" s="58" t="n">
        <f aca="false">C941*1000*(C971)+C942*1000*(C994)+C943*1000*(C1017)+C952*1000*Pressupostos!$C$97</f>
        <v>342</v>
      </c>
      <c r="D1062" s="58" t="n">
        <f aca="false">D941*1000*(D971)+D942*1000*(D994)+D943*1000*(D1017)+D952*1000*Pressupostos!$C$97</f>
        <v>2622.5</v>
      </c>
      <c r="E1062" s="58" t="n">
        <f aca="false">E941*1000*(E971)+E942*1000*(E994)+E943*1000*(E1017)+E952*1000*Pressupostos!$C$97</f>
        <v>5905</v>
      </c>
      <c r="F1062" s="58" t="n">
        <f aca="false">F941*1000*(F971)+F942*1000*(F994)+F943*1000*(F1017)+F952*1000*Pressupostos!$C$97</f>
        <v>10450</v>
      </c>
      <c r="G1062" s="58" t="n">
        <f aca="false">G941*1000*(G971)+G942*1000*(G994)+G943*1000*(G1017)+G952*1000*Pressupostos!$C$97</f>
        <v>16000</v>
      </c>
      <c r="H1062" s="2" t="s">
        <v>1226</v>
      </c>
    </row>
    <row r="1063" customFormat="false" ht="15" hidden="false" customHeight="false" outlineLevel="1" collapsed="false">
      <c r="A1063" s="7" t="s">
        <v>76</v>
      </c>
      <c r="B1063" s="8" t="s">
        <v>10</v>
      </c>
      <c r="C1063" s="58" t="n">
        <f aca="false">C941*1000*(C972)+C942*1000*(C995)+C943*1000*(C1018)+C952*1000*Pressupostos!$C$96*Pressupostos!$C$91</f>
        <v>959.88</v>
      </c>
      <c r="D1063" s="58" t="n">
        <f aca="false">D941*1000*(D972)+D942*1000*(D995)+D943*1000*(D1018)+D952*1000*Pressupostos!$C$96*Pressupostos!$C$91</f>
        <v>11317.35</v>
      </c>
      <c r="E1063" s="58" t="n">
        <f aca="false">E941*1000*(E972)+E942*1000*(E995)+E943*1000*(E1018)+E952*1000*Pressupostos!$C$96*Pressupostos!$C$91</f>
        <v>28653.75</v>
      </c>
      <c r="F1063" s="58" t="n">
        <f aca="false">F941*1000*(F972)+F942*1000*(F995)+F943*1000*(F1018)+F952*1000*Pressupostos!$C$96*Pressupostos!$C$91</f>
        <v>48759.45</v>
      </c>
      <c r="G1063" s="58" t="n">
        <f aca="false">G941*1000*(G972)+G942*1000*(G995)+G943*1000*(G1018)+G952*1000*Pressupostos!$C$96*Pressupostos!$C$91</f>
        <v>71218.5</v>
      </c>
      <c r="H1063" s="2" t="s">
        <v>1227</v>
      </c>
    </row>
    <row r="1064" customFormat="false" ht="15" hidden="false" customHeight="false" outlineLevel="1" collapsed="false">
      <c r="A1064" s="7" t="s">
        <v>653</v>
      </c>
      <c r="B1064" s="8" t="s">
        <v>10</v>
      </c>
      <c r="C1064" s="58" t="n">
        <f aca="false">C941*1000*(C973)+C942*1000*(C996)+C943*1000*(C1019)+C952*1000*Pressupostos!$F$29*Pressupostos!$C$90</f>
        <v>0</v>
      </c>
      <c r="D1064" s="58" t="n">
        <f aca="false">D941*1000*(D973)+D942*1000*(D996)+D943*1000*(D1019)+D952*1000*Pressupostos!$F$29*Pressupostos!$C$90</f>
        <v>0</v>
      </c>
      <c r="E1064" s="58" t="n">
        <f aca="false">E941*1000*(E973)+E942*1000*(E996)+E943*1000*(E1019)+E952*1000*Pressupostos!$F$29*Pressupostos!$C$90</f>
        <v>0</v>
      </c>
      <c r="F1064" s="58" t="n">
        <f aca="false">F941*1000*(F973)+F942*1000*(F996)+F943*1000*(F1019)+F952*1000*Pressupostos!$F$29*Pressupostos!$C$90</f>
        <v>420</v>
      </c>
      <c r="G1064" s="58" t="n">
        <f aca="false">G941*1000*(G973)+G942*1000*(G996)+G943*1000*(G1019)+G952*1000*Pressupostos!$F$29*Pressupostos!$C$90</f>
        <v>1050</v>
      </c>
      <c r="H1064" s="2" t="s">
        <v>1228</v>
      </c>
    </row>
    <row r="1065" customFormat="false" ht="15" hidden="false" customHeight="false" outlineLevel="1" collapsed="false">
      <c r="A1065" s="7" t="s">
        <v>654</v>
      </c>
      <c r="B1065" s="8" t="s">
        <v>10</v>
      </c>
      <c r="C1065" s="58" t="n">
        <f aca="false">C955*1000*Pressupostos!$C$102*Pressupostos!$F$30</f>
        <v>0</v>
      </c>
      <c r="D1065" s="58" t="n">
        <f aca="false">D955*1000*Pressupostos!$C$102*Pressupostos!$F$30</f>
        <v>0</v>
      </c>
      <c r="E1065" s="58" t="n">
        <f aca="false">E955*1000*Pressupostos!$C$102*Pressupostos!$F$30</f>
        <v>0</v>
      </c>
      <c r="F1065" s="58" t="n">
        <f aca="false">F955*1000*Pressupostos!$C$102*Pressupostos!$F$30</f>
        <v>0</v>
      </c>
      <c r="G1065" s="58" t="n">
        <f aca="false">G955*1000*Pressupostos!$C$102*Pressupostos!$F$30</f>
        <v>0</v>
      </c>
      <c r="H1065" s="2" t="s">
        <v>1229</v>
      </c>
    </row>
    <row r="1066" customFormat="false" ht="15" hidden="false" customHeight="false" outlineLevel="1" collapsed="false">
      <c r="A1066" s="7" t="s">
        <v>655</v>
      </c>
      <c r="B1066" s="8" t="s">
        <v>10</v>
      </c>
      <c r="C1066" s="58" t="n">
        <f aca="false">C1057+C1058+C1059+C1060+C1061+C1062+C1063+C1064+C1065</f>
        <v>15494.2226027397</v>
      </c>
      <c r="D1066" s="58" t="n">
        <f aca="false">D1057+D1058+D1059+D1060+D1061+D1062+D1063+D1064+D1065</f>
        <v>137984.389554795</v>
      </c>
      <c r="E1066" s="58" t="n">
        <f aca="false">E1057+E1058+E1059+E1060+E1061+E1062+E1063+E1064+E1065</f>
        <v>320360.86369863</v>
      </c>
      <c r="F1066" s="58" t="n">
        <f aca="false">F1057+F1058+F1059+F1060+F1061+F1062+F1063+F1064+F1065</f>
        <v>538838.479794521</v>
      </c>
      <c r="G1066" s="58" t="n">
        <f aca="false">G1057+G1058+G1059+G1060+G1061+G1062+G1063+G1064+G1065</f>
        <v>787962.886986301</v>
      </c>
      <c r="H1066" s="2" t="s">
        <v>1230</v>
      </c>
    </row>
    <row r="1067" customFormat="false" ht="15" hidden="false" customHeight="false" outlineLevel="1" collapsed="false">
      <c r="A1067" s="7" t="s">
        <v>656</v>
      </c>
      <c r="B1067" s="8" t="s">
        <v>10</v>
      </c>
      <c r="C1067" s="58" t="n">
        <f aca="false">C941*1000*(C974)+C942*1000*(C997)+C943*1000*(C1020)</f>
        <v>0</v>
      </c>
      <c r="D1067" s="58" t="n">
        <f aca="false">D941*1000*(D974)+D942*1000*(D997)+D943*1000*(D1020)</f>
        <v>38774.2191780822</v>
      </c>
      <c r="E1067" s="58" t="n">
        <f aca="false">E941*1000*(E974)+E942*1000*(E997)+E943*1000*(E1020)</f>
        <v>77308.7093321918</v>
      </c>
      <c r="F1067" s="58" t="n">
        <f aca="false">F941*1000*(F974)+F942*1000*(F997)+F943*1000*(F1020)</f>
        <v>119990.889554795</v>
      </c>
      <c r="G1067" s="58" t="n">
        <f aca="false">G941*1000*(G974)+G942*1000*(G997)+G943*1000*(G1020)</f>
        <v>174603.313356164</v>
      </c>
      <c r="H1067" s="2" t="s">
        <v>1231</v>
      </c>
    </row>
    <row r="1068" customFormat="false" ht="15" hidden="false" customHeight="false" outlineLevel="1" collapsed="false">
      <c r="A1068" s="7" t="s">
        <v>657</v>
      </c>
      <c r="B1068" s="8" t="s">
        <v>10</v>
      </c>
      <c r="C1068" s="58" t="n">
        <f aca="false">C952*1000*C1047</f>
        <v>0</v>
      </c>
      <c r="D1068" s="58" t="n">
        <f aca="false">D952*1000*D1047</f>
        <v>0</v>
      </c>
      <c r="E1068" s="58" t="n">
        <f aca="false">E952*1000*E1047</f>
        <v>0</v>
      </c>
      <c r="F1068" s="58" t="n">
        <f aca="false">F952*1000*F1047</f>
        <v>1359.24657534247</v>
      </c>
      <c r="G1068" s="58" t="n">
        <f aca="false">G952*1000*G1047</f>
        <v>3398.11643835617</v>
      </c>
      <c r="H1068" s="2" t="s">
        <v>1232</v>
      </c>
    </row>
    <row r="1069" customFormat="false" ht="15" hidden="false" customHeight="false" outlineLevel="1" collapsed="false">
      <c r="A1069" s="7" t="s">
        <v>658</v>
      </c>
      <c r="B1069" s="8" t="s">
        <v>10</v>
      </c>
      <c r="C1069" s="58" t="n">
        <f aca="false">C1067+C1068</f>
        <v>0</v>
      </c>
      <c r="D1069" s="58" t="n">
        <f aca="false">D1067+D1068</f>
        <v>38774.2191780822</v>
      </c>
      <c r="E1069" s="58" t="n">
        <f aca="false">E1067+E1068</f>
        <v>77308.7093321918</v>
      </c>
      <c r="F1069" s="58" t="n">
        <f aca="false">F1067+F1068</f>
        <v>121350.136130137</v>
      </c>
      <c r="G1069" s="58" t="n">
        <f aca="false">G1067+G1068</f>
        <v>178001.429794521</v>
      </c>
      <c r="H1069" s="2" t="s">
        <v>1233</v>
      </c>
    </row>
    <row r="1070" customFormat="false" ht="15" hidden="false" customHeight="false" outlineLevel="1" collapsed="false">
      <c r="A1070" s="8" t="s">
        <v>659</v>
      </c>
      <c r="B1070" s="8" t="s">
        <v>10</v>
      </c>
      <c r="C1070" s="66" t="n">
        <f aca="false">ROUND(C1035-C1056-C1066-C1069-C1052,6)</f>
        <v>0</v>
      </c>
      <c r="D1070" s="66" t="n">
        <f aca="false">ROUND(D1035-D1056-D1066-D1069-D1052,6)</f>
        <v>-0</v>
      </c>
      <c r="E1070" s="66" t="n">
        <f aca="false">ROUND(E1035-E1056-E1066-E1069-E1052,6)</f>
        <v>-0</v>
      </c>
      <c r="F1070" s="66" t="n">
        <f aca="false">ROUND(F1035-F1056-F1066-F1069-F1052,6)</f>
        <v>-0</v>
      </c>
      <c r="G1070" s="66" t="n">
        <f aca="false">ROUND(G1035-G1056-G1066-G1069-G1052,6)</f>
        <v>0</v>
      </c>
      <c r="H1070" s="2" t="s">
        <v>1234</v>
      </c>
    </row>
    <row r="1071" customFormat="false" ht="15" hidden="false" customHeight="false" outlineLevel="0" collapsed="false">
      <c r="A1071" s="3" t="s">
        <v>1235</v>
      </c>
      <c r="B1071" s="4"/>
      <c r="C1071" s="4"/>
      <c r="D1071" s="4"/>
      <c r="E1071" s="4"/>
      <c r="F1071" s="4"/>
      <c r="G1071" s="4"/>
      <c r="H1071" s="4"/>
    </row>
    <row r="1072" customFormat="false" ht="15" hidden="false" customHeight="false" outlineLevel="1" collapsed="false">
      <c r="A1072" s="7" t="s">
        <v>602</v>
      </c>
      <c r="B1072" s="8" t="s">
        <v>413</v>
      </c>
      <c r="C1072" s="61" t="n">
        <f aca="false">Pressupostos!$C$317</f>
        <v>1</v>
      </c>
      <c r="D1072" s="61" t="n">
        <f aca="false">Pressupostos!$D$317</f>
        <v>1</v>
      </c>
      <c r="E1072" s="61" t="n">
        <f aca="false">Pressupostos!$E$317</f>
        <v>1</v>
      </c>
      <c r="F1072" s="61" t="n">
        <f aca="false">Pressupostos!$F$317</f>
        <v>1</v>
      </c>
      <c r="G1072" s="61" t="n">
        <f aca="false">Pressupostos!$G$317</f>
        <v>1</v>
      </c>
      <c r="H1072" s="2" t="s">
        <v>1236</v>
      </c>
    </row>
    <row r="1073" customFormat="false" ht="15" hidden="false" customHeight="false" outlineLevel="1" collapsed="false">
      <c r="A1073" s="7" t="s">
        <v>603</v>
      </c>
      <c r="B1073" s="8" t="s">
        <v>413</v>
      </c>
      <c r="C1073" s="61" t="n">
        <f aca="false">Pressupostos!$C$323</f>
        <v>1</v>
      </c>
      <c r="D1073" s="61" t="n">
        <f aca="false">Pressupostos!$D$323</f>
        <v>1</v>
      </c>
      <c r="E1073" s="61" t="n">
        <f aca="false">Pressupostos!$E$323</f>
        <v>1</v>
      </c>
      <c r="F1073" s="61" t="n">
        <f aca="false">Pressupostos!$F$323</f>
        <v>1</v>
      </c>
      <c r="G1073" s="61" t="n">
        <f aca="false">Pressupostos!$G$323</f>
        <v>1</v>
      </c>
      <c r="H1073" s="2" t="s">
        <v>1237</v>
      </c>
    </row>
    <row r="1074" customFormat="false" ht="15" hidden="false" customHeight="false" outlineLevel="1" collapsed="false">
      <c r="A1074" s="7" t="s">
        <v>604</v>
      </c>
      <c r="B1074" s="8" t="s">
        <v>413</v>
      </c>
      <c r="C1074" s="61" t="n">
        <f aca="false">Pressupostos!$C$329</f>
        <v>0</v>
      </c>
      <c r="D1074" s="61" t="n">
        <f aca="false">Pressupostos!$D$329</f>
        <v>1</v>
      </c>
      <c r="E1074" s="61" t="n">
        <f aca="false">Pressupostos!$E$329</f>
        <v>1</v>
      </c>
      <c r="F1074" s="61" t="n">
        <f aca="false">Pressupostos!$F$329</f>
        <v>1</v>
      </c>
      <c r="G1074" s="61" t="n">
        <f aca="false">Pressupostos!$G$329</f>
        <v>1</v>
      </c>
      <c r="H1074" s="2" t="s">
        <v>1238</v>
      </c>
    </row>
    <row r="1075" customFormat="false" ht="15" hidden="false" customHeight="false" outlineLevel="1" collapsed="false">
      <c r="A1075" s="7" t="s">
        <v>605</v>
      </c>
      <c r="B1075" s="8" t="s">
        <v>413</v>
      </c>
      <c r="C1075" s="61" t="n">
        <f aca="false">Pressupostos!$C$335</f>
        <v>0.5</v>
      </c>
      <c r="D1075" s="61" t="n">
        <f aca="false">Pressupostos!$D$335</f>
        <v>1</v>
      </c>
      <c r="E1075" s="61" t="n">
        <f aca="false">Pressupostos!$E$335</f>
        <v>1</v>
      </c>
      <c r="F1075" s="61" t="n">
        <f aca="false">Pressupostos!$F$335</f>
        <v>1</v>
      </c>
      <c r="G1075" s="61" t="n">
        <f aca="false">Pressupostos!$G$335</f>
        <v>1</v>
      </c>
      <c r="H1075" s="2" t="s">
        <v>1239</v>
      </c>
    </row>
    <row r="1076" customFormat="false" ht="15" hidden="false" customHeight="false" outlineLevel="1" collapsed="false">
      <c r="A1076" s="7" t="s">
        <v>606</v>
      </c>
      <c r="B1076" s="8" t="s">
        <v>413</v>
      </c>
      <c r="C1076" s="61" t="n">
        <f aca="false">Pressupostos!$C$341</f>
        <v>0.5</v>
      </c>
      <c r="D1076" s="61" t="n">
        <f aca="false">Pressupostos!$D$341</f>
        <v>0.5</v>
      </c>
      <c r="E1076" s="61" t="n">
        <f aca="false">Pressupostos!$E$341</f>
        <v>0.5</v>
      </c>
      <c r="F1076" s="61" t="n">
        <f aca="false">Pressupostos!$F$341</f>
        <v>1</v>
      </c>
      <c r="G1076" s="61" t="n">
        <f aca="false">Pressupostos!$G$341</f>
        <v>1</v>
      </c>
      <c r="H1076" s="2" t="s">
        <v>1240</v>
      </c>
    </row>
    <row r="1077" customFormat="false" ht="15" hidden="false" customHeight="false" outlineLevel="1" collapsed="false">
      <c r="A1077" s="7" t="s">
        <v>607</v>
      </c>
      <c r="B1077" s="8" t="s">
        <v>413</v>
      </c>
      <c r="C1077" s="61" t="n">
        <f aca="false">Pressupostos!$C$347</f>
        <v>1</v>
      </c>
      <c r="D1077" s="61" t="n">
        <f aca="false">Pressupostos!$D$347</f>
        <v>1</v>
      </c>
      <c r="E1077" s="61" t="n">
        <f aca="false">Pressupostos!$E$347</f>
        <v>1</v>
      </c>
      <c r="F1077" s="61" t="n">
        <f aca="false">Pressupostos!$F$347</f>
        <v>1</v>
      </c>
      <c r="G1077" s="61" t="n">
        <f aca="false">Pressupostos!$G$347</f>
        <v>1</v>
      </c>
      <c r="H1077" s="2" t="s">
        <v>1241</v>
      </c>
    </row>
    <row r="1078" customFormat="false" ht="15" hidden="false" customHeight="false" outlineLevel="1" collapsed="false">
      <c r="A1078" s="7" t="s">
        <v>608</v>
      </c>
      <c r="B1078" s="8" t="s">
        <v>413</v>
      </c>
      <c r="C1078" s="61" t="n">
        <f aca="false">Pressupostos!$C$353</f>
        <v>0.5</v>
      </c>
      <c r="D1078" s="61" t="n">
        <f aca="false">Pressupostos!$D$353</f>
        <v>1</v>
      </c>
      <c r="E1078" s="61" t="n">
        <f aca="false">Pressupostos!$E$353</f>
        <v>1</v>
      </c>
      <c r="F1078" s="61" t="n">
        <f aca="false">Pressupostos!$F$353</f>
        <v>1</v>
      </c>
      <c r="G1078" s="61" t="n">
        <f aca="false">Pressupostos!$G$353</f>
        <v>1</v>
      </c>
      <c r="H1078" s="2" t="s">
        <v>1242</v>
      </c>
    </row>
    <row r="1079" customFormat="false" ht="15" hidden="false" customHeight="false" outlineLevel="1" collapsed="false">
      <c r="A1079" s="7" t="s">
        <v>609</v>
      </c>
      <c r="B1079" s="8" t="s">
        <v>413</v>
      </c>
      <c r="C1079" s="61" t="n">
        <f aca="false">Pressupostos!$C$359</f>
        <v>1</v>
      </c>
      <c r="D1079" s="61" t="n">
        <f aca="false">Pressupostos!$D$359</f>
        <v>1</v>
      </c>
      <c r="E1079" s="61" t="n">
        <f aca="false">Pressupostos!$E$359</f>
        <v>1</v>
      </c>
      <c r="F1079" s="61" t="n">
        <f aca="false">Pressupostos!$F$359</f>
        <v>2</v>
      </c>
      <c r="G1079" s="61" t="n">
        <f aca="false">Pressupostos!$G$359</f>
        <v>3</v>
      </c>
      <c r="H1079" s="2" t="s">
        <v>1243</v>
      </c>
    </row>
    <row r="1080" customFormat="false" ht="15" hidden="false" customHeight="false" outlineLevel="1" collapsed="false">
      <c r="A1080" s="7" t="s">
        <v>610</v>
      </c>
      <c r="B1080" s="8" t="s">
        <v>413</v>
      </c>
      <c r="C1080" s="61" t="n">
        <f aca="false">Pressupostos!$C$365</f>
        <v>0</v>
      </c>
      <c r="D1080" s="61" t="n">
        <f aca="false">Pressupostos!$D$365</f>
        <v>0</v>
      </c>
      <c r="E1080" s="61" t="n">
        <f aca="false">Pressupostos!$E$365</f>
        <v>0</v>
      </c>
      <c r="F1080" s="61" t="n">
        <f aca="false">Pressupostos!$F$365</f>
        <v>0</v>
      </c>
      <c r="G1080" s="61" t="n">
        <f aca="false">Pressupostos!$G$365</f>
        <v>0</v>
      </c>
      <c r="H1080" s="2" t="s">
        <v>1244</v>
      </c>
    </row>
    <row r="1081" customFormat="false" ht="15" hidden="false" customHeight="false" outlineLevel="1" collapsed="false">
      <c r="A1081" s="7" t="s">
        <v>611</v>
      </c>
      <c r="B1081" s="8" t="s">
        <v>413</v>
      </c>
      <c r="C1081" s="61" t="n">
        <f aca="false">Pressupostos!$C$371</f>
        <v>0</v>
      </c>
      <c r="D1081" s="61" t="n">
        <f aca="false">Pressupostos!$D$371</f>
        <v>0</v>
      </c>
      <c r="E1081" s="61" t="n">
        <f aca="false">Pressupostos!$E$371</f>
        <v>0</v>
      </c>
      <c r="F1081" s="61" t="n">
        <f aca="false">Pressupostos!$F$371</f>
        <v>0</v>
      </c>
      <c r="G1081" s="61" t="n">
        <f aca="false">Pressupostos!$G$371</f>
        <v>0</v>
      </c>
      <c r="H1081" s="2" t="s">
        <v>1245</v>
      </c>
    </row>
    <row r="1082" customFormat="false" ht="15" hidden="false" customHeight="false" outlineLevel="1" collapsed="false">
      <c r="A1082" s="7" t="s">
        <v>612</v>
      </c>
      <c r="B1082" s="8" t="s">
        <v>413</v>
      </c>
      <c r="C1082" s="61" t="n">
        <f aca="false">Pressupostos!$C$377</f>
        <v>0</v>
      </c>
      <c r="D1082" s="61" t="n">
        <f aca="false">Pressupostos!$D$377</f>
        <v>0</v>
      </c>
      <c r="E1082" s="61" t="n">
        <f aca="false">Pressupostos!$E$377</f>
        <v>0</v>
      </c>
      <c r="F1082" s="61" t="n">
        <f aca="false">Pressupostos!$F$377</f>
        <v>1</v>
      </c>
      <c r="G1082" s="61" t="n">
        <f aca="false">Pressupostos!$G$377</f>
        <v>1</v>
      </c>
      <c r="H1082" s="2" t="s">
        <v>1246</v>
      </c>
    </row>
    <row r="1083" customFormat="false" ht="15" hidden="false" customHeight="false" outlineLevel="1" collapsed="false">
      <c r="A1083" s="7" t="s">
        <v>613</v>
      </c>
      <c r="B1083" s="8" t="s">
        <v>413</v>
      </c>
      <c r="C1083" s="61" t="n">
        <f aca="false">Pressupostos!$C$383</f>
        <v>0</v>
      </c>
      <c r="D1083" s="61" t="n">
        <f aca="false">Pressupostos!$D$383</f>
        <v>0</v>
      </c>
      <c r="E1083" s="61" t="n">
        <f aca="false">Pressupostos!$E$383</f>
        <v>1</v>
      </c>
      <c r="F1083" s="61" t="n">
        <f aca="false">Pressupostos!$F$383</f>
        <v>1</v>
      </c>
      <c r="G1083" s="61" t="n">
        <f aca="false">Pressupostos!$G$383</f>
        <v>1</v>
      </c>
      <c r="H1083" s="2" t="s">
        <v>1247</v>
      </c>
    </row>
    <row r="1084" customFormat="false" ht="15" hidden="false" customHeight="false" outlineLevel="1" collapsed="false">
      <c r="A1084" s="52" t="s">
        <v>614</v>
      </c>
      <c r="B1084" s="53" t="s">
        <v>413</v>
      </c>
      <c r="C1084" s="62" t="n">
        <f aca="false">C1072+C1073+C1074+C1075+C1076+C1077+C1078+C1079+C1080+C1081+C1082+C1083</f>
        <v>5.5</v>
      </c>
      <c r="D1084" s="62" t="n">
        <f aca="false">D1072+D1073+D1074+D1075+D1076+D1077+D1078+D1079+D1080+D1081+D1082+D1083</f>
        <v>7.5</v>
      </c>
      <c r="E1084" s="62" t="n">
        <f aca="false">E1072+E1073+E1074+E1075+E1076+E1077+E1078+E1079+E1080+E1081+E1082+E1083</f>
        <v>8.5</v>
      </c>
      <c r="F1084" s="62" t="n">
        <f aca="false">F1072+F1073+F1074+F1075+F1076+F1077+F1078+F1079+F1080+F1081+F1082+F1083</f>
        <v>11</v>
      </c>
      <c r="G1084" s="62" t="n">
        <f aca="false">G1072+G1073+G1074+G1075+G1076+G1077+G1078+G1079+G1080+G1081+G1082+G1083</f>
        <v>12</v>
      </c>
      <c r="H1084" s="2" t="s">
        <v>1248</v>
      </c>
    </row>
    <row r="1085" customFormat="false" ht="15" hidden="false" customHeight="false" outlineLevel="0" collapsed="false">
      <c r="A1085" s="3" t="s">
        <v>1249</v>
      </c>
      <c r="B1085" s="4"/>
      <c r="C1085" s="4"/>
      <c r="D1085" s="4"/>
      <c r="E1085" s="4"/>
      <c r="F1085" s="4"/>
      <c r="G1085" s="4"/>
      <c r="H1085" s="4"/>
    </row>
    <row r="1086" customFormat="false" ht="15" hidden="false" customHeight="false" outlineLevel="1" collapsed="false">
      <c r="A1086" s="7" t="s">
        <v>602</v>
      </c>
      <c r="B1086" s="8" t="s">
        <v>10</v>
      </c>
      <c r="C1086" s="58" t="n">
        <f aca="false">C1072*Pressupostos!$C$129*(1+Pressupostos!$C$125)^0*(1+Pressupostos!$C$130)*Pressupostos!$C$126</f>
        <v>43998</v>
      </c>
      <c r="D1086" s="58" t="n">
        <f aca="false">D1072*Pressupostos!$C$129*(1+Pressupostos!$C$125)^1*(1+Pressupostos!$C$130)</f>
        <v>61800</v>
      </c>
      <c r="E1086" s="58" t="n">
        <f aca="false">E1072*Pressupostos!$C$129*(1+Pressupostos!$C$125)^2*(1+Pressupostos!$C$130)</f>
        <v>63654</v>
      </c>
      <c r="F1086" s="58" t="n">
        <f aca="false">F1072*Pressupostos!$C$129*(1+Pressupostos!$C$125)^3*(1+Pressupostos!$C$130)</f>
        <v>65563.62</v>
      </c>
      <c r="G1086" s="58" t="n">
        <f aca="false">G1072*Pressupostos!$C$129*(1+Pressupostos!$C$125)^4*(1+Pressupostos!$C$130)</f>
        <v>67530.5286</v>
      </c>
      <c r="H1086" s="2" t="s">
        <v>1250</v>
      </c>
    </row>
    <row r="1087" customFormat="false" ht="15" hidden="false" customHeight="false" outlineLevel="1" collapsed="false">
      <c r="A1087" s="7" t="s">
        <v>603</v>
      </c>
      <c r="B1087" s="8" t="s">
        <v>10</v>
      </c>
      <c r="C1087" s="58" t="n">
        <f aca="false">C1073*Pressupostos!$C$131*(1+Pressupostos!$C$125)^0*(1+Pressupostos!$C$132)*Pressupostos!$C$126</f>
        <v>47664.5</v>
      </c>
      <c r="D1087" s="58" t="n">
        <f aca="false">D1073*Pressupostos!$C$131*(1+Pressupostos!$C$125)^1*(1+Pressupostos!$C$132)</f>
        <v>66950</v>
      </c>
      <c r="E1087" s="58" t="n">
        <f aca="false">E1073*Pressupostos!$C$131*(1+Pressupostos!$C$125)^2*(1+Pressupostos!$C$132)</f>
        <v>68958.5</v>
      </c>
      <c r="F1087" s="58" t="n">
        <f aca="false">F1073*Pressupostos!$C$131*(1+Pressupostos!$C$125)^3*(1+Pressupostos!$C$132)</f>
        <v>71027.255</v>
      </c>
      <c r="G1087" s="58" t="n">
        <f aca="false">G1073*Pressupostos!$C$131*(1+Pressupostos!$C$125)^4*(1+Pressupostos!$C$132)</f>
        <v>73158.07265</v>
      </c>
      <c r="H1087" s="2" t="s">
        <v>1251</v>
      </c>
    </row>
    <row r="1088" customFormat="false" ht="15" hidden="false" customHeight="false" outlineLevel="1" collapsed="false">
      <c r="A1088" s="7" t="s">
        <v>604</v>
      </c>
      <c r="B1088" s="8" t="s">
        <v>10</v>
      </c>
      <c r="C1088" s="58" t="n">
        <f aca="false">C1074*Pressupostos!$C$133*(1+Pressupostos!$C$125)^0*(1+Pressupostos!$C$134)</f>
        <v>0</v>
      </c>
      <c r="D1088" s="58" t="n">
        <f aca="false">D1074*Pressupostos!$C$133*(1+Pressupostos!$C$125)^1*(1+Pressupostos!$C$134)</f>
        <v>46350</v>
      </c>
      <c r="E1088" s="58" t="n">
        <f aca="false">E1074*Pressupostos!$C$133*(1+Pressupostos!$C$125)^2*(1+Pressupostos!$C$134)</f>
        <v>47740.5</v>
      </c>
      <c r="F1088" s="58" t="n">
        <f aca="false">F1074*Pressupostos!$C$133*(1+Pressupostos!$C$125)^3*(1+Pressupostos!$C$134)</f>
        <v>49172.715</v>
      </c>
      <c r="G1088" s="58" t="n">
        <f aca="false">G1074*Pressupostos!$C$133*(1+Pressupostos!$C$125)^4*(1+Pressupostos!$C$134)</f>
        <v>50647.89645</v>
      </c>
      <c r="H1088" s="2" t="s">
        <v>1252</v>
      </c>
    </row>
    <row r="1089" customFormat="false" ht="15" hidden="false" customHeight="false" outlineLevel="1" collapsed="false">
      <c r="A1089" s="7" t="s">
        <v>605</v>
      </c>
      <c r="B1089" s="8" t="s">
        <v>10</v>
      </c>
      <c r="C1089" s="58" t="n">
        <f aca="false">C1075*Pressupostos!$C$135*(1+Pressupostos!$C$125)^0*(1+Pressupostos!$C$136)</f>
        <v>30000</v>
      </c>
      <c r="D1089" s="58" t="n">
        <f aca="false">D1075*Pressupostos!$C$135*(1+Pressupostos!$C$125)^1*(1+Pressupostos!$C$136)</f>
        <v>61800</v>
      </c>
      <c r="E1089" s="58" t="n">
        <f aca="false">E1075*Pressupostos!$C$135*(1+Pressupostos!$C$125)^2*(1+Pressupostos!$C$136)</f>
        <v>63654</v>
      </c>
      <c r="F1089" s="58" t="n">
        <f aca="false">F1075*Pressupostos!$C$135*(1+Pressupostos!$C$125)^3*(1+Pressupostos!$C$136)</f>
        <v>65563.62</v>
      </c>
      <c r="G1089" s="58" t="n">
        <f aca="false">G1075*Pressupostos!$C$135*(1+Pressupostos!$C$125)^4*(1+Pressupostos!$C$136)</f>
        <v>67530.5286</v>
      </c>
      <c r="H1089" s="2" t="s">
        <v>1253</v>
      </c>
    </row>
    <row r="1090" customFormat="false" ht="15" hidden="false" customHeight="false" outlineLevel="1" collapsed="false">
      <c r="A1090" s="7" t="s">
        <v>606</v>
      </c>
      <c r="B1090" s="8" t="s">
        <v>10</v>
      </c>
      <c r="C1090" s="58" t="n">
        <f aca="false">C1076*Pressupostos!$C$137*(1+Pressupostos!$C$125)^0*(1+Pressupostos!$C$138)</f>
        <v>22500</v>
      </c>
      <c r="D1090" s="58" t="n">
        <f aca="false">D1076*Pressupostos!$C$137*(1+Pressupostos!$C$125)^1*(1+Pressupostos!$C$138)</f>
        <v>23175</v>
      </c>
      <c r="E1090" s="58" t="n">
        <f aca="false">E1076*Pressupostos!$C$137*(1+Pressupostos!$C$125)^2*(1+Pressupostos!$C$138)</f>
        <v>23870.25</v>
      </c>
      <c r="F1090" s="58" t="n">
        <f aca="false">F1076*Pressupostos!$C$137*(1+Pressupostos!$C$125)^3*(1+Pressupostos!$C$138)</f>
        <v>49172.715</v>
      </c>
      <c r="G1090" s="58" t="n">
        <f aca="false">G1076*Pressupostos!$C$137*(1+Pressupostos!$C$125)^4*(1+Pressupostos!$C$138)</f>
        <v>50647.89645</v>
      </c>
      <c r="H1090" s="2" t="s">
        <v>1254</v>
      </c>
    </row>
    <row r="1091" customFormat="false" ht="15" hidden="false" customHeight="false" outlineLevel="1" collapsed="false">
      <c r="A1091" s="7" t="s">
        <v>607</v>
      </c>
      <c r="B1091" s="8" t="s">
        <v>10</v>
      </c>
      <c r="C1091" s="58" t="n">
        <f aca="false">C1077*Pressupostos!$C$139*(1+Pressupostos!$C$125)^0*(1+Pressupostos!$C$140)</f>
        <v>38000</v>
      </c>
      <c r="D1091" s="58" t="n">
        <f aca="false">D1077*Pressupostos!$C$139*(1+Pressupostos!$C$125)^1*(1+Pressupostos!$C$140)</f>
        <v>39140</v>
      </c>
      <c r="E1091" s="58" t="n">
        <f aca="false">E1077*Pressupostos!$C$139*(1+Pressupostos!$C$125)^2*(1+Pressupostos!$C$140)</f>
        <v>40314.2</v>
      </c>
      <c r="F1091" s="58" t="n">
        <f aca="false">F1077*Pressupostos!$C$139*(1+Pressupostos!$C$125)^3*(1+Pressupostos!$C$140)</f>
        <v>41523.626</v>
      </c>
      <c r="G1091" s="58" t="n">
        <f aca="false">G1077*Pressupostos!$C$139*(1+Pressupostos!$C$125)^4*(1+Pressupostos!$C$140)</f>
        <v>42769.33478</v>
      </c>
      <c r="H1091" s="2" t="s">
        <v>1255</v>
      </c>
    </row>
    <row r="1092" customFormat="false" ht="15" hidden="false" customHeight="false" outlineLevel="1" collapsed="false">
      <c r="A1092" s="7" t="s">
        <v>608</v>
      </c>
      <c r="B1092" s="8" t="s">
        <v>10</v>
      </c>
      <c r="C1092" s="58" t="n">
        <f aca="false">C1078*Pressupostos!$C$141*(1+Pressupostos!$C$125)^0*(1+Pressupostos!$C$142)</f>
        <v>16000</v>
      </c>
      <c r="D1092" s="58" t="n">
        <f aca="false">D1078*Pressupostos!$C$141*(1+Pressupostos!$C$125)^1*(1+Pressupostos!$C$142)</f>
        <v>32960</v>
      </c>
      <c r="E1092" s="58" t="n">
        <f aca="false">E1078*Pressupostos!$C$141*(1+Pressupostos!$C$125)^2*(1+Pressupostos!$C$142)</f>
        <v>33948.8</v>
      </c>
      <c r="F1092" s="58" t="n">
        <f aca="false">F1078*Pressupostos!$C$141*(1+Pressupostos!$C$125)^3*(1+Pressupostos!$C$142)</f>
        <v>34967.264</v>
      </c>
      <c r="G1092" s="58" t="n">
        <f aca="false">G1078*Pressupostos!$C$141*(1+Pressupostos!$C$125)^4*(1+Pressupostos!$C$142)</f>
        <v>36016.28192</v>
      </c>
      <c r="H1092" s="2" t="s">
        <v>1256</v>
      </c>
    </row>
    <row r="1093" customFormat="false" ht="15" hidden="false" customHeight="false" outlineLevel="1" collapsed="false">
      <c r="A1093" s="7" t="s">
        <v>609</v>
      </c>
      <c r="B1093" s="8" t="s">
        <v>10</v>
      </c>
      <c r="C1093" s="58" t="n">
        <f aca="false">C1079*Pressupostos!$C$143*(1+Pressupostos!$C$125)^0*(1+Pressupostos!$C$144)</f>
        <v>34500</v>
      </c>
      <c r="D1093" s="58" t="n">
        <f aca="false">D1079*Pressupostos!$C$143*(1+Pressupostos!$C$125)^1*(1+Pressupostos!$C$144)</f>
        <v>35535</v>
      </c>
      <c r="E1093" s="58" t="n">
        <f aca="false">E1079*Pressupostos!$C$143*(1+Pressupostos!$C$125)^2*(1+Pressupostos!$C$144)</f>
        <v>36601.05</v>
      </c>
      <c r="F1093" s="58" t="n">
        <f aca="false">F1079*Pressupostos!$C$143*(1+Pressupostos!$C$125)^3*(1+Pressupostos!$C$144)</f>
        <v>75398.163</v>
      </c>
      <c r="G1093" s="58" t="n">
        <f aca="false">G1079*Pressupostos!$C$143*(1+Pressupostos!$C$125)^4*(1+Pressupostos!$C$144)</f>
        <v>116490.161835</v>
      </c>
      <c r="H1093" s="2" t="s">
        <v>1257</v>
      </c>
    </row>
    <row r="1094" customFormat="false" ht="15" hidden="false" customHeight="false" outlineLevel="1" collapsed="false">
      <c r="A1094" s="7" t="s">
        <v>610</v>
      </c>
      <c r="B1094" s="8" t="s">
        <v>10</v>
      </c>
      <c r="C1094" s="58" t="n">
        <f aca="false">C1080*Pressupostos!$C$145*(1+Pressupostos!$C$125)^0*(1+Pressupostos!$C$146)</f>
        <v>0</v>
      </c>
      <c r="D1094" s="58" t="n">
        <f aca="false">D1080*Pressupostos!$C$145*(1+Pressupostos!$C$125)^1*(1+Pressupostos!$C$146)</f>
        <v>0</v>
      </c>
      <c r="E1094" s="58" t="n">
        <f aca="false">E1080*Pressupostos!$C$145*(1+Pressupostos!$C$125)^2*(1+Pressupostos!$C$146)</f>
        <v>0</v>
      </c>
      <c r="F1094" s="58" t="n">
        <f aca="false">F1080*Pressupostos!$C$145*(1+Pressupostos!$C$125)^3*(1+Pressupostos!$C$146)</f>
        <v>0</v>
      </c>
      <c r="G1094" s="58" t="n">
        <f aca="false">G1080*Pressupostos!$C$145*(1+Pressupostos!$C$125)^4*(1+Pressupostos!$C$146)</f>
        <v>0</v>
      </c>
      <c r="H1094" s="2" t="s">
        <v>1258</v>
      </c>
    </row>
    <row r="1095" customFormat="false" ht="15" hidden="false" customHeight="false" outlineLevel="1" collapsed="false">
      <c r="A1095" s="7" t="s">
        <v>611</v>
      </c>
      <c r="B1095" s="8" t="s">
        <v>10</v>
      </c>
      <c r="C1095" s="58" t="n">
        <f aca="false">C1081*Pressupostos!$C$147*(1+Pressupostos!$C$125)^0*(1+Pressupostos!$C$148)</f>
        <v>0</v>
      </c>
      <c r="D1095" s="58" t="n">
        <f aca="false">D1081*Pressupostos!$C$147*(1+Pressupostos!$C$125)^1*(1+Pressupostos!$C$148)</f>
        <v>0</v>
      </c>
      <c r="E1095" s="58" t="n">
        <f aca="false">E1081*Pressupostos!$C$147*(1+Pressupostos!$C$125)^2*(1+Pressupostos!$C$148)</f>
        <v>0</v>
      </c>
      <c r="F1095" s="58" t="n">
        <f aca="false">F1081*Pressupostos!$C$147*(1+Pressupostos!$C$125)^3*(1+Pressupostos!$C$148)</f>
        <v>0</v>
      </c>
      <c r="G1095" s="58" t="n">
        <f aca="false">G1081*Pressupostos!$C$147*(1+Pressupostos!$C$125)^4*(1+Pressupostos!$C$148)</f>
        <v>0</v>
      </c>
      <c r="H1095" s="2" t="s">
        <v>1259</v>
      </c>
    </row>
    <row r="1096" customFormat="false" ht="15" hidden="false" customHeight="false" outlineLevel="1" collapsed="false">
      <c r="A1096" s="7" t="s">
        <v>612</v>
      </c>
      <c r="B1096" s="8" t="s">
        <v>10</v>
      </c>
      <c r="C1096" s="58" t="n">
        <f aca="false">C1082*Pressupostos!$C$149*(1+Pressupostos!$C$125)^0*(1+Pressupostos!$C$150)</f>
        <v>0</v>
      </c>
      <c r="D1096" s="58" t="n">
        <f aca="false">D1082*Pressupostos!$C$149*(1+Pressupostos!$C$125)^1*(1+Pressupostos!$C$150)</f>
        <v>0</v>
      </c>
      <c r="E1096" s="58" t="n">
        <f aca="false">E1082*Pressupostos!$C$149*(1+Pressupostos!$C$125)^2*(1+Pressupostos!$C$150)</f>
        <v>0</v>
      </c>
      <c r="F1096" s="58" t="n">
        <f aca="false">F1082*Pressupostos!$C$149*(1+Pressupostos!$C$125)^3*(1+Pressupostos!$C$150)</f>
        <v>26225.448</v>
      </c>
      <c r="G1096" s="58" t="n">
        <f aca="false">G1082*Pressupostos!$C$149*(1+Pressupostos!$C$125)^4*(1+Pressupostos!$C$150)</f>
        <v>27012.21144</v>
      </c>
      <c r="H1096" s="2" t="s">
        <v>1260</v>
      </c>
    </row>
    <row r="1097" customFormat="false" ht="15" hidden="false" customHeight="false" outlineLevel="1" collapsed="false">
      <c r="A1097" s="7" t="s">
        <v>613</v>
      </c>
      <c r="B1097" s="8" t="s">
        <v>10</v>
      </c>
      <c r="C1097" s="58" t="n">
        <f aca="false">C1083*Pressupostos!$C$151*(1+Pressupostos!$C$125)^0*(1+Pressupostos!$C$152)</f>
        <v>0</v>
      </c>
      <c r="D1097" s="58" t="n">
        <f aca="false">D1083*Pressupostos!$C$151*(1+Pressupostos!$C$125)^1*(1+Pressupostos!$C$152)</f>
        <v>0</v>
      </c>
      <c r="E1097" s="58" t="n">
        <f aca="false">E1083*Pressupostos!$C$151*(1+Pressupostos!$C$125)^2*(1+Pressupostos!$C$152)</f>
        <v>54901.575</v>
      </c>
      <c r="F1097" s="58" t="n">
        <f aca="false">F1083*Pressupostos!$C$151*(1+Pressupostos!$C$125)^3*(1+Pressupostos!$C$152)</f>
        <v>56548.62225</v>
      </c>
      <c r="G1097" s="58" t="n">
        <f aca="false">G1083*Pressupostos!$C$151*(1+Pressupostos!$C$125)^4*(1+Pressupostos!$C$152)</f>
        <v>58245.0809175</v>
      </c>
      <c r="H1097" s="2" t="s">
        <v>1261</v>
      </c>
    </row>
    <row r="1098" customFormat="false" ht="15" hidden="false" customHeight="false" outlineLevel="1" collapsed="false">
      <c r="A1098" s="7" t="s">
        <v>616</v>
      </c>
      <c r="B1098" s="8" t="s">
        <v>10</v>
      </c>
      <c r="C1098" s="58" t="n">
        <f aca="false">C1086+C1087+C1088+C1089+C1090+C1091+C1092+C1093+C1094+C1095+C1096+C1097</f>
        <v>232662.5</v>
      </c>
      <c r="D1098" s="58" t="n">
        <f aca="false">D1086+D1087+D1088+D1089+D1090+D1091+D1092+D1093+D1094+D1095+D1096+D1097</f>
        <v>367710</v>
      </c>
      <c r="E1098" s="58" t="n">
        <f aca="false">E1086+E1087+E1088+E1089+E1090+E1091+E1092+E1093+E1094+E1095+E1096+E1097</f>
        <v>433642.875</v>
      </c>
      <c r="F1098" s="58" t="n">
        <f aca="false">F1086+F1087+F1088+F1089+F1090+F1091+F1092+F1093+F1094+F1095+F1096+F1097</f>
        <v>535163.04825</v>
      </c>
      <c r="G1098" s="58" t="n">
        <f aca="false">G1086+G1087+G1088+G1089+G1090+G1091+G1092+G1093+G1094+G1095+G1096+G1097</f>
        <v>590047.9936425</v>
      </c>
      <c r="H1098" s="2" t="s">
        <v>1262</v>
      </c>
    </row>
    <row r="1099" customFormat="false" ht="15" hidden="false" customHeight="false" outlineLevel="1" collapsed="false">
      <c r="A1099" s="7" t="s">
        <v>617</v>
      </c>
      <c r="B1099" s="8" t="s">
        <v>10</v>
      </c>
      <c r="C1099" s="58" t="n">
        <f aca="false">C1098*(Pressupostos!$C$122+Pressupostos!$C$123)</f>
        <v>59910.59375</v>
      </c>
      <c r="D1099" s="58" t="n">
        <f aca="false">D1098*(Pressupostos!$C$122+Pressupostos!$C$123)</f>
        <v>94685.325</v>
      </c>
      <c r="E1099" s="58" t="n">
        <f aca="false">E1098*(Pressupostos!$C$122+Pressupostos!$C$123)</f>
        <v>111663.0403125</v>
      </c>
      <c r="F1099" s="58" t="n">
        <f aca="false">F1098*(Pressupostos!$C$122+Pressupostos!$C$123)</f>
        <v>137804.484924375</v>
      </c>
      <c r="G1099" s="58" t="n">
        <f aca="false">G1098*(Pressupostos!$C$122+Pressupostos!$C$123)</f>
        <v>151937.358362944</v>
      </c>
      <c r="H1099" s="2" t="s">
        <v>1263</v>
      </c>
    </row>
    <row r="1100" customFormat="false" ht="15" hidden="false" customHeight="false" outlineLevel="1" collapsed="false">
      <c r="A1100" s="7" t="s">
        <v>618</v>
      </c>
      <c r="B1100" s="8" t="s">
        <v>10</v>
      </c>
      <c r="C1100" s="58" t="n">
        <f aca="false">C1084*Pressupostos!$C$124*(1+Pressupostos!$C$125)^0</f>
        <v>11000</v>
      </c>
      <c r="D1100" s="58" t="n">
        <f aca="false">D1084*Pressupostos!$C$124*(1+Pressupostos!$C$125)^1</f>
        <v>15450</v>
      </c>
      <c r="E1100" s="58" t="n">
        <f aca="false">E1084*Pressupostos!$C$124*(1+Pressupostos!$C$125)^2</f>
        <v>18035.3</v>
      </c>
      <c r="F1100" s="58" t="n">
        <f aca="false">F1084*Pressupostos!$C$124*(1+Pressupostos!$C$125)^3</f>
        <v>24039.994</v>
      </c>
      <c r="G1100" s="58" t="n">
        <f aca="false">G1084*Pressupostos!$C$124*(1+Pressupostos!$C$125)^4</f>
        <v>27012.21144</v>
      </c>
      <c r="H1100" s="2" t="s">
        <v>1264</v>
      </c>
    </row>
    <row r="1101" customFormat="false" ht="15" hidden="false" customHeight="false" outlineLevel="1" collapsed="false">
      <c r="A1101" s="52" t="s">
        <v>619</v>
      </c>
      <c r="B1101" s="53" t="s">
        <v>10</v>
      </c>
      <c r="C1101" s="59" t="n">
        <f aca="false">C1098+C1099+C1100</f>
        <v>303573.09375</v>
      </c>
      <c r="D1101" s="59" t="n">
        <f aca="false">D1098+D1099+D1100</f>
        <v>477845.325</v>
      </c>
      <c r="E1101" s="59" t="n">
        <f aca="false">E1098+E1099+E1100</f>
        <v>563341.2153125</v>
      </c>
      <c r="F1101" s="59" t="n">
        <f aca="false">F1098+F1099+F1100</f>
        <v>697007.527174375</v>
      </c>
      <c r="G1101" s="59" t="n">
        <f aca="false">G1098+G1099+G1100</f>
        <v>768997.563445444</v>
      </c>
      <c r="H1101" s="2" t="s">
        <v>1265</v>
      </c>
    </row>
    <row r="1102" customFormat="false" ht="15" hidden="false" customHeight="false" outlineLevel="1" collapsed="false">
      <c r="A1102" s="2" t="s">
        <v>620</v>
      </c>
      <c r="B1102" s="8" t="s">
        <v>10</v>
      </c>
      <c r="C1102" s="58" t="n">
        <f aca="false">IF(C1084&gt;0,C1101/C1084,0)</f>
        <v>55195.1079545455</v>
      </c>
      <c r="D1102" s="58" t="n">
        <f aca="false">IF(D1084&gt;0,D1101/D1084,0)</f>
        <v>63712.71</v>
      </c>
      <c r="E1102" s="58" t="n">
        <f aca="false">IF(E1084&gt;0,E1101/E1084,0)</f>
        <v>66275.4370955882</v>
      </c>
      <c r="F1102" s="58" t="n">
        <f aca="false">IF(F1084&gt;0,F1101/F1084,0)</f>
        <v>63364.3206522159</v>
      </c>
      <c r="G1102" s="58" t="n">
        <f aca="false">IF(G1084&gt;0,G1101/G1084,0)</f>
        <v>64083.1302871203</v>
      </c>
      <c r="H1102" s="2" t="s">
        <v>1266</v>
      </c>
    </row>
    <row r="1103" customFormat="false" ht="15" hidden="false" customHeight="false" outlineLevel="0" collapsed="false">
      <c r="A1103" s="3" t="s">
        <v>1267</v>
      </c>
      <c r="B1103" s="4"/>
      <c r="C1103" s="4"/>
      <c r="D1103" s="4"/>
      <c r="E1103" s="4"/>
      <c r="F1103" s="4"/>
      <c r="G1103" s="4"/>
      <c r="H1103" s="4"/>
    </row>
    <row r="1104" customFormat="false" ht="15" hidden="false" customHeight="false" outlineLevel="1" collapsed="false">
      <c r="A1104" s="7" t="s">
        <v>430</v>
      </c>
      <c r="B1104" s="8" t="s">
        <v>10</v>
      </c>
      <c r="C1104" s="58" t="n">
        <f aca="false">Pressupostos!$C$390*(1+Pressupostos!$C$154)*(1+Pressupostos!$C$155)^0</f>
        <v>94500</v>
      </c>
      <c r="D1104" s="58" t="n">
        <f aca="false">Pressupostos!$D$390*(1+Pressupostos!$C$154)*(1+Pressupostos!$C$155)^1</f>
        <v>53550</v>
      </c>
      <c r="E1104" s="58" t="n">
        <f aca="false">Pressupostos!$E$390*(1+Pressupostos!$C$154)*(1+Pressupostos!$C$155)^2</f>
        <v>49158.9</v>
      </c>
      <c r="F1104" s="58" t="n">
        <f aca="false">Pressupostos!$F$390*(1+Pressupostos!$C$154)*(1+Pressupostos!$C$155)^3</f>
        <v>50142.078</v>
      </c>
      <c r="G1104" s="58" t="n">
        <f aca="false">Pressupostos!$G$390*(1+Pressupostos!$C$154)*(1+Pressupostos!$C$155)^4</f>
        <v>51144.91956</v>
      </c>
      <c r="H1104" s="2" t="s">
        <v>1268</v>
      </c>
    </row>
    <row r="1105" customFormat="false" ht="15" hidden="false" customHeight="false" outlineLevel="1" collapsed="false">
      <c r="A1105" s="7" t="s">
        <v>432</v>
      </c>
      <c r="B1105" s="8" t="s">
        <v>10</v>
      </c>
      <c r="C1105" s="58" t="n">
        <f aca="false">Pressupostos!$C$396*(1+Pressupostos!$C$154)*(1+Pressupostos!$C$155)^0</f>
        <v>10500</v>
      </c>
      <c r="D1105" s="58" t="n">
        <f aca="false">Pressupostos!$D$396*(1+Pressupostos!$C$154)*(1+Pressupostos!$C$155)^1</f>
        <v>10710</v>
      </c>
      <c r="E1105" s="58" t="n">
        <f aca="false">Pressupostos!$E$396*(1+Pressupostos!$C$154)*(1+Pressupostos!$C$155)^2</f>
        <v>10924.2</v>
      </c>
      <c r="F1105" s="58" t="n">
        <f aca="false">Pressupostos!$F$396*(1+Pressupostos!$C$154)*(1+Pressupostos!$C$155)^3</f>
        <v>11142.684</v>
      </c>
      <c r="G1105" s="58" t="n">
        <f aca="false">Pressupostos!$G$396*(1+Pressupostos!$C$154)*(1+Pressupostos!$C$155)^4</f>
        <v>11365.53768</v>
      </c>
      <c r="H1105" s="2" t="s">
        <v>1269</v>
      </c>
    </row>
    <row r="1106" customFormat="false" ht="15" hidden="false" customHeight="false" outlineLevel="1" collapsed="false">
      <c r="A1106" s="7" t="s">
        <v>433</v>
      </c>
      <c r="B1106" s="8" t="s">
        <v>10</v>
      </c>
      <c r="C1106" s="58" t="n">
        <f aca="false">Pressupostos!$C$402*(1+Pressupostos!$C$154)*(1+Pressupostos!$C$155)^0</f>
        <v>12600</v>
      </c>
      <c r="D1106" s="58" t="n">
        <f aca="false">Pressupostos!$D$402*(1+Pressupostos!$C$154)*(1+Pressupostos!$C$155)^1</f>
        <v>12852</v>
      </c>
      <c r="E1106" s="58" t="n">
        <f aca="false">Pressupostos!$E$402*(1+Pressupostos!$C$154)*(1+Pressupostos!$C$155)^2</f>
        <v>13109.04</v>
      </c>
      <c r="F1106" s="58" t="n">
        <f aca="false">Pressupostos!$F$402*(1+Pressupostos!$C$154)*(1+Pressupostos!$C$155)^3</f>
        <v>13371.2208</v>
      </c>
      <c r="G1106" s="58" t="n">
        <f aca="false">Pressupostos!$G$402*(1+Pressupostos!$C$154)*(1+Pressupostos!$C$155)^4</f>
        <v>13638.645216</v>
      </c>
      <c r="H1106" s="2" t="s">
        <v>1270</v>
      </c>
    </row>
    <row r="1107" customFormat="false" ht="15" hidden="false" customHeight="false" outlineLevel="1" collapsed="false">
      <c r="A1107" s="7" t="s">
        <v>435</v>
      </c>
      <c r="B1107" s="8" t="s">
        <v>10</v>
      </c>
      <c r="C1107" s="58" t="n">
        <f aca="false">Pressupostos!$C$408*(1+Pressupostos!$C$154)*(1+Pressupostos!$C$155)^0</f>
        <v>31500</v>
      </c>
      <c r="D1107" s="58" t="n">
        <f aca="false">Pressupostos!$D$408*(1+Pressupostos!$C$154)*(1+Pressupostos!$C$155)^1</f>
        <v>37485</v>
      </c>
      <c r="E1107" s="58" t="n">
        <f aca="false">Pressupostos!$E$408*(1+Pressupostos!$C$154)*(1+Pressupostos!$C$155)^2</f>
        <v>49158.9</v>
      </c>
      <c r="F1107" s="58" t="n">
        <f aca="false">Pressupostos!$F$408*(1+Pressupostos!$C$154)*(1+Pressupostos!$C$155)^3</f>
        <v>55713.42</v>
      </c>
      <c r="G1107" s="58" t="n">
        <f aca="false">Pressupostos!$G$408*(1+Pressupostos!$C$154)*(1+Pressupostos!$C$155)^4</f>
        <v>62510.45724</v>
      </c>
      <c r="H1107" s="2" t="s">
        <v>1271</v>
      </c>
    </row>
    <row r="1108" customFormat="false" ht="15" hidden="false" customHeight="false" outlineLevel="1" collapsed="false">
      <c r="A1108" s="7" t="s">
        <v>437</v>
      </c>
      <c r="B1108" s="8" t="s">
        <v>10</v>
      </c>
      <c r="C1108" s="58" t="n">
        <f aca="false">Pressupostos!$C$414*(1+Pressupostos!$C$154)*(1+Pressupostos!$C$155)^0</f>
        <v>15750</v>
      </c>
      <c r="D1108" s="58" t="n">
        <f aca="false">Pressupostos!$D$414*(1+Pressupostos!$C$154)*(1+Pressupostos!$C$155)^1</f>
        <v>16065</v>
      </c>
      <c r="E1108" s="58" t="n">
        <f aca="false">Pressupostos!$E$414*(1+Pressupostos!$C$154)*(1+Pressupostos!$C$155)^2</f>
        <v>38234.7</v>
      </c>
      <c r="F1108" s="58" t="n">
        <f aca="false">Pressupostos!$F$414*(1+Pressupostos!$C$154)*(1+Pressupostos!$C$155)^3</f>
        <v>22285.368</v>
      </c>
      <c r="G1108" s="58" t="n">
        <f aca="false">Pressupostos!$G$414*(1+Pressupostos!$C$154)*(1+Pressupostos!$C$155)^4</f>
        <v>22731.07536</v>
      </c>
      <c r="H1108" s="2" t="s">
        <v>1272</v>
      </c>
    </row>
    <row r="1109" customFormat="false" ht="15" hidden="false" customHeight="false" outlineLevel="1" collapsed="false">
      <c r="A1109" s="7" t="s">
        <v>439</v>
      </c>
      <c r="B1109" s="8" t="s">
        <v>10</v>
      </c>
      <c r="C1109" s="58" t="n">
        <f aca="false">Pressupostos!$C$420*(1+Pressupostos!$C$154)*(1+Pressupostos!$C$155)^0</f>
        <v>10500</v>
      </c>
      <c r="D1109" s="58" t="n">
        <f aca="false">Pressupostos!$D$420*(1+Pressupostos!$C$154)*(1+Pressupostos!$C$155)^1</f>
        <v>12852</v>
      </c>
      <c r="E1109" s="58" t="n">
        <f aca="false">Pressupostos!$E$420*(1+Pressupostos!$C$154)*(1+Pressupostos!$C$155)^2</f>
        <v>16386.3</v>
      </c>
      <c r="F1109" s="58" t="n">
        <f aca="false">Pressupostos!$F$420*(1+Pressupostos!$C$154)*(1+Pressupostos!$C$155)^3</f>
        <v>20056.8312</v>
      </c>
      <c r="G1109" s="58" t="n">
        <f aca="false">Pressupostos!$G$420*(1+Pressupostos!$C$154)*(1+Pressupostos!$C$155)^4</f>
        <v>22731.07536</v>
      </c>
      <c r="H1109" s="2" t="s">
        <v>1273</v>
      </c>
    </row>
    <row r="1110" customFormat="false" ht="15" hidden="false" customHeight="false" outlineLevel="1" collapsed="false">
      <c r="A1110" s="7" t="s">
        <v>440</v>
      </c>
      <c r="B1110" s="8" t="s">
        <v>10</v>
      </c>
      <c r="C1110" s="58" t="n">
        <f aca="false">Pressupostos!$C$426*(1+Pressupostos!$C$154)*(1+Pressupostos!$C$155)^0</f>
        <v>31500</v>
      </c>
      <c r="D1110" s="58" t="n">
        <f aca="false">Pressupostos!$D$426*(1+Pressupostos!$C$154)*(1+Pressupostos!$C$155)^1</f>
        <v>37485</v>
      </c>
      <c r="E1110" s="58" t="n">
        <f aca="false">Pressupostos!$E$426*(1+Pressupostos!$C$154)*(1+Pressupostos!$C$155)^2</f>
        <v>49158.9</v>
      </c>
      <c r="F1110" s="58" t="n">
        <f aca="false">Pressupostos!$F$426*(1+Pressupostos!$C$154)*(1+Pressupostos!$C$155)^3</f>
        <v>55713.42</v>
      </c>
      <c r="G1110" s="58" t="n">
        <f aca="false">Pressupostos!$G$426*(1+Pressupostos!$C$154)*(1+Pressupostos!$C$155)^4</f>
        <v>62510.45724</v>
      </c>
      <c r="H1110" s="2" t="s">
        <v>1274</v>
      </c>
    </row>
    <row r="1111" customFormat="false" ht="15" hidden="false" customHeight="false" outlineLevel="1" collapsed="false">
      <c r="A1111" s="7" t="s">
        <v>442</v>
      </c>
      <c r="B1111" s="8" t="s">
        <v>10</v>
      </c>
      <c r="C1111" s="58" t="n">
        <f aca="false">Pressupostos!$C$432*(1+Pressupostos!$C$154)*(1+Pressupostos!$C$155)^0</f>
        <v>6300</v>
      </c>
      <c r="D1111" s="58" t="n">
        <f aca="false">Pressupostos!$D$432*(1+Pressupostos!$C$154)*(1+Pressupostos!$C$155)^1</f>
        <v>8568</v>
      </c>
      <c r="E1111" s="58" t="n">
        <f aca="false">Pressupostos!$E$432*(1+Pressupostos!$C$154)*(1+Pressupostos!$C$155)^2</f>
        <v>13109.04</v>
      </c>
      <c r="F1111" s="58" t="n">
        <f aca="false">Pressupostos!$F$432*(1+Pressupostos!$C$154)*(1+Pressupostos!$C$155)^3</f>
        <v>16714.026</v>
      </c>
      <c r="G1111" s="58" t="n">
        <f aca="false">Pressupostos!$G$432*(1+Pressupostos!$C$154)*(1+Pressupostos!$C$155)^4</f>
        <v>20457.967824</v>
      </c>
      <c r="H1111" s="2" t="s">
        <v>1275</v>
      </c>
    </row>
    <row r="1112" customFormat="false" ht="15" hidden="false" customHeight="false" outlineLevel="1" collapsed="false">
      <c r="A1112" s="7" t="s">
        <v>444</v>
      </c>
      <c r="B1112" s="8" t="s">
        <v>10</v>
      </c>
      <c r="C1112" s="58" t="n">
        <f aca="false">Pressupostos!$C$438*(1+Pressupostos!$C$154)*(1+Pressupostos!$C$155)^0</f>
        <v>15750</v>
      </c>
      <c r="D1112" s="58" t="n">
        <f aca="false">Pressupostos!$D$438*(1+Pressupostos!$C$154)*(1+Pressupostos!$C$155)^1</f>
        <v>21420</v>
      </c>
      <c r="E1112" s="58" t="n">
        <f aca="false">Pressupostos!$E$438*(1+Pressupostos!$C$154)*(1+Pressupostos!$C$155)^2</f>
        <v>30587.76</v>
      </c>
      <c r="F1112" s="58" t="n">
        <f aca="false">Pressupostos!$F$438*(1+Pressupostos!$C$154)*(1+Pressupostos!$C$155)^3</f>
        <v>35656.5888</v>
      </c>
      <c r="G1112" s="58" t="n">
        <f aca="false">Pressupostos!$G$438*(1+Pressupostos!$C$154)*(1+Pressupostos!$C$155)^4</f>
        <v>40915.935648</v>
      </c>
      <c r="H1112" s="2" t="s">
        <v>1276</v>
      </c>
    </row>
    <row r="1113" customFormat="false" ht="15" hidden="false" customHeight="false" outlineLevel="1" collapsed="false">
      <c r="A1113" s="7" t="s">
        <v>445</v>
      </c>
      <c r="B1113" s="8" t="s">
        <v>10</v>
      </c>
      <c r="C1113" s="58" t="n">
        <f aca="false">Pressupostos!$C$444*(1+Pressupostos!$C$154)*(1+Pressupostos!$C$155)^0</f>
        <v>4200</v>
      </c>
      <c r="D1113" s="58" t="n">
        <f aca="false">Pressupostos!$D$444*(1+Pressupostos!$C$154)*(1+Pressupostos!$C$155)^1</f>
        <v>6426</v>
      </c>
      <c r="E1113" s="58" t="n">
        <f aca="false">Pressupostos!$E$444*(1+Pressupostos!$C$154)*(1+Pressupostos!$C$155)^2</f>
        <v>8739.36</v>
      </c>
      <c r="F1113" s="58" t="n">
        <f aca="false">Pressupostos!$F$444*(1+Pressupostos!$C$154)*(1+Pressupostos!$C$155)^3</f>
        <v>8914.1472</v>
      </c>
      <c r="G1113" s="58" t="n">
        <f aca="false">Pressupostos!$G$444*(1+Pressupostos!$C$154)*(1+Pressupostos!$C$155)^4</f>
        <v>9092.430144</v>
      </c>
      <c r="H1113" s="2" t="s">
        <v>1277</v>
      </c>
    </row>
    <row r="1114" customFormat="false" ht="15" hidden="false" customHeight="false" outlineLevel="1" collapsed="false">
      <c r="A1114" s="7" t="s">
        <v>661</v>
      </c>
      <c r="B1114" s="8" t="s">
        <v>10</v>
      </c>
      <c r="C1114" s="58" t="n">
        <f aca="false">C1104+C1105+C1106+C1107+C1108+C1109+C1110+C1111+C1112+C1113</f>
        <v>233100</v>
      </c>
      <c r="D1114" s="58" t="n">
        <f aca="false">D1104+D1105+D1106+D1107+D1108+D1109+D1110+D1111+D1112+D1113</f>
        <v>217413</v>
      </c>
      <c r="E1114" s="58" t="n">
        <f aca="false">E1104+E1105+E1106+E1107+E1108+E1109+E1110+E1111+E1112+E1113</f>
        <v>278567.1</v>
      </c>
      <c r="F1114" s="58" t="n">
        <f aca="false">F1104+F1105+F1106+F1107+F1108+F1109+F1110+F1111+F1112+F1113</f>
        <v>289709.784</v>
      </c>
      <c r="G1114" s="58" t="n">
        <f aca="false">G1104+G1105+G1106+G1107+G1108+G1109+G1110+G1111+G1112+G1113</f>
        <v>317098.501272</v>
      </c>
      <c r="H1114" s="2" t="s">
        <v>1278</v>
      </c>
    </row>
    <row r="1115" customFormat="false" ht="15" hidden="false" customHeight="false" outlineLevel="1" collapsed="false">
      <c r="A1115" s="7" t="s">
        <v>662</v>
      </c>
      <c r="B1115" s="8" t="s">
        <v>10</v>
      </c>
      <c r="C1115" s="58" t="n">
        <f aca="false">Pressupostos!$C$112+Pressupostos!$C$113+Pressupostos!$C$114*Pressupostos!$C$291+Pressupostos!$C$449</f>
        <v>65000</v>
      </c>
      <c r="D1115" s="58" t="n">
        <f aca="false">Pressupostos!$C$113+Pressupostos!$C$114*Pressupostos!$D$291+Pressupostos!$D$449</f>
        <v>65000</v>
      </c>
      <c r="E1115" s="58" t="n">
        <f aca="false">Pressupostos!$C$113+Pressupostos!$C$114*Pressupostos!$E$291+Pressupostos!$E$449</f>
        <v>70000</v>
      </c>
      <c r="F1115" s="58" t="n">
        <f aca="false">Pressupostos!$C$113+Pressupostos!$C$114*Pressupostos!$F$291+Pressupostos!$F$449</f>
        <v>75000</v>
      </c>
      <c r="G1115" s="58" t="n">
        <f aca="false">Pressupostos!$C$113+Pressupostos!$C$114*Pressupostos!$G$291+Pressupostos!$G$449</f>
        <v>80000</v>
      </c>
      <c r="H1115" s="2" t="s">
        <v>1279</v>
      </c>
    </row>
    <row r="1116" customFormat="false" ht="15" hidden="false" customHeight="false" outlineLevel="1" collapsed="false">
      <c r="A1116" s="7" t="s">
        <v>663</v>
      </c>
      <c r="B1116" s="8" t="s">
        <v>10</v>
      </c>
      <c r="C1116" s="58" t="n">
        <f aca="false">IF(C938&lt;Pressupostos!$C$118,0,MAX(Pressupostos!$C$297,Pressupostos!$C$116*(C1026+C1027)+Pressupostos!$C$117*C1028))</f>
        <v>0</v>
      </c>
      <c r="D1116" s="58" t="n">
        <f aca="false">IF(D938&lt;Pressupostos!$C$118,0,MAX(Pressupostos!$D$297,Pressupostos!$C$116*(D1026+D1027)+Pressupostos!$C$117*D1028))</f>
        <v>10775.6</v>
      </c>
      <c r="E1116" s="58" t="n">
        <f aca="false">IF(E938&lt;Pressupostos!$C$118,0,MAX(Pressupostos!$E$297,Pressupostos!$C$116*(E1026+E1027)+Pressupostos!$C$117*E1028))</f>
        <v>25483.8</v>
      </c>
      <c r="F1116" s="58" t="n">
        <f aca="false">IF(F938&lt;Pressupostos!$C$118,0,MAX(Pressupostos!$F$297,Pressupostos!$C$116*(F1026+F1027)+Pressupostos!$C$117*F1028))</f>
        <v>42407</v>
      </c>
      <c r="G1116" s="58" t="n">
        <f aca="false">IF(G938&lt;Pressupostos!$C$118,0,MAX(Pressupostos!$G$297,Pressupostos!$C$116*(G1026+G1027)+Pressupostos!$C$117*G1028))</f>
        <v>61840</v>
      </c>
      <c r="H1116" s="2" t="s">
        <v>1280</v>
      </c>
    </row>
    <row r="1117" customFormat="false" ht="15" hidden="false" customHeight="false" outlineLevel="1" collapsed="false">
      <c r="A1117" s="52" t="s">
        <v>664</v>
      </c>
      <c r="B1117" s="53" t="s">
        <v>10</v>
      </c>
      <c r="C1117" s="59" t="n">
        <f aca="false">C1114+C1115+C1116</f>
        <v>298100</v>
      </c>
      <c r="D1117" s="59" t="n">
        <f aca="false">D1114+D1115+D1116</f>
        <v>293188.6</v>
      </c>
      <c r="E1117" s="59" t="n">
        <f aca="false">E1114+E1115+E1116</f>
        <v>374050.9</v>
      </c>
      <c r="F1117" s="59" t="n">
        <f aca="false">F1114+F1115+F1116</f>
        <v>407116.784</v>
      </c>
      <c r="G1117" s="59" t="n">
        <f aca="false">G1114+G1115+G1116</f>
        <v>458938.501272</v>
      </c>
      <c r="H1117" s="2" t="s">
        <v>1281</v>
      </c>
    </row>
    <row r="1118" customFormat="false" ht="15" hidden="false" customHeight="false" outlineLevel="0" collapsed="false">
      <c r="A1118" s="3" t="s">
        <v>1282</v>
      </c>
      <c r="B1118" s="4"/>
      <c r="C1118" s="4"/>
      <c r="D1118" s="4"/>
      <c r="E1118" s="4"/>
      <c r="F1118" s="4"/>
      <c r="G1118" s="4"/>
      <c r="H1118" s="4"/>
    </row>
    <row r="1119" customFormat="false" ht="15" hidden="false" customHeight="false" outlineLevel="1" collapsed="false">
      <c r="A1119" s="7" t="s">
        <v>666</v>
      </c>
      <c r="B1119" s="8" t="s">
        <v>10</v>
      </c>
      <c r="C1119" s="58" t="n">
        <f aca="false">Pressupostos!$C$163*Pressupostos!$C$304</f>
        <v>18000</v>
      </c>
      <c r="D1119" s="58" t="n">
        <f aca="false">Pressupostos!$C$163*Pressupostos!$D$304</f>
        <v>12000</v>
      </c>
      <c r="E1119" s="58" t="n">
        <f aca="false">Pressupostos!$C$163*Pressupostos!$E$304</f>
        <v>12000</v>
      </c>
      <c r="F1119" s="58" t="n">
        <f aca="false">Pressupostos!$C$163*Pressupostos!$F$304</f>
        <v>12000</v>
      </c>
      <c r="G1119" s="58" t="n">
        <f aca="false">Pressupostos!$C$163*Pressupostos!$G$304</f>
        <v>12000</v>
      </c>
      <c r="H1119" s="2" t="s">
        <v>1283</v>
      </c>
    </row>
    <row r="1120" customFormat="false" ht="15" hidden="false" customHeight="false" outlineLevel="1" collapsed="false">
      <c r="A1120" s="7" t="s">
        <v>667</v>
      </c>
      <c r="B1120" s="8" t="s">
        <v>10</v>
      </c>
      <c r="C1120" s="50" t="n">
        <f aca="false">Pressupostos!$C$310</f>
        <v>60000</v>
      </c>
      <c r="D1120" s="50" t="n">
        <f aca="false">Pressupostos!$D$310</f>
        <v>30000</v>
      </c>
      <c r="E1120" s="50" t="n">
        <f aca="false">Pressupostos!$E$310</f>
        <v>30000</v>
      </c>
      <c r="F1120" s="50" t="n">
        <f aca="false">Pressupostos!$F$310</f>
        <v>20000</v>
      </c>
      <c r="G1120" s="50" t="n">
        <f aca="false">Pressupostos!$G$310</f>
        <v>20000</v>
      </c>
      <c r="H1120" s="2" t="s">
        <v>1284</v>
      </c>
    </row>
    <row r="1121" customFormat="false" ht="15" hidden="false" customHeight="false" outlineLevel="1" collapsed="false">
      <c r="A1121" s="7" t="s">
        <v>668</v>
      </c>
      <c r="B1121" s="8" t="s">
        <v>10</v>
      </c>
      <c r="C1121" s="58" t="n">
        <f aca="false">Pressupostos!$C$164*MAX(0,C1084)</f>
        <v>11000</v>
      </c>
      <c r="D1121" s="58" t="n">
        <f aca="false">Pressupostos!$C$164*MAX(0,D1084-C1084)</f>
        <v>4000</v>
      </c>
      <c r="E1121" s="58" t="n">
        <f aca="false">Pressupostos!$C$164*MAX(0,E1084-D1084)</f>
        <v>2000</v>
      </c>
      <c r="F1121" s="58" t="n">
        <f aca="false">Pressupostos!$C$164*MAX(0,F1084-E1084)</f>
        <v>5000</v>
      </c>
      <c r="G1121" s="58" t="n">
        <f aca="false">Pressupostos!$C$164*MAX(0,G1084-F1084)</f>
        <v>2000</v>
      </c>
      <c r="H1121" s="2" t="s">
        <v>1285</v>
      </c>
    </row>
    <row r="1122" customFormat="false" ht="15" hidden="false" customHeight="false" outlineLevel="1" collapsed="false">
      <c r="A1122" s="7" t="s">
        <v>407</v>
      </c>
      <c r="B1122" s="8" t="s">
        <v>10</v>
      </c>
      <c r="C1122" s="58" t="n">
        <f aca="false">C1119+C1120+C1121</f>
        <v>89000</v>
      </c>
      <c r="D1122" s="58" t="n">
        <f aca="false">D1119+D1120+D1121</f>
        <v>46000</v>
      </c>
      <c r="E1122" s="58" t="n">
        <f aca="false">E1119+E1120+E1121</f>
        <v>44000</v>
      </c>
      <c r="F1122" s="58" t="n">
        <f aca="false">F1119+F1120+F1121</f>
        <v>37000</v>
      </c>
      <c r="G1122" s="58" t="n">
        <f aca="false">G1119+G1120+G1121</f>
        <v>34000</v>
      </c>
      <c r="H1122" s="2" t="s">
        <v>1286</v>
      </c>
    </row>
    <row r="1123" customFormat="false" ht="15" hidden="false" customHeight="false" outlineLevel="1" collapsed="false">
      <c r="A1123" s="7" t="s">
        <v>669</v>
      </c>
      <c r="B1123" s="8" t="s">
        <v>10</v>
      </c>
      <c r="C1123" s="58" t="n">
        <f aca="false">(C1120*((0)&lt;Pressupostos!$C$165))/Pressupostos!$C$165</f>
        <v>20000</v>
      </c>
      <c r="D1123" s="58" t="n">
        <f aca="false">(C1120*((1)&lt;Pressupostos!$C$165)+D1120*((0)&lt;Pressupostos!$C$165))/Pressupostos!$C$165</f>
        <v>30000</v>
      </c>
      <c r="E1123" s="58" t="n">
        <f aca="false">(C1120*((2)&lt;Pressupostos!$C$165)+D1120*((1)&lt;Pressupostos!$C$165)+E1120*((0)&lt;Pressupostos!$C$165))/Pressupostos!$C$165</f>
        <v>40000</v>
      </c>
      <c r="F1123" s="58" t="n">
        <f aca="false">(C1120*((3)&lt;Pressupostos!$C$165)+D1120*((2)&lt;Pressupostos!$C$165)+E1120*((1)&lt;Pressupostos!$C$165)+F1120*((0)&lt;Pressupostos!$C$165))/Pressupostos!$C$165</f>
        <v>26666.6666666667</v>
      </c>
      <c r="G1123" s="58" t="n">
        <f aca="false">(C1120*((4)&lt;Pressupostos!$C$165)+D1120*((3)&lt;Pressupostos!$C$165)+E1120*((2)&lt;Pressupostos!$C$165)+F1120*((1)&lt;Pressupostos!$C$165)+G1120*((0)&lt;Pressupostos!$C$165))/Pressupostos!$C$165</f>
        <v>23333.3333333333</v>
      </c>
      <c r="H1123" s="2" t="s">
        <v>1287</v>
      </c>
    </row>
    <row r="1124" customFormat="false" ht="15" hidden="false" customHeight="false" outlineLevel="1" collapsed="false">
      <c r="A1124" s="7" t="s">
        <v>670</v>
      </c>
      <c r="B1124" s="8" t="s">
        <v>10</v>
      </c>
      <c r="C1124" s="58" t="n">
        <f aca="false">(C1119*((0)&lt;Pressupostos!$C$167))/Pressupostos!$C$167</f>
        <v>3600</v>
      </c>
      <c r="D1124" s="58" t="n">
        <f aca="false">(C1119*((1)&lt;Pressupostos!$C$167)+D1119*((0)&lt;Pressupostos!$C$167))/Pressupostos!$C$167</f>
        <v>6000</v>
      </c>
      <c r="E1124" s="58" t="n">
        <f aca="false">(C1119*((2)&lt;Pressupostos!$C$167)+D1119*((1)&lt;Pressupostos!$C$167)+E1119*((0)&lt;Pressupostos!$C$167))/Pressupostos!$C$167</f>
        <v>8400</v>
      </c>
      <c r="F1124" s="58" t="n">
        <f aca="false">(C1119*((3)&lt;Pressupostos!$C$167)+D1119*((2)&lt;Pressupostos!$C$167)+E1119*((1)&lt;Pressupostos!$C$167)+F1119*((0)&lt;Pressupostos!$C$167))/Pressupostos!$C$167</f>
        <v>10800</v>
      </c>
      <c r="G1124" s="58" t="n">
        <f aca="false">(C1119*((4)&lt;Pressupostos!$C$167)+D1119*((3)&lt;Pressupostos!$C$167)+E1119*((2)&lt;Pressupostos!$C$167)+F1119*((1)&lt;Pressupostos!$C$167)+G1119*((0)&lt;Pressupostos!$C$167))/Pressupostos!$C$167</f>
        <v>13200</v>
      </c>
      <c r="H1124" s="2" t="s">
        <v>1288</v>
      </c>
    </row>
    <row r="1125" customFormat="false" ht="15" hidden="false" customHeight="false" outlineLevel="1" collapsed="false">
      <c r="A1125" s="7" t="s">
        <v>671</v>
      </c>
      <c r="B1125" s="8" t="s">
        <v>10</v>
      </c>
      <c r="C1125" s="58" t="n">
        <f aca="false">(C1121*((0)&lt;Pressupostos!$C$166))/Pressupostos!$C$166</f>
        <v>2750</v>
      </c>
      <c r="D1125" s="58" t="n">
        <f aca="false">(C1121*((1)&lt;Pressupostos!$C$166)+D1121*((0)&lt;Pressupostos!$C$166))/Pressupostos!$C$166</f>
        <v>3750</v>
      </c>
      <c r="E1125" s="58" t="n">
        <f aca="false">(C1121*((2)&lt;Pressupostos!$C$166)+D1121*((1)&lt;Pressupostos!$C$166)+E1121*((0)&lt;Pressupostos!$C$166))/Pressupostos!$C$166</f>
        <v>4250</v>
      </c>
      <c r="F1125" s="58" t="n">
        <f aca="false">(C1121*((3)&lt;Pressupostos!$C$166)+D1121*((2)&lt;Pressupostos!$C$166)+E1121*((1)&lt;Pressupostos!$C$166)+F1121*((0)&lt;Pressupostos!$C$166))/Pressupostos!$C$166</f>
        <v>5500</v>
      </c>
      <c r="G1125" s="58" t="n">
        <f aca="false">(C1121*((4)&lt;Pressupostos!$C$166)+D1121*((3)&lt;Pressupostos!$C$166)+E1121*((2)&lt;Pressupostos!$C$166)+F1121*((1)&lt;Pressupostos!$C$166)+G1121*((0)&lt;Pressupostos!$C$166))/Pressupostos!$C$166</f>
        <v>3250</v>
      </c>
      <c r="H1125" s="2" t="s">
        <v>1289</v>
      </c>
    </row>
    <row r="1126" customFormat="false" ht="15" hidden="false" customHeight="false" outlineLevel="1" collapsed="false">
      <c r="A1126" s="7" t="s">
        <v>672</v>
      </c>
      <c r="B1126" s="8" t="s">
        <v>10</v>
      </c>
      <c r="C1126" s="58" t="n">
        <f aca="false">C1123+C1124+C1125</f>
        <v>26350</v>
      </c>
      <c r="D1126" s="58" t="n">
        <f aca="false">D1123+D1124+D1125</f>
        <v>39750</v>
      </c>
      <c r="E1126" s="58" t="n">
        <f aca="false">E1123+E1124+E1125</f>
        <v>52650</v>
      </c>
      <c r="F1126" s="58" t="n">
        <f aca="false">F1123+F1124+F1125</f>
        <v>42966.6666666667</v>
      </c>
      <c r="G1126" s="58" t="n">
        <f aca="false">G1123+G1124+G1125</f>
        <v>39783.3333333333</v>
      </c>
      <c r="H1126" s="2" t="s">
        <v>1290</v>
      </c>
    </row>
    <row r="1127" customFormat="false" ht="15" hidden="false" customHeight="false" outlineLevel="0" collapsed="false">
      <c r="A1127" s="3" t="s">
        <v>1291</v>
      </c>
      <c r="B1127" s="4"/>
      <c r="C1127" s="4"/>
      <c r="D1127" s="4"/>
      <c r="E1127" s="4"/>
      <c r="F1127" s="4"/>
      <c r="G1127" s="4"/>
      <c r="H1127" s="4"/>
    </row>
    <row r="1128" customFormat="false" ht="15" hidden="false" customHeight="false" outlineLevel="1" collapsed="false">
      <c r="A1128" s="52" t="s">
        <v>676</v>
      </c>
      <c r="B1128" s="53" t="s">
        <v>10</v>
      </c>
      <c r="C1128" s="59" t="n">
        <f aca="false">C1035</f>
        <v>275874.4</v>
      </c>
      <c r="D1128" s="59" t="n">
        <f aca="false">D1035</f>
        <v>3617129</v>
      </c>
      <c r="E1128" s="59" t="n">
        <f aca="false">E1035</f>
        <v>9140394</v>
      </c>
      <c r="F1128" s="59" t="n">
        <f aca="false">F1035</f>
        <v>15394652</v>
      </c>
      <c r="G1128" s="59" t="n">
        <f aca="false">G1035</f>
        <v>22374860</v>
      </c>
      <c r="H1128" s="2" t="s">
        <v>1292</v>
      </c>
    </row>
    <row r="1129" customFormat="false" ht="15" hidden="false" customHeight="false" outlineLevel="1" collapsed="false">
      <c r="A1129" s="7" t="s">
        <v>649</v>
      </c>
      <c r="B1129" s="8" t="s">
        <v>10</v>
      </c>
      <c r="C1129" s="58" t="n">
        <f aca="false">-C1056</f>
        <v>-245040</v>
      </c>
      <c r="D1129" s="58" t="n">
        <f aca="false">-D1056</f>
        <v>-3349300</v>
      </c>
      <c r="E1129" s="58" t="n">
        <f aca="false">-E1056</f>
        <v>-8498250</v>
      </c>
      <c r="F1129" s="58" t="n">
        <f aca="false">-F1056</f>
        <v>-14283850</v>
      </c>
      <c r="G1129" s="58" t="n">
        <f aca="false">-G1056</f>
        <v>-20710500</v>
      </c>
      <c r="H1129" s="2" t="s">
        <v>1293</v>
      </c>
    </row>
    <row r="1130" customFormat="false" ht="15" hidden="false" customHeight="false" outlineLevel="1" collapsed="false">
      <c r="A1130" s="52" t="s">
        <v>677</v>
      </c>
      <c r="B1130" s="53" t="s">
        <v>10</v>
      </c>
      <c r="C1130" s="59" t="n">
        <f aca="false">C1128+C1129</f>
        <v>30834.4</v>
      </c>
      <c r="D1130" s="59" t="n">
        <f aca="false">D1128+D1129</f>
        <v>267829</v>
      </c>
      <c r="E1130" s="59" t="n">
        <f aca="false">E1128+E1129</f>
        <v>642144</v>
      </c>
      <c r="F1130" s="59" t="n">
        <f aca="false">F1128+F1129</f>
        <v>1110802</v>
      </c>
      <c r="G1130" s="59" t="n">
        <f aca="false">G1128+G1129</f>
        <v>1664360</v>
      </c>
      <c r="H1130" s="2" t="s">
        <v>1294</v>
      </c>
    </row>
    <row r="1131" customFormat="false" ht="15" hidden="false" customHeight="false" outlineLevel="1" collapsed="false">
      <c r="A1131" s="2" t="s">
        <v>678</v>
      </c>
      <c r="B1131" s="8" t="s">
        <v>71</v>
      </c>
      <c r="C1131" s="55" t="n">
        <f aca="false">IF(C1128&gt;0,C1130/C1128,0)</f>
        <v>0.111769703894236</v>
      </c>
      <c r="D1131" s="55" t="n">
        <f aca="false">IF(D1128&gt;0,D1130/D1128,0)</f>
        <v>0.0740446359529892</v>
      </c>
      <c r="E1131" s="55" t="n">
        <f aca="false">IF(E1128&gt;0,E1130/E1128,0)</f>
        <v>0.0702534267122402</v>
      </c>
      <c r="F1131" s="55" t="n">
        <f aca="false">IF(F1128&gt;0,F1130/F1128,0)</f>
        <v>0.0721550574835989</v>
      </c>
      <c r="G1131" s="55" t="n">
        <f aca="false">IF(G1128&gt;0,G1130/G1128,0)</f>
        <v>0.0743852698966608</v>
      </c>
      <c r="H1131" s="2" t="s">
        <v>1295</v>
      </c>
    </row>
    <row r="1132" customFormat="false" ht="15" hidden="false" customHeight="false" outlineLevel="1" collapsed="false">
      <c r="A1132" s="7" t="s">
        <v>679</v>
      </c>
      <c r="B1132" s="8" t="s">
        <v>10</v>
      </c>
      <c r="C1132" s="58" t="n">
        <f aca="false">-C1066</f>
        <v>-15494.2226027397</v>
      </c>
      <c r="D1132" s="58" t="n">
        <f aca="false">-D1066</f>
        <v>-137984.389554795</v>
      </c>
      <c r="E1132" s="58" t="n">
        <f aca="false">-E1066</f>
        <v>-320360.86369863</v>
      </c>
      <c r="F1132" s="58" t="n">
        <f aca="false">-F1066</f>
        <v>-538838.479794521</v>
      </c>
      <c r="G1132" s="58" t="n">
        <f aca="false">-G1066</f>
        <v>-787962.886986301</v>
      </c>
      <c r="H1132" s="2" t="s">
        <v>1296</v>
      </c>
    </row>
    <row r="1133" customFormat="false" ht="15" hidden="false" customHeight="false" outlineLevel="1" collapsed="false">
      <c r="A1133" s="7" t="s">
        <v>658</v>
      </c>
      <c r="B1133" s="8" t="s">
        <v>10</v>
      </c>
      <c r="C1133" s="58" t="n">
        <f aca="false">-C1069</f>
        <v>-0</v>
      </c>
      <c r="D1133" s="58" t="n">
        <f aca="false">-D1069</f>
        <v>-38774.2191780822</v>
      </c>
      <c r="E1133" s="58" t="n">
        <f aca="false">-E1069</f>
        <v>-77308.7093321918</v>
      </c>
      <c r="F1133" s="58" t="n">
        <f aca="false">-F1069</f>
        <v>-121350.136130137</v>
      </c>
      <c r="G1133" s="58" t="n">
        <f aca="false">-G1069</f>
        <v>-178001.429794521</v>
      </c>
      <c r="H1133" s="2" t="s">
        <v>1297</v>
      </c>
    </row>
    <row r="1134" customFormat="false" ht="15" hidden="false" customHeight="false" outlineLevel="1" collapsed="false">
      <c r="A1134" s="52" t="s">
        <v>641</v>
      </c>
      <c r="B1134" s="53" t="s">
        <v>10</v>
      </c>
      <c r="C1134" s="59" t="n">
        <f aca="false">C1130+C1132+C1133</f>
        <v>15340.1773972603</v>
      </c>
      <c r="D1134" s="59" t="n">
        <f aca="false">D1130+D1132+D1133</f>
        <v>91070.3912671233</v>
      </c>
      <c r="E1134" s="59" t="n">
        <f aca="false">E1130+E1132+E1133</f>
        <v>244474.426969178</v>
      </c>
      <c r="F1134" s="59" t="n">
        <f aca="false">F1130+F1132+F1133</f>
        <v>450613.384075342</v>
      </c>
      <c r="G1134" s="59" t="n">
        <f aca="false">G1130+G1132+G1133</f>
        <v>698395.683219178</v>
      </c>
      <c r="H1134" s="2" t="s">
        <v>1298</v>
      </c>
    </row>
    <row r="1135" customFormat="false" ht="15" hidden="false" customHeight="false" outlineLevel="1" collapsed="false">
      <c r="A1135" s="7" t="s">
        <v>251</v>
      </c>
      <c r="B1135" s="8" t="s">
        <v>10</v>
      </c>
      <c r="C1135" s="58" t="n">
        <f aca="false">-C1101</f>
        <v>-303573.09375</v>
      </c>
      <c r="D1135" s="58" t="n">
        <f aca="false">-D1101</f>
        <v>-477845.325</v>
      </c>
      <c r="E1135" s="58" t="n">
        <f aca="false">-E1101</f>
        <v>-563341.2153125</v>
      </c>
      <c r="F1135" s="58" t="n">
        <f aca="false">-F1101</f>
        <v>-697007.527174375</v>
      </c>
      <c r="G1135" s="58" t="n">
        <f aca="false">-G1101</f>
        <v>-768997.563445444</v>
      </c>
      <c r="H1135" s="2" t="s">
        <v>1299</v>
      </c>
    </row>
    <row r="1136" customFormat="false" ht="15" hidden="false" customHeight="false" outlineLevel="1" collapsed="false">
      <c r="A1136" s="7" t="s">
        <v>680</v>
      </c>
      <c r="B1136" s="8" t="s">
        <v>10</v>
      </c>
      <c r="C1136" s="58" t="n">
        <f aca="false">-C1117</f>
        <v>-298100</v>
      </c>
      <c r="D1136" s="58" t="n">
        <f aca="false">-D1117</f>
        <v>-293188.6</v>
      </c>
      <c r="E1136" s="58" t="n">
        <f aca="false">-E1117</f>
        <v>-374050.9</v>
      </c>
      <c r="F1136" s="58" t="n">
        <f aca="false">-F1117</f>
        <v>-407116.784</v>
      </c>
      <c r="G1136" s="58" t="n">
        <f aca="false">-G1117</f>
        <v>-458938.501272</v>
      </c>
      <c r="H1136" s="2" t="s">
        <v>1300</v>
      </c>
    </row>
    <row r="1137" customFormat="false" ht="15" hidden="false" customHeight="false" outlineLevel="1" collapsed="false">
      <c r="A1137" s="52" t="s">
        <v>681</v>
      </c>
      <c r="B1137" s="53" t="s">
        <v>10</v>
      </c>
      <c r="C1137" s="59" t="n">
        <f aca="false">C1134+C1135+C1136</f>
        <v>-586332.91635274</v>
      </c>
      <c r="D1137" s="59" t="n">
        <f aca="false">D1134+D1135+D1136</f>
        <v>-679963.533732877</v>
      </c>
      <c r="E1137" s="59" t="n">
        <f aca="false">E1134+E1135+E1136</f>
        <v>-692917.688343322</v>
      </c>
      <c r="F1137" s="59" t="n">
        <f aca="false">F1134+F1135+F1136</f>
        <v>-653510.927099033</v>
      </c>
      <c r="G1137" s="59" t="n">
        <f aca="false">G1134+G1135+G1136</f>
        <v>-529540.381498266</v>
      </c>
      <c r="H1137" s="2" t="s">
        <v>1301</v>
      </c>
    </row>
    <row r="1138" customFormat="false" ht="15" hidden="false" customHeight="false" outlineLevel="1" collapsed="false">
      <c r="A1138" s="2" t="s">
        <v>683</v>
      </c>
      <c r="B1138" s="8" t="s">
        <v>71</v>
      </c>
      <c r="C1138" s="55" t="n">
        <f aca="false">IF(C1128&gt;0,C1137/C1128,0)</f>
        <v>-2.12536181810541</v>
      </c>
      <c r="D1138" s="55" t="n">
        <f aca="false">IF(D1128&gt;0,D1137/D1128,0)</f>
        <v>-0.187984319534326</v>
      </c>
      <c r="E1138" s="55" t="n">
        <f aca="false">IF(E1128&gt;0,E1137/E1128,0)</f>
        <v>-0.0758082953911311</v>
      </c>
      <c r="F1138" s="55" t="n">
        <f aca="false">IF(F1128&gt;0,F1137/F1128,0)</f>
        <v>-0.0424505163935523</v>
      </c>
      <c r="G1138" s="55" t="n">
        <f aca="false">IF(G1128&gt;0,G1137/G1128,0)</f>
        <v>-0.0236667573114766</v>
      </c>
      <c r="H1138" s="2" t="s">
        <v>1302</v>
      </c>
    </row>
    <row r="1139" customFormat="false" ht="15" hidden="false" customHeight="false" outlineLevel="1" collapsed="false">
      <c r="A1139" s="2" t="s">
        <v>684</v>
      </c>
      <c r="B1139" s="8" t="s">
        <v>10</v>
      </c>
      <c r="C1139" s="58" t="n">
        <f aca="false">C1137+C1069</f>
        <v>-586332.91635274</v>
      </c>
      <c r="D1139" s="58" t="n">
        <f aca="false">D1137+D1069</f>
        <v>-641189.314554795</v>
      </c>
      <c r="E1139" s="58" t="n">
        <f aca="false">E1137+E1069</f>
        <v>-615608.97901113</v>
      </c>
      <c r="F1139" s="58" t="n">
        <f aca="false">F1137+F1069</f>
        <v>-532160.790968896</v>
      </c>
      <c r="G1139" s="58" t="n">
        <f aca="false">G1137+G1069</f>
        <v>-351538.951703745</v>
      </c>
      <c r="H1139" s="2" t="s">
        <v>1303</v>
      </c>
    </row>
    <row r="1140" customFormat="false" ht="15" hidden="false" customHeight="false" outlineLevel="1" collapsed="false">
      <c r="A1140" s="7" t="s">
        <v>672</v>
      </c>
      <c r="B1140" s="8" t="s">
        <v>10</v>
      </c>
      <c r="C1140" s="58" t="n">
        <f aca="false">-C1126</f>
        <v>-26350</v>
      </c>
      <c r="D1140" s="58" t="n">
        <f aca="false">-D1126</f>
        <v>-39750</v>
      </c>
      <c r="E1140" s="58" t="n">
        <f aca="false">-E1126</f>
        <v>-52650</v>
      </c>
      <c r="F1140" s="58" t="n">
        <f aca="false">-F1126</f>
        <v>-42966.6666666667</v>
      </c>
      <c r="G1140" s="58" t="n">
        <f aca="false">-G1126</f>
        <v>-39783.3333333333</v>
      </c>
      <c r="H1140" s="2" t="s">
        <v>1304</v>
      </c>
    </row>
    <row r="1141" customFormat="false" ht="15" hidden="false" customHeight="false" outlineLevel="1" collapsed="false">
      <c r="A1141" s="52" t="s">
        <v>685</v>
      </c>
      <c r="B1141" s="53" t="s">
        <v>10</v>
      </c>
      <c r="C1141" s="59" t="n">
        <f aca="false">C1137+C1140</f>
        <v>-612682.91635274</v>
      </c>
      <c r="D1141" s="59" t="n">
        <f aca="false">D1137+D1140</f>
        <v>-719713.533732877</v>
      </c>
      <c r="E1141" s="59" t="n">
        <f aca="false">E1137+E1140</f>
        <v>-745567.688343322</v>
      </c>
      <c r="F1141" s="59" t="n">
        <f aca="false">F1137+F1140</f>
        <v>-696477.593765699</v>
      </c>
      <c r="G1141" s="59" t="n">
        <f aca="false">G1137+G1140</f>
        <v>-569323.714831599</v>
      </c>
      <c r="H1141" s="2" t="s">
        <v>1305</v>
      </c>
    </row>
    <row r="1142" customFormat="false" ht="15" hidden="false" customHeight="false" outlineLevel="0" collapsed="false">
      <c r="A1142" s="3" t="s">
        <v>1306</v>
      </c>
      <c r="B1142" s="4"/>
      <c r="C1142" s="4"/>
      <c r="D1142" s="4"/>
      <c r="E1142" s="4"/>
      <c r="F1142" s="4"/>
      <c r="G1142" s="4"/>
      <c r="H1142" s="4"/>
    </row>
    <row r="1143" customFormat="false" ht="15" hidden="false" customHeight="false" outlineLevel="1" collapsed="false">
      <c r="A1143" s="7" t="s">
        <v>687</v>
      </c>
      <c r="B1143" s="8" t="s">
        <v>10</v>
      </c>
      <c r="C1143" s="58" t="n">
        <f aca="false">C1141</f>
        <v>-612682.91635274</v>
      </c>
      <c r="D1143" s="58" t="n">
        <f aca="false">D1141</f>
        <v>-719713.533732877</v>
      </c>
      <c r="E1143" s="58" t="n">
        <f aca="false">E1141</f>
        <v>-745567.688343322</v>
      </c>
      <c r="F1143" s="58" t="n">
        <f aca="false">F1141</f>
        <v>-696477.593765699</v>
      </c>
      <c r="G1143" s="58" t="n">
        <f aca="false">G1141</f>
        <v>-569323.714831599</v>
      </c>
      <c r="H1143" s="2" t="s">
        <v>1307</v>
      </c>
    </row>
    <row r="1144" customFormat="false" ht="15" hidden="false" customHeight="false" outlineLevel="1" collapsed="false">
      <c r="A1144" s="7" t="s">
        <v>688</v>
      </c>
      <c r="B1144" s="8" t="s">
        <v>10</v>
      </c>
      <c r="C1144" s="58" t="n">
        <f aca="false">0</f>
        <v>0</v>
      </c>
      <c r="D1144" s="58" t="n">
        <f aca="false">C1147</f>
        <v>612682.91635274</v>
      </c>
      <c r="E1144" s="58" t="n">
        <f aca="false">D1147</f>
        <v>1332396.45008562</v>
      </c>
      <c r="F1144" s="58" t="n">
        <f aca="false">E1147</f>
        <v>2077964.13842894</v>
      </c>
      <c r="G1144" s="58" t="n">
        <f aca="false">F1147</f>
        <v>2774441.73219464</v>
      </c>
      <c r="H1144" s="2" t="s">
        <v>1308</v>
      </c>
    </row>
    <row r="1145" customFormat="false" ht="15" hidden="false" customHeight="false" outlineLevel="1" collapsed="false">
      <c r="A1145" s="7" t="s">
        <v>689</v>
      </c>
      <c r="B1145" s="8" t="s">
        <v>10</v>
      </c>
      <c r="C1145" s="58" t="n">
        <f aca="false">MAX(0,-C1143)</f>
        <v>612682.91635274</v>
      </c>
      <c r="D1145" s="58" t="n">
        <f aca="false">MAX(0,-D1143)</f>
        <v>719713.533732877</v>
      </c>
      <c r="E1145" s="58" t="n">
        <f aca="false">MAX(0,-E1143)</f>
        <v>745567.688343322</v>
      </c>
      <c r="F1145" s="58" t="n">
        <f aca="false">MAX(0,-F1143)</f>
        <v>696477.593765699</v>
      </c>
      <c r="G1145" s="58" t="n">
        <f aca="false">MAX(0,-G1143)</f>
        <v>569323.714831599</v>
      </c>
      <c r="H1145" s="2" t="s">
        <v>1309</v>
      </c>
    </row>
    <row r="1146" customFormat="false" ht="15" hidden="false" customHeight="false" outlineLevel="1" collapsed="false">
      <c r="A1146" s="7" t="s">
        <v>690</v>
      </c>
      <c r="B1146" s="8" t="s">
        <v>10</v>
      </c>
      <c r="C1146" s="58" t="n">
        <f aca="false">MIN(C1144,Pressupostos!$C$179*MAX(0,C1143))</f>
        <v>0</v>
      </c>
      <c r="D1146" s="58" t="n">
        <f aca="false">MIN(D1144,Pressupostos!$C$179*MAX(0,D1143))</f>
        <v>0</v>
      </c>
      <c r="E1146" s="58" t="n">
        <f aca="false">MIN(E1144,Pressupostos!$C$179*MAX(0,E1143))</f>
        <v>0</v>
      </c>
      <c r="F1146" s="58" t="n">
        <f aca="false">MIN(F1144,Pressupostos!$C$179*MAX(0,F1143))</f>
        <v>0</v>
      </c>
      <c r="G1146" s="58" t="n">
        <f aca="false">MIN(G1144,Pressupostos!$C$179*MAX(0,G1143))</f>
        <v>0</v>
      </c>
      <c r="H1146" s="2" t="s">
        <v>1310</v>
      </c>
    </row>
    <row r="1147" customFormat="false" ht="15" hidden="false" customHeight="false" outlineLevel="1" collapsed="false">
      <c r="A1147" s="7" t="s">
        <v>691</v>
      </c>
      <c r="B1147" s="8" t="s">
        <v>10</v>
      </c>
      <c r="C1147" s="58" t="n">
        <f aca="false">C1144+C1145-C1146</f>
        <v>612682.91635274</v>
      </c>
      <c r="D1147" s="58" t="n">
        <f aca="false">D1144+D1145-D1146</f>
        <v>1332396.45008562</v>
      </c>
      <c r="E1147" s="58" t="n">
        <f aca="false">E1144+E1145-E1146</f>
        <v>2077964.13842894</v>
      </c>
      <c r="F1147" s="58" t="n">
        <f aca="false">F1144+F1145-F1146</f>
        <v>2774441.73219464</v>
      </c>
      <c r="G1147" s="58" t="n">
        <f aca="false">G1144+G1145-G1146</f>
        <v>3343765.44702624</v>
      </c>
      <c r="H1147" s="2" t="s">
        <v>1311</v>
      </c>
    </row>
    <row r="1148" customFormat="false" ht="15" hidden="false" customHeight="false" outlineLevel="1" collapsed="false">
      <c r="A1148" s="7" t="s">
        <v>692</v>
      </c>
      <c r="B1148" s="8" t="s">
        <v>10</v>
      </c>
      <c r="C1148" s="58" t="n">
        <f aca="false">MAX(0,C1143)-C1146</f>
        <v>0</v>
      </c>
      <c r="D1148" s="58" t="n">
        <f aca="false">MAX(0,D1143)-D1146</f>
        <v>0</v>
      </c>
      <c r="E1148" s="58" t="n">
        <f aca="false">MAX(0,E1143)-E1146</f>
        <v>0</v>
      </c>
      <c r="F1148" s="58" t="n">
        <f aca="false">MAX(0,F1143)-F1146</f>
        <v>0</v>
      </c>
      <c r="G1148" s="58" t="n">
        <f aca="false">MAX(0,G1143)-G1146</f>
        <v>0</v>
      </c>
      <c r="H1148" s="2" t="s">
        <v>1312</v>
      </c>
    </row>
    <row r="1149" customFormat="false" ht="15" hidden="false" customHeight="false" outlineLevel="1" collapsed="false">
      <c r="A1149" s="7" t="s">
        <v>693</v>
      </c>
      <c r="B1149" s="8" t="s">
        <v>10</v>
      </c>
      <c r="C1149" s="58" t="n">
        <f aca="false">Pressupostos!$C$170*MIN(C1148,Pressupostos!$C$171)+Pressupostos!$C$450*MAX(0,C1148-Pressupostos!$C$171)</f>
        <v>0</v>
      </c>
      <c r="D1149" s="58" t="n">
        <f aca="false">Pressupostos!$C$170*MIN(D1148,Pressupostos!$C$171)+Pressupostos!$D$450*MAX(0,D1148-Pressupostos!$C$171)</f>
        <v>0</v>
      </c>
      <c r="E1149" s="58" t="n">
        <f aca="false">Pressupostos!$C$170*MIN(E1148,Pressupostos!$C$171)+Pressupostos!$E$450*MAX(0,E1148-Pressupostos!$C$171)</f>
        <v>0</v>
      </c>
      <c r="F1149" s="58" t="n">
        <f aca="false">Pressupostos!$C$170*MIN(F1148,Pressupostos!$C$171)+Pressupostos!$F$450*MAX(0,F1148-Pressupostos!$C$171)</f>
        <v>0</v>
      </c>
      <c r="G1149" s="58" t="n">
        <f aca="false">Pressupostos!$C$170*MIN(G1148,Pressupostos!$C$171)+Pressupostos!$G$450*MAX(0,G1148-Pressupostos!$C$171)</f>
        <v>0</v>
      </c>
      <c r="H1149" s="2" t="s">
        <v>1313</v>
      </c>
    </row>
    <row r="1150" customFormat="false" ht="15" hidden="false" customHeight="false" outlineLevel="1" collapsed="false">
      <c r="A1150" s="7" t="s">
        <v>694</v>
      </c>
      <c r="B1150" s="8" t="s">
        <v>10</v>
      </c>
      <c r="C1150" s="58" t="n">
        <f aca="false">Pressupostos!$C$172*MAX(0,C1143)</f>
        <v>0</v>
      </c>
      <c r="D1150" s="58" t="n">
        <f aca="false">Pressupostos!$C$172*MAX(0,D1143)</f>
        <v>0</v>
      </c>
      <c r="E1150" s="58" t="n">
        <f aca="false">Pressupostos!$C$172*MAX(0,E1143)</f>
        <v>0</v>
      </c>
      <c r="F1150" s="58" t="n">
        <f aca="false">Pressupostos!$C$172*MAX(0,F1143)</f>
        <v>0</v>
      </c>
      <c r="G1150" s="58" t="n">
        <f aca="false">Pressupostos!$C$172*MAX(0,G1143)</f>
        <v>0</v>
      </c>
      <c r="H1150" s="2" t="s">
        <v>1314</v>
      </c>
    </row>
    <row r="1151" customFormat="false" ht="15" hidden="false" customHeight="false" outlineLevel="1" collapsed="false">
      <c r="A1151" s="7" t="s">
        <v>695</v>
      </c>
      <c r="B1151" s="8" t="s">
        <v>10</v>
      </c>
      <c r="C1151" s="58" t="n">
        <f aca="false">Pressupostos!$C$174*MAX(0,MIN(C1143,Pressupostos!$C$175)-Pressupostos!$C$173)+Pressupostos!$C$176*MAX(0,MIN(C1143,Pressupostos!$C$177)-Pressupostos!$C$175)+Pressupostos!$C$178*MAX(0,C1143-Pressupostos!$C$177)</f>
        <v>0</v>
      </c>
      <c r="D1151" s="58" t="n">
        <f aca="false">Pressupostos!$C$174*MAX(0,MIN(D1143,Pressupostos!$C$175)-Pressupostos!$C$173)+Pressupostos!$C$176*MAX(0,MIN(D1143,Pressupostos!$C$177)-Pressupostos!$C$175)+Pressupostos!$C$178*MAX(0,D1143-Pressupostos!$C$177)</f>
        <v>0</v>
      </c>
      <c r="E1151" s="58" t="n">
        <f aca="false">Pressupostos!$C$174*MAX(0,MIN(E1143,Pressupostos!$C$175)-Pressupostos!$C$173)+Pressupostos!$C$176*MAX(0,MIN(E1143,Pressupostos!$C$177)-Pressupostos!$C$175)+Pressupostos!$C$178*MAX(0,E1143-Pressupostos!$C$177)</f>
        <v>0</v>
      </c>
      <c r="F1151" s="58" t="n">
        <f aca="false">Pressupostos!$C$174*MAX(0,MIN(F1143,Pressupostos!$C$175)-Pressupostos!$C$173)+Pressupostos!$C$176*MAX(0,MIN(F1143,Pressupostos!$C$177)-Pressupostos!$C$175)+Pressupostos!$C$178*MAX(0,F1143-Pressupostos!$C$177)</f>
        <v>0</v>
      </c>
      <c r="G1151" s="58" t="n">
        <f aca="false">Pressupostos!$C$174*MAX(0,MIN(G1143,Pressupostos!$C$175)-Pressupostos!$C$173)+Pressupostos!$C$176*MAX(0,MIN(G1143,Pressupostos!$C$177)-Pressupostos!$C$175)+Pressupostos!$C$178*MAX(0,G1143-Pressupostos!$C$177)</f>
        <v>0</v>
      </c>
      <c r="H1151" s="2" t="s">
        <v>1315</v>
      </c>
    </row>
    <row r="1152" customFormat="false" ht="15" hidden="false" customHeight="false" outlineLevel="1" collapsed="false">
      <c r="A1152" s="7" t="s">
        <v>696</v>
      </c>
      <c r="B1152" s="8" t="s">
        <v>10</v>
      </c>
      <c r="C1152" s="58" t="n">
        <f aca="false">C1149+C1150+C1151</f>
        <v>0</v>
      </c>
      <c r="D1152" s="58" t="n">
        <f aca="false">D1149+D1150+D1151</f>
        <v>0</v>
      </c>
      <c r="E1152" s="58" t="n">
        <f aca="false">E1149+E1150+E1151</f>
        <v>0</v>
      </c>
      <c r="F1152" s="58" t="n">
        <f aca="false">F1149+F1150+F1151</f>
        <v>0</v>
      </c>
      <c r="G1152" s="58" t="n">
        <f aca="false">G1149+G1150+G1151</f>
        <v>0</v>
      </c>
      <c r="H1152" s="2" t="s">
        <v>1316</v>
      </c>
    </row>
    <row r="1153" customFormat="false" ht="15" hidden="false" customHeight="false" outlineLevel="0" collapsed="false">
      <c r="A1153" s="3" t="s">
        <v>1317</v>
      </c>
      <c r="B1153" s="4"/>
      <c r="C1153" s="4"/>
      <c r="D1153" s="4"/>
      <c r="E1153" s="4"/>
      <c r="F1153" s="4"/>
      <c r="G1153" s="4"/>
      <c r="H1153" s="4"/>
    </row>
    <row r="1154" customFormat="false" ht="15" hidden="false" customHeight="false" outlineLevel="1" collapsed="false">
      <c r="A1154" s="7" t="s">
        <v>696</v>
      </c>
      <c r="B1154" s="8" t="s">
        <v>10</v>
      </c>
      <c r="C1154" s="58" t="n">
        <f aca="false">-C1152</f>
        <v>-0</v>
      </c>
      <c r="D1154" s="58" t="n">
        <f aca="false">-D1152</f>
        <v>-0</v>
      </c>
      <c r="E1154" s="58" t="n">
        <f aca="false">-E1152</f>
        <v>-0</v>
      </c>
      <c r="F1154" s="58" t="n">
        <f aca="false">-F1152</f>
        <v>-0</v>
      </c>
      <c r="G1154" s="58" t="n">
        <f aca="false">-G1152</f>
        <v>-0</v>
      </c>
      <c r="H1154" s="2" t="s">
        <v>1318</v>
      </c>
    </row>
    <row r="1155" customFormat="false" ht="15" hidden="false" customHeight="false" outlineLevel="1" collapsed="false">
      <c r="A1155" s="52" t="s">
        <v>698</v>
      </c>
      <c r="B1155" s="53" t="s">
        <v>10</v>
      </c>
      <c r="C1155" s="59" t="n">
        <f aca="false">C1141+C1154</f>
        <v>-612682.91635274</v>
      </c>
      <c r="D1155" s="59" t="n">
        <f aca="false">D1141+D1154</f>
        <v>-719713.533732877</v>
      </c>
      <c r="E1155" s="59" t="n">
        <f aca="false">E1141+E1154</f>
        <v>-745567.688343322</v>
      </c>
      <c r="F1155" s="59" t="n">
        <f aca="false">F1141+F1154</f>
        <v>-696477.593765699</v>
      </c>
      <c r="G1155" s="59" t="n">
        <f aca="false">G1141+G1154</f>
        <v>-569323.714831599</v>
      </c>
      <c r="H1155" s="2" t="s">
        <v>1319</v>
      </c>
    </row>
    <row r="1156" customFormat="false" ht="15" hidden="false" customHeight="false" outlineLevel="0" collapsed="false">
      <c r="A1156" s="3" t="s">
        <v>1320</v>
      </c>
      <c r="B1156" s="4"/>
      <c r="C1156" s="4"/>
      <c r="D1156" s="4"/>
      <c r="E1156" s="4"/>
      <c r="F1156" s="4"/>
      <c r="G1156" s="4"/>
      <c r="H1156" s="4"/>
    </row>
    <row r="1157" customFormat="false" ht="15" hidden="false" customHeight="false" outlineLevel="1" collapsed="false">
      <c r="A1157" s="7" t="s">
        <v>702</v>
      </c>
      <c r="B1157" s="8" t="s">
        <v>10</v>
      </c>
      <c r="C1157" s="58" t="n">
        <f aca="false">C941*1000*((C957+C960)*C963/365)+C942*1000*((C980+C983)*C986/365)+C943*1000*((C1003+C1006)*C1009/365)</f>
        <v>34293.698630137</v>
      </c>
      <c r="D1157" s="58" t="n">
        <f aca="false">D941*1000*((D957+D960)*D963/365)+D942*1000*((D980+D983)*D986/365)+D943*1000*((D1003+D1006)*D1009/365)</f>
        <v>256442.465753425</v>
      </c>
      <c r="E1157" s="58" t="n">
        <f aca="false">E941*1000*((E957+E960)*E963/365)+E942*1000*((E980+E983)*E986/365)+E943*1000*((E1003+E1006)*E1009/365)</f>
        <v>496886.301369863</v>
      </c>
      <c r="F1157" s="58" t="n">
        <f aca="false">F941*1000*((F957+F960)*F963/365)+F942*1000*((F980+F983)*F986/365)+F943*1000*((F1003+F1006)*F1009/365)</f>
        <v>827687.671232877</v>
      </c>
      <c r="G1157" s="58" t="n">
        <f aca="false">G941*1000*((G957+G960)*G963/365)+G942*1000*((G980+G983)*G986/365)+G943*1000*((G1003+G1006)*G1009/365)</f>
        <v>1205424.65753425</v>
      </c>
      <c r="H1157" s="2" t="s">
        <v>1321</v>
      </c>
    </row>
    <row r="1158" customFormat="false" ht="15" hidden="false" customHeight="false" outlineLevel="1" collapsed="false">
      <c r="A1158" s="7" t="s">
        <v>703</v>
      </c>
      <c r="B1158" s="8" t="s">
        <v>10</v>
      </c>
      <c r="C1158" s="58" t="n">
        <f aca="false">C1157+C952*1000*Pressupostos!$C$90*Pressupostos!$C$93/365</f>
        <v>34293.698630137</v>
      </c>
      <c r="D1158" s="58" t="n">
        <f aca="false">D1157+D952*1000*Pressupostos!$C$90*Pressupostos!$C$93/365</f>
        <v>256442.465753425</v>
      </c>
      <c r="E1158" s="58" t="n">
        <f aca="false">E1157+E952*1000*Pressupostos!$C$90*Pressupostos!$C$93/365</f>
        <v>496886.301369863</v>
      </c>
      <c r="F1158" s="58" t="n">
        <f aca="false">F1157+F952*1000*Pressupostos!$C$90*Pressupostos!$C$93/365</f>
        <v>844947.94520548</v>
      </c>
      <c r="G1158" s="58" t="n">
        <f aca="false">G1157+G952*1000*Pressupostos!$C$90*Pressupostos!$C$93/365</f>
        <v>1248575.34246575</v>
      </c>
      <c r="H1158" s="2" t="s">
        <v>1322</v>
      </c>
    </row>
    <row r="1159" customFormat="false" ht="15" hidden="false" customHeight="false" outlineLevel="1" collapsed="false">
      <c r="A1159" s="7" t="s">
        <v>704</v>
      </c>
      <c r="B1159" s="8" t="s">
        <v>10</v>
      </c>
      <c r="C1159" s="58" t="n">
        <f aca="false">C941*1000*(C959*C964/365)+C942*1000*(C982*C987/365)+C943*1000*(C1005*C1010/365)+C1030*Pressupostos!$C$94/365+C1032*Pressupostos!$C$80/365</f>
        <v>39130.498630137</v>
      </c>
      <c r="D1159" s="58" t="n">
        <f aca="false">D941*1000*(D959*D964/365)+D942*1000*(D982*D987/365)+D943*1000*(D1005*D1010/365)+D1030*Pressupostos!$C$94/365+D1032*Pressupostos!$C$80/365</f>
        <v>484391.424657534</v>
      </c>
      <c r="E1159" s="58" t="n">
        <f aca="false">E941*1000*(E959*E964/365)+E942*1000*(E982*E987/365)+E943*1000*(E1005*E1010/365)+E1030*Pressupostos!$C$94/365+E1032*Pressupostos!$C$80/365</f>
        <v>1198402.93150685</v>
      </c>
      <c r="F1159" s="58" t="n">
        <f aca="false">F941*1000*(F959*F964/365)+F942*1000*(F982*F987/365)+F943*1000*(F1005*F1010/365)+F1030*Pressupostos!$C$94/365+F1032*Pressupostos!$C$80/365</f>
        <v>2005747.42465753</v>
      </c>
      <c r="G1159" s="58" t="n">
        <f aca="false">G941*1000*(G959*G964/365)+G942*1000*(G982*G987/365)+G943*1000*(G1005*G1010/365)+G1030*Pressupostos!$C$94/365+G1032*Pressupostos!$C$80/365</f>
        <v>2914091.23287671</v>
      </c>
      <c r="H1159" s="2" t="s">
        <v>1323</v>
      </c>
    </row>
    <row r="1160" customFormat="false" ht="15" hidden="false" customHeight="false" outlineLevel="1" collapsed="false">
      <c r="A1160" s="7" t="s">
        <v>705</v>
      </c>
      <c r="B1160" s="8" t="s">
        <v>10</v>
      </c>
      <c r="C1160" s="58" t="n">
        <f aca="false">C941*1000*((C957+C960)*Pressupostos!$C$70/365)+C942*1000*((C980+C983)*Pressupostos!$C$70/365)+C943*1000*((C1003+C1006)*Pressupostos!$C$70/365)+C952*1000*Pressupostos!$C$90*Pressupostos!$C$95/365</f>
        <v>20140.2739726027</v>
      </c>
      <c r="D1160" s="58" t="n">
        <f aca="false">D941*1000*((D957+D960)*Pressupostos!$C$70/365)+D942*1000*((D980+D983)*Pressupostos!$C$70/365)+D943*1000*((D1003+D1006)*Pressupostos!$C$70/365)+D952*1000*Pressupostos!$C$90*Pressupostos!$C$95/365</f>
        <v>275284.931506849</v>
      </c>
      <c r="E1160" s="58" t="n">
        <f aca="false">E941*1000*((E957+E960)*Pressupostos!$C$70/365)+E942*1000*((E980+E983)*Pressupostos!$C$70/365)+E943*1000*((E1003+E1006)*Pressupostos!$C$70/365)+E952*1000*Pressupostos!$C$90*Pressupostos!$C$95/365</f>
        <v>698486.301369863</v>
      </c>
      <c r="F1160" s="58" t="n">
        <f aca="false">F941*1000*((F957+F960)*Pressupostos!$C$70/365)+F942*1000*((F980+F983)*Pressupostos!$C$70/365)+F943*1000*((F1003+F1006)*Pressupostos!$C$70/365)+F952*1000*Pressupostos!$C$90*Pressupostos!$C$95/365</f>
        <v>1174015.06849315</v>
      </c>
      <c r="G1160" s="58" t="n">
        <f aca="false">G941*1000*((G957+G960)*Pressupostos!$C$70/365)+G942*1000*((G980+G983)*Pressupostos!$C$70/365)+G943*1000*((G1003+G1006)*Pressupostos!$C$70/365)+G952*1000*Pressupostos!$C$90*Pressupostos!$C$95/365</f>
        <v>1702232.87671233</v>
      </c>
      <c r="H1160" s="2" t="s">
        <v>1324</v>
      </c>
    </row>
    <row r="1161" customFormat="false" ht="15" hidden="false" customHeight="false" outlineLevel="1" collapsed="false">
      <c r="A1161" s="52" t="s">
        <v>706</v>
      </c>
      <c r="B1161" s="53" t="s">
        <v>10</v>
      </c>
      <c r="C1161" s="59" t="n">
        <f aca="false">C1158+C1159-C1160</f>
        <v>53283.9232876712</v>
      </c>
      <c r="D1161" s="59" t="n">
        <f aca="false">D1158+D1159-D1160</f>
        <v>465548.958904109</v>
      </c>
      <c r="E1161" s="59" t="n">
        <f aca="false">E1158+E1159-E1160</f>
        <v>996802.931506849</v>
      </c>
      <c r="F1161" s="59" t="n">
        <f aca="false">F1158+F1159-F1160</f>
        <v>1676680.30136986</v>
      </c>
      <c r="G1161" s="59" t="n">
        <f aca="false">G1158+G1159-G1160</f>
        <v>2460433.69863014</v>
      </c>
      <c r="H1161" s="2" t="s">
        <v>1325</v>
      </c>
    </row>
    <row r="1162" customFormat="false" ht="15" hidden="false" customHeight="false" outlineLevel="0" collapsed="false">
      <c r="A1162" s="3" t="s">
        <v>1326</v>
      </c>
      <c r="B1162" s="4"/>
      <c r="C1162" s="4"/>
      <c r="D1162" s="4"/>
      <c r="E1162" s="4"/>
      <c r="F1162" s="4"/>
      <c r="G1162" s="4"/>
      <c r="H1162" s="4"/>
    </row>
    <row r="1163" customFormat="false" ht="15" hidden="false" customHeight="false" outlineLevel="1" collapsed="false">
      <c r="A1163" s="52" t="s">
        <v>708</v>
      </c>
      <c r="B1163" s="53" t="s">
        <v>10</v>
      </c>
      <c r="C1163" s="59" t="n">
        <f aca="false">Pressupostos!$C$279*C1161/Pressupostos!$F$31</f>
        <v>0</v>
      </c>
      <c r="D1163" s="59" t="n">
        <f aca="false">Pressupostos!$D$279*D1161/Pressupostos!$F$31</f>
        <v>523742.578767123</v>
      </c>
      <c r="E1163" s="59" t="n">
        <f aca="false">Pressupostos!$E$279*E1161/Pressupostos!$F$31</f>
        <v>1121403.29794521</v>
      </c>
      <c r="F1163" s="59" t="n">
        <f aca="false">Pressupostos!$F$279*F1161/Pressupostos!$F$31</f>
        <v>1886265.3390411</v>
      </c>
      <c r="G1163" s="59" t="n">
        <f aca="false">Pressupostos!$G$279*G1161/Pressupostos!$F$31</f>
        <v>2767987.9109589</v>
      </c>
      <c r="H1163" s="2" t="s">
        <v>1327</v>
      </c>
    </row>
    <row r="1164" customFormat="false" ht="15" hidden="false" customHeight="false" outlineLevel="1" collapsed="false">
      <c r="A1164" s="7" t="s">
        <v>709</v>
      </c>
      <c r="B1164" s="8" t="s">
        <v>10</v>
      </c>
      <c r="C1164" s="58" t="n">
        <f aca="false">Pressupostos!$C$279*C1161</f>
        <v>0</v>
      </c>
      <c r="D1164" s="58" t="n">
        <f aca="false">Pressupostos!$D$279*D1161</f>
        <v>418994.063013699</v>
      </c>
      <c r="E1164" s="58" t="n">
        <f aca="false">Pressupostos!$E$279*E1161</f>
        <v>897122.638356164</v>
      </c>
      <c r="F1164" s="58" t="n">
        <f aca="false">Pressupostos!$F$279*F1161</f>
        <v>1509012.27123288</v>
      </c>
      <c r="G1164" s="58" t="n">
        <f aca="false">Pressupostos!$G$279*G1161</f>
        <v>2214390.32876712</v>
      </c>
      <c r="H1164" s="2" t="s">
        <v>1328</v>
      </c>
    </row>
    <row r="1165" customFormat="false" ht="15" hidden="false" customHeight="false" outlineLevel="1" collapsed="false">
      <c r="A1165" s="7" t="s">
        <v>710</v>
      </c>
      <c r="B1165" s="8" t="s">
        <v>10</v>
      </c>
      <c r="C1165" s="58" t="n">
        <f aca="false">C1163-C1164</f>
        <v>0</v>
      </c>
      <c r="D1165" s="58" t="n">
        <f aca="false">D1163-D1164</f>
        <v>104748.515753425</v>
      </c>
      <c r="E1165" s="58" t="n">
        <f aca="false">E1163-E1164</f>
        <v>224280.659589041</v>
      </c>
      <c r="F1165" s="58" t="n">
        <f aca="false">F1163-F1164</f>
        <v>377253.067808219</v>
      </c>
      <c r="G1165" s="58" t="n">
        <f aca="false">G1163-G1164</f>
        <v>553597.582191781</v>
      </c>
      <c r="H1165" s="2" t="s">
        <v>1329</v>
      </c>
    </row>
    <row r="1166" customFormat="false" ht="15" hidden="false" customHeight="false" outlineLevel="1" collapsed="false">
      <c r="A1166" s="7" t="s">
        <v>711</v>
      </c>
      <c r="B1166" s="8" t="s">
        <v>10</v>
      </c>
      <c r="C1166" s="58" t="n">
        <f aca="false">C1161-C1164</f>
        <v>53283.9232876712</v>
      </c>
      <c r="D1166" s="58" t="n">
        <f aca="false">D1161-D1164</f>
        <v>46554.8958904109</v>
      </c>
      <c r="E1166" s="58" t="n">
        <f aca="false">E1161-E1164</f>
        <v>99680.2931506849</v>
      </c>
      <c r="F1166" s="58" t="n">
        <f aca="false">F1161-F1164</f>
        <v>167668.030136986</v>
      </c>
      <c r="G1166" s="58" t="n">
        <f aca="false">G1161-G1164</f>
        <v>246043.369863014</v>
      </c>
      <c r="H1166" s="2" t="s">
        <v>1330</v>
      </c>
    </row>
    <row r="1167" customFormat="false" ht="15" hidden="false" customHeight="false" outlineLevel="1" collapsed="false">
      <c r="A1167" s="7" t="s">
        <v>712</v>
      </c>
      <c r="B1167" s="8" t="s">
        <v>10</v>
      </c>
      <c r="C1167" s="58" t="n">
        <f aca="false">MAX(0,Pressupostos!$C$106-C1166)</f>
        <v>0</v>
      </c>
      <c r="D1167" s="58" t="n">
        <f aca="false">MAX(0,Pressupostos!$C$106-D1166)</f>
        <v>3445.10410958907</v>
      </c>
      <c r="E1167" s="58" t="n">
        <f aca="false">MAX(0,Pressupostos!$C$106-E1166)</f>
        <v>0</v>
      </c>
      <c r="F1167" s="58" t="n">
        <f aca="false">MAX(0,Pressupostos!$C$106-F1166)</f>
        <v>0</v>
      </c>
      <c r="G1167" s="58" t="n">
        <f aca="false">MAX(0,Pressupostos!$C$106-G1166)</f>
        <v>0</v>
      </c>
      <c r="H1167" s="2" t="s">
        <v>1331</v>
      </c>
    </row>
    <row r="1168" customFormat="false" ht="15" hidden="false" customHeight="false" outlineLevel="1" collapsed="false">
      <c r="A1168" s="7" t="s">
        <v>713</v>
      </c>
      <c r="B1168" s="8" t="s">
        <v>10</v>
      </c>
      <c r="C1168" s="58" t="n">
        <f aca="false">Pressupostos!$C$107*C1163</f>
        <v>0</v>
      </c>
      <c r="D1168" s="58" t="n">
        <f aca="false">Pressupostos!$C$107*D1163</f>
        <v>26187.1289383562</v>
      </c>
      <c r="E1168" s="58" t="n">
        <f aca="false">Pressupostos!$C$107*E1163</f>
        <v>56070.1648972603</v>
      </c>
      <c r="F1168" s="58" t="n">
        <f aca="false">Pressupostos!$C$107*F1163</f>
        <v>94313.2669520548</v>
      </c>
      <c r="G1168" s="58" t="n">
        <f aca="false">Pressupostos!$C$107*G1163</f>
        <v>138399.395547945</v>
      </c>
      <c r="H1168" s="2" t="s">
        <v>1332</v>
      </c>
    </row>
    <row r="1169" customFormat="false" ht="15" hidden="false" customHeight="false" outlineLevel="1" collapsed="false">
      <c r="A1169" s="2" t="s">
        <v>714</v>
      </c>
      <c r="B1169" s="8" t="s">
        <v>115</v>
      </c>
      <c r="C1169" s="58" t="n">
        <f aca="false">C1163/Pressupostos!$C$110</f>
        <v>0</v>
      </c>
      <c r="D1169" s="58" t="n">
        <f aca="false">D1163/Pressupostos!$C$110</f>
        <v>10.4748515753425</v>
      </c>
      <c r="E1169" s="58" t="n">
        <f aca="false">E1163/Pressupostos!$C$110</f>
        <v>22.4280659589041</v>
      </c>
      <c r="F1169" s="58" t="n">
        <f aca="false">F1163/Pressupostos!$C$110</f>
        <v>37.7253067808219</v>
      </c>
      <c r="G1169" s="58" t="n">
        <f aca="false">G1163/Pressupostos!$C$110</f>
        <v>55.3597582191781</v>
      </c>
      <c r="H1169" s="2" t="s">
        <v>1333</v>
      </c>
    </row>
    <row r="1170" customFormat="false" ht="15" hidden="false" customHeight="false" outlineLevel="0" collapsed="false">
      <c r="A1170" s="3" t="s">
        <v>1334</v>
      </c>
      <c r="B1170" s="4"/>
      <c r="C1170" s="4"/>
      <c r="D1170" s="4"/>
      <c r="E1170" s="4"/>
      <c r="F1170" s="4"/>
      <c r="G1170" s="4"/>
      <c r="H1170" s="4"/>
    </row>
    <row r="1171" customFormat="false" ht="15" hidden="false" customHeight="false" outlineLevel="1" collapsed="false">
      <c r="A1171" s="7" t="s">
        <v>681</v>
      </c>
      <c r="B1171" s="8" t="s">
        <v>10</v>
      </c>
      <c r="C1171" s="58" t="n">
        <f aca="false">C1137</f>
        <v>-586332.91635274</v>
      </c>
      <c r="D1171" s="58" t="n">
        <f aca="false">D1137</f>
        <v>-679963.533732877</v>
      </c>
      <c r="E1171" s="58" t="n">
        <f aca="false">E1137</f>
        <v>-692917.688343322</v>
      </c>
      <c r="F1171" s="58" t="n">
        <f aca="false">F1137</f>
        <v>-653510.927099033</v>
      </c>
      <c r="G1171" s="58" t="n">
        <f aca="false">G1137</f>
        <v>-529540.381498266</v>
      </c>
      <c r="H1171" s="2" t="s">
        <v>1335</v>
      </c>
    </row>
    <row r="1172" customFormat="false" ht="15" hidden="false" customHeight="false" outlineLevel="1" collapsed="false">
      <c r="A1172" s="7" t="s">
        <v>716</v>
      </c>
      <c r="B1172" s="8" t="s">
        <v>10</v>
      </c>
      <c r="C1172" s="58" t="n">
        <f aca="false">-C1152</f>
        <v>-0</v>
      </c>
      <c r="D1172" s="58" t="n">
        <f aca="false">-D1152</f>
        <v>-0</v>
      </c>
      <c r="E1172" s="58" t="n">
        <f aca="false">-E1152</f>
        <v>-0</v>
      </c>
      <c r="F1172" s="58" t="n">
        <f aca="false">-F1152</f>
        <v>-0</v>
      </c>
      <c r="G1172" s="58" t="n">
        <f aca="false">-G1152</f>
        <v>-0</v>
      </c>
      <c r="H1172" s="2" t="s">
        <v>1336</v>
      </c>
    </row>
    <row r="1173" customFormat="false" ht="15" hidden="false" customHeight="false" outlineLevel="1" collapsed="false">
      <c r="A1173" s="7" t="s">
        <v>717</v>
      </c>
      <c r="B1173" s="8" t="s">
        <v>10</v>
      </c>
      <c r="C1173" s="58" t="n">
        <f aca="false">-C1161</f>
        <v>-53283.9232876712</v>
      </c>
      <c r="D1173" s="58" t="n">
        <f aca="false">-(D1161-C1161)</f>
        <v>-412265.035616438</v>
      </c>
      <c r="E1173" s="58" t="n">
        <f aca="false">-(E1161-D1161)</f>
        <v>-531253.97260274</v>
      </c>
      <c r="F1173" s="58" t="n">
        <f aca="false">-(F1161-E1161)</f>
        <v>-679877.369863014</v>
      </c>
      <c r="G1173" s="58" t="n">
        <f aca="false">-(G1161-F1161)</f>
        <v>-783753.397260273</v>
      </c>
      <c r="H1173" s="2" t="s">
        <v>1337</v>
      </c>
    </row>
    <row r="1174" customFormat="false" ht="15" hidden="false" customHeight="false" outlineLevel="1" collapsed="false">
      <c r="A1174" s="7" t="s">
        <v>407</v>
      </c>
      <c r="B1174" s="8" t="s">
        <v>10</v>
      </c>
      <c r="C1174" s="58" t="n">
        <f aca="false">-C1122</f>
        <v>-89000</v>
      </c>
      <c r="D1174" s="58" t="n">
        <f aca="false">-D1122</f>
        <v>-46000</v>
      </c>
      <c r="E1174" s="58" t="n">
        <f aca="false">-E1122</f>
        <v>-44000</v>
      </c>
      <c r="F1174" s="58" t="n">
        <f aca="false">-F1122</f>
        <v>-37000</v>
      </c>
      <c r="G1174" s="58" t="n">
        <f aca="false">-G1122</f>
        <v>-34000</v>
      </c>
      <c r="H1174" s="2" t="s">
        <v>1338</v>
      </c>
    </row>
    <row r="1175" customFormat="false" ht="15" hidden="false" customHeight="false" outlineLevel="1" collapsed="false">
      <c r="A1175" s="7" t="s">
        <v>718</v>
      </c>
      <c r="B1175" s="8" t="s">
        <v>10</v>
      </c>
      <c r="C1175" s="58" t="n">
        <f aca="false">C1171+C1172+C1173+C1174</f>
        <v>-728616.839640411</v>
      </c>
      <c r="D1175" s="58" t="n">
        <f aca="false">D1171+D1172+D1173+D1174</f>
        <v>-1138228.56934931</v>
      </c>
      <c r="E1175" s="58" t="n">
        <f aca="false">E1171+E1172+E1173+E1174</f>
        <v>-1268171.66094606</v>
      </c>
      <c r="F1175" s="58" t="n">
        <f aca="false">F1171+F1172+F1173+F1174</f>
        <v>-1370388.29696205</v>
      </c>
      <c r="G1175" s="58" t="n">
        <f aca="false">G1171+G1172+G1173+G1174</f>
        <v>-1347293.77875854</v>
      </c>
      <c r="H1175" s="2" t="s">
        <v>1339</v>
      </c>
    </row>
    <row r="1176" customFormat="false" ht="15" hidden="false" customHeight="false" outlineLevel="1" collapsed="false">
      <c r="A1176" s="7" t="s">
        <v>719</v>
      </c>
      <c r="B1176" s="8" t="s">
        <v>10</v>
      </c>
      <c r="C1176" s="58" t="n">
        <f aca="false">C1163</f>
        <v>0</v>
      </c>
      <c r="D1176" s="58" t="n">
        <f aca="false">D1163-C1163</f>
        <v>523742.578767123</v>
      </c>
      <c r="E1176" s="58" t="n">
        <f aca="false">E1163-D1163</f>
        <v>597660.719178082</v>
      </c>
      <c r="F1176" s="58" t="n">
        <f aca="false">F1163-E1163</f>
        <v>764862.041095891</v>
      </c>
      <c r="G1176" s="58" t="n">
        <f aca="false">G1163-F1163</f>
        <v>881722.571917807</v>
      </c>
      <c r="H1176" s="2" t="s">
        <v>1340</v>
      </c>
    </row>
    <row r="1177" customFormat="false" ht="15" hidden="false" customHeight="false" outlineLevel="1" collapsed="false">
      <c r="A1177" s="7" t="s">
        <v>720</v>
      </c>
      <c r="B1177" s="8" t="s">
        <v>10</v>
      </c>
      <c r="C1177" s="58" t="n">
        <f aca="false">-C1165</f>
        <v>-0</v>
      </c>
      <c r="D1177" s="58" t="n">
        <f aca="false">-(D1165-C1165)</f>
        <v>-104748.515753425</v>
      </c>
      <c r="E1177" s="58" t="n">
        <f aca="false">-(E1165-D1165)</f>
        <v>-119532.143835616</v>
      </c>
      <c r="F1177" s="58" t="n">
        <f aca="false">-(F1165-E1165)</f>
        <v>-152972.408219178</v>
      </c>
      <c r="G1177" s="58" t="n">
        <f aca="false">-(G1165-F1165)</f>
        <v>-176344.514383561</v>
      </c>
      <c r="H1177" s="2" t="s">
        <v>1341</v>
      </c>
    </row>
    <row r="1178" customFormat="false" ht="15" hidden="false" customHeight="false" outlineLevel="1" collapsed="false">
      <c r="A1178" s="7" t="s">
        <v>721</v>
      </c>
      <c r="B1178" s="8" t="s">
        <v>10</v>
      </c>
      <c r="C1178" s="58" t="n">
        <f aca="false">-C1168</f>
        <v>-0</v>
      </c>
      <c r="D1178" s="58" t="n">
        <f aca="false">-(D1168-C1168)</f>
        <v>-26187.1289383562</v>
      </c>
      <c r="E1178" s="58" t="n">
        <f aca="false">-(E1168-D1168)</f>
        <v>-29883.0359589041</v>
      </c>
      <c r="F1178" s="58" t="n">
        <f aca="false">-(F1168-E1168)</f>
        <v>-38243.1020547946</v>
      </c>
      <c r="G1178" s="58" t="n">
        <f aca="false">-(G1168-F1168)</f>
        <v>-44086.1285958904</v>
      </c>
      <c r="H1178" s="2" t="s">
        <v>1342</v>
      </c>
    </row>
    <row r="1179" customFormat="false" ht="15" hidden="false" customHeight="false" outlineLevel="1" collapsed="false">
      <c r="A1179" s="7" t="s">
        <v>722</v>
      </c>
      <c r="B1179" s="8" t="s">
        <v>10</v>
      </c>
      <c r="C1179" s="58" t="n">
        <f aca="false">-(C1167-Pressupostos!$C$106)</f>
        <v>50000</v>
      </c>
      <c r="D1179" s="58" t="n">
        <f aca="false">-(D1167-C1167)</f>
        <v>-3445.10410958907</v>
      </c>
      <c r="E1179" s="58" t="n">
        <f aca="false">-(E1167-D1167)</f>
        <v>3445.10410958907</v>
      </c>
      <c r="F1179" s="58" t="n">
        <f aca="false">-(F1167-E1167)</f>
        <v>-0</v>
      </c>
      <c r="G1179" s="58" t="n">
        <f aca="false">-(G1167-F1167)</f>
        <v>-0</v>
      </c>
      <c r="H1179" s="2" t="s">
        <v>1343</v>
      </c>
    </row>
    <row r="1180" customFormat="false" ht="15" hidden="false" customHeight="false" outlineLevel="1" collapsed="false">
      <c r="A1180" s="52" t="s">
        <v>723</v>
      </c>
      <c r="B1180" s="53" t="s">
        <v>10</v>
      </c>
      <c r="C1180" s="59" t="n">
        <f aca="false">C1175+C1176+C1177+C1178+C1179</f>
        <v>-678616.839640411</v>
      </c>
      <c r="D1180" s="59" t="n">
        <f aca="false">D1175+D1176+D1177+D1178+D1179</f>
        <v>-748866.739383562</v>
      </c>
      <c r="E1180" s="59" t="n">
        <f aca="false">E1175+E1176+E1177+E1178+E1179</f>
        <v>-816481.017452911</v>
      </c>
      <c r="F1180" s="59" t="n">
        <f aca="false">F1175+F1176+F1177+F1178+F1179</f>
        <v>-796741.766140128</v>
      </c>
      <c r="G1180" s="59" t="n">
        <f aca="false">G1175+G1176+G1177+G1178+G1179</f>
        <v>-686001.849820184</v>
      </c>
      <c r="H1180" s="2" t="s">
        <v>1344</v>
      </c>
    </row>
    <row r="1181" customFormat="false" ht="15" hidden="false" customHeight="false" outlineLevel="1" collapsed="false">
      <c r="A1181" s="52" t="s">
        <v>724</v>
      </c>
      <c r="B1181" s="53" t="s">
        <v>10</v>
      </c>
      <c r="C1181" s="59" t="n">
        <f aca="false">C1180</f>
        <v>-678616.839640411</v>
      </c>
      <c r="D1181" s="59" t="n">
        <f aca="false">C1181+D1180</f>
        <v>-1427483.57902397</v>
      </c>
      <c r="E1181" s="59" t="n">
        <f aca="false">D1181+E1180</f>
        <v>-2243964.59647688</v>
      </c>
      <c r="F1181" s="59" t="n">
        <f aca="false">E1181+F1180</f>
        <v>-3040706.36261701</v>
      </c>
      <c r="G1181" s="59" t="n">
        <f aca="false">F1181+G1180</f>
        <v>-3726708.2124372</v>
      </c>
      <c r="H1181" s="2" t="s">
        <v>1345</v>
      </c>
    </row>
    <row r="1182" customFormat="false" ht="15" hidden="false" customHeight="false" outlineLevel="1" collapsed="false">
      <c r="A1182" s="8" t="s">
        <v>725</v>
      </c>
      <c r="B1182" s="8" t="s">
        <v>10</v>
      </c>
      <c r="C1182" s="66" t="n">
        <f aca="false">ROUND(C1137-C1122-C1152-(MAX(C1166,Pressupostos!$C$106)-Pressupostos!$C$106)-(C1168)-C1180,6)</f>
        <v>0</v>
      </c>
      <c r="D1182" s="66" t="n">
        <f aca="false">ROUND(D1137-D1122-D1152-(MAX(D1166,Pressupostos!$C$106)-MAX(C1166,Pressupostos!$C$106))-(D1168-C1168)-D1180,6)</f>
        <v>0</v>
      </c>
      <c r="E1182" s="66" t="n">
        <f aca="false">ROUND(E1137-E1122-E1152-(MAX(E1166,Pressupostos!$C$106)-MAX(D1166,Pressupostos!$C$106))-(E1168-D1168)-E1180,6)</f>
        <v>0</v>
      </c>
      <c r="F1182" s="66" t="n">
        <f aca="false">ROUND(F1137-F1122-F1152-(MAX(F1166,Pressupostos!$C$106)-MAX(E1166,Pressupostos!$C$106))-(F1168-E1168)-F1180,6)</f>
        <v>0</v>
      </c>
      <c r="G1182" s="66" t="n">
        <f aca="false">ROUND(G1137-G1122-G1152-(MAX(G1166,Pressupostos!$C$106)-MAX(F1166,Pressupostos!$C$106))-(G1168-F1168)-G1180,6)</f>
        <v>0</v>
      </c>
      <c r="H1182" s="2" t="s">
        <v>1346</v>
      </c>
    </row>
    <row r="1183" customFormat="false" ht="15" hidden="false" customHeight="false" outlineLevel="0" collapsed="false">
      <c r="A1183" s="3" t="s">
        <v>1347</v>
      </c>
      <c r="B1183" s="4"/>
      <c r="C1183" s="4"/>
      <c r="D1183" s="4"/>
      <c r="E1183" s="4"/>
      <c r="F1183" s="4"/>
      <c r="G1183" s="4"/>
      <c r="H1183" s="4"/>
    </row>
    <row r="1184" customFormat="false" ht="15" hidden="false" customHeight="false" outlineLevel="1" collapsed="false">
      <c r="A1184" s="7" t="s">
        <v>727</v>
      </c>
      <c r="B1184" s="8" t="s">
        <v>10</v>
      </c>
      <c r="C1184" s="58" t="n">
        <f aca="false">0</f>
        <v>0</v>
      </c>
      <c r="D1184" s="58" t="n">
        <f aca="false">C1189</f>
        <v>276383.160359589</v>
      </c>
      <c r="E1184" s="58" t="n">
        <f aca="false">D1189</f>
        <v>150000</v>
      </c>
      <c r="F1184" s="58" t="n">
        <f aca="false">E1189</f>
        <v>150000</v>
      </c>
      <c r="G1184" s="58" t="n">
        <f aca="false">F1189</f>
        <v>150000</v>
      </c>
      <c r="H1184" s="2" t="s">
        <v>1348</v>
      </c>
    </row>
    <row r="1185" customFormat="false" ht="15" hidden="false" customHeight="false" outlineLevel="1" collapsed="false">
      <c r="A1185" s="7" t="s">
        <v>728</v>
      </c>
      <c r="B1185" s="8" t="s">
        <v>10</v>
      </c>
      <c r="C1185" s="58" t="n">
        <f aca="false">-(Pressupostos!$C$157+Pressupostos!$C$158+Pressupostos!$C$159+Pressupostos!$C$160+Pressupostos!$C$161+Pressupostos!$C$106)</f>
        <v>-145000</v>
      </c>
      <c r="D1185" s="58" t="n">
        <f aca="false">0</f>
        <v>0</v>
      </c>
      <c r="E1185" s="58" t="n">
        <f aca="false">0</f>
        <v>0</v>
      </c>
      <c r="F1185" s="58" t="n">
        <f aca="false">0</f>
        <v>0</v>
      </c>
      <c r="G1185" s="58" t="n">
        <f aca="false">0</f>
        <v>0</v>
      </c>
      <c r="H1185" s="2" t="s">
        <v>1349</v>
      </c>
    </row>
    <row r="1186" customFormat="false" ht="15" hidden="false" customHeight="false" outlineLevel="1" collapsed="false">
      <c r="A1186" s="7" t="s">
        <v>729</v>
      </c>
      <c r="B1186" s="8" t="s">
        <v>10</v>
      </c>
      <c r="C1186" s="50" t="n">
        <f aca="false">Pressupostos!$F$32</f>
        <v>1100000</v>
      </c>
      <c r="D1186" s="58" t="n">
        <f aca="false">0</f>
        <v>0</v>
      </c>
      <c r="E1186" s="58" t="n">
        <f aca="false">0</f>
        <v>0</v>
      </c>
      <c r="F1186" s="58" t="n">
        <f aca="false">0</f>
        <v>0</v>
      </c>
      <c r="G1186" s="58" t="n">
        <f aca="false">0</f>
        <v>0</v>
      </c>
      <c r="H1186" s="2" t="s">
        <v>1350</v>
      </c>
    </row>
    <row r="1187" customFormat="false" ht="15" hidden="false" customHeight="false" outlineLevel="1" collapsed="false">
      <c r="A1187" s="7" t="s">
        <v>730</v>
      </c>
      <c r="B1187" s="8" t="s">
        <v>10</v>
      </c>
      <c r="C1187" s="58" t="n">
        <f aca="false">C1184+C1185+C1186+C1180</f>
        <v>276383.160359589</v>
      </c>
      <c r="D1187" s="58" t="n">
        <f aca="false">D1184+D1185+D1186+D1180</f>
        <v>-472483.579023972</v>
      </c>
      <c r="E1187" s="58" t="n">
        <f aca="false">E1184+E1185+E1186+E1180</f>
        <v>-666481.017452911</v>
      </c>
      <c r="F1187" s="58" t="n">
        <f aca="false">F1184+F1185+F1186+F1180</f>
        <v>-646741.766140128</v>
      </c>
      <c r="G1187" s="58" t="n">
        <f aca="false">G1184+G1185+G1186+G1180</f>
        <v>-536001.849820184</v>
      </c>
      <c r="H1187" s="2" t="s">
        <v>1351</v>
      </c>
    </row>
    <row r="1188" customFormat="false" ht="15" hidden="false" customHeight="false" outlineLevel="1" collapsed="false">
      <c r="A1188" s="52" t="s">
        <v>731</v>
      </c>
      <c r="B1188" s="53" t="s">
        <v>10</v>
      </c>
      <c r="C1188" s="59" t="n">
        <f aca="false">MAX(0,Pressupostos!$C$168-C1187)</f>
        <v>0</v>
      </c>
      <c r="D1188" s="59" t="n">
        <f aca="false">MAX(0,Pressupostos!$C$168-D1187)</f>
        <v>622483.579023972</v>
      </c>
      <c r="E1188" s="59" t="n">
        <f aca="false">MAX(0,Pressupostos!$C$168-E1187)</f>
        <v>816481.017452911</v>
      </c>
      <c r="F1188" s="59" t="n">
        <f aca="false">MAX(0,Pressupostos!$C$168-F1187)</f>
        <v>796741.766140128</v>
      </c>
      <c r="G1188" s="59" t="n">
        <f aca="false">MAX(0,Pressupostos!$C$168-G1187)</f>
        <v>686001.849820184</v>
      </c>
      <c r="H1188" s="2" t="s">
        <v>1352</v>
      </c>
    </row>
    <row r="1189" customFormat="false" ht="15" hidden="false" customHeight="false" outlineLevel="1" collapsed="false">
      <c r="A1189" s="52" t="s">
        <v>732</v>
      </c>
      <c r="B1189" s="53" t="s">
        <v>10</v>
      </c>
      <c r="C1189" s="59" t="n">
        <f aca="false">C1187+C1188</f>
        <v>276383.160359589</v>
      </c>
      <c r="D1189" s="59" t="n">
        <f aca="false">D1187+D1188</f>
        <v>150000</v>
      </c>
      <c r="E1189" s="59" t="n">
        <f aca="false">E1187+E1188</f>
        <v>150000</v>
      </c>
      <c r="F1189" s="59" t="n">
        <f aca="false">F1187+F1188</f>
        <v>150000</v>
      </c>
      <c r="G1189" s="59" t="n">
        <f aca="false">G1187+G1188</f>
        <v>150000</v>
      </c>
      <c r="H1189" s="2" t="s">
        <v>1353</v>
      </c>
    </row>
    <row r="1190" customFormat="false" ht="15" hidden="false" customHeight="false" outlineLevel="1" collapsed="false">
      <c r="A1190" s="7" t="s">
        <v>733</v>
      </c>
      <c r="B1190" s="8" t="s">
        <v>10</v>
      </c>
      <c r="C1190" s="58" t="n">
        <f aca="false">C1165+C1168+C1167</f>
        <v>0</v>
      </c>
      <c r="D1190" s="58" t="n">
        <f aca="false">D1165+D1168+D1167</f>
        <v>134380.74880137</v>
      </c>
      <c r="E1190" s="58" t="n">
        <f aca="false">E1165+E1168+E1167</f>
        <v>280350.824486301</v>
      </c>
      <c r="F1190" s="58" t="n">
        <f aca="false">F1165+F1168+F1167</f>
        <v>471566.334760274</v>
      </c>
      <c r="G1190" s="58" t="n">
        <f aca="false">G1165+G1168+G1167</f>
        <v>691996.977739726</v>
      </c>
      <c r="H1190" s="2" t="s">
        <v>1354</v>
      </c>
    </row>
    <row r="1191" customFormat="false" ht="15" hidden="false" customHeight="false" outlineLevel="1" collapsed="false">
      <c r="A1191" s="7" t="s">
        <v>734</v>
      </c>
      <c r="B1191" s="8" t="s">
        <v>10</v>
      </c>
      <c r="C1191" s="58" t="n">
        <f aca="false">C1189+C1190</f>
        <v>276383.160359589</v>
      </c>
      <c r="D1191" s="58" t="n">
        <f aca="false">D1189+D1190</f>
        <v>284380.74880137</v>
      </c>
      <c r="E1191" s="58" t="n">
        <f aca="false">E1189+E1190</f>
        <v>430350.824486301</v>
      </c>
      <c r="F1191" s="58" t="n">
        <f aca="false">F1189+F1190</f>
        <v>621566.334760274</v>
      </c>
      <c r="G1191" s="58" t="n">
        <f aca="false">G1189+G1190</f>
        <v>841996.977739726</v>
      </c>
      <c r="H1191" s="2" t="s">
        <v>1355</v>
      </c>
    </row>
    <row r="1192" customFormat="false" ht="15" hidden="false" customHeight="false" outlineLevel="1" collapsed="false">
      <c r="A1192" s="7" t="s">
        <v>735</v>
      </c>
      <c r="B1192" s="8" t="s">
        <v>10</v>
      </c>
      <c r="C1192" s="58" t="n">
        <f aca="false">C1186+C1188</f>
        <v>1100000</v>
      </c>
      <c r="D1192" s="58" t="n">
        <f aca="false">C1192+D1186+D1188</f>
        <v>1722483.57902397</v>
      </c>
      <c r="E1192" s="58" t="n">
        <f aca="false">D1192+E1186+E1188</f>
        <v>2538964.59647688</v>
      </c>
      <c r="F1192" s="58" t="n">
        <f aca="false">E1192+F1186+F1188</f>
        <v>3335706.36261701</v>
      </c>
      <c r="G1192" s="58" t="n">
        <f aca="false">F1192+G1186+G1188</f>
        <v>4021708.2124372</v>
      </c>
      <c r="H1192" s="2" t="s">
        <v>1356</v>
      </c>
    </row>
    <row r="1193" customFormat="false" ht="15" hidden="false" customHeight="false" outlineLevel="0" collapsed="false">
      <c r="A1193" s="3" t="s">
        <v>1357</v>
      </c>
      <c r="B1193" s="4"/>
      <c r="C1193" s="4"/>
      <c r="D1193" s="4"/>
      <c r="E1193" s="4"/>
      <c r="F1193" s="4"/>
      <c r="G1193" s="4"/>
      <c r="H1193" s="4"/>
    </row>
    <row r="1194" customFormat="false" ht="15" hidden="false" customHeight="false" outlineLevel="1" collapsed="false">
      <c r="A1194" s="7" t="s">
        <v>739</v>
      </c>
      <c r="B1194" s="8" t="s">
        <v>10</v>
      </c>
      <c r="C1194" s="68" t="n">
        <f aca="false">Pressupostos!$C$157+Pressupostos!$C$158+Pressupostos!$C$159+Pressupostos!$C$160+Pressupostos!$C$161</f>
        <v>95000</v>
      </c>
      <c r="H1194" s="2" t="s">
        <v>1358</v>
      </c>
    </row>
    <row r="1195" customFormat="false" ht="15" hidden="false" customHeight="false" outlineLevel="1" collapsed="false">
      <c r="A1195" s="7" t="s">
        <v>740</v>
      </c>
      <c r="B1195" s="8" t="s">
        <v>10</v>
      </c>
      <c r="C1195" s="69" t="n">
        <f aca="false">Pressupostos!$C$106</f>
        <v>50000</v>
      </c>
      <c r="H1195" s="2" t="s">
        <v>1359</v>
      </c>
    </row>
    <row r="1196" customFormat="false" ht="15" hidden="false" customHeight="false" outlineLevel="1" collapsed="false">
      <c r="A1196" s="7" t="s">
        <v>312</v>
      </c>
      <c r="B1196" s="8" t="s">
        <v>10</v>
      </c>
      <c r="C1196" s="69" t="n">
        <f aca="false">Pressupostos!$C$168</f>
        <v>150000</v>
      </c>
      <c r="H1196" s="2" t="s">
        <v>1360</v>
      </c>
    </row>
    <row r="1197" customFormat="false" ht="15" hidden="false" customHeight="false" outlineLevel="1" collapsed="false">
      <c r="A1197" s="7" t="s">
        <v>741</v>
      </c>
      <c r="B1197" s="8" t="s">
        <v>10</v>
      </c>
      <c r="C1197" s="68" t="n">
        <f aca="false">MAX(0,-MIN($C$1181:$G$1181))</f>
        <v>3726708.2124372</v>
      </c>
      <c r="H1197" s="2" t="s">
        <v>1361</v>
      </c>
    </row>
    <row r="1198" customFormat="false" ht="15" hidden="false" customHeight="false" outlineLevel="1" collapsed="false">
      <c r="A1198" s="52" t="s">
        <v>14</v>
      </c>
      <c r="B1198" s="53" t="s">
        <v>10</v>
      </c>
      <c r="C1198" s="70" t="n">
        <f aca="false">C1194+C1195+C1196+C1197</f>
        <v>4021708.2124372</v>
      </c>
      <c r="H1198" s="2" t="s">
        <v>1362</v>
      </c>
    </row>
    <row r="1199" customFormat="false" ht="15" hidden="false" customHeight="false" outlineLevel="1" collapsed="false">
      <c r="A1199" s="7" t="s">
        <v>742</v>
      </c>
      <c r="B1199" s="8" t="s">
        <v>18</v>
      </c>
      <c r="C1199" s="71" t="n">
        <f aca="false">INDEX($C$938:$G$938,1,MATCH(MIN($C$1181:$G$1181),$C$1181:$G$1181,0))</f>
        <v>2031</v>
      </c>
      <c r="H1199" s="2" t="s">
        <v>1363</v>
      </c>
    </row>
    <row r="1200" customFormat="false" ht="15" hidden="false" customHeight="false" outlineLevel="1" collapsed="false">
      <c r="A1200" s="7" t="s">
        <v>743</v>
      </c>
      <c r="B1200" s="8"/>
      <c r="C1200" s="72" t="str">
        <f aca="false">IF(G1180&lt;0,"sim","não")</f>
        <v>sim</v>
      </c>
      <c r="H1200" s="2" t="s">
        <v>1364</v>
      </c>
    </row>
    <row r="1201" customFormat="false" ht="15" hidden="false" customHeight="false" outlineLevel="1" collapsed="false">
      <c r="A1201" s="7" t="s">
        <v>744</v>
      </c>
      <c r="B1201" s="8" t="s">
        <v>10</v>
      </c>
      <c r="C1201" s="68" t="n">
        <f aca="false">G1192</f>
        <v>4021708.2124372</v>
      </c>
      <c r="H1201" s="2" t="s">
        <v>1365</v>
      </c>
    </row>
    <row r="1202" customFormat="false" ht="15" hidden="false" customHeight="false" outlineLevel="0" collapsed="false">
      <c r="A1202" s="3" t="s">
        <v>1366</v>
      </c>
      <c r="B1202" s="4"/>
      <c r="C1202" s="4"/>
      <c r="D1202" s="4"/>
      <c r="E1202" s="4"/>
      <c r="F1202" s="4"/>
      <c r="G1202" s="4"/>
      <c r="H1202" s="4"/>
    </row>
    <row r="1203" customFormat="false" ht="15" hidden="false" customHeight="false" outlineLevel="1" collapsed="false">
      <c r="A1203" s="7" t="s">
        <v>746</v>
      </c>
      <c r="B1203" s="8" t="s">
        <v>10</v>
      </c>
      <c r="C1203" s="68" t="n">
        <f aca="false">C1194+C1195</f>
        <v>145000</v>
      </c>
      <c r="H1203" s="2" t="s">
        <v>1367</v>
      </c>
    </row>
    <row r="1204" customFormat="false" ht="15" hidden="false" customHeight="false" outlineLevel="1" collapsed="false">
      <c r="A1204" s="7" t="s">
        <v>747</v>
      </c>
      <c r="B1204" s="8" t="s">
        <v>10</v>
      </c>
      <c r="C1204" s="68" t="n">
        <f aca="false">-SUMPRODUCT(($C$938:$G$938&lt;=C1199)*$C$1137:$G$1137)</f>
        <v>3142265.44702624</v>
      </c>
      <c r="H1204" s="2" t="s">
        <v>1368</v>
      </c>
    </row>
    <row r="1205" customFormat="false" ht="15" hidden="false" customHeight="false" outlineLevel="1" collapsed="false">
      <c r="A1205" s="7" t="s">
        <v>407</v>
      </c>
      <c r="B1205" s="8" t="s">
        <v>10</v>
      </c>
      <c r="C1205" s="68" t="n">
        <f aca="false">SUMPRODUCT(($C$938:$G$938&lt;=C1199)*$C$1122:$G$1122)</f>
        <v>250000</v>
      </c>
      <c r="H1205" s="2" t="s">
        <v>1369</v>
      </c>
    </row>
    <row r="1206" customFormat="false" ht="15" hidden="false" customHeight="false" outlineLevel="1" collapsed="false">
      <c r="A1206" s="7" t="s">
        <v>748</v>
      </c>
      <c r="B1206" s="8" t="s">
        <v>10</v>
      </c>
      <c r="C1206" s="68" t="n">
        <f aca="false">SUMPRODUCT(($C$938:$G$938&lt;=C1199)*$C$1152:$G$1152)</f>
        <v>0</v>
      </c>
      <c r="H1206" s="2" t="s">
        <v>1370</v>
      </c>
    </row>
    <row r="1207" customFormat="false" ht="15" hidden="false" customHeight="false" outlineLevel="1" collapsed="false">
      <c r="A1207" s="7" t="s">
        <v>749</v>
      </c>
      <c r="B1207" s="8" t="s">
        <v>10</v>
      </c>
      <c r="C1207" s="68" t="n">
        <f aca="false">C1197-C1204-C1205-C1206</f>
        <v>334442.765410958</v>
      </c>
      <c r="H1207" s="2" t="s">
        <v>1371</v>
      </c>
    </row>
    <row r="1208" customFormat="false" ht="15" hidden="false" customHeight="false" outlineLevel="1" collapsed="false">
      <c r="A1208" s="7" t="s">
        <v>312</v>
      </c>
      <c r="B1208" s="8" t="s">
        <v>10</v>
      </c>
      <c r="C1208" s="68" t="n">
        <f aca="false">C1196</f>
        <v>150000</v>
      </c>
      <c r="H1208" s="2" t="s">
        <v>1372</v>
      </c>
    </row>
    <row r="1209" customFormat="false" ht="15" hidden="false" customHeight="false" outlineLevel="1" collapsed="false">
      <c r="A1209" s="52" t="s">
        <v>750</v>
      </c>
      <c r="B1209" s="53" t="s">
        <v>10</v>
      </c>
      <c r="C1209" s="70" t="n">
        <f aca="false">C1203+C1204+C1205+C1206+C1207+C1208</f>
        <v>4021708.2124372</v>
      </c>
      <c r="H1209" s="2" t="s">
        <v>1373</v>
      </c>
    </row>
    <row r="1210" customFormat="false" ht="15" hidden="false" customHeight="false" outlineLevel="0" collapsed="false">
      <c r="A1210" s="3" t="s">
        <v>1374</v>
      </c>
      <c r="B1210" s="4"/>
      <c r="C1210" s="4"/>
      <c r="D1210" s="4"/>
      <c r="E1210" s="4"/>
      <c r="F1210" s="4"/>
      <c r="G1210" s="4"/>
      <c r="H1210" s="4"/>
    </row>
    <row r="1211" customFormat="false" ht="15" hidden="false" customHeight="false" outlineLevel="1" collapsed="false">
      <c r="A1211" s="7" t="s">
        <v>729</v>
      </c>
      <c r="B1211" s="8" t="s">
        <v>10</v>
      </c>
      <c r="C1211" s="69" t="n">
        <f aca="false">Pressupostos!$F$32</f>
        <v>1100000</v>
      </c>
      <c r="H1211" s="2" t="s">
        <v>1375</v>
      </c>
    </row>
    <row r="1212" customFormat="false" ht="15" hidden="false" customHeight="false" outlineLevel="1" collapsed="false">
      <c r="A1212" s="7" t="s">
        <v>752</v>
      </c>
      <c r="B1212" s="8" t="s">
        <v>10</v>
      </c>
      <c r="C1212" s="68" t="n">
        <f aca="false">C1194+Pressupostos!$C$106+Pressupostos!$C$128/12*((C1098-C1086-C1087+(C1086+C1087)/Pressupostos!$C$126*Pressupostos!$C$127)*(1+Pressupostos!$C$122+Pressupostos!$C$123)+C1084*Pressupostos!$C$124+C1117)+C1122+MAX(0,Pressupostos!$C$181*1000*(C957+C960)+Pressupostos!$C$182*1000*(C980+C983)-Pressupostos!$C$106)</f>
        <v>652746.666666667</v>
      </c>
      <c r="H1212" s="2" t="s">
        <v>1376</v>
      </c>
    </row>
    <row r="1213" customFormat="false" ht="15" hidden="false" customHeight="false" outlineLevel="1" collapsed="false">
      <c r="A1213" s="7" t="s">
        <v>754</v>
      </c>
      <c r="B1213" s="8" t="s">
        <v>10</v>
      </c>
      <c r="C1213" s="68" t="n">
        <f aca="false">C1194+Pressupostos!$C$106-C1180</f>
        <v>823616.839640411</v>
      </c>
      <c r="H1213" s="2" t="s">
        <v>1377</v>
      </c>
    </row>
    <row r="1214" customFormat="false" ht="15" hidden="false" customHeight="false" outlineLevel="1" collapsed="false">
      <c r="A1214" s="7" t="s">
        <v>755</v>
      </c>
      <c r="B1214" s="8" t="s">
        <v>10</v>
      </c>
      <c r="C1214" s="58" t="n">
        <f aca="false">Pressupostos!$F$32-C1194-Pressupostos!$C$106+C1181</f>
        <v>276383.160359589</v>
      </c>
      <c r="D1214" s="58" t="n">
        <f aca="false">Pressupostos!$F$32-C1194-Pressupostos!$C$106+D1181</f>
        <v>-472483.579023972</v>
      </c>
      <c r="E1214" s="58" t="n">
        <f aca="false">Pressupostos!$F$32-C1194-Pressupostos!$C$106+E1181</f>
        <v>-1288964.59647688</v>
      </c>
      <c r="F1214" s="58" t="n">
        <f aca="false">Pressupostos!$F$32-C1194-Pressupostos!$C$106+F1181</f>
        <v>-2085706.36261701</v>
      </c>
      <c r="G1214" s="58" t="n">
        <f aca="false">Pressupostos!$F$32-C1194-Pressupostos!$C$106+G1181</f>
        <v>-2771708.2124372</v>
      </c>
      <c r="H1214" s="2" t="s">
        <v>1378</v>
      </c>
    </row>
    <row r="1215" customFormat="false" ht="15" hidden="false" customHeight="false" outlineLevel="1" collapsed="false">
      <c r="A1215" s="7" t="s">
        <v>756</v>
      </c>
      <c r="B1215" s="8" t="s">
        <v>16</v>
      </c>
      <c r="C1215" s="73" t="str">
        <f aca="false">IF(AND(Pressupostos!$F$32-C1194-Pressupostos!$C$106&gt;0,C1214&lt;=0),12*(Pressupostos!$F$32-C1194-Pressupostos!$C$106)/(Pressupostos!$F$32-C1194-Pressupostos!$C$106-C1214),"")</f>
        <v/>
      </c>
      <c r="D1215" s="73" t="n">
        <f aca="false">IF(AND(C1214&gt;0,D1214&lt;=0),12+12*C1214/(C1214-D1214),"")</f>
        <v>16.4288225793619</v>
      </c>
      <c r="E1215" s="73" t="str">
        <f aca="false">IF(AND(D1214&gt;0,E1214&lt;=0),24+12*D1214/(D1214-E1214),"")</f>
        <v/>
      </c>
      <c r="F1215" s="73" t="str">
        <f aca="false">IF(AND(E1214&gt;0,F1214&lt;=0),36+12*E1214/(E1214-F1214),"")</f>
        <v/>
      </c>
      <c r="G1215" s="73" t="str">
        <f aca="false">IF(AND(F1214&gt;0,G1214&lt;=0),48+12*F1214/(F1214-G1214),"")</f>
        <v/>
      </c>
      <c r="H1215" s="2" t="s">
        <v>1379</v>
      </c>
    </row>
    <row r="1216" customFormat="false" ht="15" hidden="false" customHeight="false" outlineLevel="1" collapsed="false">
      <c r="A1216" s="52" t="s">
        <v>757</v>
      </c>
      <c r="B1216" s="53" t="s">
        <v>264</v>
      </c>
      <c r="C1216" s="74" t="n">
        <f aca="false">IF(COUNT($C$1215:$G$1215)=0,"&gt; 60",MIN($C$1215:$G$1215))</f>
        <v>16.4288225793619</v>
      </c>
      <c r="H1216" s="2" t="s">
        <v>1380</v>
      </c>
    </row>
    <row r="1217" customFormat="false" ht="15" hidden="false" customHeight="false" outlineLevel="0" collapsed="false">
      <c r="A1217" s="3" t="s">
        <v>1381</v>
      </c>
      <c r="B1217" s="4"/>
      <c r="C1217" s="4"/>
      <c r="D1217" s="4"/>
      <c r="E1217" s="4"/>
      <c r="F1217" s="4"/>
      <c r="G1217" s="4"/>
      <c r="H1217" s="4"/>
    </row>
    <row r="1218" customFormat="false" ht="15" hidden="false" customHeight="false" outlineLevel="1" collapsed="false">
      <c r="A1218" s="7" t="s">
        <v>759</v>
      </c>
      <c r="B1218" s="8" t="s">
        <v>16</v>
      </c>
      <c r="C1218" s="73" t="str">
        <f aca="false">IF(C1137&gt;=0,1,"")</f>
        <v/>
      </c>
      <c r="D1218" s="73" t="str">
        <f aca="false">IF(AND(C1137&lt;0,D1137&gt;=0),6.5+12*(-C1137)/(D1137-C1137),"")</f>
        <v/>
      </c>
      <c r="E1218" s="73" t="str">
        <f aca="false">IF(AND(D1137&lt;0,E1137&gt;=0),18.5+12*(-D1137)/(E1137-D1137),"")</f>
        <v/>
      </c>
      <c r="F1218" s="73" t="str">
        <f aca="false">IF(AND(E1137&lt;0,F1137&gt;=0),30.5+12*(-E1137)/(F1137-E1137),"")</f>
        <v/>
      </c>
      <c r="G1218" s="73" t="str">
        <f aca="false">IF(AND(F1137&lt;0,G1137&gt;=0),42.5+12*(-F1137)/(G1137-F1137),"")</f>
        <v/>
      </c>
      <c r="H1218" s="2" t="s">
        <v>1382</v>
      </c>
    </row>
    <row r="1219" customFormat="false" ht="15" hidden="false" customHeight="false" outlineLevel="1" collapsed="false">
      <c r="A1219" s="7" t="s">
        <v>760</v>
      </c>
      <c r="B1219" s="8" t="s">
        <v>16</v>
      </c>
      <c r="C1219" s="75" t="str">
        <f aca="false">IF(COUNT($C$1218:$G$1218)=0,"não atinge até 2031",ROUNDUP(MIN($C$1218:$G$1218),0))</f>
        <v>não atinge até 2031</v>
      </c>
      <c r="H1219" s="2" t="s">
        <v>1383</v>
      </c>
    </row>
    <row r="1220" customFormat="false" ht="15" hidden="false" customHeight="false" outlineLevel="1" collapsed="false">
      <c r="A1220" s="52" t="s">
        <v>761</v>
      </c>
      <c r="B1220" s="53" t="s">
        <v>762</v>
      </c>
      <c r="C1220" s="76" t="str">
        <f aca="false">IF(ISNUMBER(C1219),DATE(2027,C1219,1),"não atinge até 2031")</f>
        <v>não atinge até 2031</v>
      </c>
      <c r="H1220" s="2" t="s">
        <v>1384</v>
      </c>
    </row>
    <row r="1221" customFormat="false" ht="15" hidden="false" customHeight="false" outlineLevel="1" collapsed="false">
      <c r="A1221" s="7" t="s">
        <v>763</v>
      </c>
      <c r="B1221" s="8" t="s">
        <v>18</v>
      </c>
      <c r="C1221" s="77" t="str">
        <f aca="false">IF(C1137&gt;=0,C938,"")</f>
        <v/>
      </c>
      <c r="D1221" s="77" t="str">
        <f aca="false">IF(D1137&gt;=0,D938,"")</f>
        <v/>
      </c>
      <c r="E1221" s="77" t="str">
        <f aca="false">IF(E1137&gt;=0,E938,"")</f>
        <v/>
      </c>
      <c r="F1221" s="77" t="str">
        <f aca="false">IF(F1137&gt;=0,F938,"")</f>
        <v/>
      </c>
      <c r="G1221" s="77" t="str">
        <f aca="false">IF(G1137&gt;=0,G938,"")</f>
        <v/>
      </c>
      <c r="H1221" s="2" t="s">
        <v>1385</v>
      </c>
    </row>
    <row r="1222" customFormat="false" ht="15" hidden="false" customHeight="false" outlineLevel="1" collapsed="false">
      <c r="A1222" s="7" t="s">
        <v>764</v>
      </c>
      <c r="B1222" s="8" t="s">
        <v>18</v>
      </c>
      <c r="C1222" s="71" t="str">
        <f aca="false">IF(COUNT($C$1221:$G$1221)=0,"não atinge até 2031",MIN($C$1221:$G$1221))</f>
        <v>não atinge até 2031</v>
      </c>
      <c r="H1222" s="2" t="s">
        <v>1386</v>
      </c>
    </row>
    <row r="1223" customFormat="false" ht="15" hidden="false" customHeight="false" outlineLevel="1" collapsed="false">
      <c r="A1223" s="7" t="s">
        <v>765</v>
      </c>
      <c r="B1223" s="8" t="s">
        <v>18</v>
      </c>
      <c r="C1223" s="77" t="str">
        <f aca="false">IF(C1155&gt;=0,C938,"")</f>
        <v/>
      </c>
      <c r="D1223" s="77" t="str">
        <f aca="false">IF(D1155&gt;=0,D938,"")</f>
        <v/>
      </c>
      <c r="E1223" s="77" t="str">
        <f aca="false">IF(E1155&gt;=0,E938,"")</f>
        <v/>
      </c>
      <c r="F1223" s="77" t="str">
        <f aca="false">IF(F1155&gt;=0,F938,"")</f>
        <v/>
      </c>
      <c r="G1223" s="77" t="str">
        <f aca="false">IF(G1155&gt;=0,G938,"")</f>
        <v/>
      </c>
      <c r="H1223" s="2" t="s">
        <v>1387</v>
      </c>
    </row>
    <row r="1224" customFormat="false" ht="15" hidden="false" customHeight="false" outlineLevel="1" collapsed="false">
      <c r="A1224" s="7" t="s">
        <v>766</v>
      </c>
      <c r="B1224" s="8" t="s">
        <v>18</v>
      </c>
      <c r="C1224" s="71" t="str">
        <f aca="false">IF(COUNT($C$1223:$G$1223)=0,"não atinge até 2031",MIN($C$1223:$G$1223))</f>
        <v>não atinge até 2031</v>
      </c>
      <c r="H1224" s="2" t="s">
        <v>1388</v>
      </c>
    </row>
    <row r="1225" customFormat="false" ht="15" hidden="false" customHeight="false" outlineLevel="1" collapsed="false">
      <c r="A1225" s="7" t="s">
        <v>767</v>
      </c>
      <c r="B1225" s="8" t="s">
        <v>18</v>
      </c>
      <c r="C1225" s="77" t="str">
        <f aca="false">IF(C1180&gt;=0,C938,"")</f>
        <v/>
      </c>
      <c r="D1225" s="77" t="str">
        <f aca="false">IF(D1180&gt;=0,D938,"")</f>
        <v/>
      </c>
      <c r="E1225" s="77" t="str">
        <f aca="false">IF(E1180&gt;=0,E938,"")</f>
        <v/>
      </c>
      <c r="F1225" s="77" t="str">
        <f aca="false">IF(F1180&gt;=0,F938,"")</f>
        <v/>
      </c>
      <c r="G1225" s="77" t="str">
        <f aca="false">IF(G1180&gt;=0,G938,"")</f>
        <v/>
      </c>
      <c r="H1225" s="2" t="s">
        <v>1389</v>
      </c>
    </row>
    <row r="1226" customFormat="false" ht="15" hidden="false" customHeight="false" outlineLevel="1" collapsed="false">
      <c r="A1226" s="7" t="s">
        <v>17</v>
      </c>
      <c r="B1226" s="8" t="s">
        <v>18</v>
      </c>
      <c r="C1226" s="71" t="str">
        <f aca="false">IF(COUNT($C$1225:$G$1225)=0,"não atinge até 2031",MIN($C$1225:$G$1225))</f>
        <v>não atinge até 2031</v>
      </c>
      <c r="H1226" s="2" t="s">
        <v>1390</v>
      </c>
    </row>
    <row r="1227" customFormat="false" ht="15" hidden="false" customHeight="false" outlineLevel="0" collapsed="false">
      <c r="A1227" s="3" t="s">
        <v>1391</v>
      </c>
      <c r="B1227" s="4"/>
      <c r="C1227" s="4"/>
      <c r="D1227" s="4"/>
      <c r="E1227" s="4"/>
      <c r="F1227" s="4"/>
      <c r="G1227" s="4"/>
      <c r="H1227" s="4"/>
    </row>
    <row r="1228" customFormat="false" ht="15" hidden="false" customHeight="false" outlineLevel="1" collapsed="false">
      <c r="A1228" s="7" t="s">
        <v>769</v>
      </c>
      <c r="B1228" s="8" t="s">
        <v>10</v>
      </c>
      <c r="C1228" s="58" t="n">
        <f aca="false">C1163</f>
        <v>0</v>
      </c>
      <c r="D1228" s="58" t="n">
        <f aca="false">D1163</f>
        <v>523742.578767123</v>
      </c>
      <c r="E1228" s="58" t="n">
        <f aca="false">E1163</f>
        <v>1121403.29794521</v>
      </c>
      <c r="F1228" s="58" t="n">
        <f aca="false">F1163</f>
        <v>1886265.3390411</v>
      </c>
      <c r="G1228" s="58" t="n">
        <f aca="false">G1163</f>
        <v>2767987.9109589</v>
      </c>
      <c r="H1228" s="2" t="s">
        <v>1392</v>
      </c>
    </row>
    <row r="1229" customFormat="false" ht="15" hidden="false" customHeight="false" outlineLevel="1" collapsed="false">
      <c r="A1229" s="7" t="s">
        <v>487</v>
      </c>
      <c r="B1229" s="8" t="s">
        <v>71</v>
      </c>
      <c r="C1229" s="78" t="n">
        <f aca="false">Pressupostos!$C$285</f>
        <v>0.08</v>
      </c>
      <c r="D1229" s="78" t="n">
        <f aca="false">Pressupostos!$D$285</f>
        <v>0.08</v>
      </c>
      <c r="E1229" s="78" t="n">
        <f aca="false">Pressupostos!$E$285</f>
        <v>0.075</v>
      </c>
      <c r="F1229" s="78" t="n">
        <f aca="false">Pressupostos!$F$285</f>
        <v>0.07</v>
      </c>
      <c r="G1229" s="78" t="n">
        <f aca="false">Pressupostos!$G$285</f>
        <v>0.07</v>
      </c>
      <c r="H1229" s="2" t="s">
        <v>1393</v>
      </c>
    </row>
    <row r="1230" customFormat="false" ht="15" hidden="false" customHeight="false" outlineLevel="1" collapsed="false">
      <c r="A1230" s="7" t="s">
        <v>770</v>
      </c>
      <c r="B1230" s="8" t="s">
        <v>71</v>
      </c>
      <c r="C1230" s="56" t="n">
        <f aca="false">Pressupostos!$C$285*(1-Pressupostos!$C$109)</f>
        <v>0.0576</v>
      </c>
      <c r="D1230" s="56" t="n">
        <f aca="false">Pressupostos!$D$285*(1-Pressupostos!$C$109)</f>
        <v>0.0576</v>
      </c>
      <c r="E1230" s="56" t="n">
        <f aca="false">Pressupostos!$E$285*(1-Pressupostos!$C$109)</f>
        <v>0.054</v>
      </c>
      <c r="F1230" s="56" t="n">
        <f aca="false">Pressupostos!$F$285*(1-Pressupostos!$C$109)</f>
        <v>0.0504</v>
      </c>
      <c r="G1230" s="56" t="n">
        <f aca="false">Pressupostos!$G$285*(1-Pressupostos!$C$109)</f>
        <v>0.0504</v>
      </c>
      <c r="H1230" s="2" t="s">
        <v>1394</v>
      </c>
    </row>
    <row r="1231" customFormat="false" ht="15" hidden="false" customHeight="false" outlineLevel="1" collapsed="false">
      <c r="A1231" s="7" t="s">
        <v>771</v>
      </c>
      <c r="B1231" s="8" t="s">
        <v>10</v>
      </c>
      <c r="C1231" s="58" t="n">
        <f aca="false">C1069</f>
        <v>0</v>
      </c>
      <c r="D1231" s="58" t="n">
        <f aca="false">D1069</f>
        <v>38774.2191780822</v>
      </c>
      <c r="E1231" s="58" t="n">
        <f aca="false">E1069</f>
        <v>77308.7093321918</v>
      </c>
      <c r="F1231" s="58" t="n">
        <f aca="false">F1069</f>
        <v>121350.136130137</v>
      </c>
      <c r="G1231" s="58" t="n">
        <f aca="false">G1069</f>
        <v>178001.429794521</v>
      </c>
      <c r="H1231" s="2" t="s">
        <v>1395</v>
      </c>
    </row>
    <row r="1232" customFormat="false" ht="15" hidden="false" customHeight="false" outlineLevel="1" collapsed="false">
      <c r="A1232" s="7" t="s">
        <v>772</v>
      </c>
      <c r="B1232" s="8" t="s">
        <v>71</v>
      </c>
      <c r="C1232" s="55" t="n">
        <f aca="false">IF(C1163&gt;0,(C1166+C1168)/C1163,0)</f>
        <v>0</v>
      </c>
      <c r="D1232" s="55" t="n">
        <f aca="false">IF(D1163&gt;0,(D1166+D1168)/D1163,0)</f>
        <v>0.138888888888889</v>
      </c>
      <c r="E1232" s="55" t="n">
        <f aca="false">IF(E1163&gt;0,(E1166+E1168)/E1163,0)</f>
        <v>0.138888888888889</v>
      </c>
      <c r="F1232" s="55" t="n">
        <f aca="false">IF(F1163&gt;0,(F1166+F1168)/F1163,0)</f>
        <v>0.138888888888889</v>
      </c>
      <c r="G1232" s="55" t="n">
        <f aca="false">IF(G1163&gt;0,(G1166+G1168)/G1163,0)</f>
        <v>0.138888888888889</v>
      </c>
      <c r="H1232" s="2" t="s">
        <v>1396</v>
      </c>
    </row>
    <row r="1233" customFormat="false" ht="15" hidden="false" customHeight="false" outlineLevel="1" collapsed="false">
      <c r="A1233" s="7" t="s">
        <v>773</v>
      </c>
      <c r="B1233" s="8" t="s">
        <v>115</v>
      </c>
      <c r="C1233" s="58" t="n">
        <f aca="false">C1169</f>
        <v>0</v>
      </c>
      <c r="D1233" s="58" t="n">
        <f aca="false">D1169</f>
        <v>10.4748515753425</v>
      </c>
      <c r="E1233" s="58" t="n">
        <f aca="false">E1169</f>
        <v>22.4280659589041</v>
      </c>
      <c r="F1233" s="58" t="n">
        <f aca="false">F1169</f>
        <v>37.7253067808219</v>
      </c>
      <c r="G1233" s="58" t="n">
        <f aca="false">G1169</f>
        <v>55.3597582191781</v>
      </c>
      <c r="H1233" s="2" t="s">
        <v>1397</v>
      </c>
    </row>
    <row r="1234" customFormat="false" ht="15" hidden="false" customHeight="false" outlineLevel="0" collapsed="false">
      <c r="A1234" s="3" t="s">
        <v>1398</v>
      </c>
      <c r="B1234" s="4"/>
      <c r="C1234" s="4"/>
      <c r="D1234" s="4"/>
      <c r="E1234" s="4"/>
      <c r="F1234" s="4"/>
      <c r="G1234" s="4"/>
      <c r="H1234" s="4"/>
    </row>
    <row r="1235" customFormat="false" ht="15" hidden="false" customHeight="false" outlineLevel="1" collapsed="false">
      <c r="A1235" s="7" t="s">
        <v>775</v>
      </c>
      <c r="B1235" s="8" t="s">
        <v>10</v>
      </c>
      <c r="C1235" s="58" t="n">
        <f aca="false">MAX(0,-C1137)</f>
        <v>586332.91635274</v>
      </c>
      <c r="D1235" s="58" t="n">
        <f aca="false">MAX(0,-D1137)</f>
        <v>679963.533732877</v>
      </c>
      <c r="E1235" s="58" t="n">
        <f aca="false">MAX(0,-E1137)</f>
        <v>692917.688343322</v>
      </c>
      <c r="F1235" s="58" t="n">
        <f aca="false">MAX(0,-F1137)</f>
        <v>653510.927099033</v>
      </c>
      <c r="G1235" s="58" t="n">
        <f aca="false">MAX(0,-G1137)</f>
        <v>529540.381498266</v>
      </c>
      <c r="H1235" s="2" t="s">
        <v>1399</v>
      </c>
    </row>
    <row r="1236" customFormat="false" ht="15" hidden="false" customHeight="false" outlineLevel="1" collapsed="false">
      <c r="A1236" s="2" t="s">
        <v>776</v>
      </c>
      <c r="B1236" s="8"/>
      <c r="C1236" s="58" t="n">
        <f aca="false">IF(AND(C938&gt;=Pressupostos!$C$118,Pressupostos!$C$116*(C1026+C1027)+Pressupostos!$C$117*C1028&gt;Pressupostos!$C$297),1,0)</f>
        <v>0</v>
      </c>
      <c r="D1236" s="58" t="n">
        <f aca="false">IF(AND(D938&gt;=Pressupostos!$C$118,Pressupostos!$C$116*(D1026+D1027)+Pressupostos!$C$117*D1028&gt;Pressupostos!$D$297),1,0)</f>
        <v>1</v>
      </c>
      <c r="E1236" s="58" t="n">
        <f aca="false">IF(AND(E938&gt;=Pressupostos!$C$118,Pressupostos!$C$116*(E1026+E1027)+Pressupostos!$C$117*E1028&gt;Pressupostos!$E$297),1,0)</f>
        <v>1</v>
      </c>
      <c r="F1236" s="58" t="n">
        <f aca="false">IF(AND(F938&gt;=Pressupostos!$C$118,Pressupostos!$C$116*(F1026+F1027)+Pressupostos!$C$117*F1028&gt;Pressupostos!$F$297),1,0)</f>
        <v>1</v>
      </c>
      <c r="G1236" s="58" t="n">
        <f aca="false">IF(AND(G938&gt;=Pressupostos!$C$118,Pressupostos!$C$116*(G1026+G1027)+Pressupostos!$C$117*G1028&gt;Pressupostos!$G$297),1,0)</f>
        <v>1</v>
      </c>
      <c r="H1236" s="2" t="s">
        <v>1400</v>
      </c>
    </row>
    <row r="1237" customFormat="false" ht="15" hidden="false" customHeight="false" outlineLevel="1" collapsed="false">
      <c r="A1237" s="7" t="s">
        <v>777</v>
      </c>
      <c r="B1237" s="8" t="s">
        <v>59</v>
      </c>
      <c r="C1237" s="60" t="n">
        <f aca="false">IF(C942&gt;0,C1235/(C942*1000*(1-Pressupostos!$F$22)*(1-Pressupostos!$F$25-C1236*Pressupostos!$C$116)),"n/a")</f>
        <v>11.309561691859</v>
      </c>
      <c r="D1237" s="60" t="n">
        <f aca="false">IF(D942&gt;0,D1235/(D942*1000*(1-Pressupostos!$F$22)*(1-Pressupostos!$F$25-D1236*Pressupostos!$C$116)),"n/a")</f>
        <v>1.88638245607094</v>
      </c>
      <c r="E1237" s="60" t="n">
        <f aca="false">IF(E942&gt;0,E1235/(E942*1000*(1-Pressupostos!$F$22)*(1-Pressupostos!$F$25-E1236*Pressupostos!$C$116)),"n/a")</f>
        <v>0.973224971373284</v>
      </c>
      <c r="F1237" s="60" t="n">
        <f aca="false">IF(F942&gt;0,F1235/(F942*1000*(1-Pressupostos!$F$22)*(1-Pressupostos!$F$25-F1236*Pressupostos!$C$116)),"n/a")</f>
        <v>0.556312553980171</v>
      </c>
      <c r="G1237" s="60" t="n">
        <f aca="false">IF(G942&gt;0,G1235/(G942*1000*(1-Pressupostos!$F$22)*(1-Pressupostos!$F$25-G1236*Pressupostos!$C$116)),"n/a")</f>
        <v>0.297918041653736</v>
      </c>
      <c r="H1237" s="2" t="s">
        <v>1401</v>
      </c>
    </row>
    <row r="1238" customFormat="false" ht="15" hidden="false" customHeight="false" outlineLevel="1" collapsed="false">
      <c r="A1238" s="7" t="s">
        <v>778</v>
      </c>
      <c r="B1238" s="8" t="s">
        <v>59</v>
      </c>
      <c r="C1238" s="60" t="n">
        <f aca="false">IF(C941&gt;0,Pressupostos!$F$15+C1235/(C941*1000*(1-Pressupostos!$F$16)*(1-Pressupostos!$F$18-C1236*Pressupostos!$C$116)),"n/a")</f>
        <v>85.9284755078901</v>
      </c>
      <c r="D1238" s="60" t="n">
        <f aca="false">IF(D941&gt;0,Pressupostos!$F$15+D1235/(D941*1000*(1-Pressupostos!$F$16)*(1-Pressupostos!$F$18-D1236*Pressupostos!$C$116)),"n/a")</f>
        <v>30.8177724392206</v>
      </c>
      <c r="E1238" s="60" t="n">
        <f aca="false">IF(E941&gt;0,Pressupostos!$F$15+E1235/(E941*1000*(1-Pressupostos!$F$16)*(1-Pressupostos!$F$18-E1236*Pressupostos!$C$116)),"n/a")</f>
        <v>15.4839682508462</v>
      </c>
      <c r="F1238" s="60" t="n">
        <f aca="false">IF(F941&gt;0,Pressupostos!$F$15+F1235/(F941*1000*(1-Pressupostos!$F$16)*(1-Pressupostos!$F$18-F1236*Pressupostos!$C$116)),"n/a")</f>
        <v>11.1112043946944</v>
      </c>
      <c r="G1238" s="60" t="n">
        <f aca="false">IF(G941&gt;0,Pressupostos!$F$15+G1235/(G941*1000*(1-Pressupostos!$F$16)*(1-Pressupostos!$F$18-G1236*Pressupostos!$C$116)),"n/a")</f>
        <v>8.89912885767302</v>
      </c>
      <c r="H1238" s="2" t="s">
        <v>1402</v>
      </c>
    </row>
    <row r="1239" customFormat="false" ht="15" hidden="false" customHeight="false" outlineLevel="1" collapsed="false">
      <c r="A1239" s="7" t="s">
        <v>779</v>
      </c>
      <c r="B1239" s="8" t="s">
        <v>59</v>
      </c>
      <c r="C1239" s="60" t="n">
        <f aca="false">C1022-C1236*Pressupostos!$C$117*C1005</f>
        <v>0.058762328767124</v>
      </c>
      <c r="D1239" s="60" t="n">
        <f aca="false">D1022-D1236*Pressupostos!$C$117*D1005</f>
        <v>0.0255719178082197</v>
      </c>
      <c r="E1239" s="60" t="n">
        <f aca="false">E1022-E1236*Pressupostos!$C$117*E1005</f>
        <v>0.0271900684931515</v>
      </c>
      <c r="F1239" s="60" t="n">
        <f aca="false">F1022-F1236*Pressupostos!$C$117*F1005</f>
        <v>0.0288082191780828</v>
      </c>
      <c r="G1239" s="60" t="n">
        <f aca="false">G1022-G1236*Pressupostos!$C$117*G1005</f>
        <v>0.0288082191780828</v>
      </c>
      <c r="H1239" s="2" t="s">
        <v>1403</v>
      </c>
    </row>
    <row r="1240" customFormat="false" ht="15" hidden="false" customHeight="false" outlineLevel="1" collapsed="false">
      <c r="A1240" s="7" t="s">
        <v>780</v>
      </c>
      <c r="B1240" s="8" t="s">
        <v>112</v>
      </c>
      <c r="C1240" s="57" t="n">
        <f aca="false">IF(C1239&gt;0,C943+C1235/(C1239*1000),"n/a")</f>
        <v>9978.04084103587</v>
      </c>
      <c r="D1240" s="57" t="n">
        <f aca="false">IF(D1239&gt;0,D943+D1235/(D1239*1000),"n/a")</f>
        <v>27090.243986875</v>
      </c>
      <c r="E1240" s="57" t="n">
        <f aca="false">IF(E1239&gt;0,E943+E1235/(E1239*1000),"n/a")</f>
        <v>26984.2200385722</v>
      </c>
      <c r="F1240" s="57" t="n">
        <f aca="false">IF(F1239&gt;0,F943+F1235/(F1239*1000),"n/a")</f>
        <v>25184.8776406221</v>
      </c>
      <c r="G1240" s="57" t="n">
        <f aca="false">IF(G1239&gt;0,G943+G1235/(G1239*1000),"n/a")</f>
        <v>21881.5729193403</v>
      </c>
      <c r="H1240" s="2" t="s">
        <v>1404</v>
      </c>
    </row>
    <row r="1241" customFormat="false" ht="15" hidden="false" customHeight="false" outlineLevel="1" collapsed="false">
      <c r="A1241" s="7" t="s">
        <v>781</v>
      </c>
      <c r="B1241" s="8" t="s">
        <v>71</v>
      </c>
      <c r="C1241" s="55" t="n">
        <f aca="false">C1235/(C1101+C1114+C1115)</f>
        <v>0.974504132631807</v>
      </c>
      <c r="D1241" s="55" t="n">
        <f aca="false">D1235/(D1101+D1114+D1115)</f>
        <v>0.894384857584923</v>
      </c>
      <c r="E1241" s="55" t="n">
        <f aca="false">E1235/(E1101+E1114+E1115)</f>
        <v>0.759854556327702</v>
      </c>
      <c r="F1241" s="55" t="n">
        <f aca="false">F1235/(F1101+F1114+F1115)</f>
        <v>0.615522531488328</v>
      </c>
      <c r="G1241" s="55" t="n">
        <f aca="false">G1235/(G1101+G1114+G1115)</f>
        <v>0.454113856928742</v>
      </c>
      <c r="H1241" s="2" t="s">
        <v>1405</v>
      </c>
    </row>
    <row r="1242" customFormat="false" ht="15" hidden="false" customHeight="false" outlineLevel="1" collapsed="false">
      <c r="A1242" s="2" t="s">
        <v>782</v>
      </c>
      <c r="B1242" s="8" t="s">
        <v>71</v>
      </c>
      <c r="C1242" s="56" t="n">
        <f aca="false">Pressupostos!$C$99*Pressupostos!$C$100+Pressupostos!$C$101-Pressupostos!$F$30*Pressupostos!$C$102*Pressupostos!$C$100/(Pressupostos!$C$103*Pressupostos!$C$104)</f>
        <v>0.02</v>
      </c>
      <c r="D1242" s="56" t="n">
        <f aca="false">Pressupostos!$C$99*Pressupostos!$C$100+Pressupostos!$C$101-Pressupostos!$F$30*Pressupostos!$C$102*Pressupostos!$C$100/(Pressupostos!$C$103*Pressupostos!$C$104)</f>
        <v>0.02</v>
      </c>
      <c r="E1242" s="56" t="n">
        <f aca="false">Pressupostos!$C$99*Pressupostos!$C$100+Pressupostos!$C$101-Pressupostos!$F$30*Pressupostos!$C$102*Pressupostos!$C$100/(Pressupostos!$C$103*Pressupostos!$C$104)</f>
        <v>0.02</v>
      </c>
      <c r="F1242" s="56" t="n">
        <f aca="false">Pressupostos!$C$99*Pressupostos!$C$100+Pressupostos!$C$101-Pressupostos!$F$30*Pressupostos!$C$102*Pressupostos!$C$100/(Pressupostos!$C$103*Pressupostos!$C$104)</f>
        <v>0.02</v>
      </c>
      <c r="G1242" s="56" t="n">
        <f aca="false">Pressupostos!$C$99*Pressupostos!$C$100+Pressupostos!$C$101-Pressupostos!$F$30*Pressupostos!$C$102*Pressupostos!$C$100/(Pressupostos!$C$103*Pressupostos!$C$104)</f>
        <v>0.02</v>
      </c>
      <c r="H1242" s="2" t="s">
        <v>1406</v>
      </c>
    </row>
    <row r="1243" customFormat="false" ht="15" hidden="false" customHeight="false" outlineLevel="1" collapsed="false">
      <c r="A1243" s="7" t="s">
        <v>783</v>
      </c>
      <c r="B1243" s="8" t="s">
        <v>10</v>
      </c>
      <c r="C1243" s="58" t="n">
        <f aca="false">IF(C1242&gt;0,C954+C1235/C1242,"n/a")</f>
        <v>29316645.817637</v>
      </c>
      <c r="D1243" s="58" t="n">
        <f aca="false">IF(D1242&gt;0,D954+D1235/D1242,"n/a")</f>
        <v>34498176.6866438</v>
      </c>
      <c r="E1243" s="58" t="n">
        <f aca="false">IF(E1242&gt;0,E954+E1235/E1242,"n/a")</f>
        <v>36145884.4171661</v>
      </c>
      <c r="F1243" s="58" t="n">
        <f aca="false">IF(F1242&gt;0,F954+F1235/F1242,"n/a")</f>
        <v>35675546.3549516</v>
      </c>
      <c r="G1243" s="58" t="n">
        <f aca="false">IF(G1242&gt;0,G954+G1235/G1242,"n/a")</f>
        <v>31477019.0749133</v>
      </c>
      <c r="H1243" s="2" t="s">
        <v>1407</v>
      </c>
    </row>
    <row r="1246" customFormat="false" ht="15" hidden="false" customHeight="false" outlineLevel="0" collapsed="false">
      <c r="A1246" s="104" t="s">
        <v>1411</v>
      </c>
      <c r="B1246" s="105"/>
      <c r="C1246" s="105"/>
      <c r="D1246" s="105"/>
      <c r="E1246" s="105"/>
      <c r="F1246" s="105"/>
      <c r="G1246" s="105"/>
      <c r="H1246" s="105"/>
    </row>
    <row r="1247" customFormat="false" ht="15" hidden="false" customHeight="false" outlineLevel="0" collapsed="false">
      <c r="A1247" s="3" t="s">
        <v>1102</v>
      </c>
      <c r="B1247" s="4"/>
      <c r="C1247" s="4"/>
      <c r="D1247" s="4"/>
      <c r="E1247" s="4"/>
      <c r="F1247" s="4"/>
      <c r="G1247" s="4"/>
      <c r="H1247" s="4"/>
    </row>
    <row r="1248" customFormat="false" ht="15" hidden="false" customHeight="false" outlineLevel="1" collapsed="false">
      <c r="A1248" s="7" t="s">
        <v>557</v>
      </c>
      <c r="B1248" s="8"/>
      <c r="C1248" s="49" t="n">
        <v>2027</v>
      </c>
      <c r="D1248" s="49" t="n">
        <v>2028</v>
      </c>
      <c r="E1248" s="49" t="n">
        <v>2029</v>
      </c>
      <c r="F1248" s="49" t="n">
        <v>2030</v>
      </c>
      <c r="G1248" s="49" t="n">
        <v>2031</v>
      </c>
      <c r="H1248" s="2" t="s">
        <v>18</v>
      </c>
    </row>
    <row r="1249" customFormat="false" ht="15" hidden="false" customHeight="false" outlineLevel="0" collapsed="false">
      <c r="A1249" s="3" t="s">
        <v>1103</v>
      </c>
      <c r="B1249" s="4"/>
      <c r="C1249" s="4"/>
      <c r="D1249" s="4"/>
      <c r="E1249" s="4"/>
      <c r="F1249" s="4"/>
      <c r="G1249" s="4"/>
      <c r="H1249" s="4"/>
    </row>
    <row r="1250" customFormat="false" ht="15" hidden="false" customHeight="false" outlineLevel="1" collapsed="false">
      <c r="A1250" s="7" t="s">
        <v>372</v>
      </c>
      <c r="B1250" s="8" t="s">
        <v>115</v>
      </c>
      <c r="C1250" s="50" t="n">
        <f aca="false">Pressupostos!$C$208</f>
        <v>40</v>
      </c>
      <c r="D1250" s="50" t="n">
        <f aca="false">Pressupostos!$D$208</f>
        <v>180</v>
      </c>
      <c r="E1250" s="50" t="n">
        <f aca="false">Pressupostos!$E$208</f>
        <v>650</v>
      </c>
      <c r="F1250" s="50" t="n">
        <f aca="false">Pressupostos!$F$208</f>
        <v>1300</v>
      </c>
      <c r="G1250" s="50" t="n">
        <f aca="false">Pressupostos!$G$208</f>
        <v>2000</v>
      </c>
      <c r="H1250" s="2" t="s">
        <v>1104</v>
      </c>
    </row>
    <row r="1251" customFormat="false" ht="15" hidden="false" customHeight="false" outlineLevel="1" collapsed="false">
      <c r="A1251" s="7" t="s">
        <v>559</v>
      </c>
      <c r="B1251" s="8" t="s">
        <v>112</v>
      </c>
      <c r="C1251" s="51" t="n">
        <f aca="false">Pressupostos!$C$214</f>
        <v>8</v>
      </c>
      <c r="D1251" s="51" t="n">
        <f aca="false">Pressupostos!$D$214</f>
        <v>37</v>
      </c>
      <c r="E1251" s="51" t="n">
        <f aca="false">Pressupostos!$E$214</f>
        <v>133</v>
      </c>
      <c r="F1251" s="51" t="n">
        <f aca="false">Pressupostos!$F$214</f>
        <v>267</v>
      </c>
      <c r="G1251" s="51" t="n">
        <f aca="false">Pressupostos!$G$214</f>
        <v>410</v>
      </c>
      <c r="H1251" s="2" t="s">
        <v>1105</v>
      </c>
    </row>
    <row r="1252" customFormat="false" ht="15" hidden="false" customHeight="false" outlineLevel="1" collapsed="false">
      <c r="A1252" s="7" t="s">
        <v>560</v>
      </c>
      <c r="B1252" s="8" t="s">
        <v>112</v>
      </c>
      <c r="C1252" s="51" t="n">
        <f aca="false">Pressupostos!$C$220</f>
        <v>52</v>
      </c>
      <c r="D1252" s="51" t="n">
        <f aca="false">Pressupostos!$D$220</f>
        <v>363</v>
      </c>
      <c r="E1252" s="51" t="n">
        <f aca="false">Pressupostos!$E$220</f>
        <v>717</v>
      </c>
      <c r="F1252" s="51" t="n">
        <f aca="false">Pressupostos!$F$220</f>
        <v>1183</v>
      </c>
      <c r="G1252" s="51" t="n">
        <f aca="false">Pressupostos!$G$220</f>
        <v>1790</v>
      </c>
      <c r="H1252" s="2" t="s">
        <v>1106</v>
      </c>
    </row>
    <row r="1253" customFormat="false" ht="15" hidden="false" customHeight="false" outlineLevel="1" collapsed="false">
      <c r="A1253" s="7" t="s">
        <v>383</v>
      </c>
      <c r="B1253" s="8" t="s">
        <v>112</v>
      </c>
      <c r="C1253" s="51" t="n">
        <f aca="false">Pressupostos!$C$226</f>
        <v>0</v>
      </c>
      <c r="D1253" s="51" t="n">
        <f aca="false">Pressupostos!$D$226</f>
        <v>0</v>
      </c>
      <c r="E1253" s="51" t="n">
        <f aca="false">Pressupostos!$E$226</f>
        <v>0</v>
      </c>
      <c r="F1253" s="51" t="n">
        <f aca="false">Pressupostos!$F$226</f>
        <v>0</v>
      </c>
      <c r="G1253" s="51" t="n">
        <f aca="false">Pressupostos!$G$226</f>
        <v>0</v>
      </c>
      <c r="H1253" s="2" t="s">
        <v>1107</v>
      </c>
    </row>
    <row r="1254" customFormat="false" ht="15" hidden="false" customHeight="false" outlineLevel="1" collapsed="false">
      <c r="A1254" s="52" t="s">
        <v>561</v>
      </c>
      <c r="B1254" s="53" t="s">
        <v>112</v>
      </c>
      <c r="C1254" s="54" t="n">
        <f aca="false">C1251+C1252+C1253</f>
        <v>60</v>
      </c>
      <c r="D1254" s="54" t="n">
        <f aca="false">D1251+D1252+D1253</f>
        <v>400</v>
      </c>
      <c r="E1254" s="54" t="n">
        <f aca="false">E1251+E1252+E1253</f>
        <v>850</v>
      </c>
      <c r="F1254" s="54" t="n">
        <f aca="false">F1251+F1252+F1253</f>
        <v>1450</v>
      </c>
      <c r="G1254" s="54" t="n">
        <f aca="false">G1251+G1252+G1253</f>
        <v>2200</v>
      </c>
      <c r="H1254" s="2" t="s">
        <v>1108</v>
      </c>
    </row>
    <row r="1255" customFormat="false" ht="15" hidden="false" customHeight="false" outlineLevel="1" collapsed="false">
      <c r="A1255" s="7" t="s">
        <v>562</v>
      </c>
      <c r="B1255" s="8" t="s">
        <v>71</v>
      </c>
      <c r="C1255" s="55" t="n">
        <f aca="false">IF(C1254&gt;0,C1251/C1254,0)</f>
        <v>0.133333333333333</v>
      </c>
      <c r="D1255" s="55" t="n">
        <f aca="false">IF(D1254&gt;0,D1251/D1254,0)</f>
        <v>0.0925</v>
      </c>
      <c r="E1255" s="55" t="n">
        <f aca="false">IF(E1254&gt;0,E1251/E1254,0)</f>
        <v>0.156470588235294</v>
      </c>
      <c r="F1255" s="55" t="n">
        <f aca="false">IF(F1254&gt;0,F1251/F1254,0)</f>
        <v>0.184137931034483</v>
      </c>
      <c r="G1255" s="55" t="n">
        <f aca="false">IF(G1254&gt;0,G1251/G1254,0)</f>
        <v>0.186363636363636</v>
      </c>
      <c r="H1255" s="2" t="s">
        <v>1109</v>
      </c>
    </row>
    <row r="1256" customFormat="false" ht="15" hidden="false" customHeight="false" outlineLevel="1" collapsed="false">
      <c r="A1256" s="7" t="s">
        <v>563</v>
      </c>
      <c r="B1256" s="8" t="s">
        <v>71</v>
      </c>
      <c r="C1256" s="56" t="n">
        <f aca="false">C1254/(Pressupostos!$C$74*1000)</f>
        <v>0.000342857142857143</v>
      </c>
      <c r="D1256" s="56" t="n">
        <f aca="false">D1254/(Pressupostos!$C$74*1000)</f>
        <v>0.00228571428571429</v>
      </c>
      <c r="E1256" s="56" t="n">
        <f aca="false">E1254/(Pressupostos!$C$74*1000)</f>
        <v>0.00485714285714286</v>
      </c>
      <c r="F1256" s="56" t="n">
        <f aca="false">F1254/(Pressupostos!$C$74*1000)</f>
        <v>0.00828571428571429</v>
      </c>
      <c r="G1256" s="56" t="n">
        <f aca="false">G1254/(Pressupostos!$C$74*1000)</f>
        <v>0.0125714285714286</v>
      </c>
      <c r="H1256" s="2" t="s">
        <v>1110</v>
      </c>
    </row>
    <row r="1257" customFormat="false" ht="15" hidden="false" customHeight="false" outlineLevel="1" collapsed="false">
      <c r="A1257" s="7" t="s">
        <v>564</v>
      </c>
      <c r="B1257" s="8" t="s">
        <v>115</v>
      </c>
      <c r="C1257" s="57" t="n">
        <f aca="false">C1251/Pressupostos!$C$39+C1252/Pressupostos!$C$46+C1253/Pressupostos!$C$58</f>
        <v>2.13333333333333</v>
      </c>
      <c r="D1257" s="57" t="n">
        <f aca="false">D1251/Pressupostos!$C$39+D1252/Pressupostos!$C$46+D1253/Pressupostos!$C$58</f>
        <v>13.95</v>
      </c>
      <c r="E1257" s="57" t="n">
        <f aca="false">E1251/Pressupostos!$C$39+E1252/Pressupostos!$C$46+E1253/Pressupostos!$C$58</f>
        <v>30.55</v>
      </c>
      <c r="F1257" s="57" t="n">
        <f aca="false">F1251/Pressupostos!$C$39+F1252/Pressupostos!$C$46+F1253/Pressupostos!$C$58</f>
        <v>52.7833333333333</v>
      </c>
      <c r="G1257" s="57" t="n">
        <f aca="false">G1251/Pressupostos!$C$39+G1252/Pressupostos!$C$46+G1253/Pressupostos!$C$58</f>
        <v>80.1666666666667</v>
      </c>
      <c r="H1257" s="2" t="s">
        <v>1111</v>
      </c>
    </row>
    <row r="1258" customFormat="false" ht="15" hidden="false" customHeight="false" outlineLevel="0" collapsed="false">
      <c r="A1258" s="3" t="s">
        <v>1112</v>
      </c>
      <c r="B1258" s="4"/>
      <c r="C1258" s="4"/>
      <c r="D1258" s="4"/>
      <c r="E1258" s="4"/>
      <c r="F1258" s="4"/>
      <c r="G1258" s="4"/>
      <c r="H1258" s="4"/>
    </row>
    <row r="1259" customFormat="false" ht="15" hidden="false" customHeight="false" outlineLevel="1" collapsed="false">
      <c r="A1259" s="7" t="s">
        <v>566</v>
      </c>
      <c r="B1259" s="8" t="s">
        <v>192</v>
      </c>
      <c r="C1259" s="50" t="n">
        <f aca="false">Pressupostos!$C$252</f>
        <v>150</v>
      </c>
      <c r="D1259" s="50" t="n">
        <f aca="false">Pressupostos!$D$252</f>
        <v>600</v>
      </c>
      <c r="E1259" s="50" t="n">
        <f aca="false">Pressupostos!$E$252</f>
        <v>1000</v>
      </c>
      <c r="F1259" s="50" t="n">
        <f aca="false">Pressupostos!$F$252</f>
        <v>1400</v>
      </c>
      <c r="G1259" s="50" t="n">
        <f aca="false">Pressupostos!$G$252</f>
        <v>1800</v>
      </c>
      <c r="H1259" s="2" t="s">
        <v>1113</v>
      </c>
    </row>
    <row r="1260" customFormat="false" ht="15" hidden="false" customHeight="false" outlineLevel="1" collapsed="false">
      <c r="A1260" s="7" t="s">
        <v>566</v>
      </c>
      <c r="B1260" s="8" t="s">
        <v>179</v>
      </c>
      <c r="C1260" s="58" t="n">
        <f aca="false">C1259*Pressupostos!$C$76</f>
        <v>112500</v>
      </c>
      <c r="D1260" s="58" t="n">
        <f aca="false">D1259*Pressupostos!$C$76</f>
        <v>450000</v>
      </c>
      <c r="E1260" s="58" t="n">
        <f aca="false">E1259*Pressupostos!$C$76</f>
        <v>750000</v>
      </c>
      <c r="F1260" s="58" t="n">
        <f aca="false">F1259*Pressupostos!$C$76</f>
        <v>1050000</v>
      </c>
      <c r="G1260" s="58" t="n">
        <f aca="false">G1259*Pressupostos!$C$76</f>
        <v>1350000</v>
      </c>
      <c r="H1260" s="2" t="s">
        <v>1114</v>
      </c>
    </row>
    <row r="1261" customFormat="false" ht="15" hidden="false" customHeight="false" outlineLevel="0" collapsed="false">
      <c r="A1261" s="3" t="s">
        <v>1115</v>
      </c>
      <c r="B1261" s="4"/>
      <c r="C1261" s="4"/>
      <c r="D1261" s="4"/>
      <c r="E1261" s="4"/>
      <c r="F1261" s="4"/>
      <c r="G1261" s="4"/>
      <c r="H1261" s="4"/>
    </row>
    <row r="1262" customFormat="false" ht="15" hidden="false" customHeight="false" outlineLevel="1" collapsed="false">
      <c r="A1262" s="7" t="s">
        <v>568</v>
      </c>
      <c r="B1262" s="8" t="s">
        <v>112</v>
      </c>
      <c r="C1262" s="57" t="n">
        <f aca="false">IF(C1248&lt;Pressupostos!$D$28,0,Pressupostos!$C$258)</f>
        <v>0</v>
      </c>
      <c r="D1262" s="57" t="n">
        <f aca="false">IF(D1248&lt;Pressupostos!$D$28,0,Pressupostos!$D$258)</f>
        <v>0</v>
      </c>
      <c r="E1262" s="57" t="n">
        <f aca="false">IF(E1248&lt;Pressupostos!$D$28,0,Pressupostos!$E$258)</f>
        <v>30</v>
      </c>
      <c r="F1262" s="57" t="n">
        <f aca="false">IF(F1248&lt;Pressupostos!$D$28,0,Pressupostos!$F$258)</f>
        <v>60</v>
      </c>
      <c r="G1262" s="57" t="n">
        <f aca="false">IF(G1248&lt;Pressupostos!$D$28,0,Pressupostos!$G$258)</f>
        <v>100</v>
      </c>
      <c r="H1262" s="2" t="s">
        <v>1116</v>
      </c>
    </row>
    <row r="1263" customFormat="false" ht="15" hidden="false" customHeight="false" outlineLevel="0" collapsed="false">
      <c r="A1263" s="3" t="s">
        <v>1117</v>
      </c>
      <c r="B1263" s="4"/>
      <c r="C1263" s="4"/>
      <c r="D1263" s="4"/>
      <c r="E1263" s="4"/>
      <c r="F1263" s="4"/>
      <c r="G1263" s="4"/>
      <c r="H1263" s="4"/>
    </row>
    <row r="1264" customFormat="false" ht="15" hidden="false" customHeight="false" outlineLevel="1" collapsed="false">
      <c r="A1264" s="7" t="s">
        <v>570</v>
      </c>
      <c r="B1264" s="8" t="s">
        <v>10</v>
      </c>
      <c r="C1264" s="50" t="n">
        <f aca="false">Pressupostos!$C$264</f>
        <v>0</v>
      </c>
      <c r="D1264" s="50" t="n">
        <f aca="false">Pressupostos!$D$264</f>
        <v>500000</v>
      </c>
      <c r="E1264" s="50" t="n">
        <f aca="false">Pressupostos!$E$264</f>
        <v>1500000</v>
      </c>
      <c r="F1264" s="50" t="n">
        <f aca="false">Pressupostos!$F$264</f>
        <v>3000000</v>
      </c>
      <c r="G1264" s="50" t="n">
        <f aca="false">Pressupostos!$G$264</f>
        <v>5000000</v>
      </c>
      <c r="H1264" s="2" t="s">
        <v>1118</v>
      </c>
    </row>
    <row r="1265" customFormat="false" ht="15" hidden="false" customHeight="false" outlineLevel="1" collapsed="false">
      <c r="A1265" s="7" t="s">
        <v>571</v>
      </c>
      <c r="B1265" s="8" t="s">
        <v>112</v>
      </c>
      <c r="C1265" s="57" t="n">
        <f aca="false">C1264/(Pressupostos!$C$103*Pressupostos!$C$104)*Pressupostos!$C$100/1000</f>
        <v>0</v>
      </c>
      <c r="D1265" s="57" t="n">
        <f aca="false">D1264/(Pressupostos!$C$103*Pressupostos!$C$104)*Pressupostos!$C$100/1000</f>
        <v>457.142857142857</v>
      </c>
      <c r="E1265" s="57" t="n">
        <f aca="false">E1264/(Pressupostos!$C$103*Pressupostos!$C$104)*Pressupostos!$C$100/1000</f>
        <v>1371.42857142857</v>
      </c>
      <c r="F1265" s="57" t="n">
        <f aca="false">F1264/(Pressupostos!$C$103*Pressupostos!$C$104)*Pressupostos!$C$100/1000</f>
        <v>2742.85714285714</v>
      </c>
      <c r="G1265" s="57" t="n">
        <f aca="false">G1264/(Pressupostos!$C$103*Pressupostos!$C$104)*Pressupostos!$C$100/1000</f>
        <v>4571.42857142857</v>
      </c>
      <c r="H1265" s="2" t="s">
        <v>1119</v>
      </c>
    </row>
    <row r="1266" customFormat="false" ht="15" hidden="false" customHeight="false" outlineLevel="0" collapsed="false">
      <c r="A1266" s="3" t="s">
        <v>1120</v>
      </c>
      <c r="B1266" s="4"/>
      <c r="C1266" s="4"/>
      <c r="D1266" s="4"/>
      <c r="E1266" s="4"/>
      <c r="F1266" s="4"/>
      <c r="G1266" s="4"/>
      <c r="H1266" s="4"/>
    </row>
    <row r="1267" customFormat="false" ht="15" hidden="false" customHeight="false" outlineLevel="1" collapsed="false">
      <c r="A1267" s="7" t="s">
        <v>633</v>
      </c>
      <c r="B1267" s="8" t="s">
        <v>59</v>
      </c>
      <c r="C1267" s="60" t="n">
        <f aca="false">Pressupostos!$D$10+Pressupostos!$D$11</f>
        <v>3.6</v>
      </c>
      <c r="D1267" s="60" t="n">
        <f aca="false">Pressupostos!$D$10+Pressupostos!$D$11</f>
        <v>3.6</v>
      </c>
      <c r="E1267" s="60" t="n">
        <f aca="false">Pressupostos!$D$10+Pressupostos!$D$11</f>
        <v>3.6</v>
      </c>
      <c r="F1267" s="60" t="n">
        <f aca="false">Pressupostos!$D$10+Pressupostos!$D$11</f>
        <v>3.6</v>
      </c>
      <c r="G1267" s="60" t="n">
        <f aca="false">Pressupostos!$D$10+Pressupostos!$D$11</f>
        <v>3.6</v>
      </c>
      <c r="H1267" s="2" t="s">
        <v>1121</v>
      </c>
    </row>
    <row r="1268" customFormat="false" ht="15" hidden="false" customHeight="false" outlineLevel="1" collapsed="false">
      <c r="A1268" s="7" t="s">
        <v>634</v>
      </c>
      <c r="B1268" s="8" t="s">
        <v>59</v>
      </c>
      <c r="C1268" s="63" t="n">
        <f aca="false">Pressupostos!$D$15</f>
        <v>5.65</v>
      </c>
      <c r="D1268" s="63" t="n">
        <f aca="false">Pressupostos!$D$15</f>
        <v>5.65</v>
      </c>
      <c r="E1268" s="63" t="n">
        <f aca="false">Pressupostos!$D$15</f>
        <v>5.65</v>
      </c>
      <c r="F1268" s="63" t="n">
        <f aca="false">Pressupostos!$D$15</f>
        <v>5.65</v>
      </c>
      <c r="G1268" s="63" t="n">
        <f aca="false">Pressupostos!$D$15</f>
        <v>5.65</v>
      </c>
      <c r="H1268" s="2" t="s">
        <v>1122</v>
      </c>
    </row>
    <row r="1269" customFormat="false" ht="15" hidden="false" customHeight="false" outlineLevel="1" collapsed="false">
      <c r="A1269" s="52" t="s">
        <v>635</v>
      </c>
      <c r="B1269" s="53" t="s">
        <v>59</v>
      </c>
      <c r="C1269" s="64" t="n">
        <f aca="false">C1268*(1-(Pressupostos!$C$189))</f>
        <v>5.085</v>
      </c>
      <c r="D1269" s="64" t="n">
        <f aca="false">D1268*(1-(Pressupostos!$C$189))</f>
        <v>5.085</v>
      </c>
      <c r="E1269" s="64" t="n">
        <f aca="false">E1268*(1-(Pressupostos!$C$189))</f>
        <v>5.085</v>
      </c>
      <c r="F1269" s="64" t="n">
        <f aca="false">F1268*(1-(Pressupostos!$C$189))</f>
        <v>5.085</v>
      </c>
      <c r="G1269" s="64" t="n">
        <f aca="false">G1268*(1-(Pressupostos!$C$189))</f>
        <v>5.085</v>
      </c>
      <c r="H1269" s="2" t="s">
        <v>1123</v>
      </c>
    </row>
    <row r="1270" customFormat="false" ht="15" hidden="false" customHeight="false" outlineLevel="1" collapsed="false">
      <c r="A1270" s="7" t="s">
        <v>136</v>
      </c>
      <c r="B1270" s="8" t="s">
        <v>59</v>
      </c>
      <c r="C1270" s="63" t="n">
        <f aca="false">Pressupostos!$C$37</f>
        <v>0.55</v>
      </c>
      <c r="D1270" s="63" t="n">
        <f aca="false">Pressupostos!$C$37</f>
        <v>0.55</v>
      </c>
      <c r="E1270" s="63" t="n">
        <f aca="false">Pressupostos!$C$37</f>
        <v>0.55</v>
      </c>
      <c r="F1270" s="63" t="n">
        <f aca="false">Pressupostos!$C$37</f>
        <v>0.55</v>
      </c>
      <c r="G1270" s="63" t="n">
        <f aca="false">Pressupostos!$C$37</f>
        <v>0.55</v>
      </c>
      <c r="H1270" s="2" t="s">
        <v>1124</v>
      </c>
    </row>
    <row r="1271" customFormat="false" ht="15" hidden="false" customHeight="false" outlineLevel="1" collapsed="false">
      <c r="A1271" s="7" t="s">
        <v>205</v>
      </c>
      <c r="B1271" s="8" t="s">
        <v>59</v>
      </c>
      <c r="C1271" s="63" t="n">
        <f aca="false">Pressupostos!$C$233</f>
        <v>0.3</v>
      </c>
      <c r="D1271" s="63" t="n">
        <f aca="false">Pressupostos!$D$233</f>
        <v>0.3</v>
      </c>
      <c r="E1271" s="63" t="n">
        <f aca="false">Pressupostos!$E$233</f>
        <v>0.28</v>
      </c>
      <c r="F1271" s="63" t="n">
        <f aca="false">Pressupostos!$F$233</f>
        <v>0.27</v>
      </c>
      <c r="G1271" s="63" t="n">
        <f aca="false">Pressupostos!$G$233</f>
        <v>0.27</v>
      </c>
      <c r="H1271" s="2" t="s">
        <v>1125</v>
      </c>
    </row>
    <row r="1272" customFormat="false" ht="15" hidden="false" customHeight="false" outlineLevel="1" collapsed="false">
      <c r="A1272" s="7" t="s">
        <v>109</v>
      </c>
      <c r="B1272" s="8" t="s">
        <v>59</v>
      </c>
      <c r="C1272" s="63" t="n">
        <f aca="false">Pressupostos!$C$38</f>
        <v>0.06</v>
      </c>
      <c r="D1272" s="63" t="n">
        <f aca="false">Pressupostos!$C$38</f>
        <v>0.06</v>
      </c>
      <c r="E1272" s="63" t="n">
        <f aca="false">Pressupostos!$C$38</f>
        <v>0.06</v>
      </c>
      <c r="F1272" s="63" t="n">
        <f aca="false">Pressupostos!$C$38</f>
        <v>0.06</v>
      </c>
      <c r="G1272" s="63" t="n">
        <f aca="false">Pressupostos!$C$38</f>
        <v>0.06</v>
      </c>
      <c r="H1272" s="2" t="s">
        <v>1126</v>
      </c>
    </row>
    <row r="1273" customFormat="false" ht="15" hidden="false" customHeight="false" outlineLevel="1" collapsed="false">
      <c r="A1273" s="7" t="s">
        <v>86</v>
      </c>
      <c r="B1273" s="8" t="s">
        <v>74</v>
      </c>
      <c r="C1273" s="65" t="n">
        <f aca="false">Pressupostos!$C$239</f>
        <v>180</v>
      </c>
      <c r="D1273" s="65" t="n">
        <f aca="false">Pressupostos!$D$239</f>
        <v>180</v>
      </c>
      <c r="E1273" s="65" t="n">
        <f aca="false">Pressupostos!$E$239</f>
        <v>45</v>
      </c>
      <c r="F1273" s="65" t="n">
        <f aca="false">Pressupostos!$F$239</f>
        <v>45</v>
      </c>
      <c r="G1273" s="65" t="n">
        <f aca="false">Pressupostos!$G$239</f>
        <v>45</v>
      </c>
      <c r="H1273" s="2" t="s">
        <v>1127</v>
      </c>
    </row>
    <row r="1274" customFormat="false" ht="15" hidden="false" customHeight="false" outlineLevel="1" collapsed="false">
      <c r="A1274" s="7" t="s">
        <v>73</v>
      </c>
      <c r="B1274" s="8" t="s">
        <v>74</v>
      </c>
      <c r="C1274" s="65" t="n">
        <f aca="false">Pressupostos!$D$17</f>
        <v>35</v>
      </c>
      <c r="D1274" s="65" t="n">
        <f aca="false">Pressupostos!$D$17</f>
        <v>35</v>
      </c>
      <c r="E1274" s="65" t="n">
        <f aca="false">Pressupostos!$D$17</f>
        <v>35</v>
      </c>
      <c r="F1274" s="65" t="n">
        <f aca="false">Pressupostos!$D$17</f>
        <v>35</v>
      </c>
      <c r="G1274" s="65" t="n">
        <f aca="false">Pressupostos!$D$17</f>
        <v>35</v>
      </c>
      <c r="H1274" s="2" t="s">
        <v>1128</v>
      </c>
    </row>
    <row r="1275" customFormat="false" ht="15" hidden="false" customHeight="false" outlineLevel="1" collapsed="false">
      <c r="A1275" s="7" t="s">
        <v>471</v>
      </c>
      <c r="B1275" s="8" t="s">
        <v>59</v>
      </c>
      <c r="C1275" s="60" t="n">
        <f aca="false">Pressupostos!$C$64*C1273/30/1000</f>
        <v>0.024</v>
      </c>
      <c r="D1275" s="60" t="n">
        <f aca="false">Pressupostos!$C$64*D1273/30/1000</f>
        <v>0.024</v>
      </c>
      <c r="E1275" s="60" t="n">
        <f aca="false">Pressupostos!$C$64*E1273/30/1000</f>
        <v>0.006</v>
      </c>
      <c r="F1275" s="60" t="n">
        <f aca="false">Pressupostos!$C$64*F1273/30/1000</f>
        <v>0.006</v>
      </c>
      <c r="G1275" s="60" t="n">
        <f aca="false">Pressupostos!$C$64*G1273/30/1000</f>
        <v>0.006</v>
      </c>
      <c r="H1275" s="2" t="s">
        <v>1129</v>
      </c>
    </row>
    <row r="1276" customFormat="false" ht="15" hidden="false" customHeight="false" outlineLevel="1" collapsed="false">
      <c r="A1276" s="7" t="s">
        <v>154</v>
      </c>
      <c r="B1276" s="8" t="s">
        <v>59</v>
      </c>
      <c r="C1276" s="60" t="n">
        <f aca="false">C1267*Pressupostos!$C$65*C1273/365</f>
        <v>0.00355068493150685</v>
      </c>
      <c r="D1276" s="60" t="n">
        <f aca="false">D1267*Pressupostos!$C$65*D1273/365</f>
        <v>0.00355068493150685</v>
      </c>
      <c r="E1276" s="60" t="n">
        <f aca="false">E1267*Pressupostos!$C$65*E1273/365</f>
        <v>0.000887671232876712</v>
      </c>
      <c r="F1276" s="60" t="n">
        <f aca="false">F1267*Pressupostos!$C$65*F1273/365</f>
        <v>0.000887671232876712</v>
      </c>
      <c r="G1276" s="60" t="n">
        <f aca="false">G1267*Pressupostos!$C$65*G1273/365</f>
        <v>0.000887671232876712</v>
      </c>
      <c r="H1276" s="2" t="s">
        <v>1130</v>
      </c>
    </row>
    <row r="1277" customFormat="false" ht="15" hidden="false" customHeight="false" outlineLevel="1" collapsed="false">
      <c r="A1277" s="7" t="s">
        <v>636</v>
      </c>
      <c r="B1277" s="8" t="s">
        <v>59</v>
      </c>
      <c r="C1277" s="60" t="n">
        <f aca="false">Pressupostos!$C$40*Pressupostos!$C$66/(Pressupostos!$C$39*1000)</f>
        <v>0.03</v>
      </c>
      <c r="D1277" s="60" t="n">
        <f aca="false">Pressupostos!$C$40*Pressupostos!$C$66/(Pressupostos!$C$39*1000)</f>
        <v>0.03</v>
      </c>
      <c r="E1277" s="60" t="n">
        <f aca="false">Pressupostos!$C$40*Pressupostos!$C$66/(Pressupostos!$C$39*1000)</f>
        <v>0.03</v>
      </c>
      <c r="F1277" s="60" t="n">
        <f aca="false">Pressupostos!$C$40*Pressupostos!$C$66/(Pressupostos!$C$39*1000)</f>
        <v>0.03</v>
      </c>
      <c r="G1277" s="60" t="n">
        <f aca="false">Pressupostos!$C$40*Pressupostos!$C$66/(Pressupostos!$C$39*1000)</f>
        <v>0.03</v>
      </c>
      <c r="H1277" s="2" t="s">
        <v>1131</v>
      </c>
    </row>
    <row r="1278" customFormat="false" ht="15" hidden="false" customHeight="false" outlineLevel="1" collapsed="false">
      <c r="A1278" s="7" t="s">
        <v>473</v>
      </c>
      <c r="B1278" s="8" t="s">
        <v>59</v>
      </c>
      <c r="C1278" s="60" t="n">
        <f aca="false">Pressupostos!$C$67*C1267</f>
        <v>0.018</v>
      </c>
      <c r="D1278" s="60" t="n">
        <f aca="false">Pressupostos!$C$67*D1267</f>
        <v>0.018</v>
      </c>
      <c r="E1278" s="60" t="n">
        <f aca="false">Pressupostos!$C$67*E1267</f>
        <v>0.018</v>
      </c>
      <c r="F1278" s="60" t="n">
        <f aca="false">Pressupostos!$C$67*F1267</f>
        <v>0.018</v>
      </c>
      <c r="G1278" s="60" t="n">
        <f aca="false">Pressupostos!$C$67*G1267</f>
        <v>0.018</v>
      </c>
      <c r="H1278" s="2" t="s">
        <v>1132</v>
      </c>
    </row>
    <row r="1279" customFormat="false" ht="15" hidden="false" customHeight="false" outlineLevel="1" collapsed="false">
      <c r="A1279" s="7" t="s">
        <v>474</v>
      </c>
      <c r="B1279" s="8" t="s">
        <v>59</v>
      </c>
      <c r="C1279" s="60" t="n">
        <f aca="false">Pressupostos!$C$68*Pressupostos!$C$69*C1273/90</f>
        <v>0.018</v>
      </c>
      <c r="D1279" s="60" t="n">
        <f aca="false">Pressupostos!$C$68*Pressupostos!$C$69*D1273/90</f>
        <v>0.018</v>
      </c>
      <c r="E1279" s="60" t="n">
        <f aca="false">Pressupostos!$C$68*Pressupostos!$C$69*E1273/90</f>
        <v>0.0045</v>
      </c>
      <c r="F1279" s="60" t="n">
        <f aca="false">Pressupostos!$C$68*Pressupostos!$C$69*F1273/90</f>
        <v>0.0045</v>
      </c>
      <c r="G1279" s="60" t="n">
        <f aca="false">Pressupostos!$C$68*Pressupostos!$C$69*G1273/90</f>
        <v>0.0045</v>
      </c>
      <c r="H1279" s="2" t="s">
        <v>1133</v>
      </c>
    </row>
    <row r="1280" customFormat="false" ht="15" hidden="false" customHeight="false" outlineLevel="1" collapsed="false">
      <c r="A1280" s="7" t="s">
        <v>637</v>
      </c>
      <c r="B1280" s="8" t="s">
        <v>59</v>
      </c>
      <c r="C1280" s="60" t="n">
        <f aca="false">Pressupostos!$C$41/(Pressupostos!$C$39*1000)</f>
        <v>0.1</v>
      </c>
      <c r="D1280" s="60" t="n">
        <f aca="false">Pressupostos!$C$41/(Pressupostos!$C$39*1000)</f>
        <v>0.1</v>
      </c>
      <c r="E1280" s="60" t="n">
        <f aca="false">Pressupostos!$C$41/(Pressupostos!$C$39*1000)</f>
        <v>0.1</v>
      </c>
      <c r="F1280" s="60" t="n">
        <f aca="false">Pressupostos!$C$41/(Pressupostos!$C$39*1000)</f>
        <v>0.1</v>
      </c>
      <c r="G1280" s="60" t="n">
        <f aca="false">Pressupostos!$C$41/(Pressupostos!$C$39*1000)</f>
        <v>0.1</v>
      </c>
      <c r="H1280" s="2" t="s">
        <v>1134</v>
      </c>
    </row>
    <row r="1281" customFormat="false" ht="15" hidden="false" customHeight="false" outlineLevel="1" collapsed="false">
      <c r="A1281" s="7" t="s">
        <v>131</v>
      </c>
      <c r="B1281" s="8" t="s">
        <v>59</v>
      </c>
      <c r="C1281" s="63" t="n">
        <f aca="false">Pressupostos!$C$42</f>
        <v>0.01</v>
      </c>
      <c r="D1281" s="63" t="n">
        <f aca="false">Pressupostos!$C$42</f>
        <v>0.01</v>
      </c>
      <c r="E1281" s="63" t="n">
        <f aca="false">Pressupostos!$C$42</f>
        <v>0.01</v>
      </c>
      <c r="F1281" s="63" t="n">
        <f aca="false">Pressupostos!$C$42</f>
        <v>0.01</v>
      </c>
      <c r="G1281" s="63" t="n">
        <f aca="false">Pressupostos!$C$42</f>
        <v>0.01</v>
      </c>
      <c r="H1281" s="2" t="s">
        <v>1135</v>
      </c>
    </row>
    <row r="1282" customFormat="false" ht="15" hidden="false" customHeight="false" outlineLevel="1" collapsed="false">
      <c r="A1282" s="7" t="s">
        <v>76</v>
      </c>
      <c r="B1282" s="8" t="s">
        <v>59</v>
      </c>
      <c r="C1282" s="60" t="n">
        <f aca="false">Pressupostos!$D$18*C1269</f>
        <v>0.03051</v>
      </c>
      <c r="D1282" s="60" t="n">
        <f aca="false">Pressupostos!$D$18*D1269</f>
        <v>0.03051</v>
      </c>
      <c r="E1282" s="60" t="n">
        <f aca="false">Pressupostos!$D$18*E1269</f>
        <v>0.03051</v>
      </c>
      <c r="F1282" s="60" t="n">
        <f aca="false">Pressupostos!$D$18*F1269</f>
        <v>0.03051</v>
      </c>
      <c r="G1282" s="60" t="n">
        <f aca="false">Pressupostos!$D$18*G1269</f>
        <v>0.03051</v>
      </c>
      <c r="H1282" s="2" t="s">
        <v>1136</v>
      </c>
    </row>
    <row r="1283" customFormat="false" ht="15" hidden="false" customHeight="false" outlineLevel="1" collapsed="false">
      <c r="A1283" s="7" t="s">
        <v>638</v>
      </c>
      <c r="B1283" s="8" t="s">
        <v>59</v>
      </c>
      <c r="C1283" s="60" t="n">
        <f aca="false">Pressupostos!$C$71*C1269</f>
        <v>0</v>
      </c>
      <c r="D1283" s="60" t="n">
        <f aca="false">Pressupostos!$C$71*D1269</f>
        <v>0</v>
      </c>
      <c r="E1283" s="60" t="n">
        <f aca="false">Pressupostos!$C$71*E1269</f>
        <v>0</v>
      </c>
      <c r="F1283" s="60" t="n">
        <f aca="false">Pressupostos!$C$71*F1269</f>
        <v>0</v>
      </c>
      <c r="G1283" s="60" t="n">
        <f aca="false">Pressupostos!$C$71*G1269</f>
        <v>0</v>
      </c>
      <c r="H1283" s="2" t="s">
        <v>1137</v>
      </c>
    </row>
    <row r="1284" customFormat="false" ht="15" hidden="false" customHeight="false" outlineLevel="1" collapsed="false">
      <c r="A1284" s="7" t="s">
        <v>639</v>
      </c>
      <c r="B1284" s="8" t="s">
        <v>59</v>
      </c>
      <c r="C1284" s="60" t="n">
        <f aca="false">Pressupostos!$C$283*(C1267+C1270)*(C1273+C1274-Pressupostos!$C$70)/365*Pressupostos!$C$277/Pressupostos!$D$31</f>
        <v>0</v>
      </c>
      <c r="D1284" s="60" t="n">
        <f aca="false">Pressupostos!$D$283*(D1267+D1270)*(D1273+D1274-Pressupostos!$C$70)/365*Pressupostos!$D$277/Pressupostos!$D$31</f>
        <v>0.189308219178082</v>
      </c>
      <c r="E1284" s="60" t="n">
        <f aca="false">Pressupostos!$E$283*(E1267+E1270)*(E1273+E1274-Pressupostos!$C$70)/365*Pressupostos!$E$277/Pressupostos!$D$31</f>
        <v>0.0479666095890411</v>
      </c>
      <c r="F1284" s="60" t="n">
        <f aca="false">Pressupostos!$F$283*(F1267+F1270)*(F1273+F1274-Pressupostos!$C$70)/365*Pressupostos!$F$277/Pressupostos!$D$31</f>
        <v>0.0447688356164384</v>
      </c>
      <c r="G1284" s="60" t="n">
        <f aca="false">Pressupostos!$G$283*(G1267+G1270)*(G1273+G1274-Pressupostos!$C$70)/365*Pressupostos!$G$277/Pressupostos!$D$31</f>
        <v>0.0447688356164384</v>
      </c>
      <c r="H1284" s="2" t="s">
        <v>1138</v>
      </c>
    </row>
    <row r="1285" customFormat="false" ht="15" hidden="false" customHeight="false" outlineLevel="1" collapsed="false">
      <c r="A1285" s="7" t="s">
        <v>640</v>
      </c>
      <c r="B1285" s="8" t="s">
        <v>59</v>
      </c>
      <c r="C1285" s="60" t="n">
        <f aca="false">C1267+C1270+C1271+C1272+C1275+C1276+C1277+C1278+C1279+C1280+C1281+C1282+C1283+C1284</f>
        <v>4.74406068493151</v>
      </c>
      <c r="D1285" s="60" t="n">
        <f aca="false">D1267+D1270+D1271+D1272+D1275+D1276+D1277+D1278+D1279+D1280+D1281+D1282+D1283+D1284</f>
        <v>4.93336890410959</v>
      </c>
      <c r="E1285" s="60" t="n">
        <f aca="false">E1267+E1270+E1271+E1272+E1275+E1276+E1277+E1278+E1279+E1280+E1281+E1282+E1283+E1284</f>
        <v>4.73786428082192</v>
      </c>
      <c r="F1285" s="60" t="n">
        <f aca="false">F1267+F1270+F1271+F1272+F1275+F1276+F1277+F1278+F1279+F1280+F1281+F1282+F1283+F1284</f>
        <v>4.72466650684931</v>
      </c>
      <c r="G1285" s="60" t="n">
        <f aca="false">G1267+G1270+G1271+G1272+G1275+G1276+G1277+G1278+G1279+G1280+G1281+G1282+G1283+G1284</f>
        <v>4.72466650684931</v>
      </c>
      <c r="H1285" s="2" t="s">
        <v>1139</v>
      </c>
    </row>
    <row r="1286" customFormat="false" ht="15" hidden="false" customHeight="false" outlineLevel="1" collapsed="false">
      <c r="A1286" s="52" t="s">
        <v>641</v>
      </c>
      <c r="B1286" s="53" t="s">
        <v>59</v>
      </c>
      <c r="C1286" s="64" t="n">
        <f aca="false">C1269-C1285</f>
        <v>0.340939315068495</v>
      </c>
      <c r="D1286" s="64" t="n">
        <f aca="false">D1269-D1285</f>
        <v>0.151631095890413</v>
      </c>
      <c r="E1286" s="64" t="n">
        <f aca="false">E1269-E1285</f>
        <v>0.347135719178083</v>
      </c>
      <c r="F1286" s="64" t="n">
        <f aca="false">F1269-F1285</f>
        <v>0.360333493150686</v>
      </c>
      <c r="G1286" s="64" t="n">
        <f aca="false">G1269-G1285</f>
        <v>0.360333493150686</v>
      </c>
      <c r="H1286" s="2" t="s">
        <v>1140</v>
      </c>
    </row>
    <row r="1287" customFormat="false" ht="15" hidden="false" customHeight="false" outlineLevel="1" collapsed="false">
      <c r="A1287" s="7" t="s">
        <v>642</v>
      </c>
      <c r="B1287" s="8" t="s">
        <v>71</v>
      </c>
      <c r="C1287" s="55" t="n">
        <f aca="false">IF(C1269&gt;0,C1286/C1269,0)</f>
        <v>0.067048046227826</v>
      </c>
      <c r="D1287" s="55" t="n">
        <f aca="false">IF(D1269&gt;0,D1286/D1269,0)</f>
        <v>0.0298192912272199</v>
      </c>
      <c r="E1287" s="55" t="n">
        <f aca="false">IF(E1269&gt;0,E1286/E1269,0)</f>
        <v>0.0682666114411176</v>
      </c>
      <c r="F1287" s="55" t="n">
        <f aca="false">IF(F1269&gt;0,F1286/F1269,0)</f>
        <v>0.0708620438841074</v>
      </c>
      <c r="G1287" s="55" t="n">
        <f aca="false">IF(G1269&gt;0,G1286/G1269,0)</f>
        <v>0.0708620438841074</v>
      </c>
      <c r="H1287" s="2" t="s">
        <v>1141</v>
      </c>
    </row>
    <row r="1288" customFormat="false" ht="15" hidden="false" customHeight="false" outlineLevel="1" collapsed="false">
      <c r="A1288" s="7" t="s">
        <v>643</v>
      </c>
      <c r="B1288" s="8" t="s">
        <v>59</v>
      </c>
      <c r="C1288" s="60" t="n">
        <f aca="false">(C1267+C1270)*(C1273-Pressupostos!$C$70)/365+C1269*C1274/365</f>
        <v>2.19308219178082</v>
      </c>
      <c r="D1288" s="60" t="n">
        <f aca="false">(D1267+D1270)*(D1273-Pressupostos!$C$70)/365+D1269*D1274/365</f>
        <v>2.19308219178082</v>
      </c>
      <c r="E1288" s="60" t="n">
        <f aca="false">(E1267+E1270)*(E1273-Pressupostos!$C$70)/365+E1269*E1274/365</f>
        <v>0.658150684931507</v>
      </c>
      <c r="F1288" s="60" t="n">
        <f aca="false">(F1267+F1270)*(F1273-Pressupostos!$C$70)/365+F1269*F1274/365</f>
        <v>0.658150684931507</v>
      </c>
      <c r="G1288" s="60" t="n">
        <f aca="false">(G1267+G1270)*(G1273-Pressupostos!$C$70)/365+G1269*G1274/365</f>
        <v>0.658150684931507</v>
      </c>
      <c r="H1288" s="2" t="s">
        <v>1142</v>
      </c>
    </row>
    <row r="1289" customFormat="false" ht="15" hidden="false" customHeight="false" outlineLevel="0" collapsed="false">
      <c r="A1289" s="3" t="s">
        <v>1143</v>
      </c>
      <c r="B1289" s="4"/>
      <c r="C1289" s="4"/>
      <c r="D1289" s="4"/>
      <c r="E1289" s="4"/>
      <c r="F1289" s="4"/>
      <c r="G1289" s="4"/>
      <c r="H1289" s="4"/>
    </row>
    <row r="1290" customFormat="false" ht="15" hidden="false" customHeight="false" outlineLevel="1" collapsed="false">
      <c r="A1290" s="7" t="s">
        <v>633</v>
      </c>
      <c r="B1290" s="8" t="s">
        <v>59</v>
      </c>
      <c r="C1290" s="60" t="n">
        <f aca="false">Pressupostos!$D$10+Pressupostos!$D$12</f>
        <v>3.6</v>
      </c>
      <c r="D1290" s="60" t="n">
        <f aca="false">Pressupostos!$D$10+Pressupostos!$D$12</f>
        <v>3.6</v>
      </c>
      <c r="E1290" s="60" t="n">
        <f aca="false">Pressupostos!$D$10+Pressupostos!$D$12</f>
        <v>3.6</v>
      </c>
      <c r="F1290" s="60" t="n">
        <f aca="false">Pressupostos!$D$10+Pressupostos!$D$12</f>
        <v>3.6</v>
      </c>
      <c r="G1290" s="60" t="n">
        <f aca="false">Pressupostos!$D$10+Pressupostos!$D$12</f>
        <v>3.6</v>
      </c>
      <c r="H1290" s="2" t="s">
        <v>1144</v>
      </c>
    </row>
    <row r="1291" customFormat="false" ht="15" hidden="false" customHeight="false" outlineLevel="1" collapsed="false">
      <c r="A1291" s="7" t="s">
        <v>634</v>
      </c>
      <c r="B1291" s="8" t="s">
        <v>59</v>
      </c>
      <c r="C1291" s="60" t="n">
        <f aca="false">Pressupostos!$D$20+Pressupostos!$D$21</f>
        <v>4.35</v>
      </c>
      <c r="D1291" s="60" t="n">
        <f aca="false">Pressupostos!$D$20+Pressupostos!$D$21</f>
        <v>4.35</v>
      </c>
      <c r="E1291" s="60" t="n">
        <f aca="false">Pressupostos!$D$20+Pressupostos!$D$21</f>
        <v>4.35</v>
      </c>
      <c r="F1291" s="60" t="n">
        <f aca="false">Pressupostos!$D$20+Pressupostos!$D$21</f>
        <v>4.35</v>
      </c>
      <c r="G1291" s="60" t="n">
        <f aca="false">Pressupostos!$D$20+Pressupostos!$D$21</f>
        <v>4.35</v>
      </c>
      <c r="H1291" s="2" t="s">
        <v>1145</v>
      </c>
    </row>
    <row r="1292" customFormat="false" ht="15" hidden="false" customHeight="false" outlineLevel="1" collapsed="false">
      <c r="A1292" s="52" t="s">
        <v>635</v>
      </c>
      <c r="B1292" s="53" t="s">
        <v>59</v>
      </c>
      <c r="C1292" s="64" t="n">
        <f aca="false">C1291*(1-Pressupostos!$D$22)</f>
        <v>4.35</v>
      </c>
      <c r="D1292" s="64" t="n">
        <f aca="false">D1291*(1-Pressupostos!$D$22)</f>
        <v>4.35</v>
      </c>
      <c r="E1292" s="64" t="n">
        <f aca="false">E1291*(1-Pressupostos!$D$22)</f>
        <v>4.35</v>
      </c>
      <c r="F1292" s="64" t="n">
        <f aca="false">F1291*(1-Pressupostos!$D$22)</f>
        <v>4.35</v>
      </c>
      <c r="G1292" s="64" t="n">
        <f aca="false">G1291*(1-Pressupostos!$D$22)</f>
        <v>4.35</v>
      </c>
      <c r="H1292" s="2" t="s">
        <v>1146</v>
      </c>
    </row>
    <row r="1293" customFormat="false" ht="15" hidden="false" customHeight="false" outlineLevel="1" collapsed="false">
      <c r="A1293" s="7" t="s">
        <v>136</v>
      </c>
      <c r="B1293" s="8" t="s">
        <v>59</v>
      </c>
      <c r="C1293" s="63" t="n">
        <f aca="false">Pressupostos!$C$44</f>
        <v>0.45</v>
      </c>
      <c r="D1293" s="63" t="n">
        <f aca="false">Pressupostos!$C$44</f>
        <v>0.45</v>
      </c>
      <c r="E1293" s="63" t="n">
        <f aca="false">Pressupostos!$C$44</f>
        <v>0.45</v>
      </c>
      <c r="F1293" s="63" t="n">
        <f aca="false">Pressupostos!$C$44</f>
        <v>0.45</v>
      </c>
      <c r="G1293" s="63" t="n">
        <f aca="false">Pressupostos!$C$44</f>
        <v>0.45</v>
      </c>
      <c r="H1293" s="2" t="s">
        <v>1147</v>
      </c>
    </row>
    <row r="1294" customFormat="false" ht="15" hidden="false" customHeight="false" outlineLevel="1" collapsed="false">
      <c r="A1294" s="7" t="s">
        <v>205</v>
      </c>
      <c r="B1294" s="8" t="s">
        <v>59</v>
      </c>
      <c r="C1294" s="63" t="n">
        <f aca="false">Pressupostos!$C$245</f>
        <v>0.1</v>
      </c>
      <c r="D1294" s="63" t="n">
        <f aca="false">Pressupostos!$D$245</f>
        <v>0.1</v>
      </c>
      <c r="E1294" s="63" t="n">
        <f aca="false">Pressupostos!$E$245</f>
        <v>0.09</v>
      </c>
      <c r="F1294" s="63" t="n">
        <f aca="false">Pressupostos!$F$245</f>
        <v>0.09</v>
      </c>
      <c r="G1294" s="63" t="n">
        <f aca="false">Pressupostos!$G$245</f>
        <v>0.09</v>
      </c>
      <c r="H1294" s="2" t="s">
        <v>1148</v>
      </c>
    </row>
    <row r="1295" customFormat="false" ht="15" hidden="false" customHeight="false" outlineLevel="1" collapsed="false">
      <c r="A1295" s="7" t="s">
        <v>109</v>
      </c>
      <c r="B1295" s="8" t="s">
        <v>59</v>
      </c>
      <c r="C1295" s="63" t="n">
        <f aca="false">Pressupostos!$C$45</f>
        <v>0</v>
      </c>
      <c r="D1295" s="63" t="n">
        <f aca="false">Pressupostos!$C$45</f>
        <v>0</v>
      </c>
      <c r="E1295" s="63" t="n">
        <f aca="false">Pressupostos!$C$45</f>
        <v>0</v>
      </c>
      <c r="F1295" s="63" t="n">
        <f aca="false">Pressupostos!$C$45</f>
        <v>0</v>
      </c>
      <c r="G1295" s="63" t="n">
        <f aca="false">Pressupostos!$C$45</f>
        <v>0</v>
      </c>
      <c r="H1295" s="2" t="s">
        <v>1149</v>
      </c>
    </row>
    <row r="1296" customFormat="false" ht="15" hidden="false" customHeight="false" outlineLevel="1" collapsed="false">
      <c r="A1296" s="7" t="s">
        <v>86</v>
      </c>
      <c r="B1296" s="8" t="s">
        <v>74</v>
      </c>
      <c r="C1296" s="65" t="n">
        <f aca="false">Pressupostos!$D$23</f>
        <v>30</v>
      </c>
      <c r="D1296" s="65" t="n">
        <f aca="false">Pressupostos!$D$23</f>
        <v>30</v>
      </c>
      <c r="E1296" s="65" t="n">
        <f aca="false">Pressupostos!$D$23</f>
        <v>30</v>
      </c>
      <c r="F1296" s="65" t="n">
        <f aca="false">Pressupostos!$D$23</f>
        <v>30</v>
      </c>
      <c r="G1296" s="65" t="n">
        <f aca="false">Pressupostos!$D$23</f>
        <v>30</v>
      </c>
      <c r="H1296" s="2" t="s">
        <v>1150</v>
      </c>
    </row>
    <row r="1297" customFormat="false" ht="15" hidden="false" customHeight="false" outlineLevel="1" collapsed="false">
      <c r="A1297" s="7" t="s">
        <v>73</v>
      </c>
      <c r="B1297" s="8" t="s">
        <v>74</v>
      </c>
      <c r="C1297" s="65" t="n">
        <f aca="false">Pressupostos!$D$24</f>
        <v>45</v>
      </c>
      <c r="D1297" s="65" t="n">
        <f aca="false">Pressupostos!$D$24</f>
        <v>45</v>
      </c>
      <c r="E1297" s="65" t="n">
        <f aca="false">Pressupostos!$D$24</f>
        <v>45</v>
      </c>
      <c r="F1297" s="65" t="n">
        <f aca="false">Pressupostos!$D$24</f>
        <v>45</v>
      </c>
      <c r="G1297" s="65" t="n">
        <f aca="false">Pressupostos!$D$24</f>
        <v>45</v>
      </c>
      <c r="H1297" s="2" t="s">
        <v>1151</v>
      </c>
    </row>
    <row r="1298" customFormat="false" ht="15" hidden="false" customHeight="false" outlineLevel="1" collapsed="false">
      <c r="A1298" s="7" t="s">
        <v>471</v>
      </c>
      <c r="B1298" s="8" t="s">
        <v>59</v>
      </c>
      <c r="C1298" s="60" t="n">
        <f aca="false">Pressupostos!$C$64*C1296/30/1000</f>
        <v>0.004</v>
      </c>
      <c r="D1298" s="60" t="n">
        <f aca="false">Pressupostos!$C$64*D1296/30/1000</f>
        <v>0.004</v>
      </c>
      <c r="E1298" s="60" t="n">
        <f aca="false">Pressupostos!$C$64*E1296/30/1000</f>
        <v>0.004</v>
      </c>
      <c r="F1298" s="60" t="n">
        <f aca="false">Pressupostos!$C$64*F1296/30/1000</f>
        <v>0.004</v>
      </c>
      <c r="G1298" s="60" t="n">
        <f aca="false">Pressupostos!$C$64*G1296/30/1000</f>
        <v>0.004</v>
      </c>
      <c r="H1298" s="2" t="s">
        <v>1152</v>
      </c>
    </row>
    <row r="1299" customFormat="false" ht="15" hidden="false" customHeight="false" outlineLevel="1" collapsed="false">
      <c r="A1299" s="7" t="s">
        <v>154</v>
      </c>
      <c r="B1299" s="8" t="s">
        <v>59</v>
      </c>
      <c r="C1299" s="60" t="n">
        <f aca="false">C1290*Pressupostos!$C$65*C1296/365</f>
        <v>0.000591780821917808</v>
      </c>
      <c r="D1299" s="60" t="n">
        <f aca="false">D1290*Pressupostos!$C$65*D1296/365</f>
        <v>0.000591780821917808</v>
      </c>
      <c r="E1299" s="60" t="n">
        <f aca="false">E1290*Pressupostos!$C$65*E1296/365</f>
        <v>0.000591780821917808</v>
      </c>
      <c r="F1299" s="60" t="n">
        <f aca="false">F1290*Pressupostos!$C$65*F1296/365</f>
        <v>0.000591780821917808</v>
      </c>
      <c r="G1299" s="60" t="n">
        <f aca="false">G1290*Pressupostos!$C$65*G1296/365</f>
        <v>0.000591780821917808</v>
      </c>
      <c r="H1299" s="2" t="s">
        <v>1153</v>
      </c>
    </row>
    <row r="1300" customFormat="false" ht="15" hidden="false" customHeight="false" outlineLevel="1" collapsed="false">
      <c r="A1300" s="7" t="s">
        <v>636</v>
      </c>
      <c r="B1300" s="8" t="s">
        <v>59</v>
      </c>
      <c r="C1300" s="60" t="n">
        <f aca="false">Pressupostos!$C$47*Pressupostos!$C$66/(Pressupostos!$C$46*1000)</f>
        <v>0.02</v>
      </c>
      <c r="D1300" s="60" t="n">
        <f aca="false">Pressupostos!$C$47*Pressupostos!$C$66/(Pressupostos!$C$46*1000)</f>
        <v>0.02</v>
      </c>
      <c r="E1300" s="60" t="n">
        <f aca="false">Pressupostos!$C$47*Pressupostos!$C$66/(Pressupostos!$C$46*1000)</f>
        <v>0.02</v>
      </c>
      <c r="F1300" s="60" t="n">
        <f aca="false">Pressupostos!$C$47*Pressupostos!$C$66/(Pressupostos!$C$46*1000)</f>
        <v>0.02</v>
      </c>
      <c r="G1300" s="60" t="n">
        <f aca="false">Pressupostos!$C$47*Pressupostos!$C$66/(Pressupostos!$C$46*1000)</f>
        <v>0.02</v>
      </c>
      <c r="H1300" s="2" t="s">
        <v>1154</v>
      </c>
    </row>
    <row r="1301" customFormat="false" ht="15" hidden="false" customHeight="false" outlineLevel="1" collapsed="false">
      <c r="A1301" s="7" t="s">
        <v>473</v>
      </c>
      <c r="B1301" s="8" t="s">
        <v>59</v>
      </c>
      <c r="C1301" s="60" t="n">
        <f aca="false">Pressupostos!$C$67*C1290</f>
        <v>0.018</v>
      </c>
      <c r="D1301" s="60" t="n">
        <f aca="false">Pressupostos!$C$67*D1290</f>
        <v>0.018</v>
      </c>
      <c r="E1301" s="60" t="n">
        <f aca="false">Pressupostos!$C$67*E1290</f>
        <v>0.018</v>
      </c>
      <c r="F1301" s="60" t="n">
        <f aca="false">Pressupostos!$C$67*F1290</f>
        <v>0.018</v>
      </c>
      <c r="G1301" s="60" t="n">
        <f aca="false">Pressupostos!$C$67*G1290</f>
        <v>0.018</v>
      </c>
      <c r="H1301" s="2" t="s">
        <v>1155</v>
      </c>
    </row>
    <row r="1302" customFormat="false" ht="15" hidden="false" customHeight="false" outlineLevel="1" collapsed="false">
      <c r="A1302" s="7" t="s">
        <v>474</v>
      </c>
      <c r="B1302" s="8" t="s">
        <v>59</v>
      </c>
      <c r="C1302" s="60" t="n">
        <f aca="false">Pressupostos!$C$68*Pressupostos!$C$69*C1296/90</f>
        <v>0.003</v>
      </c>
      <c r="D1302" s="60" t="n">
        <f aca="false">Pressupostos!$C$68*Pressupostos!$C$69*D1296/90</f>
        <v>0.003</v>
      </c>
      <c r="E1302" s="60" t="n">
        <f aca="false">Pressupostos!$C$68*Pressupostos!$C$69*E1296/90</f>
        <v>0.003</v>
      </c>
      <c r="F1302" s="60" t="n">
        <f aca="false">Pressupostos!$C$68*Pressupostos!$C$69*F1296/90</f>
        <v>0.003</v>
      </c>
      <c r="G1302" s="60" t="n">
        <f aca="false">Pressupostos!$C$68*Pressupostos!$C$69*G1296/90</f>
        <v>0.003</v>
      </c>
      <c r="H1302" s="2" t="s">
        <v>1156</v>
      </c>
    </row>
    <row r="1303" customFormat="false" ht="15" hidden="false" customHeight="false" outlineLevel="1" collapsed="false">
      <c r="A1303" s="7" t="s">
        <v>637</v>
      </c>
      <c r="B1303" s="8" t="s">
        <v>59</v>
      </c>
      <c r="C1303" s="60" t="n">
        <f aca="false">Pressupostos!$C$48/(Pressupostos!$C$46*1000)</f>
        <v>0.04</v>
      </c>
      <c r="D1303" s="60" t="n">
        <f aca="false">Pressupostos!$C$48/(Pressupostos!$C$46*1000)</f>
        <v>0.04</v>
      </c>
      <c r="E1303" s="60" t="n">
        <f aca="false">Pressupostos!$C$48/(Pressupostos!$C$46*1000)</f>
        <v>0.04</v>
      </c>
      <c r="F1303" s="60" t="n">
        <f aca="false">Pressupostos!$C$48/(Pressupostos!$C$46*1000)</f>
        <v>0.04</v>
      </c>
      <c r="G1303" s="60" t="n">
        <f aca="false">Pressupostos!$C$48/(Pressupostos!$C$46*1000)</f>
        <v>0.04</v>
      </c>
      <c r="H1303" s="2" t="s">
        <v>1157</v>
      </c>
    </row>
    <row r="1304" customFormat="false" ht="15" hidden="false" customHeight="false" outlineLevel="1" collapsed="false">
      <c r="A1304" s="7" t="s">
        <v>131</v>
      </c>
      <c r="B1304" s="8" t="s">
        <v>59</v>
      </c>
      <c r="C1304" s="63" t="n">
        <f aca="false">Pressupostos!$C$49</f>
        <v>0.005</v>
      </c>
      <c r="D1304" s="63" t="n">
        <f aca="false">Pressupostos!$C$49</f>
        <v>0.005</v>
      </c>
      <c r="E1304" s="63" t="n">
        <f aca="false">Pressupostos!$C$49</f>
        <v>0.005</v>
      </c>
      <c r="F1304" s="63" t="n">
        <f aca="false">Pressupostos!$C$49</f>
        <v>0.005</v>
      </c>
      <c r="G1304" s="63" t="n">
        <f aca="false">Pressupostos!$C$49</f>
        <v>0.005</v>
      </c>
      <c r="H1304" s="2" t="s">
        <v>1158</v>
      </c>
    </row>
    <row r="1305" customFormat="false" ht="15" hidden="false" customHeight="false" outlineLevel="1" collapsed="false">
      <c r="A1305" s="7" t="s">
        <v>76</v>
      </c>
      <c r="B1305" s="8" t="s">
        <v>59</v>
      </c>
      <c r="C1305" s="60" t="n">
        <f aca="false">Pressupostos!$D$25*C1292</f>
        <v>0.01305</v>
      </c>
      <c r="D1305" s="60" t="n">
        <f aca="false">Pressupostos!$D$25*D1292</f>
        <v>0.01305</v>
      </c>
      <c r="E1305" s="60" t="n">
        <f aca="false">Pressupostos!$D$25*E1292</f>
        <v>0.01305</v>
      </c>
      <c r="F1305" s="60" t="n">
        <f aca="false">Pressupostos!$D$25*F1292</f>
        <v>0.01305</v>
      </c>
      <c r="G1305" s="60" t="n">
        <f aca="false">Pressupostos!$D$25*G1292</f>
        <v>0.01305</v>
      </c>
      <c r="H1305" s="2" t="s">
        <v>1159</v>
      </c>
    </row>
    <row r="1306" customFormat="false" ht="15" hidden="false" customHeight="false" outlineLevel="1" collapsed="false">
      <c r="A1306" s="7" t="s">
        <v>638</v>
      </c>
      <c r="B1306" s="8" t="s">
        <v>59</v>
      </c>
      <c r="C1306" s="60" t="n">
        <f aca="false">Pressupostos!$C$71*C1292</f>
        <v>0</v>
      </c>
      <c r="D1306" s="60" t="n">
        <f aca="false">Pressupostos!$C$71*D1292</f>
        <v>0</v>
      </c>
      <c r="E1306" s="60" t="n">
        <f aca="false">Pressupostos!$C$71*E1292</f>
        <v>0</v>
      </c>
      <c r="F1306" s="60" t="n">
        <f aca="false">Pressupostos!$C$71*F1292</f>
        <v>0</v>
      </c>
      <c r="G1306" s="60" t="n">
        <f aca="false">Pressupostos!$C$71*G1292</f>
        <v>0</v>
      </c>
      <c r="H1306" s="2" t="s">
        <v>1160</v>
      </c>
    </row>
    <row r="1307" customFormat="false" ht="15" hidden="false" customHeight="false" outlineLevel="1" collapsed="false">
      <c r="A1307" s="7" t="s">
        <v>639</v>
      </c>
      <c r="B1307" s="8" t="s">
        <v>59</v>
      </c>
      <c r="C1307" s="60" t="n">
        <f aca="false">Pressupostos!$C$283*(C1290+C1293)*(C1296+C1297-Pressupostos!$C$70)/365*Pressupostos!$C$277/Pressupostos!$D$31</f>
        <v>0</v>
      </c>
      <c r="D1307" s="60" t="n">
        <f aca="false">Pressupostos!$D$283*(D1290+D1293)*(D1296+D1297-Pressupostos!$C$70)/365*Pressupostos!$D$277/Pressupostos!$D$31</f>
        <v>0.0449383561643836</v>
      </c>
      <c r="E1307" s="60" t="n">
        <f aca="false">Pressupostos!$E$283*(E1290+E1293)*(E1296+E1297-Pressupostos!$C$70)/365*Pressupostos!$E$277/Pressupostos!$D$31</f>
        <v>0.0421297089041096</v>
      </c>
      <c r="F1307" s="60" t="n">
        <f aca="false">Pressupostos!$F$283*(F1290+F1293)*(F1296+F1297-Pressupostos!$C$70)/365*Pressupostos!$F$277/Pressupostos!$D$31</f>
        <v>0.0393210616438356</v>
      </c>
      <c r="G1307" s="60" t="n">
        <f aca="false">Pressupostos!$G$283*(G1290+G1293)*(G1296+G1297-Pressupostos!$C$70)/365*Pressupostos!$G$277/Pressupostos!$D$31</f>
        <v>0.0393210616438356</v>
      </c>
      <c r="H1307" s="2" t="s">
        <v>1161</v>
      </c>
    </row>
    <row r="1308" customFormat="false" ht="15" hidden="false" customHeight="false" outlineLevel="1" collapsed="false">
      <c r="A1308" s="7" t="s">
        <v>640</v>
      </c>
      <c r="B1308" s="8" t="s">
        <v>59</v>
      </c>
      <c r="C1308" s="60" t="n">
        <f aca="false">C1290+C1293+C1294+C1295+C1298+C1299+C1300+C1301+C1302+C1303+C1304+C1305+C1306+C1307</f>
        <v>4.25364178082192</v>
      </c>
      <c r="D1308" s="60" t="n">
        <f aca="false">D1290+D1293+D1294+D1295+D1298+D1299+D1300+D1301+D1302+D1303+D1304+D1305+D1306+D1307</f>
        <v>4.2985801369863</v>
      </c>
      <c r="E1308" s="60" t="n">
        <f aca="false">E1290+E1293+E1294+E1295+E1298+E1299+E1300+E1301+E1302+E1303+E1304+E1305+E1306+E1307</f>
        <v>4.28577148972603</v>
      </c>
      <c r="F1308" s="60" t="n">
        <f aca="false">F1290+F1293+F1294+F1295+F1298+F1299+F1300+F1301+F1302+F1303+F1304+F1305+F1306+F1307</f>
        <v>4.28296284246575</v>
      </c>
      <c r="G1308" s="60" t="n">
        <f aca="false">G1290+G1293+G1294+G1295+G1298+G1299+G1300+G1301+G1302+G1303+G1304+G1305+G1306+G1307</f>
        <v>4.28296284246575</v>
      </c>
      <c r="H1308" s="2" t="s">
        <v>1162</v>
      </c>
    </row>
    <row r="1309" customFormat="false" ht="15" hidden="false" customHeight="false" outlineLevel="1" collapsed="false">
      <c r="A1309" s="52" t="s">
        <v>641</v>
      </c>
      <c r="B1309" s="53" t="s">
        <v>59</v>
      </c>
      <c r="C1309" s="64" t="n">
        <f aca="false">C1292-C1308</f>
        <v>0.0963582191780832</v>
      </c>
      <c r="D1309" s="64" t="n">
        <f aca="false">D1292-D1308</f>
        <v>0.0514198630136997</v>
      </c>
      <c r="E1309" s="64" t="n">
        <f aca="false">E1292-E1308</f>
        <v>0.0642285102739733</v>
      </c>
      <c r="F1309" s="64" t="n">
        <f aca="false">F1292-F1308</f>
        <v>0.067037157534247</v>
      </c>
      <c r="G1309" s="64" t="n">
        <f aca="false">G1292-G1308</f>
        <v>0.067037157534247</v>
      </c>
      <c r="H1309" s="2" t="s">
        <v>1163</v>
      </c>
    </row>
    <row r="1310" customFormat="false" ht="15" hidden="false" customHeight="false" outlineLevel="1" collapsed="false">
      <c r="A1310" s="7" t="s">
        <v>642</v>
      </c>
      <c r="B1310" s="8" t="s">
        <v>71</v>
      </c>
      <c r="C1310" s="55" t="n">
        <f aca="false">IF(C1292&gt;0,C1309/C1292,0)</f>
        <v>0.0221513147535823</v>
      </c>
      <c r="D1310" s="55" t="n">
        <f aca="false">IF(D1292&gt;0,D1309/D1292,0)</f>
        <v>0.0118206581640689</v>
      </c>
      <c r="E1310" s="55" t="n">
        <f aca="false">IF(E1292&gt;0,E1309/E1292,0)</f>
        <v>0.014765174775626</v>
      </c>
      <c r="F1310" s="55" t="n">
        <f aca="false">IF(F1292&gt;0,F1309/F1292,0)</f>
        <v>0.0154108408124706</v>
      </c>
      <c r="G1310" s="55" t="n">
        <f aca="false">IF(G1292&gt;0,G1309/G1292,0)</f>
        <v>0.0154108408124706</v>
      </c>
      <c r="H1310" s="2" t="s">
        <v>1164</v>
      </c>
    </row>
    <row r="1311" customFormat="false" ht="15" hidden="false" customHeight="false" outlineLevel="1" collapsed="false">
      <c r="A1311" s="7" t="s">
        <v>643</v>
      </c>
      <c r="B1311" s="8" t="s">
        <v>59</v>
      </c>
      <c r="C1311" s="60" t="n">
        <f aca="false">(C1290+C1293)*(C1296-Pressupostos!$C$70)/365+C1292*C1297/365</f>
        <v>0.536301369863014</v>
      </c>
      <c r="D1311" s="60" t="n">
        <f aca="false">(D1290+D1293)*(D1296-Pressupostos!$C$70)/365+D1292*D1297/365</f>
        <v>0.536301369863014</v>
      </c>
      <c r="E1311" s="60" t="n">
        <f aca="false">(E1290+E1293)*(E1296-Pressupostos!$C$70)/365+E1292*E1297/365</f>
        <v>0.536301369863014</v>
      </c>
      <c r="F1311" s="60" t="n">
        <f aca="false">(F1290+F1293)*(F1296-Pressupostos!$C$70)/365+F1292*F1297/365</f>
        <v>0.536301369863014</v>
      </c>
      <c r="G1311" s="60" t="n">
        <f aca="false">(G1290+G1293)*(G1296-Pressupostos!$C$70)/365+G1292*G1297/365</f>
        <v>0.536301369863014</v>
      </c>
      <c r="H1311" s="2" t="s">
        <v>1165</v>
      </c>
    </row>
    <row r="1312" customFormat="false" ht="15" hidden="false" customHeight="false" outlineLevel="0" collapsed="false">
      <c r="A1312" s="3" t="s">
        <v>1166</v>
      </c>
      <c r="B1312" s="4"/>
      <c r="C1312" s="4"/>
      <c r="D1312" s="4"/>
      <c r="E1312" s="4"/>
      <c r="F1312" s="4"/>
      <c r="G1312" s="4"/>
      <c r="H1312" s="4"/>
    </row>
    <row r="1313" customFormat="false" ht="15" hidden="false" customHeight="false" outlineLevel="1" collapsed="false">
      <c r="A1313" s="7" t="s">
        <v>633</v>
      </c>
      <c r="B1313" s="8" t="s">
        <v>59</v>
      </c>
      <c r="C1313" s="60" t="n">
        <f aca="false">Pressupostos!$D$10+Pressupostos!$D$13</f>
        <v>3.5</v>
      </c>
      <c r="D1313" s="60" t="n">
        <f aca="false">Pressupostos!$D$10+Pressupostos!$D$13</f>
        <v>3.5</v>
      </c>
      <c r="E1313" s="60" t="n">
        <f aca="false">Pressupostos!$D$10+Pressupostos!$D$13</f>
        <v>3.5</v>
      </c>
      <c r="F1313" s="60" t="n">
        <f aca="false">Pressupostos!$D$10+Pressupostos!$D$13</f>
        <v>3.5</v>
      </c>
      <c r="G1313" s="60" t="n">
        <f aca="false">Pressupostos!$D$10+Pressupostos!$D$13</f>
        <v>3.5</v>
      </c>
      <c r="H1313" s="2" t="s">
        <v>1167</v>
      </c>
    </row>
    <row r="1314" customFormat="false" ht="15" hidden="false" customHeight="false" outlineLevel="1" collapsed="false">
      <c r="A1314" s="7" t="s">
        <v>634</v>
      </c>
      <c r="B1314" s="8" t="s">
        <v>59</v>
      </c>
      <c r="C1314" s="60" t="n">
        <f aca="false">Pressupostos!$D$10+Pressupostos!$C$51</f>
        <v>3.65</v>
      </c>
      <c r="D1314" s="60" t="n">
        <f aca="false">Pressupostos!$D$10+Pressupostos!$C$51</f>
        <v>3.65</v>
      </c>
      <c r="E1314" s="60" t="n">
        <f aca="false">Pressupostos!$D$10+Pressupostos!$C$51</f>
        <v>3.65</v>
      </c>
      <c r="F1314" s="60" t="n">
        <f aca="false">Pressupostos!$D$10+Pressupostos!$C$51</f>
        <v>3.65</v>
      </c>
      <c r="G1314" s="60" t="n">
        <f aca="false">Pressupostos!$D$10+Pressupostos!$C$51</f>
        <v>3.65</v>
      </c>
      <c r="H1314" s="2" t="s">
        <v>1168</v>
      </c>
    </row>
    <row r="1315" customFormat="false" ht="15" hidden="false" customHeight="false" outlineLevel="1" collapsed="false">
      <c r="A1315" s="52" t="s">
        <v>635</v>
      </c>
      <c r="B1315" s="53" t="s">
        <v>59</v>
      </c>
      <c r="C1315" s="64" t="n">
        <f aca="false">C1314*(1-Pressupostos!$C$52)</f>
        <v>3.65</v>
      </c>
      <c r="D1315" s="64" t="n">
        <f aca="false">D1314*(1-Pressupostos!$C$52)</f>
        <v>3.65</v>
      </c>
      <c r="E1315" s="64" t="n">
        <f aca="false">E1314*(1-Pressupostos!$C$52)</f>
        <v>3.65</v>
      </c>
      <c r="F1315" s="64" t="n">
        <f aca="false">F1314*(1-Pressupostos!$C$52)</f>
        <v>3.65</v>
      </c>
      <c r="G1315" s="64" t="n">
        <f aca="false">G1314*(1-Pressupostos!$C$52)</f>
        <v>3.65</v>
      </c>
      <c r="H1315" s="2" t="s">
        <v>1169</v>
      </c>
    </row>
    <row r="1316" customFormat="false" ht="15" hidden="false" customHeight="false" outlineLevel="1" collapsed="false">
      <c r="A1316" s="7" t="s">
        <v>136</v>
      </c>
      <c r="B1316" s="8" t="s">
        <v>59</v>
      </c>
      <c r="C1316" s="63" t="n">
        <f aca="false">Pressupostos!$C$53</f>
        <v>0</v>
      </c>
      <c r="D1316" s="63" t="n">
        <f aca="false">Pressupostos!$C$53</f>
        <v>0</v>
      </c>
      <c r="E1316" s="63" t="n">
        <f aca="false">Pressupostos!$C$53</f>
        <v>0</v>
      </c>
      <c r="F1316" s="63" t="n">
        <f aca="false">Pressupostos!$C$53</f>
        <v>0</v>
      </c>
      <c r="G1316" s="63" t="n">
        <f aca="false">Pressupostos!$C$53</f>
        <v>0</v>
      </c>
      <c r="H1316" s="2" t="s">
        <v>1170</v>
      </c>
    </row>
    <row r="1317" customFormat="false" ht="15" hidden="false" customHeight="false" outlineLevel="1" collapsed="false">
      <c r="A1317" s="7" t="s">
        <v>205</v>
      </c>
      <c r="B1317" s="8" t="s">
        <v>59</v>
      </c>
      <c r="C1317" s="63" t="n">
        <f aca="false">Pressupostos!$C$54</f>
        <v>0.04</v>
      </c>
      <c r="D1317" s="63" t="n">
        <f aca="false">Pressupostos!$C$54</f>
        <v>0.04</v>
      </c>
      <c r="E1317" s="63" t="n">
        <f aca="false">Pressupostos!$C$54</f>
        <v>0.04</v>
      </c>
      <c r="F1317" s="63" t="n">
        <f aca="false">Pressupostos!$C$54</f>
        <v>0.04</v>
      </c>
      <c r="G1317" s="63" t="n">
        <f aca="false">Pressupostos!$C$54</f>
        <v>0.04</v>
      </c>
      <c r="H1317" s="2" t="s">
        <v>1171</v>
      </c>
    </row>
    <row r="1318" customFormat="false" ht="15" hidden="false" customHeight="false" outlineLevel="1" collapsed="false">
      <c r="A1318" s="7" t="s">
        <v>109</v>
      </c>
      <c r="B1318" s="8" t="s">
        <v>59</v>
      </c>
      <c r="C1318" s="63" t="n">
        <f aca="false">Pressupostos!$C$55</f>
        <v>0</v>
      </c>
      <c r="D1318" s="63" t="n">
        <f aca="false">Pressupostos!$C$55</f>
        <v>0</v>
      </c>
      <c r="E1318" s="63" t="n">
        <f aca="false">Pressupostos!$C$55</f>
        <v>0</v>
      </c>
      <c r="F1318" s="63" t="n">
        <f aca="false">Pressupostos!$C$55</f>
        <v>0</v>
      </c>
      <c r="G1318" s="63" t="n">
        <f aca="false">Pressupostos!$C$55</f>
        <v>0</v>
      </c>
      <c r="H1318" s="2" t="s">
        <v>1172</v>
      </c>
    </row>
    <row r="1319" customFormat="false" ht="15" hidden="false" customHeight="false" outlineLevel="1" collapsed="false">
      <c r="A1319" s="7" t="s">
        <v>86</v>
      </c>
      <c r="B1319" s="8" t="s">
        <v>74</v>
      </c>
      <c r="C1319" s="65" t="n">
        <f aca="false">Pressupostos!$C$56</f>
        <v>15</v>
      </c>
      <c r="D1319" s="65" t="n">
        <f aca="false">Pressupostos!$C$56</f>
        <v>15</v>
      </c>
      <c r="E1319" s="65" t="n">
        <f aca="false">Pressupostos!$C$56</f>
        <v>15</v>
      </c>
      <c r="F1319" s="65" t="n">
        <f aca="false">Pressupostos!$C$56</f>
        <v>15</v>
      </c>
      <c r="G1319" s="65" t="n">
        <f aca="false">Pressupostos!$C$56</f>
        <v>15</v>
      </c>
      <c r="H1319" s="2" t="s">
        <v>1173</v>
      </c>
    </row>
    <row r="1320" customFormat="false" ht="15" hidden="false" customHeight="false" outlineLevel="1" collapsed="false">
      <c r="A1320" s="7" t="s">
        <v>73</v>
      </c>
      <c r="B1320" s="8" t="s">
        <v>74</v>
      </c>
      <c r="C1320" s="65" t="n">
        <f aca="false">Pressupostos!$C$57</f>
        <v>45</v>
      </c>
      <c r="D1320" s="65" t="n">
        <f aca="false">Pressupostos!$C$57</f>
        <v>45</v>
      </c>
      <c r="E1320" s="65" t="n">
        <f aca="false">Pressupostos!$C$57</f>
        <v>45</v>
      </c>
      <c r="F1320" s="65" t="n">
        <f aca="false">Pressupostos!$C$57</f>
        <v>45</v>
      </c>
      <c r="G1320" s="65" t="n">
        <f aca="false">Pressupostos!$C$57</f>
        <v>45</v>
      </c>
      <c r="H1320" s="2" t="s">
        <v>1174</v>
      </c>
    </row>
    <row r="1321" customFormat="false" ht="15" hidden="false" customHeight="false" outlineLevel="1" collapsed="false">
      <c r="A1321" s="7" t="s">
        <v>471</v>
      </c>
      <c r="B1321" s="8" t="s">
        <v>59</v>
      </c>
      <c r="C1321" s="60" t="n">
        <f aca="false">Pressupostos!$C$64*C1319/30/1000</f>
        <v>0.002</v>
      </c>
      <c r="D1321" s="60" t="n">
        <f aca="false">Pressupostos!$C$64*D1319/30/1000</f>
        <v>0.002</v>
      </c>
      <c r="E1321" s="60" t="n">
        <f aca="false">Pressupostos!$C$64*E1319/30/1000</f>
        <v>0.002</v>
      </c>
      <c r="F1321" s="60" t="n">
        <f aca="false">Pressupostos!$C$64*F1319/30/1000</f>
        <v>0.002</v>
      </c>
      <c r="G1321" s="60" t="n">
        <f aca="false">Pressupostos!$C$64*G1319/30/1000</f>
        <v>0.002</v>
      </c>
      <c r="H1321" s="2" t="s">
        <v>1175</v>
      </c>
    </row>
    <row r="1322" customFormat="false" ht="15" hidden="false" customHeight="false" outlineLevel="1" collapsed="false">
      <c r="A1322" s="7" t="s">
        <v>154</v>
      </c>
      <c r="B1322" s="8" t="s">
        <v>59</v>
      </c>
      <c r="C1322" s="60" t="n">
        <f aca="false">C1313*Pressupostos!$C$65*C1319/365</f>
        <v>0.000287671232876712</v>
      </c>
      <c r="D1322" s="60" t="n">
        <f aca="false">D1313*Pressupostos!$C$65*D1319/365</f>
        <v>0.000287671232876712</v>
      </c>
      <c r="E1322" s="60" t="n">
        <f aca="false">E1313*Pressupostos!$C$65*E1319/365</f>
        <v>0.000287671232876712</v>
      </c>
      <c r="F1322" s="60" t="n">
        <f aca="false">F1313*Pressupostos!$C$65*F1319/365</f>
        <v>0.000287671232876712</v>
      </c>
      <c r="G1322" s="60" t="n">
        <f aca="false">G1313*Pressupostos!$C$65*G1319/365</f>
        <v>0.000287671232876712</v>
      </c>
      <c r="H1322" s="2" t="s">
        <v>1176</v>
      </c>
    </row>
    <row r="1323" customFormat="false" ht="15" hidden="false" customHeight="false" outlineLevel="1" collapsed="false">
      <c r="A1323" s="7" t="s">
        <v>636</v>
      </c>
      <c r="B1323" s="8" t="s">
        <v>59</v>
      </c>
      <c r="C1323" s="60" t="n">
        <f aca="false">Pressupostos!$C$59*Pressupostos!$C$66/(Pressupostos!$C$58*1000)</f>
        <v>0.006</v>
      </c>
      <c r="D1323" s="60" t="n">
        <f aca="false">Pressupostos!$C$59*Pressupostos!$C$66/(Pressupostos!$C$58*1000)</f>
        <v>0.006</v>
      </c>
      <c r="E1323" s="60" t="n">
        <f aca="false">Pressupostos!$C$59*Pressupostos!$C$66/(Pressupostos!$C$58*1000)</f>
        <v>0.006</v>
      </c>
      <c r="F1323" s="60" t="n">
        <f aca="false">Pressupostos!$C$59*Pressupostos!$C$66/(Pressupostos!$C$58*1000)</f>
        <v>0.006</v>
      </c>
      <c r="G1323" s="60" t="n">
        <f aca="false">Pressupostos!$C$59*Pressupostos!$C$66/(Pressupostos!$C$58*1000)</f>
        <v>0.006</v>
      </c>
      <c r="H1323" s="2" t="s">
        <v>1177</v>
      </c>
    </row>
    <row r="1324" customFormat="false" ht="15" hidden="false" customHeight="false" outlineLevel="1" collapsed="false">
      <c r="A1324" s="7" t="s">
        <v>473</v>
      </c>
      <c r="B1324" s="8" t="s">
        <v>59</v>
      </c>
      <c r="C1324" s="60" t="n">
        <f aca="false">Pressupostos!$C$67*C1313</f>
        <v>0.0175</v>
      </c>
      <c r="D1324" s="60" t="n">
        <f aca="false">Pressupostos!$C$67*D1313</f>
        <v>0.0175</v>
      </c>
      <c r="E1324" s="60" t="n">
        <f aca="false">Pressupostos!$C$67*E1313</f>
        <v>0.0175</v>
      </c>
      <c r="F1324" s="60" t="n">
        <f aca="false">Pressupostos!$C$67*F1313</f>
        <v>0.0175</v>
      </c>
      <c r="G1324" s="60" t="n">
        <f aca="false">Pressupostos!$C$67*G1313</f>
        <v>0.0175</v>
      </c>
      <c r="H1324" s="2" t="s">
        <v>1178</v>
      </c>
    </row>
    <row r="1325" customFormat="false" ht="15" hidden="false" customHeight="false" outlineLevel="1" collapsed="false">
      <c r="A1325" s="7" t="s">
        <v>474</v>
      </c>
      <c r="B1325" s="8" t="s">
        <v>59</v>
      </c>
      <c r="C1325" s="60" t="n">
        <f aca="false">Pressupostos!$C$68*Pressupostos!$C$69*C1319/90</f>
        <v>0.0015</v>
      </c>
      <c r="D1325" s="60" t="n">
        <f aca="false">Pressupostos!$C$68*Pressupostos!$C$69*D1319/90</f>
        <v>0.0015</v>
      </c>
      <c r="E1325" s="60" t="n">
        <f aca="false">Pressupostos!$C$68*Pressupostos!$C$69*E1319/90</f>
        <v>0.0015</v>
      </c>
      <c r="F1325" s="60" t="n">
        <f aca="false">Pressupostos!$C$68*Pressupostos!$C$69*F1319/90</f>
        <v>0.0015</v>
      </c>
      <c r="G1325" s="60" t="n">
        <f aca="false">Pressupostos!$C$68*Pressupostos!$C$69*G1319/90</f>
        <v>0.0015</v>
      </c>
      <c r="H1325" s="2" t="s">
        <v>1179</v>
      </c>
    </row>
    <row r="1326" customFormat="false" ht="15" hidden="false" customHeight="false" outlineLevel="1" collapsed="false">
      <c r="A1326" s="7" t="s">
        <v>637</v>
      </c>
      <c r="B1326" s="8" t="s">
        <v>59</v>
      </c>
      <c r="C1326" s="60" t="n">
        <f aca="false">Pressupostos!$C$60/(Pressupostos!$C$58*1000)</f>
        <v>0.012</v>
      </c>
      <c r="D1326" s="60" t="n">
        <f aca="false">Pressupostos!$C$60/(Pressupostos!$C$58*1000)</f>
        <v>0.012</v>
      </c>
      <c r="E1326" s="60" t="n">
        <f aca="false">Pressupostos!$C$60/(Pressupostos!$C$58*1000)</f>
        <v>0.012</v>
      </c>
      <c r="F1326" s="60" t="n">
        <f aca="false">Pressupostos!$C$60/(Pressupostos!$C$58*1000)</f>
        <v>0.012</v>
      </c>
      <c r="G1326" s="60" t="n">
        <f aca="false">Pressupostos!$C$60/(Pressupostos!$C$58*1000)</f>
        <v>0.012</v>
      </c>
      <c r="H1326" s="2" t="s">
        <v>1180</v>
      </c>
    </row>
    <row r="1327" customFormat="false" ht="15" hidden="false" customHeight="false" outlineLevel="1" collapsed="false">
      <c r="A1327" s="7" t="s">
        <v>131</v>
      </c>
      <c r="B1327" s="8" t="s">
        <v>59</v>
      </c>
      <c r="C1327" s="63" t="n">
        <f aca="false">Pressupostos!$C$61</f>
        <v>0.001</v>
      </c>
      <c r="D1327" s="63" t="n">
        <f aca="false">Pressupostos!$C$61</f>
        <v>0.001</v>
      </c>
      <c r="E1327" s="63" t="n">
        <f aca="false">Pressupostos!$C$61</f>
        <v>0.001</v>
      </c>
      <c r="F1327" s="63" t="n">
        <f aca="false">Pressupostos!$C$61</f>
        <v>0.001</v>
      </c>
      <c r="G1327" s="63" t="n">
        <f aca="false">Pressupostos!$C$61</f>
        <v>0.001</v>
      </c>
      <c r="H1327" s="2" t="s">
        <v>1181</v>
      </c>
    </row>
    <row r="1328" customFormat="false" ht="15" hidden="false" customHeight="false" outlineLevel="1" collapsed="false">
      <c r="A1328" s="7" t="s">
        <v>76</v>
      </c>
      <c r="B1328" s="8" t="s">
        <v>59</v>
      </c>
      <c r="C1328" s="60" t="n">
        <f aca="false">Pressupostos!$C$62*C1315</f>
        <v>0.01095</v>
      </c>
      <c r="D1328" s="60" t="n">
        <f aca="false">Pressupostos!$C$62*D1315</f>
        <v>0.01095</v>
      </c>
      <c r="E1328" s="60" t="n">
        <f aca="false">Pressupostos!$C$62*E1315</f>
        <v>0.01095</v>
      </c>
      <c r="F1328" s="60" t="n">
        <f aca="false">Pressupostos!$C$62*F1315</f>
        <v>0.01095</v>
      </c>
      <c r="G1328" s="60" t="n">
        <f aca="false">Pressupostos!$C$62*G1315</f>
        <v>0.01095</v>
      </c>
      <c r="H1328" s="2" t="s">
        <v>1182</v>
      </c>
    </row>
    <row r="1329" customFormat="false" ht="15" hidden="false" customHeight="false" outlineLevel="1" collapsed="false">
      <c r="A1329" s="7" t="s">
        <v>638</v>
      </c>
      <c r="B1329" s="8" t="s">
        <v>59</v>
      </c>
      <c r="C1329" s="60" t="n">
        <f aca="false">Pressupostos!$C$71*C1315</f>
        <v>0</v>
      </c>
      <c r="D1329" s="60" t="n">
        <f aca="false">Pressupostos!$C$71*D1315</f>
        <v>0</v>
      </c>
      <c r="E1329" s="60" t="n">
        <f aca="false">Pressupostos!$C$71*E1315</f>
        <v>0</v>
      </c>
      <c r="F1329" s="60" t="n">
        <f aca="false">Pressupostos!$C$71*F1315</f>
        <v>0</v>
      </c>
      <c r="G1329" s="60" t="n">
        <f aca="false">Pressupostos!$C$71*G1315</f>
        <v>0</v>
      </c>
      <c r="H1329" s="2" t="s">
        <v>1183</v>
      </c>
    </row>
    <row r="1330" customFormat="false" ht="15" hidden="false" customHeight="false" outlineLevel="1" collapsed="false">
      <c r="A1330" s="7" t="s">
        <v>639</v>
      </c>
      <c r="B1330" s="8" t="s">
        <v>59</v>
      </c>
      <c r="C1330" s="60" t="n">
        <f aca="false">Pressupostos!$C$283*(C1313+C1316)*(C1319+C1320-Pressupostos!$C$70)/365*Pressupostos!$C$277/Pressupostos!$D$31</f>
        <v>0</v>
      </c>
      <c r="D1330" s="60" t="n">
        <f aca="false">Pressupostos!$D$283*(D1313+D1316)*(D1319+D1320-Pressupostos!$C$70)/365*Pressupostos!$D$277/Pressupostos!$D$31</f>
        <v>0.0258904109589041</v>
      </c>
      <c r="E1330" s="60" t="n">
        <f aca="false">Pressupostos!$E$283*(E1313+E1316)*(E1319+E1320-Pressupostos!$C$70)/365*Pressupostos!$E$277/Pressupostos!$D$31</f>
        <v>0.0242722602739726</v>
      </c>
      <c r="F1330" s="60" t="n">
        <f aca="false">Pressupostos!$F$283*(F1313+F1316)*(F1319+F1320-Pressupostos!$C$70)/365*Pressupostos!$F$277/Pressupostos!$D$31</f>
        <v>0.0226541095890411</v>
      </c>
      <c r="G1330" s="60" t="n">
        <f aca="false">Pressupostos!$G$283*(G1313+G1316)*(G1319+G1320-Pressupostos!$C$70)/365*Pressupostos!$G$277/Pressupostos!$D$31</f>
        <v>0.0226541095890411</v>
      </c>
      <c r="H1330" s="2" t="s">
        <v>1184</v>
      </c>
    </row>
    <row r="1331" customFormat="false" ht="15" hidden="false" customHeight="false" outlineLevel="1" collapsed="false">
      <c r="A1331" s="7" t="s">
        <v>640</v>
      </c>
      <c r="B1331" s="8" t="s">
        <v>59</v>
      </c>
      <c r="C1331" s="60" t="n">
        <f aca="false">C1313+C1316+C1317+C1318+C1321+C1322+C1323+C1324+C1325+C1326+C1327+C1328+C1329+C1330</f>
        <v>3.59123767123288</v>
      </c>
      <c r="D1331" s="60" t="n">
        <f aca="false">D1313+D1316+D1317+D1318+D1321+D1322+D1323+D1324+D1325+D1326+D1327+D1328+D1329+D1330</f>
        <v>3.61712808219178</v>
      </c>
      <c r="E1331" s="60" t="n">
        <f aca="false">E1313+E1316+E1317+E1318+E1321+E1322+E1323+E1324+E1325+E1326+E1327+E1328+E1329+E1330</f>
        <v>3.61550993150685</v>
      </c>
      <c r="F1331" s="60" t="n">
        <f aca="false">F1313+F1316+F1317+F1318+F1321+F1322+F1323+F1324+F1325+F1326+F1327+F1328+F1329+F1330</f>
        <v>3.61389178082192</v>
      </c>
      <c r="G1331" s="60" t="n">
        <f aca="false">G1313+G1316+G1317+G1318+G1321+G1322+G1323+G1324+G1325+G1326+G1327+G1328+G1329+G1330</f>
        <v>3.61389178082192</v>
      </c>
      <c r="H1331" s="2" t="s">
        <v>1185</v>
      </c>
    </row>
    <row r="1332" customFormat="false" ht="15" hidden="false" customHeight="false" outlineLevel="1" collapsed="false">
      <c r="A1332" s="52" t="s">
        <v>641</v>
      </c>
      <c r="B1332" s="53" t="s">
        <v>59</v>
      </c>
      <c r="C1332" s="64" t="n">
        <f aca="false">C1315-C1331</f>
        <v>0.058762328767124</v>
      </c>
      <c r="D1332" s="64" t="n">
        <f aca="false">D1315-D1331</f>
        <v>0.0328719178082197</v>
      </c>
      <c r="E1332" s="64" t="n">
        <f aca="false">E1315-E1331</f>
        <v>0.0344900684931515</v>
      </c>
      <c r="F1332" s="64" t="n">
        <f aca="false">F1315-F1331</f>
        <v>0.0361082191780828</v>
      </c>
      <c r="G1332" s="64" t="n">
        <f aca="false">G1315-G1331</f>
        <v>0.0361082191780828</v>
      </c>
      <c r="H1332" s="2" t="s">
        <v>1186</v>
      </c>
    </row>
    <row r="1333" customFormat="false" ht="15" hidden="false" customHeight="false" outlineLevel="1" collapsed="false">
      <c r="A1333" s="7" t="s">
        <v>642</v>
      </c>
      <c r="B1333" s="8" t="s">
        <v>71</v>
      </c>
      <c r="C1333" s="55" t="n">
        <f aca="false">IF(C1315&gt;0,C1332/C1315,0)</f>
        <v>0.0160992681553764</v>
      </c>
      <c r="D1333" s="55" t="n">
        <f aca="false">IF(D1315&gt;0,D1332/D1315,0)</f>
        <v>0.00900600487896431</v>
      </c>
      <c r="E1333" s="55" t="n">
        <f aca="false">IF(E1315&gt;0,E1332/E1315,0)</f>
        <v>0.00944933383374014</v>
      </c>
      <c r="F1333" s="55" t="n">
        <f aca="false">IF(F1315&gt;0,F1332/F1315,0)</f>
        <v>0.00989266278851584</v>
      </c>
      <c r="G1333" s="55" t="n">
        <f aca="false">IF(G1315&gt;0,G1332/G1315,0)</f>
        <v>0.00989266278851584</v>
      </c>
      <c r="H1333" s="2" t="s">
        <v>1187</v>
      </c>
    </row>
    <row r="1334" customFormat="false" ht="15" hidden="false" customHeight="false" outlineLevel="1" collapsed="false">
      <c r="A1334" s="7" t="s">
        <v>643</v>
      </c>
      <c r="B1334" s="8" t="s">
        <v>59</v>
      </c>
      <c r="C1334" s="60" t="n">
        <f aca="false">(C1313+C1316)*(C1319-Pressupostos!$C$70)/365+C1315*C1320/365</f>
        <v>0.306164383561644</v>
      </c>
      <c r="D1334" s="60" t="n">
        <f aca="false">(D1313+D1316)*(D1319-Pressupostos!$C$70)/365+D1315*D1320/365</f>
        <v>0.306164383561644</v>
      </c>
      <c r="E1334" s="60" t="n">
        <f aca="false">(E1313+E1316)*(E1319-Pressupostos!$C$70)/365+E1315*E1320/365</f>
        <v>0.306164383561644</v>
      </c>
      <c r="F1334" s="60" t="n">
        <f aca="false">(F1313+F1316)*(F1319-Pressupostos!$C$70)/365+F1315*F1320/365</f>
        <v>0.306164383561644</v>
      </c>
      <c r="G1334" s="60" t="n">
        <f aca="false">(G1313+G1316)*(G1319-Pressupostos!$C$70)/365+G1315*G1320/365</f>
        <v>0.306164383561644</v>
      </c>
      <c r="H1334" s="2" t="s">
        <v>1188</v>
      </c>
    </row>
    <row r="1335" customFormat="false" ht="15" hidden="false" customHeight="false" outlineLevel="0" collapsed="false">
      <c r="A1335" s="3" t="s">
        <v>1189</v>
      </c>
      <c r="B1335" s="4"/>
      <c r="C1335" s="4"/>
      <c r="D1335" s="4"/>
      <c r="E1335" s="4"/>
      <c r="F1335" s="4"/>
      <c r="G1335" s="4"/>
      <c r="H1335" s="4"/>
    </row>
    <row r="1336" customFormat="false" ht="15" hidden="false" customHeight="false" outlineLevel="1" collapsed="false">
      <c r="A1336" s="7" t="s">
        <v>575</v>
      </c>
      <c r="B1336" s="8" t="s">
        <v>10</v>
      </c>
      <c r="C1336" s="58" t="n">
        <f aca="false">C1251*1000*C1269</f>
        <v>40680</v>
      </c>
      <c r="D1336" s="58" t="n">
        <f aca="false">D1251*1000*D1269</f>
        <v>188145</v>
      </c>
      <c r="E1336" s="58" t="n">
        <f aca="false">E1251*1000*E1269</f>
        <v>676305</v>
      </c>
      <c r="F1336" s="58" t="n">
        <f aca="false">F1251*1000*F1269</f>
        <v>1357695</v>
      </c>
      <c r="G1336" s="58" t="n">
        <f aca="false">G1251*1000*G1269</f>
        <v>2084850</v>
      </c>
      <c r="H1336" s="2" t="s">
        <v>1190</v>
      </c>
    </row>
    <row r="1337" customFormat="false" ht="15" hidden="false" customHeight="false" outlineLevel="1" collapsed="false">
      <c r="A1337" s="7" t="s">
        <v>576</v>
      </c>
      <c r="B1337" s="8" t="s">
        <v>10</v>
      </c>
      <c r="C1337" s="58" t="n">
        <f aca="false">C1252*1000*C1292</f>
        <v>226200</v>
      </c>
      <c r="D1337" s="58" t="n">
        <f aca="false">D1252*1000*D1292</f>
        <v>1579050</v>
      </c>
      <c r="E1337" s="58" t="n">
        <f aca="false">E1252*1000*E1292</f>
        <v>3118950</v>
      </c>
      <c r="F1337" s="58" t="n">
        <f aca="false">F1252*1000*F1292</f>
        <v>5146050</v>
      </c>
      <c r="G1337" s="58" t="n">
        <f aca="false">G1252*1000*G1292</f>
        <v>7786500</v>
      </c>
      <c r="H1337" s="2" t="s">
        <v>1191</v>
      </c>
    </row>
    <row r="1338" customFormat="false" ht="15" hidden="false" customHeight="false" outlineLevel="1" collapsed="false">
      <c r="A1338" s="7" t="s">
        <v>577</v>
      </c>
      <c r="B1338" s="8" t="s">
        <v>10</v>
      </c>
      <c r="C1338" s="58" t="n">
        <f aca="false">C1253*1000*C1315</f>
        <v>0</v>
      </c>
      <c r="D1338" s="58" t="n">
        <f aca="false">D1253*1000*D1315</f>
        <v>0</v>
      </c>
      <c r="E1338" s="58" t="n">
        <f aca="false">E1253*1000*E1315</f>
        <v>0</v>
      </c>
      <c r="F1338" s="58" t="n">
        <f aca="false">F1253*1000*F1315</f>
        <v>0</v>
      </c>
      <c r="G1338" s="58" t="n">
        <f aca="false">G1253*1000*G1315</f>
        <v>0</v>
      </c>
      <c r="H1338" s="2" t="s">
        <v>1192</v>
      </c>
    </row>
    <row r="1339" customFormat="false" ht="15" hidden="false" customHeight="false" outlineLevel="1" collapsed="false">
      <c r="A1339" s="7" t="s">
        <v>578</v>
      </c>
      <c r="B1339" s="8" t="s">
        <v>10</v>
      </c>
      <c r="C1339" s="58" t="n">
        <f aca="false">C1336+C1337+C1338</f>
        <v>266880</v>
      </c>
      <c r="D1339" s="58" t="n">
        <f aca="false">D1336+D1337+D1338</f>
        <v>1767195</v>
      </c>
      <c r="E1339" s="58" t="n">
        <f aca="false">E1336+E1337+E1338</f>
        <v>3795255</v>
      </c>
      <c r="F1339" s="58" t="n">
        <f aca="false">F1336+F1337+F1338</f>
        <v>6503745</v>
      </c>
      <c r="G1339" s="58" t="n">
        <f aca="false">G1336+G1337+G1338</f>
        <v>9871350</v>
      </c>
      <c r="H1339" s="2" t="s">
        <v>1193</v>
      </c>
    </row>
    <row r="1340" customFormat="false" ht="15" hidden="false" customHeight="false" outlineLevel="1" collapsed="false">
      <c r="A1340" s="7" t="s">
        <v>579</v>
      </c>
      <c r="B1340" s="8" t="s">
        <v>10</v>
      </c>
      <c r="C1340" s="58" t="n">
        <f aca="false">C1262*1000*Pressupostos!$C$91</f>
        <v>0</v>
      </c>
      <c r="D1340" s="58" t="n">
        <f aca="false">D1262*1000*Pressupostos!$C$91</f>
        <v>0</v>
      </c>
      <c r="E1340" s="58" t="n">
        <f aca="false">E1262*1000*Pressupostos!$C$91</f>
        <v>235500</v>
      </c>
      <c r="F1340" s="58" t="n">
        <f aca="false">F1262*1000*Pressupostos!$C$91</f>
        <v>471000</v>
      </c>
      <c r="G1340" s="58" t="n">
        <f aca="false">G1262*1000*Pressupostos!$C$91</f>
        <v>785000</v>
      </c>
      <c r="H1340" s="2" t="s">
        <v>1194</v>
      </c>
    </row>
    <row r="1341" customFormat="false" ht="15" hidden="false" customHeight="false" outlineLevel="1" collapsed="false">
      <c r="A1341" s="2" t="s">
        <v>580</v>
      </c>
      <c r="B1341" s="8" t="s">
        <v>10</v>
      </c>
      <c r="C1341" s="58" t="n">
        <f aca="false">C1260*Pressupostos!$C$78*(1-Pressupostos!$C$79)</f>
        <v>40500</v>
      </c>
      <c r="D1341" s="58" t="n">
        <f aca="false">D1260*Pressupostos!$C$78*(1-Pressupostos!$C$79)</f>
        <v>162000</v>
      </c>
      <c r="E1341" s="58" t="n">
        <f aca="false">E1260*Pressupostos!$C$78*(1-Pressupostos!$C$79)</f>
        <v>270000</v>
      </c>
      <c r="F1341" s="58" t="n">
        <f aca="false">F1260*Pressupostos!$C$78*(1-Pressupostos!$C$79)</f>
        <v>378000</v>
      </c>
      <c r="G1341" s="58" t="n">
        <f aca="false">G1260*Pressupostos!$C$78*(1-Pressupostos!$C$79)</f>
        <v>486000</v>
      </c>
      <c r="H1341" s="2" t="s">
        <v>1195</v>
      </c>
    </row>
    <row r="1342" customFormat="false" ht="15" hidden="false" customHeight="false" outlineLevel="1" collapsed="false">
      <c r="A1342" s="7" t="s">
        <v>581</v>
      </c>
      <c r="B1342" s="8" t="s">
        <v>10</v>
      </c>
      <c r="C1342" s="58" t="n">
        <f aca="false">C1341*Pressupostos!$D$27</f>
        <v>810</v>
      </c>
      <c r="D1342" s="58" t="n">
        <f aca="false">D1341*Pressupostos!$D$27</f>
        <v>3240</v>
      </c>
      <c r="E1342" s="58" t="n">
        <f aca="false">E1341*Pressupostos!$D$27</f>
        <v>5400</v>
      </c>
      <c r="F1342" s="58" t="n">
        <f aca="false">F1341*Pressupostos!$D$27</f>
        <v>7560</v>
      </c>
      <c r="G1342" s="58" t="n">
        <f aca="false">G1341*Pressupostos!$D$27</f>
        <v>9720</v>
      </c>
      <c r="H1342" s="2" t="s">
        <v>1196</v>
      </c>
    </row>
    <row r="1343" customFormat="false" ht="15" hidden="false" customHeight="false" outlineLevel="1" collapsed="false">
      <c r="A1343" s="7" t="s">
        <v>582</v>
      </c>
      <c r="B1343" s="8" t="s">
        <v>10</v>
      </c>
      <c r="C1343" s="58" t="n">
        <f aca="false">C1264*(Pressupostos!$C$99*Pressupostos!$C$100+Pressupostos!$C$101)</f>
        <v>0</v>
      </c>
      <c r="D1343" s="58" t="n">
        <f aca="false">D1264*(Pressupostos!$C$99*Pressupostos!$C$100+Pressupostos!$C$101)</f>
        <v>10000</v>
      </c>
      <c r="E1343" s="58" t="n">
        <f aca="false">E1264*(Pressupostos!$C$99*Pressupostos!$C$100+Pressupostos!$C$101)</f>
        <v>30000</v>
      </c>
      <c r="F1343" s="58" t="n">
        <f aca="false">F1264*(Pressupostos!$C$99*Pressupostos!$C$100+Pressupostos!$C$101)</f>
        <v>60000</v>
      </c>
      <c r="G1343" s="58" t="n">
        <f aca="false">G1264*(Pressupostos!$C$99*Pressupostos!$C$100+Pressupostos!$C$101)</f>
        <v>100000</v>
      </c>
      <c r="H1343" s="2" t="s">
        <v>1197</v>
      </c>
    </row>
    <row r="1344" customFormat="false" ht="15" hidden="false" customHeight="false" outlineLevel="1" collapsed="false">
      <c r="A1344" s="7" t="s">
        <v>583</v>
      </c>
      <c r="B1344" s="8" t="s">
        <v>10</v>
      </c>
      <c r="C1344" s="50" t="n">
        <f aca="false">Pressupostos!$C$270</f>
        <v>0</v>
      </c>
      <c r="D1344" s="50" t="n">
        <f aca="false">Pressupostos!$D$270</f>
        <v>0</v>
      </c>
      <c r="E1344" s="50" t="n">
        <f aca="false">Pressupostos!$E$270</f>
        <v>0</v>
      </c>
      <c r="F1344" s="50" t="n">
        <f aca="false">Pressupostos!$F$270</f>
        <v>10000</v>
      </c>
      <c r="G1344" s="50" t="n">
        <f aca="false">Pressupostos!$G$270</f>
        <v>30000</v>
      </c>
      <c r="H1344" s="2" t="s">
        <v>1198</v>
      </c>
    </row>
    <row r="1345" customFormat="false" ht="15" hidden="false" customHeight="false" outlineLevel="1" collapsed="false">
      <c r="A1345" s="52" t="s">
        <v>584</v>
      </c>
      <c r="B1345" s="53" t="s">
        <v>10</v>
      </c>
      <c r="C1345" s="59" t="n">
        <f aca="false">C1339+C1340+C1342+C1343+C1344</f>
        <v>267690</v>
      </c>
      <c r="D1345" s="59" t="n">
        <f aca="false">D1339+D1340+D1342+D1343+D1344</f>
        <v>1780435</v>
      </c>
      <c r="E1345" s="59" t="n">
        <f aca="false">E1339+E1340+E1342+E1343+E1344</f>
        <v>4066155</v>
      </c>
      <c r="F1345" s="59" t="n">
        <f aca="false">F1339+F1340+F1342+F1343+F1344</f>
        <v>7052305</v>
      </c>
      <c r="G1345" s="59" t="n">
        <f aca="false">G1339+G1340+G1342+G1343+G1344</f>
        <v>10796070</v>
      </c>
      <c r="H1345" s="2" t="s">
        <v>1199</v>
      </c>
    </row>
    <row r="1346" customFormat="false" ht="15" hidden="false" customHeight="false" outlineLevel="0" collapsed="false">
      <c r="A1346" s="3" t="s">
        <v>1200</v>
      </c>
      <c r="B1346" s="4"/>
      <c r="C1346" s="4"/>
      <c r="D1346" s="4"/>
      <c r="E1346" s="4"/>
      <c r="F1346" s="4"/>
      <c r="G1346" s="4"/>
      <c r="H1346" s="4"/>
    </row>
    <row r="1347" customFormat="false" ht="15" hidden="false" customHeight="false" outlineLevel="1" collapsed="false">
      <c r="A1347" s="52" t="s">
        <v>586</v>
      </c>
      <c r="B1347" s="53" t="s">
        <v>10</v>
      </c>
      <c r="C1347" s="59" t="n">
        <f aca="false">C1339+C1340+C1341</f>
        <v>307380</v>
      </c>
      <c r="D1347" s="59" t="n">
        <f aca="false">D1339+D1340+D1341</f>
        <v>1929195</v>
      </c>
      <c r="E1347" s="59" t="n">
        <f aca="false">E1339+E1340+E1341</f>
        <v>4300755</v>
      </c>
      <c r="F1347" s="59" t="n">
        <f aca="false">F1339+F1340+F1341</f>
        <v>7352745</v>
      </c>
      <c r="G1347" s="59" t="n">
        <f aca="false">G1339+G1340+G1341</f>
        <v>11142350</v>
      </c>
      <c r="H1347" s="2" t="s">
        <v>1201</v>
      </c>
    </row>
    <row r="1348" customFormat="false" ht="15" hidden="false" customHeight="false" outlineLevel="1" collapsed="false">
      <c r="A1348" s="7" t="s">
        <v>587</v>
      </c>
      <c r="B1348" s="8" t="s">
        <v>10</v>
      </c>
      <c r="C1348" s="58" t="n">
        <f aca="false">C1251*1000*(C1267+C1270)+C1252*1000*(C1290+C1293)+C1253*1000*(C1313+C1316)+C1262*1000*Pressupostos!$C$90</f>
        <v>243800</v>
      </c>
      <c r="D1348" s="58" t="n">
        <f aca="false">D1251*1000*(D1267+D1270)+D1252*1000*(D1290+D1293)+D1253*1000*(D1313+D1316)+D1262*1000*Pressupostos!$C$90</f>
        <v>1623700</v>
      </c>
      <c r="E1348" s="58" t="n">
        <f aca="false">E1251*1000*(E1267+E1270)+E1252*1000*(E1290+E1293)+E1253*1000*(E1313+E1316)+E1262*1000*Pressupostos!$C$90</f>
        <v>3665800</v>
      </c>
      <c r="F1348" s="58" t="n">
        <f aca="false">F1251*1000*(F1267+F1270)+F1252*1000*(F1290+F1293)+F1253*1000*(F1313+F1316)+F1262*1000*Pressupostos!$C$90</f>
        <v>6319200</v>
      </c>
      <c r="G1348" s="58" t="n">
        <f aca="false">G1251*1000*(G1267+G1270)+G1252*1000*(G1290+G1293)+G1253*1000*(G1313+G1316)+G1262*1000*Pressupostos!$C$90</f>
        <v>9651000</v>
      </c>
      <c r="H1348" s="2" t="s">
        <v>1202</v>
      </c>
    </row>
    <row r="1349" customFormat="false" ht="15" hidden="false" customHeight="false" outlineLevel="1" collapsed="false">
      <c r="A1349" s="7" t="s">
        <v>588</v>
      </c>
      <c r="B1349" s="8" t="s">
        <v>10</v>
      </c>
      <c r="C1349" s="58" t="n">
        <f aca="false">C1348*Pressupostos!$C$277</f>
        <v>0</v>
      </c>
      <c r="D1349" s="58" t="n">
        <f aca="false">D1348*Pressupostos!$D$277</f>
        <v>1461330</v>
      </c>
      <c r="E1349" s="58" t="n">
        <f aca="false">E1348*Pressupostos!$E$277</f>
        <v>3299220</v>
      </c>
      <c r="F1349" s="58" t="n">
        <f aca="false">F1348*Pressupostos!$F$277</f>
        <v>5687280</v>
      </c>
      <c r="G1349" s="58" t="n">
        <f aca="false">G1348*Pressupostos!$G$277</f>
        <v>8685900</v>
      </c>
      <c r="H1349" s="2" t="s">
        <v>1203</v>
      </c>
    </row>
    <row r="1350" customFormat="false" ht="15" hidden="false" customHeight="false" outlineLevel="0" collapsed="false">
      <c r="A1350" s="3" t="s">
        <v>1204</v>
      </c>
      <c r="B1350" s="4"/>
      <c r="C1350" s="4"/>
      <c r="D1350" s="4"/>
      <c r="E1350" s="4"/>
      <c r="F1350" s="4"/>
      <c r="G1350" s="4"/>
      <c r="H1350" s="4"/>
    </row>
    <row r="1351" customFormat="false" ht="15" hidden="false" customHeight="false" outlineLevel="1" collapsed="false">
      <c r="A1351" s="7" t="s">
        <v>590</v>
      </c>
      <c r="B1351" s="8" t="s">
        <v>10</v>
      </c>
      <c r="C1351" s="58" t="n">
        <f aca="false">C1251*1000*C1286</f>
        <v>2727.51452054796</v>
      </c>
      <c r="D1351" s="58" t="n">
        <f aca="false">D1251*1000*D1286</f>
        <v>5610.35054794528</v>
      </c>
      <c r="E1351" s="58" t="n">
        <f aca="false">E1251*1000*E1286</f>
        <v>46169.050650685</v>
      </c>
      <c r="F1351" s="58" t="n">
        <f aca="false">F1251*1000*F1286</f>
        <v>96209.0426712332</v>
      </c>
      <c r="G1351" s="58" t="n">
        <f aca="false">G1251*1000*G1286</f>
        <v>147736.732191781</v>
      </c>
      <c r="H1351" s="2" t="s">
        <v>1205</v>
      </c>
    </row>
    <row r="1352" customFormat="false" ht="15" hidden="false" customHeight="false" outlineLevel="1" collapsed="false">
      <c r="A1352" s="7" t="s">
        <v>591</v>
      </c>
      <c r="B1352" s="8" t="s">
        <v>10</v>
      </c>
      <c r="C1352" s="58" t="n">
        <f aca="false">C1252*1000*C1309</f>
        <v>5010.62739726033</v>
      </c>
      <c r="D1352" s="58" t="n">
        <f aca="false">D1252*1000*D1309</f>
        <v>18665.410273973</v>
      </c>
      <c r="E1352" s="58" t="n">
        <f aca="false">E1252*1000*E1309</f>
        <v>46051.8418664388</v>
      </c>
      <c r="F1352" s="58" t="n">
        <f aca="false">F1252*1000*F1309</f>
        <v>79304.9573630142</v>
      </c>
      <c r="G1352" s="58" t="n">
        <f aca="false">G1252*1000*G1309</f>
        <v>119996.511986302</v>
      </c>
      <c r="H1352" s="2" t="s">
        <v>1206</v>
      </c>
    </row>
    <row r="1353" customFormat="false" ht="15" hidden="false" customHeight="false" outlineLevel="1" collapsed="false">
      <c r="A1353" s="7" t="s">
        <v>592</v>
      </c>
      <c r="B1353" s="8" t="s">
        <v>10</v>
      </c>
      <c r="C1353" s="58" t="n">
        <f aca="false">C1253*1000*C1332</f>
        <v>0</v>
      </c>
      <c r="D1353" s="58" t="n">
        <f aca="false">D1253*1000*D1332</f>
        <v>0</v>
      </c>
      <c r="E1353" s="58" t="n">
        <f aca="false">E1253*1000*E1332</f>
        <v>0</v>
      </c>
      <c r="F1353" s="58" t="n">
        <f aca="false">F1253*1000*F1332</f>
        <v>0</v>
      </c>
      <c r="G1353" s="58" t="n">
        <f aca="false">G1253*1000*G1332</f>
        <v>0</v>
      </c>
      <c r="H1353" s="2" t="s">
        <v>1207</v>
      </c>
    </row>
    <row r="1354" customFormat="false" ht="15" hidden="false" customHeight="false" outlineLevel="1" collapsed="false">
      <c r="A1354" s="7" t="s">
        <v>593</v>
      </c>
      <c r="B1354" s="8" t="s">
        <v>10</v>
      </c>
      <c r="C1354" s="58" t="n">
        <f aca="false">C1351+C1352+C1353</f>
        <v>7738.14191780829</v>
      </c>
      <c r="D1354" s="58" t="n">
        <f aca="false">D1351+D1352+D1353</f>
        <v>24275.7608219183</v>
      </c>
      <c r="E1354" s="58" t="n">
        <f aca="false">E1351+E1352+E1353</f>
        <v>92220.8925171239</v>
      </c>
      <c r="F1354" s="58" t="n">
        <f aca="false">F1351+F1352+F1353</f>
        <v>175514.000034247</v>
      </c>
      <c r="G1354" s="58" t="n">
        <f aca="false">G1351+G1352+G1353</f>
        <v>267733.244178084</v>
      </c>
      <c r="H1354" s="2" t="s">
        <v>1208</v>
      </c>
    </row>
    <row r="1355" customFormat="false" ht="15" hidden="false" customHeight="false" outlineLevel="1" collapsed="false">
      <c r="A1355" s="7" t="s">
        <v>594</v>
      </c>
      <c r="B1355" s="8" t="s">
        <v>59</v>
      </c>
      <c r="C1355" s="60" t="n">
        <f aca="false">IF(C1254&gt;0,C1354/(C1254*1000),0)</f>
        <v>0.128969031963471</v>
      </c>
      <c r="D1355" s="60" t="n">
        <f aca="false">IF(D1254&gt;0,D1354/(D1254*1000),0)</f>
        <v>0.0606894020547957</v>
      </c>
      <c r="E1355" s="60" t="n">
        <f aca="false">IF(E1254&gt;0,E1354/(E1254*1000),0)</f>
        <v>0.108495167667205</v>
      </c>
      <c r="F1355" s="60" t="n">
        <f aca="false">IF(F1254&gt;0,F1354/(F1254*1000),0)</f>
        <v>0.121044137954653</v>
      </c>
      <c r="G1355" s="60" t="n">
        <f aca="false">IF(G1254&gt;0,G1354/(G1254*1000),0)</f>
        <v>0.121696929171856</v>
      </c>
      <c r="H1355" s="2" t="s">
        <v>1209</v>
      </c>
    </row>
    <row r="1356" customFormat="false" ht="15" hidden="false" customHeight="false" outlineLevel="1" collapsed="false">
      <c r="A1356" s="7" t="s">
        <v>595</v>
      </c>
      <c r="B1356" s="8" t="s">
        <v>71</v>
      </c>
      <c r="C1356" s="55" t="n">
        <f aca="false">IF(C1339&gt;0,C1354/C1339,0)</f>
        <v>0.0289948363227229</v>
      </c>
      <c r="D1356" s="55" t="n">
        <f aca="false">IF(D1339&gt;0,D1354/D1339,0)</f>
        <v>0.0137368885844054</v>
      </c>
      <c r="E1356" s="55" t="n">
        <f aca="false">IF(E1339&gt;0,E1354/E1339,0)</f>
        <v>0.0242989977003189</v>
      </c>
      <c r="F1356" s="55" t="n">
        <f aca="false">IF(F1339&gt;0,F1354/F1339,0)</f>
        <v>0.0269866054149182</v>
      </c>
      <c r="G1356" s="55" t="n">
        <f aca="false">IF(G1339&gt;0,G1354/G1339,0)</f>
        <v>0.0271222521922618</v>
      </c>
      <c r="H1356" s="2" t="s">
        <v>1210</v>
      </c>
    </row>
    <row r="1357" customFormat="false" ht="15" hidden="false" customHeight="false" outlineLevel="1" collapsed="false">
      <c r="A1357" s="2" t="s">
        <v>596</v>
      </c>
      <c r="B1357" s="8" t="s">
        <v>59</v>
      </c>
      <c r="C1357" s="60" t="n">
        <f aca="false">Pressupostos!$C$283*Pressupostos!$C$90*(Pressupostos!$C$93+Pressupostos!$C$94-Pressupostos!$C$95)/365*Pressupostos!$C$277/Pressupostos!$D$31</f>
        <v>0</v>
      </c>
      <c r="D1357" s="60" t="n">
        <f aca="false">Pressupostos!$D$283*Pressupostos!$C$90*(Pressupostos!$C$93+Pressupostos!$C$94-Pressupostos!$C$95)/365*Pressupostos!$D$277/Pressupostos!$D$31</f>
        <v>0.0776712328767123</v>
      </c>
      <c r="E1357" s="60" t="n">
        <f aca="false">Pressupostos!$E$283*Pressupostos!$C$90*(Pressupostos!$C$93+Pressupostos!$C$94-Pressupostos!$C$95)/365*Pressupostos!$E$277/Pressupostos!$D$31</f>
        <v>0.0728167808219178</v>
      </c>
      <c r="F1357" s="60" t="n">
        <f aca="false">Pressupostos!$F$283*Pressupostos!$C$90*(Pressupostos!$C$93+Pressupostos!$C$94-Pressupostos!$C$95)/365*Pressupostos!$F$277/Pressupostos!$D$31</f>
        <v>0.0679623287671233</v>
      </c>
      <c r="G1357" s="60" t="n">
        <f aca="false">Pressupostos!$G$283*Pressupostos!$C$90*(Pressupostos!$C$93+Pressupostos!$C$94-Pressupostos!$C$95)/365*Pressupostos!$G$277/Pressupostos!$D$31</f>
        <v>0.0679623287671233</v>
      </c>
      <c r="H1357" s="2" t="s">
        <v>1211</v>
      </c>
    </row>
    <row r="1358" customFormat="false" ht="15" hidden="false" customHeight="false" outlineLevel="1" collapsed="false">
      <c r="A1358" s="7" t="s">
        <v>567</v>
      </c>
      <c r="B1358" s="8" t="s">
        <v>10</v>
      </c>
      <c r="C1358" s="58" t="n">
        <f aca="false">C1262*1000*(Pressupostos!$C$91-Pressupostos!$C$90-Pressupostos!$C$92-C1357-Pressupostos!$C$96*Pressupostos!$C$91-Pressupostos!$C$97-Pressupostos!$D$29*Pressupostos!$C$90)</f>
        <v>0</v>
      </c>
      <c r="D1358" s="58" t="n">
        <f aca="false">D1262*1000*(Pressupostos!$C$91-Pressupostos!$C$90-Pressupostos!$C$92-D1357-Pressupostos!$C$96*Pressupostos!$C$91-Pressupostos!$C$97-Pressupostos!$D$29*Pressupostos!$C$90)</f>
        <v>0</v>
      </c>
      <c r="E1358" s="58" t="n">
        <f aca="false">E1262*1000*(Pressupostos!$C$91-Pressupostos!$C$90-Pressupostos!$C$92-E1357-Pressupostos!$C$96*Pressupostos!$C$91-Pressupostos!$C$97-Pressupostos!$D$29*Pressupostos!$C$90)</f>
        <v>16502.4965753425</v>
      </c>
      <c r="F1358" s="58" t="n">
        <f aca="false">F1262*1000*(Pressupostos!$C$91-Pressupostos!$C$90-Pressupostos!$C$92-F1357-Pressupostos!$C$96*Pressupostos!$C$91-Pressupostos!$C$97-Pressupostos!$D$29*Pressupostos!$C$90)</f>
        <v>33296.2602739726</v>
      </c>
      <c r="G1358" s="58" t="n">
        <f aca="false">G1262*1000*(Pressupostos!$C$91-Pressupostos!$C$90-Pressupostos!$C$92-G1357-Pressupostos!$C$96*Pressupostos!$C$91-Pressupostos!$C$97-Pressupostos!$D$29*Pressupostos!$C$90)</f>
        <v>55493.7671232876</v>
      </c>
      <c r="H1358" s="2" t="s">
        <v>1212</v>
      </c>
    </row>
    <row r="1359" customFormat="false" ht="15" hidden="false" customHeight="false" outlineLevel="1" collapsed="false">
      <c r="A1359" s="7" t="s">
        <v>597</v>
      </c>
      <c r="B1359" s="8" t="s">
        <v>10</v>
      </c>
      <c r="C1359" s="58" t="n">
        <f aca="false">C1342</f>
        <v>810</v>
      </c>
      <c r="D1359" s="58" t="n">
        <f aca="false">D1342</f>
        <v>3240</v>
      </c>
      <c r="E1359" s="58" t="n">
        <f aca="false">E1342</f>
        <v>5400</v>
      </c>
      <c r="F1359" s="58" t="n">
        <f aca="false">F1342</f>
        <v>7560</v>
      </c>
      <c r="G1359" s="58" t="n">
        <f aca="false">G1342</f>
        <v>9720</v>
      </c>
      <c r="H1359" s="2" t="s">
        <v>1213</v>
      </c>
    </row>
    <row r="1360" customFormat="false" ht="15" hidden="false" customHeight="false" outlineLevel="1" collapsed="false">
      <c r="A1360" s="7" t="s">
        <v>598</v>
      </c>
      <c r="B1360" s="8" t="s">
        <v>10</v>
      </c>
      <c r="C1360" s="58" t="n">
        <f aca="false">C1343-C1375</f>
        <v>0</v>
      </c>
      <c r="D1360" s="58" t="n">
        <f aca="false">D1343-D1375</f>
        <v>1771.42857142857</v>
      </c>
      <c r="E1360" s="58" t="n">
        <f aca="false">E1343-E1375</f>
        <v>5314.28571428572</v>
      </c>
      <c r="F1360" s="58" t="n">
        <f aca="false">F1343-F1375</f>
        <v>10628.5714285714</v>
      </c>
      <c r="G1360" s="58" t="n">
        <f aca="false">G1343-G1375</f>
        <v>17714.2857142857</v>
      </c>
      <c r="H1360" s="2" t="s">
        <v>1214</v>
      </c>
    </row>
    <row r="1361" customFormat="false" ht="15" hidden="false" customHeight="false" outlineLevel="1" collapsed="false">
      <c r="A1361" s="7" t="s">
        <v>583</v>
      </c>
      <c r="B1361" s="8" t="s">
        <v>10</v>
      </c>
      <c r="C1361" s="58" t="n">
        <f aca="false">C1344</f>
        <v>0</v>
      </c>
      <c r="D1361" s="58" t="n">
        <f aca="false">D1344</f>
        <v>0</v>
      </c>
      <c r="E1361" s="58" t="n">
        <f aca="false">E1344</f>
        <v>0</v>
      </c>
      <c r="F1361" s="58" t="n">
        <f aca="false">F1344</f>
        <v>10000</v>
      </c>
      <c r="G1361" s="58" t="n">
        <f aca="false">G1344</f>
        <v>30000</v>
      </c>
      <c r="H1361" s="2" t="s">
        <v>1215</v>
      </c>
    </row>
    <row r="1362" customFormat="false" ht="15" hidden="false" customHeight="false" outlineLevel="1" collapsed="false">
      <c r="A1362" s="52" t="s">
        <v>599</v>
      </c>
      <c r="B1362" s="53" t="s">
        <v>10</v>
      </c>
      <c r="C1362" s="59" t="n">
        <f aca="false">C1354+C1358+C1359+C1360+C1361</f>
        <v>8548.14191780829</v>
      </c>
      <c r="D1362" s="59" t="n">
        <f aca="false">D1354+D1358+D1359+D1360+D1361</f>
        <v>29287.1893933469</v>
      </c>
      <c r="E1362" s="59" t="n">
        <f aca="false">E1354+E1358+E1359+E1360+E1361</f>
        <v>119437.674806752</v>
      </c>
      <c r="F1362" s="59" t="n">
        <f aca="false">F1354+F1358+F1359+F1360+F1361</f>
        <v>236998.831736791</v>
      </c>
      <c r="G1362" s="59" t="n">
        <f aca="false">G1354+G1358+G1359+G1360+G1361</f>
        <v>380661.297015657</v>
      </c>
      <c r="H1362" s="2" t="s">
        <v>1216</v>
      </c>
    </row>
    <row r="1363" customFormat="false" ht="15" hidden="false" customHeight="false" outlineLevel="0" collapsed="false">
      <c r="A1363" s="3" t="s">
        <v>1217</v>
      </c>
      <c r="B1363" s="4"/>
      <c r="C1363" s="4"/>
      <c r="D1363" s="4"/>
      <c r="E1363" s="4"/>
      <c r="F1363" s="4"/>
      <c r="G1363" s="4"/>
      <c r="H1363" s="4"/>
    </row>
    <row r="1364" customFormat="false" ht="15" hidden="false" customHeight="false" outlineLevel="1" collapsed="false">
      <c r="A1364" s="7" t="s">
        <v>647</v>
      </c>
      <c r="B1364" s="8" t="s">
        <v>10</v>
      </c>
      <c r="C1364" s="58" t="n">
        <f aca="false">C1251*1000*(C1267+C1270)+C1252*1000*(C1290+C1293)+C1253*1000*(C1313+C1316)</f>
        <v>243800</v>
      </c>
      <c r="D1364" s="58" t="n">
        <f aca="false">D1251*1000*(D1267+D1270)+D1252*1000*(D1290+D1293)+D1253*1000*(D1313+D1316)</f>
        <v>1623700</v>
      </c>
      <c r="E1364" s="58" t="n">
        <f aca="false">E1251*1000*(E1267+E1270)+E1252*1000*(E1290+E1293)+E1253*1000*(E1313+E1316)</f>
        <v>3455800</v>
      </c>
      <c r="F1364" s="58" t="n">
        <f aca="false">F1251*1000*(F1267+F1270)+F1252*1000*(F1290+F1293)+F1253*1000*(F1313+F1316)</f>
        <v>5899200</v>
      </c>
      <c r="G1364" s="58" t="n">
        <f aca="false">G1251*1000*(G1267+G1270)+G1252*1000*(G1290+G1293)+G1253*1000*(G1313+G1316)</f>
        <v>8951000</v>
      </c>
      <c r="H1364" s="2" t="s">
        <v>1218</v>
      </c>
    </row>
    <row r="1365" customFormat="false" ht="15" hidden="false" customHeight="false" outlineLevel="1" collapsed="false">
      <c r="A1365" s="7" t="s">
        <v>648</v>
      </c>
      <c r="B1365" s="8" t="s">
        <v>10</v>
      </c>
      <c r="C1365" s="58" t="n">
        <f aca="false">C1262*1000*Pressupostos!$C$90</f>
        <v>0</v>
      </c>
      <c r="D1365" s="58" t="n">
        <f aca="false">D1262*1000*Pressupostos!$C$90</f>
        <v>0</v>
      </c>
      <c r="E1365" s="58" t="n">
        <f aca="false">E1262*1000*Pressupostos!$C$90</f>
        <v>210000</v>
      </c>
      <c r="F1365" s="58" t="n">
        <f aca="false">F1262*1000*Pressupostos!$C$90</f>
        <v>420000</v>
      </c>
      <c r="G1365" s="58" t="n">
        <f aca="false">G1262*1000*Pressupostos!$C$90</f>
        <v>700000</v>
      </c>
      <c r="H1365" s="2" t="s">
        <v>1219</v>
      </c>
    </row>
    <row r="1366" customFormat="false" ht="15" hidden="false" customHeight="false" outlineLevel="1" collapsed="false">
      <c r="A1366" s="7" t="s">
        <v>649</v>
      </c>
      <c r="B1366" s="8" t="s">
        <v>10</v>
      </c>
      <c r="C1366" s="58" t="n">
        <f aca="false">C1364+C1365</f>
        <v>243800</v>
      </c>
      <c r="D1366" s="58" t="n">
        <f aca="false">D1364+D1365</f>
        <v>1623700</v>
      </c>
      <c r="E1366" s="58" t="n">
        <f aca="false">E1364+E1365</f>
        <v>3665800</v>
      </c>
      <c r="F1366" s="58" t="n">
        <f aca="false">F1364+F1365</f>
        <v>6319200</v>
      </c>
      <c r="G1366" s="58" t="n">
        <f aca="false">G1364+G1365</f>
        <v>9651000</v>
      </c>
      <c r="H1366" s="2" t="s">
        <v>1220</v>
      </c>
    </row>
    <row r="1367" customFormat="false" ht="15" hidden="false" customHeight="false" outlineLevel="1" collapsed="false">
      <c r="A1367" s="7" t="s">
        <v>205</v>
      </c>
      <c r="B1367" s="8" t="s">
        <v>10</v>
      </c>
      <c r="C1367" s="58" t="n">
        <f aca="false">C1251*1000*(C1271)+C1252*1000*(C1294)+C1253*1000*(C1317)+C1262*1000*Pressupostos!$C$92</f>
        <v>7600</v>
      </c>
      <c r="D1367" s="58" t="n">
        <f aca="false">D1251*1000*(D1271)+D1252*1000*(D1294)+D1253*1000*(D1317)+D1262*1000*Pressupostos!$C$92</f>
        <v>47400</v>
      </c>
      <c r="E1367" s="58" t="n">
        <f aca="false">E1251*1000*(E1271)+E1252*1000*(E1294)+E1253*1000*(E1317)+E1262*1000*Pressupostos!$C$92</f>
        <v>106270</v>
      </c>
      <c r="F1367" s="58" t="n">
        <f aca="false">F1251*1000*(F1271)+F1252*1000*(F1294)+F1253*1000*(F1317)+F1262*1000*Pressupostos!$C$92</f>
        <v>187560</v>
      </c>
      <c r="G1367" s="58" t="n">
        <f aca="false">G1251*1000*(G1271)+G1252*1000*(G1294)+G1253*1000*(G1317)+G1262*1000*Pressupostos!$C$92</f>
        <v>286800</v>
      </c>
      <c r="H1367" s="2" t="s">
        <v>1221</v>
      </c>
    </row>
    <row r="1368" customFormat="false" ht="15" hidden="false" customHeight="false" outlineLevel="1" collapsed="false">
      <c r="A1368" s="7" t="s">
        <v>109</v>
      </c>
      <c r="B1368" s="8" t="s">
        <v>10</v>
      </c>
      <c r="C1368" s="58" t="n">
        <f aca="false">C1251*1000*(C1272)+C1252*1000*(C1295)+C1253*1000*(C1318)</f>
        <v>480</v>
      </c>
      <c r="D1368" s="58" t="n">
        <f aca="false">D1251*1000*(D1272)+D1252*1000*(D1295)+D1253*1000*(D1318)</f>
        <v>2220</v>
      </c>
      <c r="E1368" s="58" t="n">
        <f aca="false">E1251*1000*(E1272)+E1252*1000*(E1295)+E1253*1000*(E1318)</f>
        <v>7980</v>
      </c>
      <c r="F1368" s="58" t="n">
        <f aca="false">F1251*1000*(F1272)+F1252*1000*(F1295)+F1253*1000*(F1318)</f>
        <v>16020</v>
      </c>
      <c r="G1368" s="58" t="n">
        <f aca="false">G1251*1000*(G1272)+G1252*1000*(G1295)+G1253*1000*(G1318)</f>
        <v>24600</v>
      </c>
      <c r="H1368" s="2" t="s">
        <v>1222</v>
      </c>
    </row>
    <row r="1369" customFormat="false" ht="15" hidden="false" customHeight="false" outlineLevel="1" collapsed="false">
      <c r="A1369" s="7" t="s">
        <v>650</v>
      </c>
      <c r="B1369" s="8" t="s">
        <v>10</v>
      </c>
      <c r="C1369" s="58" t="n">
        <f aca="false">C1251*1000*(C1275+C1276)+C1252*1000*(C1298+C1299)+C1253*1000*(C1321+C1322)</f>
        <v>459.178082191781</v>
      </c>
      <c r="D1369" s="58" t="n">
        <f aca="false">D1251*1000*(D1275+D1276)+D1252*1000*(D1298+D1299)+D1253*1000*(D1321+D1322)</f>
        <v>2686.19178082192</v>
      </c>
      <c r="E1369" s="58" t="n">
        <f aca="false">E1251*1000*(E1275+E1276)+E1252*1000*(E1298+E1299)+E1253*1000*(E1321+E1322)</f>
        <v>4208.36712328767</v>
      </c>
      <c r="F1369" s="58" t="n">
        <f aca="false">F1251*1000*(F1275+F1276)+F1252*1000*(F1298+F1299)+F1253*1000*(F1321+F1322)</f>
        <v>7271.08493150685</v>
      </c>
      <c r="G1369" s="58" t="n">
        <f aca="false">G1251*1000*(G1275+G1276)+G1252*1000*(G1298+G1299)+G1253*1000*(G1321+G1322)</f>
        <v>11043.2328767123</v>
      </c>
      <c r="H1369" s="2" t="s">
        <v>1223</v>
      </c>
    </row>
    <row r="1370" customFormat="false" ht="15" hidden="false" customHeight="false" outlineLevel="1" collapsed="false">
      <c r="A1370" s="7" t="s">
        <v>651</v>
      </c>
      <c r="B1370" s="8" t="s">
        <v>10</v>
      </c>
      <c r="C1370" s="58" t="n">
        <f aca="false">C1251*1000*(C1277+C1278+C1279)+C1252*1000*(C1300+C1301+C1302)+C1253*1000*(C1323+C1324+C1325)</f>
        <v>2660</v>
      </c>
      <c r="D1370" s="58" t="n">
        <f aca="false">D1251*1000*(D1277+D1278+D1279)+D1252*1000*(D1300+D1301+D1302)+D1253*1000*(D1323+D1324+D1325)</f>
        <v>17325</v>
      </c>
      <c r="E1370" s="58" t="n">
        <f aca="false">E1251*1000*(E1277+E1278+E1279)+E1252*1000*(E1300+E1301+E1302)+E1253*1000*(E1323+E1324+E1325)</f>
        <v>36379.5</v>
      </c>
      <c r="F1370" s="58" t="n">
        <f aca="false">F1251*1000*(F1277+F1278+F1279)+F1252*1000*(F1300+F1301+F1302)+F1253*1000*(F1323+F1324+F1325)</f>
        <v>62520.5</v>
      </c>
      <c r="G1370" s="58" t="n">
        <f aca="false">G1251*1000*(G1277+G1278+G1279)+G1252*1000*(G1300+G1301+G1302)+G1253*1000*(G1323+G1324+G1325)</f>
        <v>94915</v>
      </c>
      <c r="H1370" s="2" t="s">
        <v>1224</v>
      </c>
    </row>
    <row r="1371" customFormat="false" ht="15" hidden="false" customHeight="false" outlineLevel="1" collapsed="false">
      <c r="A1371" s="7" t="s">
        <v>637</v>
      </c>
      <c r="B1371" s="8" t="s">
        <v>10</v>
      </c>
      <c r="C1371" s="58" t="n">
        <f aca="false">C1251*1000*(C1280)+C1252*1000*(C1303)+C1253*1000*(C1326)</f>
        <v>2880</v>
      </c>
      <c r="D1371" s="58" t="n">
        <f aca="false">D1251*1000*(D1280)+D1252*1000*(D1303)+D1253*1000*(D1326)</f>
        <v>18220</v>
      </c>
      <c r="E1371" s="58" t="n">
        <f aca="false">E1251*1000*(E1280)+E1252*1000*(E1303)+E1253*1000*(E1326)</f>
        <v>41980</v>
      </c>
      <c r="F1371" s="58" t="n">
        <f aca="false">F1251*1000*(F1280)+F1252*1000*(F1303)+F1253*1000*(F1326)</f>
        <v>74020</v>
      </c>
      <c r="G1371" s="58" t="n">
        <f aca="false">G1251*1000*(G1280)+G1252*1000*(G1303)+G1253*1000*(G1326)</f>
        <v>112600</v>
      </c>
      <c r="H1371" s="2" t="s">
        <v>1225</v>
      </c>
    </row>
    <row r="1372" customFormat="false" ht="15" hidden="false" customHeight="false" outlineLevel="1" collapsed="false">
      <c r="A1372" s="7" t="s">
        <v>652</v>
      </c>
      <c r="B1372" s="8" t="s">
        <v>10</v>
      </c>
      <c r="C1372" s="58" t="n">
        <f aca="false">C1251*1000*(C1281)+C1252*1000*(C1304)+C1253*1000*(C1327)+C1262*1000*Pressupostos!$C$97</f>
        <v>340</v>
      </c>
      <c r="D1372" s="58" t="n">
        <f aca="false">D1251*1000*(D1281)+D1252*1000*(D1304)+D1253*1000*(D1327)+D1262*1000*Pressupostos!$C$97</f>
        <v>2185</v>
      </c>
      <c r="E1372" s="58" t="n">
        <f aca="false">E1251*1000*(E1281)+E1252*1000*(E1304)+E1253*1000*(E1327)+E1262*1000*Pressupostos!$C$97</f>
        <v>5815</v>
      </c>
      <c r="F1372" s="58" t="n">
        <f aca="false">F1251*1000*(F1281)+F1252*1000*(F1304)+F1253*1000*(F1327)+F1262*1000*Pressupostos!$C$97</f>
        <v>10385</v>
      </c>
      <c r="G1372" s="58" t="n">
        <f aca="false">G1251*1000*(G1281)+G1252*1000*(G1304)+G1253*1000*(G1327)+G1262*1000*Pressupostos!$C$97</f>
        <v>16050</v>
      </c>
      <c r="H1372" s="2" t="s">
        <v>1226</v>
      </c>
    </row>
    <row r="1373" customFormat="false" ht="15" hidden="false" customHeight="false" outlineLevel="1" collapsed="false">
      <c r="A1373" s="7" t="s">
        <v>76</v>
      </c>
      <c r="B1373" s="8" t="s">
        <v>10</v>
      </c>
      <c r="C1373" s="58" t="n">
        <f aca="false">C1251*1000*(C1282)+C1252*1000*(C1305)+C1253*1000*(C1328)+C1262*1000*Pressupostos!$C$96*Pressupostos!$C$91</f>
        <v>922.68</v>
      </c>
      <c r="D1373" s="58" t="n">
        <f aca="false">D1251*1000*(D1282)+D1252*1000*(D1305)+D1253*1000*(D1328)+D1262*1000*Pressupostos!$C$96*Pressupostos!$C$91</f>
        <v>5866.02</v>
      </c>
      <c r="E1373" s="58" t="n">
        <f aca="false">E1251*1000*(E1282)+E1252*1000*(E1305)+E1253*1000*(E1328)+E1262*1000*Pressupostos!$C$96*Pressupostos!$C$91</f>
        <v>14827.68</v>
      </c>
      <c r="F1373" s="58" t="n">
        <f aca="false">F1251*1000*(F1282)+F1252*1000*(F1305)+F1253*1000*(F1328)+F1262*1000*Pressupostos!$C$96*Pressupostos!$C$91</f>
        <v>26410.32</v>
      </c>
      <c r="G1373" s="58" t="n">
        <f aca="false">G1251*1000*(G1282)+G1252*1000*(G1305)+G1253*1000*(G1328)+G1262*1000*Pressupostos!$C$96*Pressupostos!$C$91</f>
        <v>40578.6</v>
      </c>
      <c r="H1373" s="2" t="s">
        <v>1227</v>
      </c>
    </row>
    <row r="1374" customFormat="false" ht="15" hidden="false" customHeight="false" outlineLevel="1" collapsed="false">
      <c r="A1374" s="7" t="s">
        <v>653</v>
      </c>
      <c r="B1374" s="8" t="s">
        <v>10</v>
      </c>
      <c r="C1374" s="58" t="n">
        <f aca="false">C1251*1000*(C1283)+C1252*1000*(C1306)+C1253*1000*(C1329)+C1262*1000*Pressupostos!$D$29*Pressupostos!$C$90</f>
        <v>0</v>
      </c>
      <c r="D1374" s="58" t="n">
        <f aca="false">D1251*1000*(D1283)+D1252*1000*(D1306)+D1253*1000*(D1329)+D1262*1000*Pressupostos!$D$29*Pressupostos!$C$90</f>
        <v>0</v>
      </c>
      <c r="E1374" s="58" t="n">
        <f aca="false">E1251*1000*(E1283)+E1252*1000*(E1306)+E1253*1000*(E1329)+E1262*1000*Pressupostos!$D$29*Pressupostos!$C$90</f>
        <v>0</v>
      </c>
      <c r="F1374" s="58" t="n">
        <f aca="false">F1251*1000*(F1283)+F1252*1000*(F1306)+F1253*1000*(F1329)+F1262*1000*Pressupostos!$D$29*Pressupostos!$C$90</f>
        <v>0</v>
      </c>
      <c r="G1374" s="58" t="n">
        <f aca="false">G1251*1000*(G1283)+G1252*1000*(G1306)+G1253*1000*(G1329)+G1262*1000*Pressupostos!$D$29*Pressupostos!$C$90</f>
        <v>0</v>
      </c>
      <c r="H1374" s="2" t="s">
        <v>1228</v>
      </c>
    </row>
    <row r="1375" customFormat="false" ht="15" hidden="false" customHeight="false" outlineLevel="1" collapsed="false">
      <c r="A1375" s="7" t="s">
        <v>654</v>
      </c>
      <c r="B1375" s="8" t="s">
        <v>10</v>
      </c>
      <c r="C1375" s="58" t="n">
        <f aca="false">C1265*1000*Pressupostos!$C$102*Pressupostos!$D$30</f>
        <v>0</v>
      </c>
      <c r="D1375" s="58" t="n">
        <f aca="false">D1265*1000*Pressupostos!$C$102*Pressupostos!$D$30</f>
        <v>8228.57142857143</v>
      </c>
      <c r="E1375" s="58" t="n">
        <f aca="false">E1265*1000*Pressupostos!$C$102*Pressupostos!$D$30</f>
        <v>24685.7142857143</v>
      </c>
      <c r="F1375" s="58" t="n">
        <f aca="false">F1265*1000*Pressupostos!$C$102*Pressupostos!$D$30</f>
        <v>49371.4285714286</v>
      </c>
      <c r="G1375" s="58" t="n">
        <f aca="false">G1265*1000*Pressupostos!$C$102*Pressupostos!$D$30</f>
        <v>82285.7142857143</v>
      </c>
      <c r="H1375" s="2" t="s">
        <v>1229</v>
      </c>
    </row>
    <row r="1376" customFormat="false" ht="15" hidden="false" customHeight="false" outlineLevel="1" collapsed="false">
      <c r="A1376" s="7" t="s">
        <v>655</v>
      </c>
      <c r="B1376" s="8" t="s">
        <v>10</v>
      </c>
      <c r="C1376" s="58" t="n">
        <f aca="false">C1367+C1368+C1369+C1370+C1371+C1372+C1373+C1374+C1375</f>
        <v>15341.8580821918</v>
      </c>
      <c r="D1376" s="58" t="n">
        <f aca="false">D1367+D1368+D1369+D1370+D1371+D1372+D1373+D1374+D1375</f>
        <v>104130.783209393</v>
      </c>
      <c r="E1376" s="58" t="n">
        <f aca="false">E1367+E1368+E1369+E1370+E1371+E1372+E1373+E1374+E1375</f>
        <v>242146.261409002</v>
      </c>
      <c r="F1376" s="58" t="n">
        <f aca="false">F1367+F1368+F1369+F1370+F1371+F1372+F1373+F1374+F1375</f>
        <v>433558.333502936</v>
      </c>
      <c r="G1376" s="58" t="n">
        <f aca="false">G1367+G1368+G1369+G1370+G1371+G1372+G1373+G1374+G1375</f>
        <v>668872.547162427</v>
      </c>
      <c r="H1376" s="2" t="s">
        <v>1230</v>
      </c>
    </row>
    <row r="1377" customFormat="false" ht="15" hidden="false" customHeight="false" outlineLevel="1" collapsed="false">
      <c r="A1377" s="7" t="s">
        <v>656</v>
      </c>
      <c r="B1377" s="8" t="s">
        <v>10</v>
      </c>
      <c r="C1377" s="58" t="n">
        <f aca="false">C1251*1000*(C1284)+C1252*1000*(C1307)+C1253*1000*(C1330)</f>
        <v>0</v>
      </c>
      <c r="D1377" s="58" t="n">
        <f aca="false">D1251*1000*(D1284)+D1252*1000*(D1307)+D1253*1000*(D1330)</f>
        <v>23317.0273972603</v>
      </c>
      <c r="E1377" s="58" t="n">
        <f aca="false">E1251*1000*(E1284)+E1252*1000*(E1307)+E1253*1000*(E1330)</f>
        <v>36586.560359589</v>
      </c>
      <c r="F1377" s="58" t="n">
        <f aca="false">F1251*1000*(F1284)+F1252*1000*(F1307)+F1253*1000*(F1330)</f>
        <v>58470.0950342466</v>
      </c>
      <c r="G1377" s="58" t="n">
        <f aca="false">G1251*1000*(G1284)+G1252*1000*(G1307)+G1253*1000*(G1330)</f>
        <v>88739.9229452055</v>
      </c>
      <c r="H1377" s="2" t="s">
        <v>1231</v>
      </c>
    </row>
    <row r="1378" customFormat="false" ht="15" hidden="false" customHeight="false" outlineLevel="1" collapsed="false">
      <c r="A1378" s="7" t="s">
        <v>657</v>
      </c>
      <c r="B1378" s="8" t="s">
        <v>10</v>
      </c>
      <c r="C1378" s="58" t="n">
        <f aca="false">C1262*1000*C1357</f>
        <v>0</v>
      </c>
      <c r="D1378" s="58" t="n">
        <f aca="false">D1262*1000*D1357</f>
        <v>0</v>
      </c>
      <c r="E1378" s="58" t="n">
        <f aca="false">E1262*1000*E1357</f>
        <v>2184.50342465753</v>
      </c>
      <c r="F1378" s="58" t="n">
        <f aca="false">F1262*1000*F1357</f>
        <v>4077.7397260274</v>
      </c>
      <c r="G1378" s="58" t="n">
        <f aca="false">G1262*1000*G1357</f>
        <v>6796.23287671233</v>
      </c>
      <c r="H1378" s="2" t="s">
        <v>1232</v>
      </c>
    </row>
    <row r="1379" customFormat="false" ht="15" hidden="false" customHeight="false" outlineLevel="1" collapsed="false">
      <c r="A1379" s="7" t="s">
        <v>658</v>
      </c>
      <c r="B1379" s="8" t="s">
        <v>10</v>
      </c>
      <c r="C1379" s="58" t="n">
        <f aca="false">C1377+C1378</f>
        <v>0</v>
      </c>
      <c r="D1379" s="58" t="n">
        <f aca="false">D1377+D1378</f>
        <v>23317.0273972603</v>
      </c>
      <c r="E1379" s="58" t="n">
        <f aca="false">E1377+E1378</f>
        <v>38771.0637842466</v>
      </c>
      <c r="F1379" s="58" t="n">
        <f aca="false">F1377+F1378</f>
        <v>62547.834760274</v>
      </c>
      <c r="G1379" s="58" t="n">
        <f aca="false">G1377+G1378</f>
        <v>95536.1558219178</v>
      </c>
      <c r="H1379" s="2" t="s">
        <v>1233</v>
      </c>
    </row>
    <row r="1380" customFormat="false" ht="15" hidden="false" customHeight="false" outlineLevel="1" collapsed="false">
      <c r="A1380" s="8" t="s">
        <v>659</v>
      </c>
      <c r="B1380" s="8" t="s">
        <v>10</v>
      </c>
      <c r="C1380" s="66" t="n">
        <f aca="false">ROUND(C1345-C1366-C1376-C1379-C1362,6)</f>
        <v>-0</v>
      </c>
      <c r="D1380" s="66" t="n">
        <f aca="false">ROUND(D1345-D1366-D1376-D1379-D1362,6)</f>
        <v>-0</v>
      </c>
      <c r="E1380" s="66" t="n">
        <f aca="false">ROUND(E1345-E1366-E1376-E1379-E1362,6)</f>
        <v>-0</v>
      </c>
      <c r="F1380" s="66" t="n">
        <f aca="false">ROUND(F1345-F1366-F1376-F1379-F1362,6)</f>
        <v>-0</v>
      </c>
      <c r="G1380" s="66" t="n">
        <f aca="false">ROUND(G1345-G1366-G1376-G1379-G1362,6)</f>
        <v>0</v>
      </c>
      <c r="H1380" s="2" t="s">
        <v>1234</v>
      </c>
    </row>
    <row r="1381" customFormat="false" ht="15" hidden="false" customHeight="false" outlineLevel="0" collapsed="false">
      <c r="A1381" s="3" t="s">
        <v>1235</v>
      </c>
      <c r="B1381" s="4"/>
      <c r="C1381" s="4"/>
      <c r="D1381" s="4"/>
      <c r="E1381" s="4"/>
      <c r="F1381" s="4"/>
      <c r="G1381" s="4"/>
      <c r="H1381" s="4"/>
    </row>
    <row r="1382" customFormat="false" ht="15" hidden="false" customHeight="false" outlineLevel="1" collapsed="false">
      <c r="A1382" s="7" t="s">
        <v>602</v>
      </c>
      <c r="B1382" s="8" t="s">
        <v>413</v>
      </c>
      <c r="C1382" s="61" t="n">
        <f aca="false">Pressupostos!$C$315</f>
        <v>1</v>
      </c>
      <c r="D1382" s="61" t="n">
        <f aca="false">Pressupostos!$D$315</f>
        <v>1</v>
      </c>
      <c r="E1382" s="61" t="n">
        <f aca="false">Pressupostos!$E$315</f>
        <v>1</v>
      </c>
      <c r="F1382" s="61" t="n">
        <f aca="false">Pressupostos!$F$315</f>
        <v>1</v>
      </c>
      <c r="G1382" s="61" t="n">
        <f aca="false">Pressupostos!$G$315</f>
        <v>1</v>
      </c>
      <c r="H1382" s="2" t="s">
        <v>1236</v>
      </c>
    </row>
    <row r="1383" customFormat="false" ht="15" hidden="false" customHeight="false" outlineLevel="1" collapsed="false">
      <c r="A1383" s="7" t="s">
        <v>603</v>
      </c>
      <c r="B1383" s="8" t="s">
        <v>413</v>
      </c>
      <c r="C1383" s="61" t="n">
        <f aca="false">Pressupostos!$C$321</f>
        <v>1</v>
      </c>
      <c r="D1383" s="61" t="n">
        <f aca="false">Pressupostos!$D$321</f>
        <v>1</v>
      </c>
      <c r="E1383" s="61" t="n">
        <f aca="false">Pressupostos!$E$321</f>
        <v>1</v>
      </c>
      <c r="F1383" s="61" t="n">
        <f aca="false">Pressupostos!$F$321</f>
        <v>1</v>
      </c>
      <c r="G1383" s="61" t="n">
        <f aca="false">Pressupostos!$G$321</f>
        <v>1</v>
      </c>
      <c r="H1383" s="2" t="s">
        <v>1237</v>
      </c>
    </row>
    <row r="1384" customFormat="false" ht="15" hidden="false" customHeight="false" outlineLevel="1" collapsed="false">
      <c r="A1384" s="7" t="s">
        <v>604</v>
      </c>
      <c r="B1384" s="8" t="s">
        <v>413</v>
      </c>
      <c r="C1384" s="61" t="n">
        <f aca="false">Pressupostos!$C$327</f>
        <v>1</v>
      </c>
      <c r="D1384" s="61" t="n">
        <f aca="false">Pressupostos!$D$327</f>
        <v>1</v>
      </c>
      <c r="E1384" s="61" t="n">
        <f aca="false">Pressupostos!$E$327</f>
        <v>2</v>
      </c>
      <c r="F1384" s="61" t="n">
        <f aca="false">Pressupostos!$F$327</f>
        <v>2</v>
      </c>
      <c r="G1384" s="61" t="n">
        <f aca="false">Pressupostos!$G$327</f>
        <v>2</v>
      </c>
      <c r="H1384" s="2" t="s">
        <v>1238</v>
      </c>
    </row>
    <row r="1385" customFormat="false" ht="15" hidden="false" customHeight="false" outlineLevel="1" collapsed="false">
      <c r="A1385" s="7" t="s">
        <v>605</v>
      </c>
      <c r="B1385" s="8" t="s">
        <v>413</v>
      </c>
      <c r="C1385" s="61" t="n">
        <f aca="false">Pressupostos!$C$333</f>
        <v>1</v>
      </c>
      <c r="D1385" s="61" t="n">
        <f aca="false">Pressupostos!$D$333</f>
        <v>1</v>
      </c>
      <c r="E1385" s="61" t="n">
        <f aca="false">Pressupostos!$E$333</f>
        <v>1</v>
      </c>
      <c r="F1385" s="61" t="n">
        <f aca="false">Pressupostos!$F$333</f>
        <v>1</v>
      </c>
      <c r="G1385" s="61" t="n">
        <f aca="false">Pressupostos!$G$333</f>
        <v>1</v>
      </c>
      <c r="H1385" s="2" t="s">
        <v>1239</v>
      </c>
    </row>
    <row r="1386" customFormat="false" ht="15" hidden="false" customHeight="false" outlineLevel="1" collapsed="false">
      <c r="A1386" s="7" t="s">
        <v>606</v>
      </c>
      <c r="B1386" s="8" t="s">
        <v>413</v>
      </c>
      <c r="C1386" s="61" t="n">
        <f aca="false">Pressupostos!$C$339</f>
        <v>0.5</v>
      </c>
      <c r="D1386" s="61" t="n">
        <f aca="false">Pressupostos!$D$339</f>
        <v>1</v>
      </c>
      <c r="E1386" s="61" t="n">
        <f aca="false">Pressupostos!$E$339</f>
        <v>1</v>
      </c>
      <c r="F1386" s="61" t="n">
        <f aca="false">Pressupostos!$F$339</f>
        <v>1</v>
      </c>
      <c r="G1386" s="61" t="n">
        <f aca="false">Pressupostos!$G$339</f>
        <v>1</v>
      </c>
      <c r="H1386" s="2" t="s">
        <v>1240</v>
      </c>
    </row>
    <row r="1387" customFormat="false" ht="15" hidden="false" customHeight="false" outlineLevel="1" collapsed="false">
      <c r="A1387" s="7" t="s">
        <v>607</v>
      </c>
      <c r="B1387" s="8" t="s">
        <v>413</v>
      </c>
      <c r="C1387" s="61" t="n">
        <f aca="false">Pressupostos!$C$345</f>
        <v>1</v>
      </c>
      <c r="D1387" s="61" t="n">
        <f aca="false">Pressupostos!$D$345</f>
        <v>1</v>
      </c>
      <c r="E1387" s="61" t="n">
        <f aca="false">Pressupostos!$E$345</f>
        <v>1</v>
      </c>
      <c r="F1387" s="61" t="n">
        <f aca="false">Pressupostos!$F$345</f>
        <v>2</v>
      </c>
      <c r="G1387" s="61" t="n">
        <f aca="false">Pressupostos!$G$345</f>
        <v>2</v>
      </c>
      <c r="H1387" s="2" t="s">
        <v>1241</v>
      </c>
    </row>
    <row r="1388" customFormat="false" ht="15" hidden="false" customHeight="false" outlineLevel="1" collapsed="false">
      <c r="A1388" s="7" t="s">
        <v>608</v>
      </c>
      <c r="B1388" s="8" t="s">
        <v>413</v>
      </c>
      <c r="C1388" s="61" t="n">
        <f aca="false">Pressupostos!$C$351</f>
        <v>0.5</v>
      </c>
      <c r="D1388" s="61" t="n">
        <f aca="false">Pressupostos!$D$351</f>
        <v>1</v>
      </c>
      <c r="E1388" s="61" t="n">
        <f aca="false">Pressupostos!$E$351</f>
        <v>1</v>
      </c>
      <c r="F1388" s="61" t="n">
        <f aca="false">Pressupostos!$F$351</f>
        <v>1</v>
      </c>
      <c r="G1388" s="61" t="n">
        <f aca="false">Pressupostos!$G$351</f>
        <v>1</v>
      </c>
      <c r="H1388" s="2" t="s">
        <v>1242</v>
      </c>
    </row>
    <row r="1389" customFormat="false" ht="15" hidden="false" customHeight="false" outlineLevel="1" collapsed="false">
      <c r="A1389" s="7" t="s">
        <v>609</v>
      </c>
      <c r="B1389" s="8" t="s">
        <v>413</v>
      </c>
      <c r="C1389" s="61" t="n">
        <f aca="false">Pressupostos!$C$357</f>
        <v>1</v>
      </c>
      <c r="D1389" s="61" t="n">
        <f aca="false">Pressupostos!$D$357</f>
        <v>1</v>
      </c>
      <c r="E1389" s="61" t="n">
        <f aca="false">Pressupostos!$E$357</f>
        <v>2</v>
      </c>
      <c r="F1389" s="61" t="n">
        <f aca="false">Pressupostos!$F$357</f>
        <v>3</v>
      </c>
      <c r="G1389" s="61" t="n">
        <f aca="false">Pressupostos!$G$357</f>
        <v>5</v>
      </c>
      <c r="H1389" s="2" t="s">
        <v>1243</v>
      </c>
    </row>
    <row r="1390" customFormat="false" ht="15" hidden="false" customHeight="false" outlineLevel="1" collapsed="false">
      <c r="A1390" s="7" t="s">
        <v>610</v>
      </c>
      <c r="B1390" s="8" t="s">
        <v>413</v>
      </c>
      <c r="C1390" s="61" t="n">
        <f aca="false">Pressupostos!$C$363</f>
        <v>0</v>
      </c>
      <c r="D1390" s="61" t="n">
        <f aca="false">Pressupostos!$D$363</f>
        <v>0</v>
      </c>
      <c r="E1390" s="61" t="n">
        <f aca="false">Pressupostos!$E$363</f>
        <v>0</v>
      </c>
      <c r="F1390" s="61" t="n">
        <f aca="false">Pressupostos!$F$363</f>
        <v>1</v>
      </c>
      <c r="G1390" s="61" t="n">
        <f aca="false">Pressupostos!$G$363</f>
        <v>1</v>
      </c>
      <c r="H1390" s="2" t="s">
        <v>1244</v>
      </c>
    </row>
    <row r="1391" customFormat="false" ht="15" hidden="false" customHeight="false" outlineLevel="1" collapsed="false">
      <c r="A1391" s="7" t="s">
        <v>611</v>
      </c>
      <c r="B1391" s="8" t="s">
        <v>413</v>
      </c>
      <c r="C1391" s="61" t="n">
        <f aca="false">Pressupostos!$C$369</f>
        <v>0</v>
      </c>
      <c r="D1391" s="61" t="n">
        <f aca="false">Pressupostos!$D$369</f>
        <v>0</v>
      </c>
      <c r="E1391" s="61" t="n">
        <f aca="false">Pressupostos!$E$369</f>
        <v>0</v>
      </c>
      <c r="F1391" s="61" t="n">
        <f aca="false">Pressupostos!$F$369</f>
        <v>0</v>
      </c>
      <c r="G1391" s="61" t="n">
        <f aca="false">Pressupostos!$G$369</f>
        <v>1</v>
      </c>
      <c r="H1391" s="2" t="s">
        <v>1245</v>
      </c>
    </row>
    <row r="1392" customFormat="false" ht="15" hidden="false" customHeight="false" outlineLevel="1" collapsed="false">
      <c r="A1392" s="7" t="s">
        <v>612</v>
      </c>
      <c r="B1392" s="8" t="s">
        <v>413</v>
      </c>
      <c r="C1392" s="61" t="n">
        <f aca="false">Pressupostos!$C$375</f>
        <v>0</v>
      </c>
      <c r="D1392" s="61" t="n">
        <f aca="false">Pressupostos!$D$375</f>
        <v>0</v>
      </c>
      <c r="E1392" s="61" t="n">
        <f aca="false">Pressupostos!$E$375</f>
        <v>1</v>
      </c>
      <c r="F1392" s="61" t="n">
        <f aca="false">Pressupostos!$F$375</f>
        <v>1</v>
      </c>
      <c r="G1392" s="61" t="n">
        <f aca="false">Pressupostos!$G$375</f>
        <v>1</v>
      </c>
      <c r="H1392" s="2" t="s">
        <v>1246</v>
      </c>
    </row>
    <row r="1393" customFormat="false" ht="15" hidden="false" customHeight="false" outlineLevel="1" collapsed="false">
      <c r="A1393" s="7" t="s">
        <v>613</v>
      </c>
      <c r="B1393" s="8" t="s">
        <v>413</v>
      </c>
      <c r="C1393" s="61" t="n">
        <f aca="false">Pressupostos!$C$381</f>
        <v>0</v>
      </c>
      <c r="D1393" s="61" t="n">
        <f aca="false">Pressupostos!$D$381</f>
        <v>0</v>
      </c>
      <c r="E1393" s="61" t="n">
        <f aca="false">Pressupostos!$E$381</f>
        <v>0</v>
      </c>
      <c r="F1393" s="61" t="n">
        <f aca="false">Pressupostos!$F$381</f>
        <v>0</v>
      </c>
      <c r="G1393" s="61" t="n">
        <f aca="false">Pressupostos!$G$381</f>
        <v>0</v>
      </c>
      <c r="H1393" s="2" t="s">
        <v>1247</v>
      </c>
    </row>
    <row r="1394" customFormat="false" ht="15" hidden="false" customHeight="false" outlineLevel="1" collapsed="false">
      <c r="A1394" s="52" t="s">
        <v>614</v>
      </c>
      <c r="B1394" s="53" t="s">
        <v>413</v>
      </c>
      <c r="C1394" s="62" t="n">
        <f aca="false">C1382+C1383+C1384+C1385+C1386+C1387+C1388+C1389+C1390+C1391+C1392+C1393</f>
        <v>7</v>
      </c>
      <c r="D1394" s="62" t="n">
        <f aca="false">D1382+D1383+D1384+D1385+D1386+D1387+D1388+D1389+D1390+D1391+D1392+D1393</f>
        <v>8</v>
      </c>
      <c r="E1394" s="62" t="n">
        <f aca="false">E1382+E1383+E1384+E1385+E1386+E1387+E1388+E1389+E1390+E1391+E1392+E1393</f>
        <v>11</v>
      </c>
      <c r="F1394" s="62" t="n">
        <f aca="false">F1382+F1383+F1384+F1385+F1386+F1387+F1388+F1389+F1390+F1391+F1392+F1393</f>
        <v>14</v>
      </c>
      <c r="G1394" s="62" t="n">
        <f aca="false">G1382+G1383+G1384+G1385+G1386+G1387+G1388+G1389+G1390+G1391+G1392+G1393</f>
        <v>17</v>
      </c>
      <c r="H1394" s="2" t="s">
        <v>1248</v>
      </c>
    </row>
    <row r="1395" customFormat="false" ht="15" hidden="false" customHeight="false" outlineLevel="0" collapsed="false">
      <c r="A1395" s="3" t="s">
        <v>1249</v>
      </c>
      <c r="B1395" s="4"/>
      <c r="C1395" s="4"/>
      <c r="D1395" s="4"/>
      <c r="E1395" s="4"/>
      <c r="F1395" s="4"/>
      <c r="G1395" s="4"/>
      <c r="H1395" s="4"/>
    </row>
    <row r="1396" customFormat="false" ht="15" hidden="false" customHeight="false" outlineLevel="1" collapsed="false">
      <c r="A1396" s="7" t="s">
        <v>602</v>
      </c>
      <c r="B1396" s="8" t="s">
        <v>10</v>
      </c>
      <c r="C1396" s="58" t="n">
        <f aca="false">C1382*Pressupostos!$C$129*(1+Pressupostos!$C$125)^0*(1+Pressupostos!$C$130)*Pressupostos!$C$126</f>
        <v>43998</v>
      </c>
      <c r="D1396" s="58" t="n">
        <f aca="false">D1382*Pressupostos!$C$129*(1+Pressupostos!$C$125)^1*(1+Pressupostos!$C$130)</f>
        <v>61800</v>
      </c>
      <c r="E1396" s="58" t="n">
        <f aca="false">E1382*Pressupostos!$C$129*(1+Pressupostos!$C$125)^2*(1+Pressupostos!$C$130)</f>
        <v>63654</v>
      </c>
      <c r="F1396" s="58" t="n">
        <f aca="false">F1382*Pressupostos!$C$129*(1+Pressupostos!$C$125)^3*(1+Pressupostos!$C$130)</f>
        <v>65563.62</v>
      </c>
      <c r="G1396" s="58" t="n">
        <f aca="false">G1382*Pressupostos!$C$129*(1+Pressupostos!$C$125)^4*(1+Pressupostos!$C$130)</f>
        <v>67530.5286</v>
      </c>
      <c r="H1396" s="2" t="s">
        <v>1250</v>
      </c>
    </row>
    <row r="1397" customFormat="false" ht="15" hidden="false" customHeight="false" outlineLevel="1" collapsed="false">
      <c r="A1397" s="7" t="s">
        <v>603</v>
      </c>
      <c r="B1397" s="8" t="s">
        <v>10</v>
      </c>
      <c r="C1397" s="58" t="n">
        <f aca="false">C1383*Pressupostos!$C$131*(1+Pressupostos!$C$125)^0*(1+Pressupostos!$C$132)*Pressupostos!$C$126</f>
        <v>47664.5</v>
      </c>
      <c r="D1397" s="58" t="n">
        <f aca="false">D1383*Pressupostos!$C$131*(1+Pressupostos!$C$125)^1*(1+Pressupostos!$C$132)</f>
        <v>66950</v>
      </c>
      <c r="E1397" s="58" t="n">
        <f aca="false">E1383*Pressupostos!$C$131*(1+Pressupostos!$C$125)^2*(1+Pressupostos!$C$132)</f>
        <v>68958.5</v>
      </c>
      <c r="F1397" s="58" t="n">
        <f aca="false">F1383*Pressupostos!$C$131*(1+Pressupostos!$C$125)^3*(1+Pressupostos!$C$132)</f>
        <v>71027.255</v>
      </c>
      <c r="G1397" s="58" t="n">
        <f aca="false">G1383*Pressupostos!$C$131*(1+Pressupostos!$C$125)^4*(1+Pressupostos!$C$132)</f>
        <v>73158.07265</v>
      </c>
      <c r="H1397" s="2" t="s">
        <v>1251</v>
      </c>
    </row>
    <row r="1398" customFormat="false" ht="15" hidden="false" customHeight="false" outlineLevel="1" collapsed="false">
      <c r="A1398" s="7" t="s">
        <v>604</v>
      </c>
      <c r="B1398" s="8" t="s">
        <v>10</v>
      </c>
      <c r="C1398" s="58" t="n">
        <f aca="false">C1384*Pressupostos!$C$133*(1+Pressupostos!$C$125)^0*(1+Pressupostos!$C$134)</f>
        <v>45000</v>
      </c>
      <c r="D1398" s="58" t="n">
        <f aca="false">D1384*Pressupostos!$C$133*(1+Pressupostos!$C$125)^1*(1+Pressupostos!$C$134)</f>
        <v>46350</v>
      </c>
      <c r="E1398" s="58" t="n">
        <f aca="false">E1384*Pressupostos!$C$133*(1+Pressupostos!$C$125)^2*(1+Pressupostos!$C$134)</f>
        <v>95481</v>
      </c>
      <c r="F1398" s="58" t="n">
        <f aca="false">F1384*Pressupostos!$C$133*(1+Pressupostos!$C$125)^3*(1+Pressupostos!$C$134)</f>
        <v>98345.43</v>
      </c>
      <c r="G1398" s="58" t="n">
        <f aca="false">G1384*Pressupostos!$C$133*(1+Pressupostos!$C$125)^4*(1+Pressupostos!$C$134)</f>
        <v>101295.7929</v>
      </c>
      <c r="H1398" s="2" t="s">
        <v>1252</v>
      </c>
    </row>
    <row r="1399" customFormat="false" ht="15" hidden="false" customHeight="false" outlineLevel="1" collapsed="false">
      <c r="A1399" s="7" t="s">
        <v>605</v>
      </c>
      <c r="B1399" s="8" t="s">
        <v>10</v>
      </c>
      <c r="C1399" s="58" t="n">
        <f aca="false">C1385*Pressupostos!$C$135*(1+Pressupostos!$C$125)^0*(1+Pressupostos!$C$136)</f>
        <v>60000</v>
      </c>
      <c r="D1399" s="58" t="n">
        <f aca="false">D1385*Pressupostos!$C$135*(1+Pressupostos!$C$125)^1*(1+Pressupostos!$C$136)</f>
        <v>61800</v>
      </c>
      <c r="E1399" s="58" t="n">
        <f aca="false">E1385*Pressupostos!$C$135*(1+Pressupostos!$C$125)^2*(1+Pressupostos!$C$136)</f>
        <v>63654</v>
      </c>
      <c r="F1399" s="58" t="n">
        <f aca="false">F1385*Pressupostos!$C$135*(1+Pressupostos!$C$125)^3*(1+Pressupostos!$C$136)</f>
        <v>65563.62</v>
      </c>
      <c r="G1399" s="58" t="n">
        <f aca="false">G1385*Pressupostos!$C$135*(1+Pressupostos!$C$125)^4*(1+Pressupostos!$C$136)</f>
        <v>67530.5286</v>
      </c>
      <c r="H1399" s="2" t="s">
        <v>1253</v>
      </c>
    </row>
    <row r="1400" customFormat="false" ht="15" hidden="false" customHeight="false" outlineLevel="1" collapsed="false">
      <c r="A1400" s="7" t="s">
        <v>606</v>
      </c>
      <c r="B1400" s="8" t="s">
        <v>10</v>
      </c>
      <c r="C1400" s="58" t="n">
        <f aca="false">C1386*Pressupostos!$C$137*(1+Pressupostos!$C$125)^0*(1+Pressupostos!$C$138)</f>
        <v>22500</v>
      </c>
      <c r="D1400" s="58" t="n">
        <f aca="false">D1386*Pressupostos!$C$137*(1+Pressupostos!$C$125)^1*(1+Pressupostos!$C$138)</f>
        <v>46350</v>
      </c>
      <c r="E1400" s="58" t="n">
        <f aca="false">E1386*Pressupostos!$C$137*(1+Pressupostos!$C$125)^2*(1+Pressupostos!$C$138)</f>
        <v>47740.5</v>
      </c>
      <c r="F1400" s="58" t="n">
        <f aca="false">F1386*Pressupostos!$C$137*(1+Pressupostos!$C$125)^3*(1+Pressupostos!$C$138)</f>
        <v>49172.715</v>
      </c>
      <c r="G1400" s="58" t="n">
        <f aca="false">G1386*Pressupostos!$C$137*(1+Pressupostos!$C$125)^4*(1+Pressupostos!$C$138)</f>
        <v>50647.89645</v>
      </c>
      <c r="H1400" s="2" t="s">
        <v>1254</v>
      </c>
    </row>
    <row r="1401" customFormat="false" ht="15" hidden="false" customHeight="false" outlineLevel="1" collapsed="false">
      <c r="A1401" s="7" t="s">
        <v>607</v>
      </c>
      <c r="B1401" s="8" t="s">
        <v>10</v>
      </c>
      <c r="C1401" s="58" t="n">
        <f aca="false">C1387*Pressupostos!$C$139*(1+Pressupostos!$C$125)^0*(1+Pressupostos!$C$140)</f>
        <v>38000</v>
      </c>
      <c r="D1401" s="58" t="n">
        <f aca="false">D1387*Pressupostos!$C$139*(1+Pressupostos!$C$125)^1*(1+Pressupostos!$C$140)</f>
        <v>39140</v>
      </c>
      <c r="E1401" s="58" t="n">
        <f aca="false">E1387*Pressupostos!$C$139*(1+Pressupostos!$C$125)^2*(1+Pressupostos!$C$140)</f>
        <v>40314.2</v>
      </c>
      <c r="F1401" s="58" t="n">
        <f aca="false">F1387*Pressupostos!$C$139*(1+Pressupostos!$C$125)^3*(1+Pressupostos!$C$140)</f>
        <v>83047.252</v>
      </c>
      <c r="G1401" s="58" t="n">
        <f aca="false">G1387*Pressupostos!$C$139*(1+Pressupostos!$C$125)^4*(1+Pressupostos!$C$140)</f>
        <v>85538.66956</v>
      </c>
      <c r="H1401" s="2" t="s">
        <v>1255</v>
      </c>
    </row>
    <row r="1402" customFormat="false" ht="15" hidden="false" customHeight="false" outlineLevel="1" collapsed="false">
      <c r="A1402" s="7" t="s">
        <v>608</v>
      </c>
      <c r="B1402" s="8" t="s">
        <v>10</v>
      </c>
      <c r="C1402" s="58" t="n">
        <f aca="false">C1388*Pressupostos!$C$141*(1+Pressupostos!$C$125)^0*(1+Pressupostos!$C$142)</f>
        <v>16000</v>
      </c>
      <c r="D1402" s="58" t="n">
        <f aca="false">D1388*Pressupostos!$C$141*(1+Pressupostos!$C$125)^1*(1+Pressupostos!$C$142)</f>
        <v>32960</v>
      </c>
      <c r="E1402" s="58" t="n">
        <f aca="false">E1388*Pressupostos!$C$141*(1+Pressupostos!$C$125)^2*(1+Pressupostos!$C$142)</f>
        <v>33948.8</v>
      </c>
      <c r="F1402" s="58" t="n">
        <f aca="false">F1388*Pressupostos!$C$141*(1+Pressupostos!$C$125)^3*(1+Pressupostos!$C$142)</f>
        <v>34967.264</v>
      </c>
      <c r="G1402" s="58" t="n">
        <f aca="false">G1388*Pressupostos!$C$141*(1+Pressupostos!$C$125)^4*(1+Pressupostos!$C$142)</f>
        <v>36016.28192</v>
      </c>
      <c r="H1402" s="2" t="s">
        <v>1256</v>
      </c>
    </row>
    <row r="1403" customFormat="false" ht="15" hidden="false" customHeight="false" outlineLevel="1" collapsed="false">
      <c r="A1403" s="7" t="s">
        <v>609</v>
      </c>
      <c r="B1403" s="8" t="s">
        <v>10</v>
      </c>
      <c r="C1403" s="58" t="n">
        <f aca="false">C1389*Pressupostos!$C$143*(1+Pressupostos!$C$125)^0*(1+Pressupostos!$C$144)</f>
        <v>34500</v>
      </c>
      <c r="D1403" s="58" t="n">
        <f aca="false">D1389*Pressupostos!$C$143*(1+Pressupostos!$C$125)^1*(1+Pressupostos!$C$144)</f>
        <v>35535</v>
      </c>
      <c r="E1403" s="58" t="n">
        <f aca="false">E1389*Pressupostos!$C$143*(1+Pressupostos!$C$125)^2*(1+Pressupostos!$C$144)</f>
        <v>73202.1</v>
      </c>
      <c r="F1403" s="58" t="n">
        <f aca="false">F1389*Pressupostos!$C$143*(1+Pressupostos!$C$125)^3*(1+Pressupostos!$C$144)</f>
        <v>113097.2445</v>
      </c>
      <c r="G1403" s="58" t="n">
        <f aca="false">G1389*Pressupostos!$C$143*(1+Pressupostos!$C$125)^4*(1+Pressupostos!$C$144)</f>
        <v>194150.269725</v>
      </c>
      <c r="H1403" s="2" t="s">
        <v>1257</v>
      </c>
    </row>
    <row r="1404" customFormat="false" ht="15" hidden="false" customHeight="false" outlineLevel="1" collapsed="false">
      <c r="A1404" s="7" t="s">
        <v>610</v>
      </c>
      <c r="B1404" s="8" t="s">
        <v>10</v>
      </c>
      <c r="C1404" s="58" t="n">
        <f aca="false">C1390*Pressupostos!$C$145*(1+Pressupostos!$C$125)^0*(1+Pressupostos!$C$146)</f>
        <v>0</v>
      </c>
      <c r="D1404" s="58" t="n">
        <f aca="false">D1390*Pressupostos!$C$145*(1+Pressupostos!$C$125)^1*(1+Pressupostos!$C$146)</f>
        <v>0</v>
      </c>
      <c r="E1404" s="58" t="n">
        <f aca="false">E1390*Pressupostos!$C$145*(1+Pressupostos!$C$125)^2*(1+Pressupostos!$C$146)</f>
        <v>0</v>
      </c>
      <c r="F1404" s="58" t="n">
        <f aca="false">F1390*Pressupostos!$C$145*(1+Pressupostos!$C$125)^3*(1+Pressupostos!$C$146)</f>
        <v>49172.715</v>
      </c>
      <c r="G1404" s="58" t="n">
        <f aca="false">G1390*Pressupostos!$C$145*(1+Pressupostos!$C$125)^4*(1+Pressupostos!$C$146)</f>
        <v>50647.89645</v>
      </c>
      <c r="H1404" s="2" t="s">
        <v>1258</v>
      </c>
    </row>
    <row r="1405" customFormat="false" ht="15" hidden="false" customHeight="false" outlineLevel="1" collapsed="false">
      <c r="A1405" s="7" t="s">
        <v>611</v>
      </c>
      <c r="B1405" s="8" t="s">
        <v>10</v>
      </c>
      <c r="C1405" s="58" t="n">
        <f aca="false">C1391*Pressupostos!$C$147*(1+Pressupostos!$C$125)^0*(1+Pressupostos!$C$148)</f>
        <v>0</v>
      </c>
      <c r="D1405" s="58" t="n">
        <f aca="false">D1391*Pressupostos!$C$147*(1+Pressupostos!$C$125)^1*(1+Pressupostos!$C$148)</f>
        <v>0</v>
      </c>
      <c r="E1405" s="58" t="n">
        <f aca="false">E1391*Pressupostos!$C$147*(1+Pressupostos!$C$125)^2*(1+Pressupostos!$C$148)</f>
        <v>0</v>
      </c>
      <c r="F1405" s="58" t="n">
        <f aca="false">F1391*Pressupostos!$C$147*(1+Pressupostos!$C$125)^3*(1+Pressupostos!$C$148)</f>
        <v>0</v>
      </c>
      <c r="G1405" s="58" t="n">
        <f aca="false">G1391*Pressupostos!$C$147*(1+Pressupostos!$C$125)^4*(1+Pressupostos!$C$148)</f>
        <v>45020.3524</v>
      </c>
      <c r="H1405" s="2" t="s">
        <v>1259</v>
      </c>
    </row>
    <row r="1406" customFormat="false" ht="15" hidden="false" customHeight="false" outlineLevel="1" collapsed="false">
      <c r="A1406" s="7" t="s">
        <v>612</v>
      </c>
      <c r="B1406" s="8" t="s">
        <v>10</v>
      </c>
      <c r="C1406" s="58" t="n">
        <f aca="false">C1392*Pressupostos!$C$149*(1+Pressupostos!$C$125)^0*(1+Pressupostos!$C$150)</f>
        <v>0</v>
      </c>
      <c r="D1406" s="58" t="n">
        <f aca="false">D1392*Pressupostos!$C$149*(1+Pressupostos!$C$125)^1*(1+Pressupostos!$C$150)</f>
        <v>0</v>
      </c>
      <c r="E1406" s="58" t="n">
        <f aca="false">E1392*Pressupostos!$C$149*(1+Pressupostos!$C$125)^2*(1+Pressupostos!$C$150)</f>
        <v>25461.6</v>
      </c>
      <c r="F1406" s="58" t="n">
        <f aca="false">F1392*Pressupostos!$C$149*(1+Pressupostos!$C$125)^3*(1+Pressupostos!$C$150)</f>
        <v>26225.448</v>
      </c>
      <c r="G1406" s="58" t="n">
        <f aca="false">G1392*Pressupostos!$C$149*(1+Pressupostos!$C$125)^4*(1+Pressupostos!$C$150)</f>
        <v>27012.21144</v>
      </c>
      <c r="H1406" s="2" t="s">
        <v>1260</v>
      </c>
    </row>
    <row r="1407" customFormat="false" ht="15" hidden="false" customHeight="false" outlineLevel="1" collapsed="false">
      <c r="A1407" s="7" t="s">
        <v>613</v>
      </c>
      <c r="B1407" s="8" t="s">
        <v>10</v>
      </c>
      <c r="C1407" s="58" t="n">
        <f aca="false">C1393*Pressupostos!$C$151*(1+Pressupostos!$C$125)^0*(1+Pressupostos!$C$152)</f>
        <v>0</v>
      </c>
      <c r="D1407" s="58" t="n">
        <f aca="false">D1393*Pressupostos!$C$151*(1+Pressupostos!$C$125)^1*(1+Pressupostos!$C$152)</f>
        <v>0</v>
      </c>
      <c r="E1407" s="58" t="n">
        <f aca="false">E1393*Pressupostos!$C$151*(1+Pressupostos!$C$125)^2*(1+Pressupostos!$C$152)</f>
        <v>0</v>
      </c>
      <c r="F1407" s="58" t="n">
        <f aca="false">F1393*Pressupostos!$C$151*(1+Pressupostos!$C$125)^3*(1+Pressupostos!$C$152)</f>
        <v>0</v>
      </c>
      <c r="G1407" s="58" t="n">
        <f aca="false">G1393*Pressupostos!$C$151*(1+Pressupostos!$C$125)^4*(1+Pressupostos!$C$152)</f>
        <v>0</v>
      </c>
      <c r="H1407" s="2" t="s">
        <v>1261</v>
      </c>
    </row>
    <row r="1408" customFormat="false" ht="15" hidden="false" customHeight="false" outlineLevel="1" collapsed="false">
      <c r="A1408" s="7" t="s">
        <v>616</v>
      </c>
      <c r="B1408" s="8" t="s">
        <v>10</v>
      </c>
      <c r="C1408" s="58" t="n">
        <f aca="false">C1396+C1397+C1398+C1399+C1400+C1401+C1402+C1403+C1404+C1405+C1406+C1407</f>
        <v>307662.5</v>
      </c>
      <c r="D1408" s="58" t="n">
        <f aca="false">D1396+D1397+D1398+D1399+D1400+D1401+D1402+D1403+D1404+D1405+D1406+D1407</f>
        <v>390885</v>
      </c>
      <c r="E1408" s="58" t="n">
        <f aca="false">E1396+E1397+E1398+E1399+E1400+E1401+E1402+E1403+E1404+E1405+E1406+E1407</f>
        <v>512414.7</v>
      </c>
      <c r="F1408" s="58" t="n">
        <f aca="false">F1396+F1397+F1398+F1399+F1400+F1401+F1402+F1403+F1404+F1405+F1406+F1407</f>
        <v>656182.5635</v>
      </c>
      <c r="G1408" s="58" t="n">
        <f aca="false">G1396+G1397+G1398+G1399+G1400+G1401+G1402+G1403+G1404+G1405+G1406+G1407</f>
        <v>798548.500695</v>
      </c>
      <c r="H1408" s="2" t="s">
        <v>1262</v>
      </c>
    </row>
    <row r="1409" customFormat="false" ht="15" hidden="false" customHeight="false" outlineLevel="1" collapsed="false">
      <c r="A1409" s="7" t="s">
        <v>617</v>
      </c>
      <c r="B1409" s="8" t="s">
        <v>10</v>
      </c>
      <c r="C1409" s="58" t="n">
        <f aca="false">C1408*(Pressupostos!$C$122+Pressupostos!$C$123)</f>
        <v>79223.09375</v>
      </c>
      <c r="D1409" s="58" t="n">
        <f aca="false">D1408*(Pressupostos!$C$122+Pressupostos!$C$123)</f>
        <v>100652.8875</v>
      </c>
      <c r="E1409" s="58" t="n">
        <f aca="false">E1408*(Pressupostos!$C$122+Pressupostos!$C$123)</f>
        <v>131946.78525</v>
      </c>
      <c r="F1409" s="58" t="n">
        <f aca="false">F1408*(Pressupostos!$C$122+Pressupostos!$C$123)</f>
        <v>168967.01010125</v>
      </c>
      <c r="G1409" s="58" t="n">
        <f aca="false">G1408*(Pressupostos!$C$122+Pressupostos!$C$123)</f>
        <v>205626.238928963</v>
      </c>
      <c r="H1409" s="2" t="s">
        <v>1263</v>
      </c>
    </row>
    <row r="1410" customFormat="false" ht="15" hidden="false" customHeight="false" outlineLevel="1" collapsed="false">
      <c r="A1410" s="7" t="s">
        <v>618</v>
      </c>
      <c r="B1410" s="8" t="s">
        <v>10</v>
      </c>
      <c r="C1410" s="58" t="n">
        <f aca="false">C1394*Pressupostos!$C$124*(1+Pressupostos!$C$125)^0</f>
        <v>14000</v>
      </c>
      <c r="D1410" s="58" t="n">
        <f aca="false">D1394*Pressupostos!$C$124*(1+Pressupostos!$C$125)^1</f>
        <v>16480</v>
      </c>
      <c r="E1410" s="58" t="n">
        <f aca="false">E1394*Pressupostos!$C$124*(1+Pressupostos!$C$125)^2</f>
        <v>23339.8</v>
      </c>
      <c r="F1410" s="58" t="n">
        <f aca="false">F1394*Pressupostos!$C$124*(1+Pressupostos!$C$125)^3</f>
        <v>30596.356</v>
      </c>
      <c r="G1410" s="58" t="n">
        <f aca="false">G1394*Pressupostos!$C$124*(1+Pressupostos!$C$125)^4</f>
        <v>38267.29954</v>
      </c>
      <c r="H1410" s="2" t="s">
        <v>1264</v>
      </c>
    </row>
    <row r="1411" customFormat="false" ht="15" hidden="false" customHeight="false" outlineLevel="1" collapsed="false">
      <c r="A1411" s="52" t="s">
        <v>619</v>
      </c>
      <c r="B1411" s="53" t="s">
        <v>10</v>
      </c>
      <c r="C1411" s="59" t="n">
        <f aca="false">C1408+C1409+C1410</f>
        <v>400885.59375</v>
      </c>
      <c r="D1411" s="59" t="n">
        <f aca="false">D1408+D1409+D1410</f>
        <v>508017.8875</v>
      </c>
      <c r="E1411" s="59" t="n">
        <f aca="false">E1408+E1409+E1410</f>
        <v>667701.28525</v>
      </c>
      <c r="F1411" s="59" t="n">
        <f aca="false">F1408+F1409+F1410</f>
        <v>855745.92960125</v>
      </c>
      <c r="G1411" s="59" t="n">
        <f aca="false">G1408+G1409+G1410</f>
        <v>1042442.03916396</v>
      </c>
      <c r="H1411" s="2" t="s">
        <v>1265</v>
      </c>
    </row>
    <row r="1412" customFormat="false" ht="15" hidden="false" customHeight="false" outlineLevel="1" collapsed="false">
      <c r="A1412" s="2" t="s">
        <v>620</v>
      </c>
      <c r="B1412" s="8" t="s">
        <v>10</v>
      </c>
      <c r="C1412" s="58" t="n">
        <f aca="false">IF(C1394&gt;0,C1411/C1394,0)</f>
        <v>57269.3705357143</v>
      </c>
      <c r="D1412" s="58" t="n">
        <f aca="false">IF(D1394&gt;0,D1411/D1394,0)</f>
        <v>63502.2359375</v>
      </c>
      <c r="E1412" s="58" t="n">
        <f aca="false">IF(E1394&gt;0,E1411/E1394,0)</f>
        <v>60700.1168409091</v>
      </c>
      <c r="F1412" s="58" t="n">
        <f aca="false">IF(F1394&gt;0,F1411/F1394,0)</f>
        <v>61124.7092572321</v>
      </c>
      <c r="G1412" s="58" t="n">
        <f aca="false">IF(G1394&gt;0,G1411/G1394,0)</f>
        <v>61320.1199508213</v>
      </c>
      <c r="H1412" s="2" t="s">
        <v>1266</v>
      </c>
    </row>
    <row r="1413" customFormat="false" ht="15" hidden="false" customHeight="false" outlineLevel="0" collapsed="false">
      <c r="A1413" s="3" t="s">
        <v>1267</v>
      </c>
      <c r="B1413" s="4"/>
      <c r="C1413" s="4"/>
      <c r="D1413" s="4"/>
      <c r="E1413" s="4"/>
      <c r="F1413" s="4"/>
      <c r="G1413" s="4"/>
      <c r="H1413" s="4"/>
    </row>
    <row r="1414" customFormat="false" ht="15" hidden="false" customHeight="false" outlineLevel="1" collapsed="false">
      <c r="A1414" s="7" t="s">
        <v>430</v>
      </c>
      <c r="B1414" s="8" t="s">
        <v>10</v>
      </c>
      <c r="C1414" s="58" t="n">
        <f aca="false">Pressupostos!$C$388*(1+Pressupostos!$C$154)*(1+Pressupostos!$C$155)^0</f>
        <v>94500</v>
      </c>
      <c r="D1414" s="58" t="n">
        <f aca="false">Pressupostos!$D$388*(1+Pressupostos!$C$154)*(1+Pressupostos!$C$155)^1</f>
        <v>53550</v>
      </c>
      <c r="E1414" s="58" t="n">
        <f aca="false">Pressupostos!$E$388*(1+Pressupostos!$C$154)*(1+Pressupostos!$C$155)^2</f>
        <v>49158.9</v>
      </c>
      <c r="F1414" s="58" t="n">
        <f aca="false">Pressupostos!$F$388*(1+Pressupostos!$C$154)*(1+Pressupostos!$C$155)^3</f>
        <v>50142.078</v>
      </c>
      <c r="G1414" s="58" t="n">
        <f aca="false">Pressupostos!$G$388*(1+Pressupostos!$C$154)*(1+Pressupostos!$C$155)^4</f>
        <v>51144.91956</v>
      </c>
      <c r="H1414" s="2" t="s">
        <v>1268</v>
      </c>
    </row>
    <row r="1415" customFormat="false" ht="15" hidden="false" customHeight="false" outlineLevel="1" collapsed="false">
      <c r="A1415" s="7" t="s">
        <v>432</v>
      </c>
      <c r="B1415" s="8" t="s">
        <v>10</v>
      </c>
      <c r="C1415" s="58" t="n">
        <f aca="false">Pressupostos!$C$394*(1+Pressupostos!$C$154)*(1+Pressupostos!$C$155)^0</f>
        <v>10500</v>
      </c>
      <c r="D1415" s="58" t="n">
        <f aca="false">Pressupostos!$D$394*(1+Pressupostos!$C$154)*(1+Pressupostos!$C$155)^1</f>
        <v>10710</v>
      </c>
      <c r="E1415" s="58" t="n">
        <f aca="false">Pressupostos!$E$394*(1+Pressupostos!$C$154)*(1+Pressupostos!$C$155)^2</f>
        <v>10924.2</v>
      </c>
      <c r="F1415" s="58" t="n">
        <f aca="false">Pressupostos!$F$394*(1+Pressupostos!$C$154)*(1+Pressupostos!$C$155)^3</f>
        <v>11142.684</v>
      </c>
      <c r="G1415" s="58" t="n">
        <f aca="false">Pressupostos!$G$394*(1+Pressupostos!$C$154)*(1+Pressupostos!$C$155)^4</f>
        <v>11365.53768</v>
      </c>
      <c r="H1415" s="2" t="s">
        <v>1269</v>
      </c>
    </row>
    <row r="1416" customFormat="false" ht="15" hidden="false" customHeight="false" outlineLevel="1" collapsed="false">
      <c r="A1416" s="7" t="s">
        <v>433</v>
      </c>
      <c r="B1416" s="8" t="s">
        <v>10</v>
      </c>
      <c r="C1416" s="58" t="n">
        <f aca="false">Pressupostos!$C$400*(1+Pressupostos!$C$154)*(1+Pressupostos!$C$155)^0</f>
        <v>12600</v>
      </c>
      <c r="D1416" s="58" t="n">
        <f aca="false">Pressupostos!$D$400*(1+Pressupostos!$C$154)*(1+Pressupostos!$C$155)^1</f>
        <v>12852</v>
      </c>
      <c r="E1416" s="58" t="n">
        <f aca="false">Pressupostos!$E$400*(1+Pressupostos!$C$154)*(1+Pressupostos!$C$155)^2</f>
        <v>13109.04</v>
      </c>
      <c r="F1416" s="58" t="n">
        <f aca="false">Pressupostos!$F$400*(1+Pressupostos!$C$154)*(1+Pressupostos!$C$155)^3</f>
        <v>0</v>
      </c>
      <c r="G1416" s="58" t="n">
        <f aca="false">Pressupostos!$G$400*(1+Pressupostos!$C$154)*(1+Pressupostos!$C$155)^4</f>
        <v>0</v>
      </c>
      <c r="H1416" s="2" t="s">
        <v>1270</v>
      </c>
    </row>
    <row r="1417" customFormat="false" ht="15" hidden="false" customHeight="false" outlineLevel="1" collapsed="false">
      <c r="A1417" s="7" t="s">
        <v>435</v>
      </c>
      <c r="B1417" s="8" t="s">
        <v>10</v>
      </c>
      <c r="C1417" s="58" t="n">
        <f aca="false">Pressupostos!$C$406*(1+Pressupostos!$C$154)*(1+Pressupostos!$C$155)^0</f>
        <v>31500</v>
      </c>
      <c r="D1417" s="58" t="n">
        <f aca="false">Pressupostos!$D$406*(1+Pressupostos!$C$154)*(1+Pressupostos!$C$155)^1</f>
        <v>42840</v>
      </c>
      <c r="E1417" s="58" t="n">
        <f aca="false">Pressupostos!$E$406*(1+Pressupostos!$C$154)*(1+Pressupostos!$C$155)^2</f>
        <v>60083.1</v>
      </c>
      <c r="F1417" s="58" t="n">
        <f aca="false">Pressupostos!$F$406*(1+Pressupostos!$C$154)*(1+Pressupostos!$C$155)^3</f>
        <v>77998.788</v>
      </c>
      <c r="G1417" s="58" t="n">
        <f aca="false">Pressupostos!$G$406*(1+Pressupostos!$C$154)*(1+Pressupostos!$C$155)^4</f>
        <v>96607.07028</v>
      </c>
      <c r="H1417" s="2" t="s">
        <v>1271</v>
      </c>
    </row>
    <row r="1418" customFormat="false" ht="15" hidden="false" customHeight="false" outlineLevel="1" collapsed="false">
      <c r="A1418" s="7" t="s">
        <v>437</v>
      </c>
      <c r="B1418" s="8" t="s">
        <v>10</v>
      </c>
      <c r="C1418" s="58" t="n">
        <f aca="false">Pressupostos!$C$412*(1+Pressupostos!$C$154)*(1+Pressupostos!$C$155)^0</f>
        <v>15750</v>
      </c>
      <c r="D1418" s="58" t="n">
        <f aca="false">Pressupostos!$D$412*(1+Pressupostos!$C$154)*(1+Pressupostos!$C$155)^1</f>
        <v>16065</v>
      </c>
      <c r="E1418" s="58" t="n">
        <f aca="false">Pressupostos!$E$412*(1+Pressupostos!$C$154)*(1+Pressupostos!$C$155)^2</f>
        <v>38234.7</v>
      </c>
      <c r="F1418" s="58" t="n">
        <f aca="false">Pressupostos!$F$412*(1+Pressupostos!$C$154)*(1+Pressupostos!$C$155)^3</f>
        <v>22285.368</v>
      </c>
      <c r="G1418" s="58" t="n">
        <f aca="false">Pressupostos!$G$412*(1+Pressupostos!$C$154)*(1+Pressupostos!$C$155)^4</f>
        <v>22731.07536</v>
      </c>
      <c r="H1418" s="2" t="s">
        <v>1272</v>
      </c>
    </row>
    <row r="1419" customFormat="false" ht="15" hidden="false" customHeight="false" outlineLevel="1" collapsed="false">
      <c r="A1419" s="7" t="s">
        <v>439</v>
      </c>
      <c r="B1419" s="8" t="s">
        <v>10</v>
      </c>
      <c r="C1419" s="58" t="n">
        <f aca="false">Pressupostos!$C$418*(1+Pressupostos!$C$154)*(1+Pressupostos!$C$155)^0</f>
        <v>10500</v>
      </c>
      <c r="D1419" s="58" t="n">
        <f aca="false">Pressupostos!$D$418*(1+Pressupostos!$C$154)*(1+Pressupostos!$C$155)^1</f>
        <v>12852</v>
      </c>
      <c r="E1419" s="58" t="n">
        <f aca="false">Pressupostos!$E$418*(1+Pressupostos!$C$154)*(1+Pressupostos!$C$155)^2</f>
        <v>16386.3</v>
      </c>
      <c r="F1419" s="58" t="n">
        <f aca="false">Pressupostos!$F$418*(1+Pressupostos!$C$154)*(1+Pressupostos!$C$155)^3</f>
        <v>20056.8312</v>
      </c>
      <c r="G1419" s="58" t="n">
        <f aca="false">Pressupostos!$G$418*(1+Pressupostos!$C$154)*(1+Pressupostos!$C$155)^4</f>
        <v>22731.07536</v>
      </c>
      <c r="H1419" s="2" t="s">
        <v>1273</v>
      </c>
    </row>
    <row r="1420" customFormat="false" ht="15" hidden="false" customHeight="false" outlineLevel="1" collapsed="false">
      <c r="A1420" s="7" t="s">
        <v>440</v>
      </c>
      <c r="B1420" s="8" t="s">
        <v>10</v>
      </c>
      <c r="C1420" s="58" t="n">
        <f aca="false">Pressupostos!$C$424*(1+Pressupostos!$C$154)*(1+Pressupostos!$C$155)^0</f>
        <v>42000</v>
      </c>
      <c r="D1420" s="58" t="n">
        <f aca="false">Pressupostos!$D$424*(1+Pressupostos!$C$154)*(1+Pressupostos!$C$155)^1</f>
        <v>53550</v>
      </c>
      <c r="E1420" s="58" t="n">
        <f aca="false">Pressupostos!$E$424*(1+Pressupostos!$C$154)*(1+Pressupostos!$C$155)^2</f>
        <v>76469.4</v>
      </c>
      <c r="F1420" s="58" t="n">
        <f aca="false">Pressupostos!$F$424*(1+Pressupostos!$C$154)*(1+Pressupostos!$C$155)^3</f>
        <v>100284.156</v>
      </c>
      <c r="G1420" s="58" t="n">
        <f aca="false">Pressupostos!$G$424*(1+Pressupostos!$C$154)*(1+Pressupostos!$C$155)^4</f>
        <v>125020.91448</v>
      </c>
      <c r="H1420" s="2" t="s">
        <v>1274</v>
      </c>
    </row>
    <row r="1421" customFormat="false" ht="15" hidden="false" customHeight="false" outlineLevel="1" collapsed="false">
      <c r="A1421" s="7" t="s">
        <v>442</v>
      </c>
      <c r="B1421" s="8" t="s">
        <v>10</v>
      </c>
      <c r="C1421" s="58" t="n">
        <f aca="false">Pressupostos!$C$430*(1+Pressupostos!$C$154)*(1+Pressupostos!$C$155)^0</f>
        <v>12600</v>
      </c>
      <c r="D1421" s="58" t="n">
        <f aca="false">Pressupostos!$D$430*(1+Pressupostos!$C$154)*(1+Pressupostos!$C$155)^1</f>
        <v>16065</v>
      </c>
      <c r="E1421" s="58" t="n">
        <f aca="false">Pressupostos!$E$430*(1+Pressupostos!$C$154)*(1+Pressupostos!$C$155)^2</f>
        <v>26218.08</v>
      </c>
      <c r="F1421" s="58" t="n">
        <f aca="false">Pressupostos!$F$430*(1+Pressupostos!$C$154)*(1+Pressupostos!$C$155)^3</f>
        <v>33428.052</v>
      </c>
      <c r="G1421" s="58" t="n">
        <f aca="false">Pressupostos!$G$430*(1+Pressupostos!$C$154)*(1+Pressupostos!$C$155)^4</f>
        <v>40915.935648</v>
      </c>
      <c r="H1421" s="2" t="s">
        <v>1275</v>
      </c>
    </row>
    <row r="1422" customFormat="false" ht="15" hidden="false" customHeight="false" outlineLevel="1" collapsed="false">
      <c r="A1422" s="7" t="s">
        <v>444</v>
      </c>
      <c r="B1422" s="8" t="s">
        <v>10</v>
      </c>
      <c r="C1422" s="58" t="n">
        <f aca="false">Pressupostos!$C$436*(1+Pressupostos!$C$154)*(1+Pressupostos!$C$155)^0</f>
        <v>18900</v>
      </c>
      <c r="D1422" s="58" t="n">
        <f aca="false">Pressupostos!$D$436*(1+Pressupostos!$C$154)*(1+Pressupostos!$C$155)^1</f>
        <v>23562</v>
      </c>
      <c r="E1422" s="58" t="n">
        <f aca="false">Pressupostos!$E$436*(1+Pressupostos!$C$154)*(1+Pressupostos!$C$155)^2</f>
        <v>32772.6</v>
      </c>
      <c r="F1422" s="58" t="n">
        <f aca="false">Pressupostos!$F$436*(1+Pressupostos!$C$154)*(1+Pressupostos!$C$155)^3</f>
        <v>42342.1992</v>
      </c>
      <c r="G1422" s="58" t="n">
        <f aca="false">Pressupostos!$G$436*(1+Pressupostos!$C$154)*(1+Pressupostos!$C$155)^4</f>
        <v>51144.91956</v>
      </c>
      <c r="H1422" s="2" t="s">
        <v>1276</v>
      </c>
    </row>
    <row r="1423" customFormat="false" ht="15" hidden="false" customHeight="false" outlineLevel="1" collapsed="false">
      <c r="A1423" s="7" t="s">
        <v>445</v>
      </c>
      <c r="B1423" s="8" t="s">
        <v>10</v>
      </c>
      <c r="C1423" s="58" t="n">
        <f aca="false">Pressupostos!$C$442*(1+Pressupostos!$C$154)*(1+Pressupostos!$C$155)^0</f>
        <v>5250</v>
      </c>
      <c r="D1423" s="58" t="n">
        <f aca="false">Pressupostos!$D$442*(1+Pressupostos!$C$154)*(1+Pressupostos!$C$155)^1</f>
        <v>8568</v>
      </c>
      <c r="E1423" s="58" t="n">
        <f aca="false">Pressupostos!$E$442*(1+Pressupostos!$C$154)*(1+Pressupostos!$C$155)^2</f>
        <v>13109.04</v>
      </c>
      <c r="F1423" s="58" t="n">
        <f aca="false">Pressupostos!$F$442*(1+Pressupostos!$C$154)*(1+Pressupostos!$C$155)^3</f>
        <v>16714.026</v>
      </c>
      <c r="G1423" s="58" t="n">
        <f aca="false">Pressupostos!$G$442*(1+Pressupostos!$C$154)*(1+Pressupostos!$C$155)^4</f>
        <v>17048.30652</v>
      </c>
      <c r="H1423" s="2" t="s">
        <v>1277</v>
      </c>
    </row>
    <row r="1424" customFormat="false" ht="15" hidden="false" customHeight="false" outlineLevel="1" collapsed="false">
      <c r="A1424" s="7" t="s">
        <v>661</v>
      </c>
      <c r="B1424" s="8" t="s">
        <v>10</v>
      </c>
      <c r="C1424" s="58" t="n">
        <f aca="false">C1414+C1415+C1416+C1417+C1418+C1419+C1420+C1421+C1422+C1423</f>
        <v>254100</v>
      </c>
      <c r="D1424" s="58" t="n">
        <f aca="false">D1414+D1415+D1416+D1417+D1418+D1419+D1420+D1421+D1422+D1423</f>
        <v>250614</v>
      </c>
      <c r="E1424" s="58" t="n">
        <f aca="false">E1414+E1415+E1416+E1417+E1418+E1419+E1420+E1421+E1422+E1423</f>
        <v>336465.36</v>
      </c>
      <c r="F1424" s="58" t="n">
        <f aca="false">F1414+F1415+F1416+F1417+F1418+F1419+F1420+F1421+F1422+F1423</f>
        <v>374394.1824</v>
      </c>
      <c r="G1424" s="58" t="n">
        <f aca="false">G1414+G1415+G1416+G1417+G1418+G1419+G1420+G1421+G1422+G1423</f>
        <v>438709.754448</v>
      </c>
      <c r="H1424" s="2" t="s">
        <v>1278</v>
      </c>
    </row>
    <row r="1425" customFormat="false" ht="15" hidden="false" customHeight="false" outlineLevel="1" collapsed="false">
      <c r="A1425" s="7" t="s">
        <v>662</v>
      </c>
      <c r="B1425" s="8" t="s">
        <v>10</v>
      </c>
      <c r="C1425" s="58" t="n">
        <f aca="false">Pressupostos!$C$112+Pressupostos!$C$113+Pressupostos!$C$114*Pressupostos!$C$289+Pressupostos!$C$449</f>
        <v>65000</v>
      </c>
      <c r="D1425" s="58" t="n">
        <f aca="false">Pressupostos!$C$113+Pressupostos!$C$114*Pressupostos!$D$289+Pressupostos!$D$449</f>
        <v>65000</v>
      </c>
      <c r="E1425" s="58" t="n">
        <f aca="false">Pressupostos!$C$113+Pressupostos!$C$114*Pressupostos!$E$289+Pressupostos!$E$449</f>
        <v>70000</v>
      </c>
      <c r="F1425" s="58" t="n">
        <f aca="false">Pressupostos!$C$113+Pressupostos!$C$114*Pressupostos!$F$289+Pressupostos!$F$449</f>
        <v>75000</v>
      </c>
      <c r="G1425" s="58" t="n">
        <f aca="false">Pressupostos!$C$113+Pressupostos!$C$114*Pressupostos!$G$289+Pressupostos!$G$449</f>
        <v>80000</v>
      </c>
      <c r="H1425" s="2" t="s">
        <v>1279</v>
      </c>
    </row>
    <row r="1426" customFormat="false" ht="15" hidden="false" customHeight="false" outlineLevel="1" collapsed="false">
      <c r="A1426" s="7" t="s">
        <v>663</v>
      </c>
      <c r="B1426" s="8" t="s">
        <v>10</v>
      </c>
      <c r="C1426" s="58" t="n">
        <f aca="false">IF(C1248&lt;Pressupostos!$C$118,0,MAX(Pressupostos!$C$295,Pressupostos!$C$116*(C1336+C1337)+Pressupostos!$C$117*C1338))</f>
        <v>0</v>
      </c>
      <c r="D1426" s="58" t="n">
        <f aca="false">IF(D1248&lt;Pressupostos!$C$118,0,MAX(Pressupostos!$D$295,Pressupostos!$C$116*(D1336+D1337)+Pressupostos!$C$117*D1338))</f>
        <v>7068.78</v>
      </c>
      <c r="E1426" s="58" t="n">
        <f aca="false">IF(E1248&lt;Pressupostos!$C$118,0,MAX(Pressupostos!$E$295,Pressupostos!$C$116*(E1336+E1337)+Pressupostos!$C$117*E1338))</f>
        <v>15181.02</v>
      </c>
      <c r="F1426" s="58" t="n">
        <f aca="false">IF(F1248&lt;Pressupostos!$C$118,0,MAX(Pressupostos!$F$295,Pressupostos!$C$116*(F1336+F1337)+Pressupostos!$C$117*F1338))</f>
        <v>26014.98</v>
      </c>
      <c r="G1426" s="58" t="n">
        <f aca="false">IF(G1248&lt;Pressupostos!$C$118,0,MAX(Pressupostos!$G$295,Pressupostos!$C$116*(G1336+G1337)+Pressupostos!$C$117*G1338))</f>
        <v>39485.4</v>
      </c>
      <c r="H1426" s="2" t="s">
        <v>1280</v>
      </c>
    </row>
    <row r="1427" customFormat="false" ht="15" hidden="false" customHeight="false" outlineLevel="1" collapsed="false">
      <c r="A1427" s="52" t="s">
        <v>664</v>
      </c>
      <c r="B1427" s="53" t="s">
        <v>10</v>
      </c>
      <c r="C1427" s="59" t="n">
        <f aca="false">C1424+C1425+C1426</f>
        <v>319100</v>
      </c>
      <c r="D1427" s="59" t="n">
        <f aca="false">D1424+D1425+D1426</f>
        <v>322682.78</v>
      </c>
      <c r="E1427" s="59" t="n">
        <f aca="false">E1424+E1425+E1426</f>
        <v>421646.38</v>
      </c>
      <c r="F1427" s="59" t="n">
        <f aca="false">F1424+F1425+F1426</f>
        <v>475409.1624</v>
      </c>
      <c r="G1427" s="59" t="n">
        <f aca="false">G1424+G1425+G1426</f>
        <v>558195.154448</v>
      </c>
      <c r="H1427" s="2" t="s">
        <v>1281</v>
      </c>
    </row>
    <row r="1428" customFormat="false" ht="15" hidden="false" customHeight="false" outlineLevel="0" collapsed="false">
      <c r="A1428" s="3" t="s">
        <v>1282</v>
      </c>
      <c r="B1428" s="4"/>
      <c r="C1428" s="4"/>
      <c r="D1428" s="4"/>
      <c r="E1428" s="4"/>
      <c r="F1428" s="4"/>
      <c r="G1428" s="4"/>
      <c r="H1428" s="4"/>
    </row>
    <row r="1429" customFormat="false" ht="15" hidden="false" customHeight="false" outlineLevel="1" collapsed="false">
      <c r="A1429" s="7" t="s">
        <v>666</v>
      </c>
      <c r="B1429" s="8" t="s">
        <v>10</v>
      </c>
      <c r="C1429" s="58" t="n">
        <f aca="false">Pressupostos!$C$163*Pressupostos!$C$302</f>
        <v>18000</v>
      </c>
      <c r="D1429" s="58" t="n">
        <f aca="false">Pressupostos!$C$163*Pressupostos!$D$302</f>
        <v>12000</v>
      </c>
      <c r="E1429" s="58" t="n">
        <f aca="false">Pressupostos!$C$163*Pressupostos!$E$302</f>
        <v>12000</v>
      </c>
      <c r="F1429" s="58" t="n">
        <f aca="false">Pressupostos!$C$163*Pressupostos!$F$302</f>
        <v>12000</v>
      </c>
      <c r="G1429" s="58" t="n">
        <f aca="false">Pressupostos!$C$163*Pressupostos!$G$302</f>
        <v>12000</v>
      </c>
      <c r="H1429" s="2" t="s">
        <v>1283</v>
      </c>
    </row>
    <row r="1430" customFormat="false" ht="15" hidden="false" customHeight="false" outlineLevel="1" collapsed="false">
      <c r="A1430" s="7" t="s">
        <v>667</v>
      </c>
      <c r="B1430" s="8" t="s">
        <v>10</v>
      </c>
      <c r="C1430" s="50" t="n">
        <f aca="false">Pressupostos!$C$308</f>
        <v>60000</v>
      </c>
      <c r="D1430" s="50" t="n">
        <f aca="false">Pressupostos!$D$308</f>
        <v>30000</v>
      </c>
      <c r="E1430" s="50" t="n">
        <f aca="false">Pressupostos!$E$308</f>
        <v>30000</v>
      </c>
      <c r="F1430" s="50" t="n">
        <f aca="false">Pressupostos!$F$308</f>
        <v>20000</v>
      </c>
      <c r="G1430" s="50" t="n">
        <f aca="false">Pressupostos!$G$308</f>
        <v>20000</v>
      </c>
      <c r="H1430" s="2" t="s">
        <v>1284</v>
      </c>
    </row>
    <row r="1431" customFormat="false" ht="15" hidden="false" customHeight="false" outlineLevel="1" collapsed="false">
      <c r="A1431" s="7" t="s">
        <v>668</v>
      </c>
      <c r="B1431" s="8" t="s">
        <v>10</v>
      </c>
      <c r="C1431" s="58" t="n">
        <f aca="false">Pressupostos!$C$164*MAX(0,C1394)</f>
        <v>14000</v>
      </c>
      <c r="D1431" s="58" t="n">
        <f aca="false">Pressupostos!$C$164*MAX(0,D1394-C1394)</f>
        <v>2000</v>
      </c>
      <c r="E1431" s="58" t="n">
        <f aca="false">Pressupostos!$C$164*MAX(0,E1394-D1394)</f>
        <v>6000</v>
      </c>
      <c r="F1431" s="58" t="n">
        <f aca="false">Pressupostos!$C$164*MAX(0,F1394-E1394)</f>
        <v>6000</v>
      </c>
      <c r="G1431" s="58" t="n">
        <f aca="false">Pressupostos!$C$164*MAX(0,G1394-F1394)</f>
        <v>6000</v>
      </c>
      <c r="H1431" s="2" t="s">
        <v>1285</v>
      </c>
    </row>
    <row r="1432" customFormat="false" ht="15" hidden="false" customHeight="false" outlineLevel="1" collapsed="false">
      <c r="A1432" s="7" t="s">
        <v>407</v>
      </c>
      <c r="B1432" s="8" t="s">
        <v>10</v>
      </c>
      <c r="C1432" s="58" t="n">
        <f aca="false">C1429+C1430+C1431</f>
        <v>92000</v>
      </c>
      <c r="D1432" s="58" t="n">
        <f aca="false">D1429+D1430+D1431</f>
        <v>44000</v>
      </c>
      <c r="E1432" s="58" t="n">
        <f aca="false">E1429+E1430+E1431</f>
        <v>48000</v>
      </c>
      <c r="F1432" s="58" t="n">
        <f aca="false">F1429+F1430+F1431</f>
        <v>38000</v>
      </c>
      <c r="G1432" s="58" t="n">
        <f aca="false">G1429+G1430+G1431</f>
        <v>38000</v>
      </c>
      <c r="H1432" s="2" t="s">
        <v>1286</v>
      </c>
    </row>
    <row r="1433" customFormat="false" ht="15" hidden="false" customHeight="false" outlineLevel="1" collapsed="false">
      <c r="A1433" s="7" t="s">
        <v>669</v>
      </c>
      <c r="B1433" s="8" t="s">
        <v>10</v>
      </c>
      <c r="C1433" s="58" t="n">
        <f aca="false">(C1430*((0)&lt;Pressupostos!$C$165))/Pressupostos!$C$165</f>
        <v>20000</v>
      </c>
      <c r="D1433" s="58" t="n">
        <f aca="false">(C1430*((1)&lt;Pressupostos!$C$165)+D1430*((0)&lt;Pressupostos!$C$165))/Pressupostos!$C$165</f>
        <v>30000</v>
      </c>
      <c r="E1433" s="58" t="n">
        <f aca="false">(C1430*((2)&lt;Pressupostos!$C$165)+D1430*((1)&lt;Pressupostos!$C$165)+E1430*((0)&lt;Pressupostos!$C$165))/Pressupostos!$C$165</f>
        <v>40000</v>
      </c>
      <c r="F1433" s="58" t="n">
        <f aca="false">(C1430*((3)&lt;Pressupostos!$C$165)+D1430*((2)&lt;Pressupostos!$C$165)+E1430*((1)&lt;Pressupostos!$C$165)+F1430*((0)&lt;Pressupostos!$C$165))/Pressupostos!$C$165</f>
        <v>26666.6666666667</v>
      </c>
      <c r="G1433" s="58" t="n">
        <f aca="false">(C1430*((4)&lt;Pressupostos!$C$165)+D1430*((3)&lt;Pressupostos!$C$165)+E1430*((2)&lt;Pressupostos!$C$165)+F1430*((1)&lt;Pressupostos!$C$165)+G1430*((0)&lt;Pressupostos!$C$165))/Pressupostos!$C$165</f>
        <v>23333.3333333333</v>
      </c>
      <c r="H1433" s="2" t="s">
        <v>1287</v>
      </c>
    </row>
    <row r="1434" customFormat="false" ht="15" hidden="false" customHeight="false" outlineLevel="1" collapsed="false">
      <c r="A1434" s="7" t="s">
        <v>670</v>
      </c>
      <c r="B1434" s="8" t="s">
        <v>10</v>
      </c>
      <c r="C1434" s="58" t="n">
        <f aca="false">(C1429*((0)&lt;Pressupostos!$C$167))/Pressupostos!$C$167</f>
        <v>3600</v>
      </c>
      <c r="D1434" s="58" t="n">
        <f aca="false">(C1429*((1)&lt;Pressupostos!$C$167)+D1429*((0)&lt;Pressupostos!$C$167))/Pressupostos!$C$167</f>
        <v>6000</v>
      </c>
      <c r="E1434" s="58" t="n">
        <f aca="false">(C1429*((2)&lt;Pressupostos!$C$167)+D1429*((1)&lt;Pressupostos!$C$167)+E1429*((0)&lt;Pressupostos!$C$167))/Pressupostos!$C$167</f>
        <v>8400</v>
      </c>
      <c r="F1434" s="58" t="n">
        <f aca="false">(C1429*((3)&lt;Pressupostos!$C$167)+D1429*((2)&lt;Pressupostos!$C$167)+E1429*((1)&lt;Pressupostos!$C$167)+F1429*((0)&lt;Pressupostos!$C$167))/Pressupostos!$C$167</f>
        <v>10800</v>
      </c>
      <c r="G1434" s="58" t="n">
        <f aca="false">(C1429*((4)&lt;Pressupostos!$C$167)+D1429*((3)&lt;Pressupostos!$C$167)+E1429*((2)&lt;Pressupostos!$C$167)+F1429*((1)&lt;Pressupostos!$C$167)+G1429*((0)&lt;Pressupostos!$C$167))/Pressupostos!$C$167</f>
        <v>13200</v>
      </c>
      <c r="H1434" s="2" t="s">
        <v>1288</v>
      </c>
    </row>
    <row r="1435" customFormat="false" ht="15" hidden="false" customHeight="false" outlineLevel="1" collapsed="false">
      <c r="A1435" s="7" t="s">
        <v>671</v>
      </c>
      <c r="B1435" s="8" t="s">
        <v>10</v>
      </c>
      <c r="C1435" s="58" t="n">
        <f aca="false">(C1431*((0)&lt;Pressupostos!$C$166))/Pressupostos!$C$166</f>
        <v>3500</v>
      </c>
      <c r="D1435" s="58" t="n">
        <f aca="false">(C1431*((1)&lt;Pressupostos!$C$166)+D1431*((0)&lt;Pressupostos!$C$166))/Pressupostos!$C$166</f>
        <v>4000</v>
      </c>
      <c r="E1435" s="58" t="n">
        <f aca="false">(C1431*((2)&lt;Pressupostos!$C$166)+D1431*((1)&lt;Pressupostos!$C$166)+E1431*((0)&lt;Pressupostos!$C$166))/Pressupostos!$C$166</f>
        <v>5500</v>
      </c>
      <c r="F1435" s="58" t="n">
        <f aca="false">(C1431*((3)&lt;Pressupostos!$C$166)+D1431*((2)&lt;Pressupostos!$C$166)+E1431*((1)&lt;Pressupostos!$C$166)+F1431*((0)&lt;Pressupostos!$C$166))/Pressupostos!$C$166</f>
        <v>7000</v>
      </c>
      <c r="G1435" s="58" t="n">
        <f aca="false">(C1431*((4)&lt;Pressupostos!$C$166)+D1431*((3)&lt;Pressupostos!$C$166)+E1431*((2)&lt;Pressupostos!$C$166)+F1431*((1)&lt;Pressupostos!$C$166)+G1431*((0)&lt;Pressupostos!$C$166))/Pressupostos!$C$166</f>
        <v>5000</v>
      </c>
      <c r="H1435" s="2" t="s">
        <v>1289</v>
      </c>
    </row>
    <row r="1436" customFormat="false" ht="15" hidden="false" customHeight="false" outlineLevel="1" collapsed="false">
      <c r="A1436" s="7" t="s">
        <v>672</v>
      </c>
      <c r="B1436" s="8" t="s">
        <v>10</v>
      </c>
      <c r="C1436" s="58" t="n">
        <f aca="false">C1433+C1434+C1435</f>
        <v>27100</v>
      </c>
      <c r="D1436" s="58" t="n">
        <f aca="false">D1433+D1434+D1435</f>
        <v>40000</v>
      </c>
      <c r="E1436" s="58" t="n">
        <f aca="false">E1433+E1434+E1435</f>
        <v>53900</v>
      </c>
      <c r="F1436" s="58" t="n">
        <f aca="false">F1433+F1434+F1435</f>
        <v>44466.6666666667</v>
      </c>
      <c r="G1436" s="58" t="n">
        <f aca="false">G1433+G1434+G1435</f>
        <v>41533.3333333333</v>
      </c>
      <c r="H1436" s="2" t="s">
        <v>1290</v>
      </c>
    </row>
    <row r="1437" customFormat="false" ht="15" hidden="false" customHeight="false" outlineLevel="0" collapsed="false">
      <c r="A1437" s="3" t="s">
        <v>1291</v>
      </c>
      <c r="B1437" s="4"/>
      <c r="C1437" s="4"/>
      <c r="D1437" s="4"/>
      <c r="E1437" s="4"/>
      <c r="F1437" s="4"/>
      <c r="G1437" s="4"/>
      <c r="H1437" s="4"/>
    </row>
    <row r="1438" customFormat="false" ht="15" hidden="false" customHeight="false" outlineLevel="1" collapsed="false">
      <c r="A1438" s="52" t="s">
        <v>676</v>
      </c>
      <c r="B1438" s="53" t="s">
        <v>10</v>
      </c>
      <c r="C1438" s="59" t="n">
        <f aca="false">C1345</f>
        <v>267690</v>
      </c>
      <c r="D1438" s="59" t="n">
        <f aca="false">D1345</f>
        <v>1780435</v>
      </c>
      <c r="E1438" s="59" t="n">
        <f aca="false">E1345</f>
        <v>4066155</v>
      </c>
      <c r="F1438" s="59" t="n">
        <f aca="false">F1345</f>
        <v>7052305</v>
      </c>
      <c r="G1438" s="59" t="n">
        <f aca="false">G1345</f>
        <v>10796070</v>
      </c>
      <c r="H1438" s="2" t="s">
        <v>1292</v>
      </c>
    </row>
    <row r="1439" customFormat="false" ht="15" hidden="false" customHeight="false" outlineLevel="1" collapsed="false">
      <c r="A1439" s="7" t="s">
        <v>649</v>
      </c>
      <c r="B1439" s="8" t="s">
        <v>10</v>
      </c>
      <c r="C1439" s="58" t="n">
        <f aca="false">-C1366</f>
        <v>-243800</v>
      </c>
      <c r="D1439" s="58" t="n">
        <f aca="false">-D1366</f>
        <v>-1623700</v>
      </c>
      <c r="E1439" s="58" t="n">
        <f aca="false">-E1366</f>
        <v>-3665800</v>
      </c>
      <c r="F1439" s="58" t="n">
        <f aca="false">-F1366</f>
        <v>-6319200</v>
      </c>
      <c r="G1439" s="58" t="n">
        <f aca="false">-G1366</f>
        <v>-9651000</v>
      </c>
      <c r="H1439" s="2" t="s">
        <v>1293</v>
      </c>
    </row>
    <row r="1440" customFormat="false" ht="15" hidden="false" customHeight="false" outlineLevel="1" collapsed="false">
      <c r="A1440" s="52" t="s">
        <v>677</v>
      </c>
      <c r="B1440" s="53" t="s">
        <v>10</v>
      </c>
      <c r="C1440" s="59" t="n">
        <f aca="false">C1438+C1439</f>
        <v>23890</v>
      </c>
      <c r="D1440" s="59" t="n">
        <f aca="false">D1438+D1439</f>
        <v>156735</v>
      </c>
      <c r="E1440" s="59" t="n">
        <f aca="false">E1438+E1439</f>
        <v>400355</v>
      </c>
      <c r="F1440" s="59" t="n">
        <f aca="false">F1438+F1439</f>
        <v>733105</v>
      </c>
      <c r="G1440" s="59" t="n">
        <f aca="false">G1438+G1439</f>
        <v>1145070</v>
      </c>
      <c r="H1440" s="2" t="s">
        <v>1294</v>
      </c>
    </row>
    <row r="1441" customFormat="false" ht="15" hidden="false" customHeight="false" outlineLevel="1" collapsed="false">
      <c r="A1441" s="2" t="s">
        <v>678</v>
      </c>
      <c r="B1441" s="8" t="s">
        <v>71</v>
      </c>
      <c r="C1441" s="55" t="n">
        <f aca="false">IF(C1438&gt;0,C1440/C1438,0)</f>
        <v>0.0892450222272031</v>
      </c>
      <c r="D1441" s="55" t="n">
        <f aca="false">IF(D1438&gt;0,D1440/D1438,0)</f>
        <v>0.0880318573831675</v>
      </c>
      <c r="E1441" s="55" t="n">
        <f aca="false">IF(E1438&gt;0,E1440/E1438,0)</f>
        <v>0.0984603390672514</v>
      </c>
      <c r="F1441" s="55" t="n">
        <f aca="false">IF(F1438&gt;0,F1440/F1438,0)</f>
        <v>0.103952537503696</v>
      </c>
      <c r="G1441" s="55" t="n">
        <f aca="false">IF(G1438&gt;0,G1440/G1438,0)</f>
        <v>0.106063595363869</v>
      </c>
      <c r="H1441" s="2" t="s">
        <v>1295</v>
      </c>
    </row>
    <row r="1442" customFormat="false" ht="15" hidden="false" customHeight="false" outlineLevel="1" collapsed="false">
      <c r="A1442" s="7" t="s">
        <v>679</v>
      </c>
      <c r="B1442" s="8" t="s">
        <v>10</v>
      </c>
      <c r="C1442" s="58" t="n">
        <f aca="false">-C1376</f>
        <v>-15341.8580821918</v>
      </c>
      <c r="D1442" s="58" t="n">
        <f aca="false">-D1376</f>
        <v>-104130.783209393</v>
      </c>
      <c r="E1442" s="58" t="n">
        <f aca="false">-E1376</f>
        <v>-242146.261409002</v>
      </c>
      <c r="F1442" s="58" t="n">
        <f aca="false">-F1376</f>
        <v>-433558.333502936</v>
      </c>
      <c r="G1442" s="58" t="n">
        <f aca="false">-G1376</f>
        <v>-668872.547162427</v>
      </c>
      <c r="H1442" s="2" t="s">
        <v>1296</v>
      </c>
    </row>
    <row r="1443" customFormat="false" ht="15" hidden="false" customHeight="false" outlineLevel="1" collapsed="false">
      <c r="A1443" s="7" t="s">
        <v>658</v>
      </c>
      <c r="B1443" s="8" t="s">
        <v>10</v>
      </c>
      <c r="C1443" s="58" t="n">
        <f aca="false">-C1379</f>
        <v>-0</v>
      </c>
      <c r="D1443" s="58" t="n">
        <f aca="false">-D1379</f>
        <v>-23317.0273972603</v>
      </c>
      <c r="E1443" s="58" t="n">
        <f aca="false">-E1379</f>
        <v>-38771.0637842466</v>
      </c>
      <c r="F1443" s="58" t="n">
        <f aca="false">-F1379</f>
        <v>-62547.834760274</v>
      </c>
      <c r="G1443" s="58" t="n">
        <f aca="false">-G1379</f>
        <v>-95536.1558219178</v>
      </c>
      <c r="H1443" s="2" t="s">
        <v>1297</v>
      </c>
    </row>
    <row r="1444" customFormat="false" ht="15" hidden="false" customHeight="false" outlineLevel="1" collapsed="false">
      <c r="A1444" s="52" t="s">
        <v>641</v>
      </c>
      <c r="B1444" s="53" t="s">
        <v>10</v>
      </c>
      <c r="C1444" s="59" t="n">
        <f aca="false">C1440+C1442+C1443</f>
        <v>8548.14191780822</v>
      </c>
      <c r="D1444" s="59" t="n">
        <f aca="false">D1440+D1442+D1443</f>
        <v>29287.1893933461</v>
      </c>
      <c r="E1444" s="59" t="n">
        <f aca="false">E1440+E1442+E1443</f>
        <v>119437.674806751</v>
      </c>
      <c r="F1444" s="59" t="n">
        <f aca="false">F1440+F1442+F1443</f>
        <v>236998.831736791</v>
      </c>
      <c r="G1444" s="59" t="n">
        <f aca="false">G1440+G1442+G1443</f>
        <v>380661.297015656</v>
      </c>
      <c r="H1444" s="2" t="s">
        <v>1298</v>
      </c>
    </row>
    <row r="1445" customFormat="false" ht="15" hidden="false" customHeight="false" outlineLevel="1" collapsed="false">
      <c r="A1445" s="7" t="s">
        <v>251</v>
      </c>
      <c r="B1445" s="8" t="s">
        <v>10</v>
      </c>
      <c r="C1445" s="58" t="n">
        <f aca="false">-C1411</f>
        <v>-400885.59375</v>
      </c>
      <c r="D1445" s="58" t="n">
        <f aca="false">-D1411</f>
        <v>-508017.8875</v>
      </c>
      <c r="E1445" s="58" t="n">
        <f aca="false">-E1411</f>
        <v>-667701.28525</v>
      </c>
      <c r="F1445" s="58" t="n">
        <f aca="false">-F1411</f>
        <v>-855745.92960125</v>
      </c>
      <c r="G1445" s="58" t="n">
        <f aca="false">-G1411</f>
        <v>-1042442.03916396</v>
      </c>
      <c r="H1445" s="2" t="s">
        <v>1299</v>
      </c>
    </row>
    <row r="1446" customFormat="false" ht="15" hidden="false" customHeight="false" outlineLevel="1" collapsed="false">
      <c r="A1446" s="7" t="s">
        <v>680</v>
      </c>
      <c r="B1446" s="8" t="s">
        <v>10</v>
      </c>
      <c r="C1446" s="58" t="n">
        <f aca="false">-C1427</f>
        <v>-319100</v>
      </c>
      <c r="D1446" s="58" t="n">
        <f aca="false">-D1427</f>
        <v>-322682.78</v>
      </c>
      <c r="E1446" s="58" t="n">
        <f aca="false">-E1427</f>
        <v>-421646.38</v>
      </c>
      <c r="F1446" s="58" t="n">
        <f aca="false">-F1427</f>
        <v>-475409.1624</v>
      </c>
      <c r="G1446" s="58" t="n">
        <f aca="false">-G1427</f>
        <v>-558195.154448</v>
      </c>
      <c r="H1446" s="2" t="s">
        <v>1300</v>
      </c>
    </row>
    <row r="1447" customFormat="false" ht="15" hidden="false" customHeight="false" outlineLevel="1" collapsed="false">
      <c r="A1447" s="52" t="s">
        <v>681</v>
      </c>
      <c r="B1447" s="53" t="s">
        <v>10</v>
      </c>
      <c r="C1447" s="59" t="n">
        <f aca="false">C1444+C1445+C1446</f>
        <v>-711437.451832192</v>
      </c>
      <c r="D1447" s="59" t="n">
        <f aca="false">D1444+D1445+D1446</f>
        <v>-801413.478106654</v>
      </c>
      <c r="E1447" s="59" t="n">
        <f aca="false">E1444+E1445+E1446</f>
        <v>-969909.990443249</v>
      </c>
      <c r="F1447" s="59" t="n">
        <f aca="false">F1444+F1445+F1446</f>
        <v>-1094156.26026446</v>
      </c>
      <c r="G1447" s="59" t="n">
        <f aca="false">G1444+G1445+G1446</f>
        <v>-1219975.89659631</v>
      </c>
      <c r="H1447" s="2" t="s">
        <v>1301</v>
      </c>
    </row>
    <row r="1448" customFormat="false" ht="15" hidden="false" customHeight="false" outlineLevel="1" collapsed="false">
      <c r="A1448" s="2" t="s">
        <v>683</v>
      </c>
      <c r="B1448" s="8" t="s">
        <v>71</v>
      </c>
      <c r="C1448" s="55" t="n">
        <f aca="false">IF(C1438&gt;0,C1447/C1438,0)</f>
        <v>-2.65769155303594</v>
      </c>
      <c r="D1448" s="55" t="n">
        <f aca="false">IF(D1438&gt;0,D1447/D1438,0)</f>
        <v>-0.450122289275741</v>
      </c>
      <c r="E1448" s="55" t="n">
        <f aca="false">IF(E1438&gt;0,E1447/E1438,0)</f>
        <v>-0.238532468743383</v>
      </c>
      <c r="F1448" s="55" t="n">
        <f aca="false">IF(F1438&gt;0,F1447/F1438,0)</f>
        <v>-0.155148743604319</v>
      </c>
      <c r="G1448" s="55" t="n">
        <f aca="false">IF(G1438&gt;0,G1447/G1438,0)</f>
        <v>-0.113001851284431</v>
      </c>
      <c r="H1448" s="2" t="s">
        <v>1302</v>
      </c>
    </row>
    <row r="1449" customFormat="false" ht="15" hidden="false" customHeight="false" outlineLevel="1" collapsed="false">
      <c r="A1449" s="2" t="s">
        <v>684</v>
      </c>
      <c r="B1449" s="8" t="s">
        <v>10</v>
      </c>
      <c r="C1449" s="58" t="n">
        <f aca="false">C1447+C1379</f>
        <v>-711437.451832192</v>
      </c>
      <c r="D1449" s="58" t="n">
        <f aca="false">D1447+D1379</f>
        <v>-778096.450709394</v>
      </c>
      <c r="E1449" s="58" t="n">
        <f aca="false">E1447+E1379</f>
        <v>-931138.926659002</v>
      </c>
      <c r="F1449" s="58" t="n">
        <f aca="false">F1447+F1379</f>
        <v>-1031608.42550419</v>
      </c>
      <c r="G1449" s="58" t="n">
        <f aca="false">G1447+G1379</f>
        <v>-1124439.74077439</v>
      </c>
      <c r="H1449" s="2" t="s">
        <v>1303</v>
      </c>
    </row>
    <row r="1450" customFormat="false" ht="15" hidden="false" customHeight="false" outlineLevel="1" collapsed="false">
      <c r="A1450" s="7" t="s">
        <v>672</v>
      </c>
      <c r="B1450" s="8" t="s">
        <v>10</v>
      </c>
      <c r="C1450" s="58" t="n">
        <f aca="false">-C1436</f>
        <v>-27100</v>
      </c>
      <c r="D1450" s="58" t="n">
        <f aca="false">-D1436</f>
        <v>-40000</v>
      </c>
      <c r="E1450" s="58" t="n">
        <f aca="false">-E1436</f>
        <v>-53900</v>
      </c>
      <c r="F1450" s="58" t="n">
        <f aca="false">-F1436</f>
        <v>-44466.6666666667</v>
      </c>
      <c r="G1450" s="58" t="n">
        <f aca="false">-G1436</f>
        <v>-41533.3333333333</v>
      </c>
      <c r="H1450" s="2" t="s">
        <v>1304</v>
      </c>
    </row>
    <row r="1451" customFormat="false" ht="15" hidden="false" customHeight="false" outlineLevel="1" collapsed="false">
      <c r="A1451" s="52" t="s">
        <v>685</v>
      </c>
      <c r="B1451" s="53" t="s">
        <v>10</v>
      </c>
      <c r="C1451" s="59" t="n">
        <f aca="false">C1447+C1450</f>
        <v>-738537.451832192</v>
      </c>
      <c r="D1451" s="59" t="n">
        <f aca="false">D1447+D1450</f>
        <v>-841413.478106654</v>
      </c>
      <c r="E1451" s="59" t="n">
        <f aca="false">E1447+E1450</f>
        <v>-1023809.99044325</v>
      </c>
      <c r="F1451" s="59" t="n">
        <f aca="false">F1447+F1450</f>
        <v>-1138622.92693113</v>
      </c>
      <c r="G1451" s="59" t="n">
        <f aca="false">G1447+G1450</f>
        <v>-1261509.22992964</v>
      </c>
      <c r="H1451" s="2" t="s">
        <v>1305</v>
      </c>
    </row>
    <row r="1452" customFormat="false" ht="15" hidden="false" customHeight="false" outlineLevel="0" collapsed="false">
      <c r="A1452" s="3" t="s">
        <v>1306</v>
      </c>
      <c r="B1452" s="4"/>
      <c r="C1452" s="4"/>
      <c r="D1452" s="4"/>
      <c r="E1452" s="4"/>
      <c r="F1452" s="4"/>
      <c r="G1452" s="4"/>
      <c r="H1452" s="4"/>
    </row>
    <row r="1453" customFormat="false" ht="15" hidden="false" customHeight="false" outlineLevel="1" collapsed="false">
      <c r="A1453" s="7" t="s">
        <v>687</v>
      </c>
      <c r="B1453" s="8" t="s">
        <v>10</v>
      </c>
      <c r="C1453" s="58" t="n">
        <f aca="false">C1451</f>
        <v>-738537.451832192</v>
      </c>
      <c r="D1453" s="58" t="n">
        <f aca="false">D1451</f>
        <v>-841413.478106654</v>
      </c>
      <c r="E1453" s="58" t="n">
        <f aca="false">E1451</f>
        <v>-1023809.99044325</v>
      </c>
      <c r="F1453" s="58" t="n">
        <f aca="false">F1451</f>
        <v>-1138622.92693113</v>
      </c>
      <c r="G1453" s="58" t="n">
        <f aca="false">G1451</f>
        <v>-1261509.22992964</v>
      </c>
      <c r="H1453" s="2" t="s">
        <v>1307</v>
      </c>
    </row>
    <row r="1454" customFormat="false" ht="15" hidden="false" customHeight="false" outlineLevel="1" collapsed="false">
      <c r="A1454" s="7" t="s">
        <v>688</v>
      </c>
      <c r="B1454" s="8" t="s">
        <v>10</v>
      </c>
      <c r="C1454" s="58" t="n">
        <f aca="false">0</f>
        <v>0</v>
      </c>
      <c r="D1454" s="58" t="n">
        <f aca="false">C1457</f>
        <v>738537.451832192</v>
      </c>
      <c r="E1454" s="58" t="n">
        <f aca="false">D1457</f>
        <v>1579950.92993885</v>
      </c>
      <c r="F1454" s="58" t="n">
        <f aca="false">E1457</f>
        <v>2603760.92038209</v>
      </c>
      <c r="G1454" s="58" t="n">
        <f aca="false">F1457</f>
        <v>3742383.84731322</v>
      </c>
      <c r="H1454" s="2" t="s">
        <v>1308</v>
      </c>
    </row>
    <row r="1455" customFormat="false" ht="15" hidden="false" customHeight="false" outlineLevel="1" collapsed="false">
      <c r="A1455" s="7" t="s">
        <v>689</v>
      </c>
      <c r="B1455" s="8" t="s">
        <v>10</v>
      </c>
      <c r="C1455" s="58" t="n">
        <f aca="false">MAX(0,-C1453)</f>
        <v>738537.451832192</v>
      </c>
      <c r="D1455" s="58" t="n">
        <f aca="false">MAX(0,-D1453)</f>
        <v>841413.478106654</v>
      </c>
      <c r="E1455" s="58" t="n">
        <f aca="false">MAX(0,-E1453)</f>
        <v>1023809.99044325</v>
      </c>
      <c r="F1455" s="58" t="n">
        <f aca="false">MAX(0,-F1453)</f>
        <v>1138622.92693113</v>
      </c>
      <c r="G1455" s="58" t="n">
        <f aca="false">MAX(0,-G1453)</f>
        <v>1261509.22992964</v>
      </c>
      <c r="H1455" s="2" t="s">
        <v>1309</v>
      </c>
    </row>
    <row r="1456" customFormat="false" ht="15" hidden="false" customHeight="false" outlineLevel="1" collapsed="false">
      <c r="A1456" s="7" t="s">
        <v>690</v>
      </c>
      <c r="B1456" s="8" t="s">
        <v>10</v>
      </c>
      <c r="C1456" s="58" t="n">
        <f aca="false">MIN(C1454,Pressupostos!$C$179*MAX(0,C1453))</f>
        <v>0</v>
      </c>
      <c r="D1456" s="58" t="n">
        <f aca="false">MIN(D1454,Pressupostos!$C$179*MAX(0,D1453))</f>
        <v>0</v>
      </c>
      <c r="E1456" s="58" t="n">
        <f aca="false">MIN(E1454,Pressupostos!$C$179*MAX(0,E1453))</f>
        <v>0</v>
      </c>
      <c r="F1456" s="58" t="n">
        <f aca="false">MIN(F1454,Pressupostos!$C$179*MAX(0,F1453))</f>
        <v>0</v>
      </c>
      <c r="G1456" s="58" t="n">
        <f aca="false">MIN(G1454,Pressupostos!$C$179*MAX(0,G1453))</f>
        <v>0</v>
      </c>
      <c r="H1456" s="2" t="s">
        <v>1310</v>
      </c>
    </row>
    <row r="1457" customFormat="false" ht="15" hidden="false" customHeight="false" outlineLevel="1" collapsed="false">
      <c r="A1457" s="7" t="s">
        <v>691</v>
      </c>
      <c r="B1457" s="8" t="s">
        <v>10</v>
      </c>
      <c r="C1457" s="58" t="n">
        <f aca="false">C1454+C1455-C1456</f>
        <v>738537.451832192</v>
      </c>
      <c r="D1457" s="58" t="n">
        <f aca="false">D1454+D1455-D1456</f>
        <v>1579950.92993885</v>
      </c>
      <c r="E1457" s="58" t="n">
        <f aca="false">E1454+E1455-E1456</f>
        <v>2603760.92038209</v>
      </c>
      <c r="F1457" s="58" t="n">
        <f aca="false">F1454+F1455-F1456</f>
        <v>3742383.84731322</v>
      </c>
      <c r="G1457" s="58" t="n">
        <f aca="false">G1454+G1455-G1456</f>
        <v>5003893.07724286</v>
      </c>
      <c r="H1457" s="2" t="s">
        <v>1311</v>
      </c>
    </row>
    <row r="1458" customFormat="false" ht="15" hidden="false" customHeight="false" outlineLevel="1" collapsed="false">
      <c r="A1458" s="7" t="s">
        <v>692</v>
      </c>
      <c r="B1458" s="8" t="s">
        <v>10</v>
      </c>
      <c r="C1458" s="58" t="n">
        <f aca="false">MAX(0,C1453)-C1456</f>
        <v>0</v>
      </c>
      <c r="D1458" s="58" t="n">
        <f aca="false">MAX(0,D1453)-D1456</f>
        <v>0</v>
      </c>
      <c r="E1458" s="58" t="n">
        <f aca="false">MAX(0,E1453)-E1456</f>
        <v>0</v>
      </c>
      <c r="F1458" s="58" t="n">
        <f aca="false">MAX(0,F1453)-F1456</f>
        <v>0</v>
      </c>
      <c r="G1458" s="58" t="n">
        <f aca="false">MAX(0,G1453)-G1456</f>
        <v>0</v>
      </c>
      <c r="H1458" s="2" t="s">
        <v>1312</v>
      </c>
    </row>
    <row r="1459" customFormat="false" ht="15" hidden="false" customHeight="false" outlineLevel="1" collapsed="false">
      <c r="A1459" s="7" t="s">
        <v>693</v>
      </c>
      <c r="B1459" s="8" t="s">
        <v>10</v>
      </c>
      <c r="C1459" s="58" t="n">
        <f aca="false">Pressupostos!$C$170*MIN(C1458,Pressupostos!$C$171)+Pressupostos!$C$450*MAX(0,C1458-Pressupostos!$C$171)</f>
        <v>0</v>
      </c>
      <c r="D1459" s="58" t="n">
        <f aca="false">Pressupostos!$C$170*MIN(D1458,Pressupostos!$C$171)+Pressupostos!$D$450*MAX(0,D1458-Pressupostos!$C$171)</f>
        <v>0</v>
      </c>
      <c r="E1459" s="58" t="n">
        <f aca="false">Pressupostos!$C$170*MIN(E1458,Pressupostos!$C$171)+Pressupostos!$E$450*MAX(0,E1458-Pressupostos!$C$171)</f>
        <v>0</v>
      </c>
      <c r="F1459" s="58" t="n">
        <f aca="false">Pressupostos!$C$170*MIN(F1458,Pressupostos!$C$171)+Pressupostos!$F$450*MAX(0,F1458-Pressupostos!$C$171)</f>
        <v>0</v>
      </c>
      <c r="G1459" s="58" t="n">
        <f aca="false">Pressupostos!$C$170*MIN(G1458,Pressupostos!$C$171)+Pressupostos!$G$450*MAX(0,G1458-Pressupostos!$C$171)</f>
        <v>0</v>
      </c>
      <c r="H1459" s="2" t="s">
        <v>1313</v>
      </c>
    </row>
    <row r="1460" customFormat="false" ht="15" hidden="false" customHeight="false" outlineLevel="1" collapsed="false">
      <c r="A1460" s="7" t="s">
        <v>694</v>
      </c>
      <c r="B1460" s="8" t="s">
        <v>10</v>
      </c>
      <c r="C1460" s="58" t="n">
        <f aca="false">Pressupostos!$C$172*MAX(0,C1453)</f>
        <v>0</v>
      </c>
      <c r="D1460" s="58" t="n">
        <f aca="false">Pressupostos!$C$172*MAX(0,D1453)</f>
        <v>0</v>
      </c>
      <c r="E1460" s="58" t="n">
        <f aca="false">Pressupostos!$C$172*MAX(0,E1453)</f>
        <v>0</v>
      </c>
      <c r="F1460" s="58" t="n">
        <f aca="false">Pressupostos!$C$172*MAX(0,F1453)</f>
        <v>0</v>
      </c>
      <c r="G1460" s="58" t="n">
        <f aca="false">Pressupostos!$C$172*MAX(0,G1453)</f>
        <v>0</v>
      </c>
      <c r="H1460" s="2" t="s">
        <v>1314</v>
      </c>
    </row>
    <row r="1461" customFormat="false" ht="15" hidden="false" customHeight="false" outlineLevel="1" collapsed="false">
      <c r="A1461" s="7" t="s">
        <v>695</v>
      </c>
      <c r="B1461" s="8" t="s">
        <v>10</v>
      </c>
      <c r="C1461" s="58" t="n">
        <f aca="false">Pressupostos!$C$174*MAX(0,MIN(C1453,Pressupostos!$C$175)-Pressupostos!$C$173)+Pressupostos!$C$176*MAX(0,MIN(C1453,Pressupostos!$C$177)-Pressupostos!$C$175)+Pressupostos!$C$178*MAX(0,C1453-Pressupostos!$C$177)</f>
        <v>0</v>
      </c>
      <c r="D1461" s="58" t="n">
        <f aca="false">Pressupostos!$C$174*MAX(0,MIN(D1453,Pressupostos!$C$175)-Pressupostos!$C$173)+Pressupostos!$C$176*MAX(0,MIN(D1453,Pressupostos!$C$177)-Pressupostos!$C$175)+Pressupostos!$C$178*MAX(0,D1453-Pressupostos!$C$177)</f>
        <v>0</v>
      </c>
      <c r="E1461" s="58" t="n">
        <f aca="false">Pressupostos!$C$174*MAX(0,MIN(E1453,Pressupostos!$C$175)-Pressupostos!$C$173)+Pressupostos!$C$176*MAX(0,MIN(E1453,Pressupostos!$C$177)-Pressupostos!$C$175)+Pressupostos!$C$178*MAX(0,E1453-Pressupostos!$C$177)</f>
        <v>0</v>
      </c>
      <c r="F1461" s="58" t="n">
        <f aca="false">Pressupostos!$C$174*MAX(0,MIN(F1453,Pressupostos!$C$175)-Pressupostos!$C$173)+Pressupostos!$C$176*MAX(0,MIN(F1453,Pressupostos!$C$177)-Pressupostos!$C$175)+Pressupostos!$C$178*MAX(0,F1453-Pressupostos!$C$177)</f>
        <v>0</v>
      </c>
      <c r="G1461" s="58" t="n">
        <f aca="false">Pressupostos!$C$174*MAX(0,MIN(G1453,Pressupostos!$C$175)-Pressupostos!$C$173)+Pressupostos!$C$176*MAX(0,MIN(G1453,Pressupostos!$C$177)-Pressupostos!$C$175)+Pressupostos!$C$178*MAX(0,G1453-Pressupostos!$C$177)</f>
        <v>0</v>
      </c>
      <c r="H1461" s="2" t="s">
        <v>1315</v>
      </c>
    </row>
    <row r="1462" customFormat="false" ht="15" hidden="false" customHeight="false" outlineLevel="1" collapsed="false">
      <c r="A1462" s="7" t="s">
        <v>696</v>
      </c>
      <c r="B1462" s="8" t="s">
        <v>10</v>
      </c>
      <c r="C1462" s="58" t="n">
        <f aca="false">C1459+C1460+C1461</f>
        <v>0</v>
      </c>
      <c r="D1462" s="58" t="n">
        <f aca="false">D1459+D1460+D1461</f>
        <v>0</v>
      </c>
      <c r="E1462" s="58" t="n">
        <f aca="false">E1459+E1460+E1461</f>
        <v>0</v>
      </c>
      <c r="F1462" s="58" t="n">
        <f aca="false">F1459+F1460+F1461</f>
        <v>0</v>
      </c>
      <c r="G1462" s="58" t="n">
        <f aca="false">G1459+G1460+G1461</f>
        <v>0</v>
      </c>
      <c r="H1462" s="2" t="s">
        <v>1316</v>
      </c>
    </row>
    <row r="1463" customFormat="false" ht="15" hidden="false" customHeight="false" outlineLevel="0" collapsed="false">
      <c r="A1463" s="3" t="s">
        <v>1317</v>
      </c>
      <c r="B1463" s="4"/>
      <c r="C1463" s="4"/>
      <c r="D1463" s="4"/>
      <c r="E1463" s="4"/>
      <c r="F1463" s="4"/>
      <c r="G1463" s="4"/>
      <c r="H1463" s="4"/>
    </row>
    <row r="1464" customFormat="false" ht="15" hidden="false" customHeight="false" outlineLevel="1" collapsed="false">
      <c r="A1464" s="7" t="s">
        <v>696</v>
      </c>
      <c r="B1464" s="8" t="s">
        <v>10</v>
      </c>
      <c r="C1464" s="58" t="n">
        <f aca="false">-C1462</f>
        <v>-0</v>
      </c>
      <c r="D1464" s="58" t="n">
        <f aca="false">-D1462</f>
        <v>-0</v>
      </c>
      <c r="E1464" s="58" t="n">
        <f aca="false">-E1462</f>
        <v>-0</v>
      </c>
      <c r="F1464" s="58" t="n">
        <f aca="false">-F1462</f>
        <v>-0</v>
      </c>
      <c r="G1464" s="58" t="n">
        <f aca="false">-G1462</f>
        <v>-0</v>
      </c>
      <c r="H1464" s="2" t="s">
        <v>1318</v>
      </c>
    </row>
    <row r="1465" customFormat="false" ht="15" hidden="false" customHeight="false" outlineLevel="1" collapsed="false">
      <c r="A1465" s="52" t="s">
        <v>698</v>
      </c>
      <c r="B1465" s="53" t="s">
        <v>10</v>
      </c>
      <c r="C1465" s="59" t="n">
        <f aca="false">C1451+C1464</f>
        <v>-738537.451832192</v>
      </c>
      <c r="D1465" s="59" t="n">
        <f aca="false">D1451+D1464</f>
        <v>-841413.478106654</v>
      </c>
      <c r="E1465" s="59" t="n">
        <f aca="false">E1451+E1464</f>
        <v>-1023809.99044325</v>
      </c>
      <c r="F1465" s="59" t="n">
        <f aca="false">F1451+F1464</f>
        <v>-1138622.92693113</v>
      </c>
      <c r="G1465" s="59" t="n">
        <f aca="false">G1451+G1464</f>
        <v>-1261509.22992964</v>
      </c>
      <c r="H1465" s="2" t="s">
        <v>1319</v>
      </c>
    </row>
    <row r="1466" customFormat="false" ht="15" hidden="false" customHeight="false" outlineLevel="0" collapsed="false">
      <c r="A1466" s="3" t="s">
        <v>1320</v>
      </c>
      <c r="B1466" s="4"/>
      <c r="C1466" s="4"/>
      <c r="D1466" s="4"/>
      <c r="E1466" s="4"/>
      <c r="F1466" s="4"/>
      <c r="G1466" s="4"/>
      <c r="H1466" s="4"/>
    </row>
    <row r="1467" customFormat="false" ht="15" hidden="false" customHeight="false" outlineLevel="1" collapsed="false">
      <c r="A1467" s="7" t="s">
        <v>702</v>
      </c>
      <c r="B1467" s="8" t="s">
        <v>10</v>
      </c>
      <c r="C1467" s="58" t="n">
        <f aca="false">C1251*1000*((C1267+C1270)*C1273/365)+C1252*1000*((C1290+C1293)*C1296/365)+C1253*1000*((C1313+C1316)*C1319/365)</f>
        <v>33682.1917808219</v>
      </c>
      <c r="D1467" s="58" t="n">
        <f aca="false">D1251*1000*((D1267+D1270)*D1273/365)+D1252*1000*((D1290+D1293)*D1296/365)+D1253*1000*((D1313+D1316)*D1319/365)</f>
        <v>196557.534246575</v>
      </c>
      <c r="E1467" s="58" t="n">
        <f aca="false">E1251*1000*((E1267+E1270)*E1273/365)+E1252*1000*((E1290+E1293)*E1296/365)+E1253*1000*((E1313+E1316)*E1319/365)</f>
        <v>306721.232876712</v>
      </c>
      <c r="F1467" s="58" t="n">
        <f aca="false">F1251*1000*((F1267+F1270)*F1273/365)+F1252*1000*((F1290+F1293)*F1296/365)+F1253*1000*((F1313+F1316)*F1319/365)</f>
        <v>530402.054794521</v>
      </c>
      <c r="G1467" s="58" t="n">
        <f aca="false">G1251*1000*((G1267+G1270)*G1273/365)+G1252*1000*((G1290+G1293)*G1296/365)+G1253*1000*((G1313+G1316)*G1319/365)</f>
        <v>805623.287671233</v>
      </c>
      <c r="H1467" s="2" t="s">
        <v>1321</v>
      </c>
    </row>
    <row r="1468" customFormat="false" ht="15" hidden="false" customHeight="false" outlineLevel="1" collapsed="false">
      <c r="A1468" s="7" t="s">
        <v>703</v>
      </c>
      <c r="B1468" s="8" t="s">
        <v>10</v>
      </c>
      <c r="C1468" s="58" t="n">
        <f aca="false">C1467+C1262*1000*Pressupostos!$C$90*Pressupostos!$C$93/365</f>
        <v>33682.1917808219</v>
      </c>
      <c r="D1468" s="58" t="n">
        <f aca="false">D1467+D1262*1000*Pressupostos!$C$90*Pressupostos!$C$93/365</f>
        <v>196557.534246575</v>
      </c>
      <c r="E1468" s="58" t="n">
        <f aca="false">E1467+E1262*1000*Pressupostos!$C$90*Pressupostos!$C$93/365</f>
        <v>332611.643835617</v>
      </c>
      <c r="F1468" s="58" t="n">
        <f aca="false">F1467+F1262*1000*Pressupostos!$C$90*Pressupostos!$C$93/365</f>
        <v>582182.876712329</v>
      </c>
      <c r="G1468" s="58" t="n">
        <f aca="false">G1467+G1262*1000*Pressupostos!$C$90*Pressupostos!$C$93/365</f>
        <v>891924.657534247</v>
      </c>
      <c r="H1468" s="2" t="s">
        <v>1322</v>
      </c>
    </row>
    <row r="1469" customFormat="false" ht="15" hidden="false" customHeight="false" outlineLevel="1" collapsed="false">
      <c r="A1469" s="7" t="s">
        <v>704</v>
      </c>
      <c r="B1469" s="8" t="s">
        <v>10</v>
      </c>
      <c r="C1469" s="58" t="n">
        <f aca="false">C1251*1000*(C1269*C1274/365)+C1252*1000*(C1292*C1297/365)+C1253*1000*(C1315*C1320/365)+C1340*Pressupostos!$C$94/365+C1342*Pressupostos!$C$80/365</f>
        <v>31855.0684931507</v>
      </c>
      <c r="D1469" s="58" t="n">
        <f aca="false">D1251*1000*(D1269*D1274/365)+D1252*1000*(D1292*D1297/365)+D1253*1000*(D1315*D1320/365)+D1340*Pressupostos!$C$94/365+D1342*Pressupostos!$C$80/365</f>
        <v>212985</v>
      </c>
      <c r="E1469" s="58" t="n">
        <f aca="false">E1251*1000*(E1269*E1274/365)+E1252*1000*(E1292*E1297/365)+E1253*1000*(E1315*E1320/365)+E1340*Pressupostos!$C$94/365+E1342*Pressupostos!$C$80/365</f>
        <v>469179.246575342</v>
      </c>
      <c r="F1469" s="58" t="n">
        <f aca="false">F1251*1000*(F1269*F1274/365)+F1252*1000*(F1292*F1297/365)+F1253*1000*(F1315*F1320/365)+F1340*Pressupostos!$C$94/365+F1342*Pressupostos!$C$80/365</f>
        <v>803968.150684931</v>
      </c>
      <c r="G1469" s="58" t="n">
        <f aca="false">G1251*1000*(G1269*G1274/365)+G1252*1000*(G1292*G1297/365)+G1253*1000*(G1315*G1320/365)+G1340*Pressupostos!$C$94/365+G1342*Pressupostos!$C$80/365</f>
        <v>1225216.02739726</v>
      </c>
      <c r="H1469" s="2" t="s">
        <v>1323</v>
      </c>
    </row>
    <row r="1470" customFormat="false" ht="15" hidden="false" customHeight="false" outlineLevel="1" collapsed="false">
      <c r="A1470" s="7" t="s">
        <v>705</v>
      </c>
      <c r="B1470" s="8" t="s">
        <v>10</v>
      </c>
      <c r="C1470" s="58" t="n">
        <f aca="false">C1251*1000*((C1267+C1270)*Pressupostos!$C$70/365)+C1252*1000*((C1290+C1293)*Pressupostos!$C$70/365)+C1253*1000*((C1313+C1316)*Pressupostos!$C$70/365)+C1262*1000*Pressupostos!$C$90*Pressupostos!$C$95/365</f>
        <v>20038.3561643836</v>
      </c>
      <c r="D1470" s="58" t="n">
        <f aca="false">D1251*1000*((D1267+D1270)*Pressupostos!$C$70/365)+D1252*1000*((D1290+D1293)*Pressupostos!$C$70/365)+D1253*1000*((D1313+D1316)*Pressupostos!$C$70/365)+D1262*1000*Pressupostos!$C$90*Pressupostos!$C$95/365</f>
        <v>133454.794520548</v>
      </c>
      <c r="E1470" s="58" t="n">
        <f aca="false">E1251*1000*((E1267+E1270)*Pressupostos!$C$70/365)+E1252*1000*((E1290+E1293)*Pressupostos!$C$70/365)+E1253*1000*((E1313+E1316)*Pressupostos!$C$70/365)+E1262*1000*Pressupostos!$C$90*Pressupostos!$C$95/365</f>
        <v>301298.630136986</v>
      </c>
      <c r="F1470" s="58" t="n">
        <f aca="false">F1251*1000*((F1267+F1270)*Pressupostos!$C$70/365)+F1252*1000*((F1290+F1293)*Pressupostos!$C$70/365)+F1253*1000*((F1313+F1316)*Pressupostos!$C$70/365)+F1262*1000*Pressupostos!$C$90*Pressupostos!$C$95/365</f>
        <v>519386.301369863</v>
      </c>
      <c r="G1470" s="58" t="n">
        <f aca="false">G1251*1000*((G1267+G1270)*Pressupostos!$C$70/365)+G1252*1000*((G1290+G1293)*Pressupostos!$C$70/365)+G1253*1000*((G1313+G1316)*Pressupostos!$C$70/365)+G1262*1000*Pressupostos!$C$90*Pressupostos!$C$95/365</f>
        <v>793232.876712329</v>
      </c>
      <c r="H1470" s="2" t="s">
        <v>1324</v>
      </c>
    </row>
    <row r="1471" customFormat="false" ht="15" hidden="false" customHeight="false" outlineLevel="1" collapsed="false">
      <c r="A1471" s="52" t="s">
        <v>706</v>
      </c>
      <c r="B1471" s="53" t="s">
        <v>10</v>
      </c>
      <c r="C1471" s="59" t="n">
        <f aca="false">C1468+C1469-C1470</f>
        <v>45498.904109589</v>
      </c>
      <c r="D1471" s="59" t="n">
        <f aca="false">D1468+D1469-D1470</f>
        <v>276087.739726027</v>
      </c>
      <c r="E1471" s="59" t="n">
        <f aca="false">E1468+E1469-E1470</f>
        <v>500492.260273972</v>
      </c>
      <c r="F1471" s="59" t="n">
        <f aca="false">F1468+F1469-F1470</f>
        <v>866764.726027397</v>
      </c>
      <c r="G1471" s="59" t="n">
        <f aca="false">G1468+G1469-G1470</f>
        <v>1323907.80821918</v>
      </c>
      <c r="H1471" s="2" t="s">
        <v>1325</v>
      </c>
    </row>
    <row r="1472" customFormat="false" ht="15" hidden="false" customHeight="false" outlineLevel="0" collapsed="false">
      <c r="A1472" s="3" t="s">
        <v>1326</v>
      </c>
      <c r="B1472" s="4"/>
      <c r="C1472" s="4"/>
      <c r="D1472" s="4"/>
      <c r="E1472" s="4"/>
      <c r="F1472" s="4"/>
      <c r="G1472" s="4"/>
      <c r="H1472" s="4"/>
    </row>
    <row r="1473" customFormat="false" ht="15" hidden="false" customHeight="false" outlineLevel="1" collapsed="false">
      <c r="A1473" s="52" t="s">
        <v>708</v>
      </c>
      <c r="B1473" s="53" t="s">
        <v>10</v>
      </c>
      <c r="C1473" s="59" t="n">
        <f aca="false">Pressupostos!$C$277*C1471/Pressupostos!$D$31</f>
        <v>0</v>
      </c>
      <c r="D1473" s="59" t="n">
        <f aca="false">Pressupostos!$D$277*D1471/Pressupostos!$D$31</f>
        <v>310598.707191781</v>
      </c>
      <c r="E1473" s="59" t="n">
        <f aca="false">Pressupostos!$E$277*E1471/Pressupostos!$D$31</f>
        <v>563053.792808219</v>
      </c>
      <c r="F1473" s="59" t="n">
        <f aca="false">Pressupostos!$F$277*F1471/Pressupostos!$D$31</f>
        <v>975110.316780822</v>
      </c>
      <c r="G1473" s="59" t="n">
        <f aca="false">Pressupostos!$G$277*G1471/Pressupostos!$D$31</f>
        <v>1489396.28424658</v>
      </c>
      <c r="H1473" s="2" t="s">
        <v>1327</v>
      </c>
    </row>
    <row r="1474" customFormat="false" ht="15" hidden="false" customHeight="false" outlineLevel="1" collapsed="false">
      <c r="A1474" s="7" t="s">
        <v>709</v>
      </c>
      <c r="B1474" s="8" t="s">
        <v>10</v>
      </c>
      <c r="C1474" s="58" t="n">
        <f aca="false">Pressupostos!$C$277*C1471</f>
        <v>0</v>
      </c>
      <c r="D1474" s="58" t="n">
        <f aca="false">Pressupostos!$D$277*D1471</f>
        <v>248478.965753425</v>
      </c>
      <c r="E1474" s="58" t="n">
        <f aca="false">Pressupostos!$E$277*E1471</f>
        <v>450443.034246575</v>
      </c>
      <c r="F1474" s="58" t="n">
        <f aca="false">Pressupostos!$F$277*F1471</f>
        <v>780088.253424658</v>
      </c>
      <c r="G1474" s="58" t="n">
        <f aca="false">Pressupostos!$G$277*G1471</f>
        <v>1191517.02739726</v>
      </c>
      <c r="H1474" s="2" t="s">
        <v>1328</v>
      </c>
    </row>
    <row r="1475" customFormat="false" ht="15" hidden="false" customHeight="false" outlineLevel="1" collapsed="false">
      <c r="A1475" s="7" t="s">
        <v>710</v>
      </c>
      <c r="B1475" s="8" t="s">
        <v>10</v>
      </c>
      <c r="C1475" s="58" t="n">
        <f aca="false">C1473-C1474</f>
        <v>0</v>
      </c>
      <c r="D1475" s="58" t="n">
        <f aca="false">D1473-D1474</f>
        <v>62119.7414383561</v>
      </c>
      <c r="E1475" s="58" t="n">
        <f aca="false">E1473-E1474</f>
        <v>112610.758561644</v>
      </c>
      <c r="F1475" s="58" t="n">
        <f aca="false">F1473-F1474</f>
        <v>195022.063356164</v>
      </c>
      <c r="G1475" s="58" t="n">
        <f aca="false">G1473-G1474</f>
        <v>297879.256849315</v>
      </c>
      <c r="H1475" s="2" t="s">
        <v>1329</v>
      </c>
    </row>
    <row r="1476" customFormat="false" ht="15" hidden="false" customHeight="false" outlineLevel="1" collapsed="false">
      <c r="A1476" s="7" t="s">
        <v>711</v>
      </c>
      <c r="B1476" s="8" t="s">
        <v>10</v>
      </c>
      <c r="C1476" s="58" t="n">
        <f aca="false">C1471-C1474</f>
        <v>45498.904109589</v>
      </c>
      <c r="D1476" s="58" t="n">
        <f aca="false">D1471-D1474</f>
        <v>27608.7739726027</v>
      </c>
      <c r="E1476" s="58" t="n">
        <f aca="false">E1471-E1474</f>
        <v>50049.2260273973</v>
      </c>
      <c r="F1476" s="58" t="n">
        <f aca="false">F1471-F1474</f>
        <v>86676.4726027397</v>
      </c>
      <c r="G1476" s="58" t="n">
        <f aca="false">G1471-G1474</f>
        <v>132390.780821918</v>
      </c>
      <c r="H1476" s="2" t="s">
        <v>1330</v>
      </c>
    </row>
    <row r="1477" customFormat="false" ht="15" hidden="false" customHeight="false" outlineLevel="1" collapsed="false">
      <c r="A1477" s="7" t="s">
        <v>712</v>
      </c>
      <c r="B1477" s="8" t="s">
        <v>10</v>
      </c>
      <c r="C1477" s="58" t="n">
        <f aca="false">MAX(0,Pressupostos!$C$106-C1476)</f>
        <v>4501.09589041097</v>
      </c>
      <c r="D1477" s="58" t="n">
        <f aca="false">MAX(0,Pressupostos!$C$106-D1476)</f>
        <v>22391.2260273973</v>
      </c>
      <c r="E1477" s="58" t="n">
        <f aca="false">MAX(0,Pressupostos!$C$106-E1476)</f>
        <v>0</v>
      </c>
      <c r="F1477" s="58" t="n">
        <f aca="false">MAX(0,Pressupostos!$C$106-F1476)</f>
        <v>0</v>
      </c>
      <c r="G1477" s="58" t="n">
        <f aca="false">MAX(0,Pressupostos!$C$106-G1476)</f>
        <v>0</v>
      </c>
      <c r="H1477" s="2" t="s">
        <v>1331</v>
      </c>
    </row>
    <row r="1478" customFormat="false" ht="15" hidden="false" customHeight="false" outlineLevel="1" collapsed="false">
      <c r="A1478" s="7" t="s">
        <v>713</v>
      </c>
      <c r="B1478" s="8" t="s">
        <v>10</v>
      </c>
      <c r="C1478" s="58" t="n">
        <f aca="false">Pressupostos!$C$107*C1473</f>
        <v>0</v>
      </c>
      <c r="D1478" s="58" t="n">
        <f aca="false">Pressupostos!$C$107*D1473</f>
        <v>15529.935359589</v>
      </c>
      <c r="E1478" s="58" t="n">
        <f aca="false">Pressupostos!$C$107*E1473</f>
        <v>28152.689640411</v>
      </c>
      <c r="F1478" s="58" t="n">
        <f aca="false">Pressupostos!$C$107*F1473</f>
        <v>48755.5158390411</v>
      </c>
      <c r="G1478" s="58" t="n">
        <f aca="false">Pressupostos!$C$107*G1473</f>
        <v>74469.8142123288</v>
      </c>
      <c r="H1478" s="2" t="s">
        <v>1332</v>
      </c>
    </row>
    <row r="1479" customFormat="false" ht="15" hidden="false" customHeight="false" outlineLevel="1" collapsed="false">
      <c r="A1479" s="2" t="s">
        <v>714</v>
      </c>
      <c r="B1479" s="8" t="s">
        <v>115</v>
      </c>
      <c r="C1479" s="58" t="n">
        <f aca="false">C1473/Pressupostos!$C$110</f>
        <v>0</v>
      </c>
      <c r="D1479" s="58" t="n">
        <f aca="false">D1473/Pressupostos!$C$110</f>
        <v>6.21197414383562</v>
      </c>
      <c r="E1479" s="58" t="n">
        <f aca="false">E1473/Pressupostos!$C$110</f>
        <v>11.2610758561644</v>
      </c>
      <c r="F1479" s="58" t="n">
        <f aca="false">F1473/Pressupostos!$C$110</f>
        <v>19.5022063356164</v>
      </c>
      <c r="G1479" s="58" t="n">
        <f aca="false">G1473/Pressupostos!$C$110</f>
        <v>29.7879256849315</v>
      </c>
      <c r="H1479" s="2" t="s">
        <v>1333</v>
      </c>
    </row>
    <row r="1480" customFormat="false" ht="15" hidden="false" customHeight="false" outlineLevel="0" collapsed="false">
      <c r="A1480" s="3" t="s">
        <v>1334</v>
      </c>
      <c r="B1480" s="4"/>
      <c r="C1480" s="4"/>
      <c r="D1480" s="4"/>
      <c r="E1480" s="4"/>
      <c r="F1480" s="4"/>
      <c r="G1480" s="4"/>
      <c r="H1480" s="4"/>
    </row>
    <row r="1481" customFormat="false" ht="15" hidden="false" customHeight="false" outlineLevel="1" collapsed="false">
      <c r="A1481" s="7" t="s">
        <v>681</v>
      </c>
      <c r="B1481" s="8" t="s">
        <v>10</v>
      </c>
      <c r="C1481" s="58" t="n">
        <f aca="false">C1447</f>
        <v>-711437.451832192</v>
      </c>
      <c r="D1481" s="58" t="n">
        <f aca="false">D1447</f>
        <v>-801413.478106654</v>
      </c>
      <c r="E1481" s="58" t="n">
        <f aca="false">E1447</f>
        <v>-969909.990443249</v>
      </c>
      <c r="F1481" s="58" t="n">
        <f aca="false">F1447</f>
        <v>-1094156.26026446</v>
      </c>
      <c r="G1481" s="58" t="n">
        <f aca="false">G1447</f>
        <v>-1219975.89659631</v>
      </c>
      <c r="H1481" s="2" t="s">
        <v>1335</v>
      </c>
    </row>
    <row r="1482" customFormat="false" ht="15" hidden="false" customHeight="false" outlineLevel="1" collapsed="false">
      <c r="A1482" s="7" t="s">
        <v>716</v>
      </c>
      <c r="B1482" s="8" t="s">
        <v>10</v>
      </c>
      <c r="C1482" s="58" t="n">
        <f aca="false">-C1462</f>
        <v>-0</v>
      </c>
      <c r="D1482" s="58" t="n">
        <f aca="false">-D1462</f>
        <v>-0</v>
      </c>
      <c r="E1482" s="58" t="n">
        <f aca="false">-E1462</f>
        <v>-0</v>
      </c>
      <c r="F1482" s="58" t="n">
        <f aca="false">-F1462</f>
        <v>-0</v>
      </c>
      <c r="G1482" s="58" t="n">
        <f aca="false">-G1462</f>
        <v>-0</v>
      </c>
      <c r="H1482" s="2" t="s">
        <v>1336</v>
      </c>
    </row>
    <row r="1483" customFormat="false" ht="15" hidden="false" customHeight="false" outlineLevel="1" collapsed="false">
      <c r="A1483" s="7" t="s">
        <v>717</v>
      </c>
      <c r="B1483" s="8" t="s">
        <v>10</v>
      </c>
      <c r="C1483" s="58" t="n">
        <f aca="false">-C1471</f>
        <v>-45498.904109589</v>
      </c>
      <c r="D1483" s="58" t="n">
        <f aca="false">-(D1471-C1471)</f>
        <v>-230588.835616438</v>
      </c>
      <c r="E1483" s="58" t="n">
        <f aca="false">-(E1471-D1471)</f>
        <v>-224404.520547945</v>
      </c>
      <c r="F1483" s="58" t="n">
        <f aca="false">-(F1471-E1471)</f>
        <v>-366272.465753425</v>
      </c>
      <c r="G1483" s="58" t="n">
        <f aca="false">-(G1471-F1471)</f>
        <v>-457143.082191781</v>
      </c>
      <c r="H1483" s="2" t="s">
        <v>1337</v>
      </c>
    </row>
    <row r="1484" customFormat="false" ht="15" hidden="false" customHeight="false" outlineLevel="1" collapsed="false">
      <c r="A1484" s="7" t="s">
        <v>407</v>
      </c>
      <c r="B1484" s="8" t="s">
        <v>10</v>
      </c>
      <c r="C1484" s="58" t="n">
        <f aca="false">-C1432</f>
        <v>-92000</v>
      </c>
      <c r="D1484" s="58" t="n">
        <f aca="false">-D1432</f>
        <v>-44000</v>
      </c>
      <c r="E1484" s="58" t="n">
        <f aca="false">-E1432</f>
        <v>-48000</v>
      </c>
      <c r="F1484" s="58" t="n">
        <f aca="false">-F1432</f>
        <v>-38000</v>
      </c>
      <c r="G1484" s="58" t="n">
        <f aca="false">-G1432</f>
        <v>-38000</v>
      </c>
      <c r="H1484" s="2" t="s">
        <v>1338</v>
      </c>
    </row>
    <row r="1485" customFormat="false" ht="15" hidden="false" customHeight="false" outlineLevel="1" collapsed="false">
      <c r="A1485" s="7" t="s">
        <v>718</v>
      </c>
      <c r="B1485" s="8" t="s">
        <v>10</v>
      </c>
      <c r="C1485" s="58" t="n">
        <f aca="false">C1481+C1482+C1483+C1484</f>
        <v>-848936.355941781</v>
      </c>
      <c r="D1485" s="58" t="n">
        <f aca="false">D1481+D1482+D1483+D1484</f>
        <v>-1076002.31372309</v>
      </c>
      <c r="E1485" s="58" t="n">
        <f aca="false">E1481+E1482+E1483+E1484</f>
        <v>-1242314.51099119</v>
      </c>
      <c r="F1485" s="58" t="n">
        <f aca="false">F1481+F1482+F1483+F1484</f>
        <v>-1498428.72601788</v>
      </c>
      <c r="G1485" s="58" t="n">
        <f aca="false">G1481+G1482+G1483+G1484</f>
        <v>-1715118.97878809</v>
      </c>
      <c r="H1485" s="2" t="s">
        <v>1339</v>
      </c>
    </row>
    <row r="1486" customFormat="false" ht="15" hidden="false" customHeight="false" outlineLevel="1" collapsed="false">
      <c r="A1486" s="7" t="s">
        <v>719</v>
      </c>
      <c r="B1486" s="8" t="s">
        <v>10</v>
      </c>
      <c r="C1486" s="58" t="n">
        <f aca="false">C1473</f>
        <v>0</v>
      </c>
      <c r="D1486" s="58" t="n">
        <f aca="false">D1473-C1473</f>
        <v>310598.707191781</v>
      </c>
      <c r="E1486" s="58" t="n">
        <f aca="false">E1473-D1473</f>
        <v>252455.085616438</v>
      </c>
      <c r="F1486" s="58" t="n">
        <f aca="false">F1473-E1473</f>
        <v>412056.523972603</v>
      </c>
      <c r="G1486" s="58" t="n">
        <f aca="false">G1473-F1473</f>
        <v>514285.967465753</v>
      </c>
      <c r="H1486" s="2" t="s">
        <v>1340</v>
      </c>
    </row>
    <row r="1487" customFormat="false" ht="15" hidden="false" customHeight="false" outlineLevel="1" collapsed="false">
      <c r="A1487" s="7" t="s">
        <v>720</v>
      </c>
      <c r="B1487" s="8" t="s">
        <v>10</v>
      </c>
      <c r="C1487" s="58" t="n">
        <f aca="false">-C1475</f>
        <v>-0</v>
      </c>
      <c r="D1487" s="58" t="n">
        <f aca="false">-(D1475-C1475)</f>
        <v>-62119.7414383561</v>
      </c>
      <c r="E1487" s="58" t="n">
        <f aca="false">-(E1475-D1475)</f>
        <v>-50491.0171232877</v>
      </c>
      <c r="F1487" s="58" t="n">
        <f aca="false">-(F1475-E1475)</f>
        <v>-82411.3047945206</v>
      </c>
      <c r="G1487" s="58" t="n">
        <f aca="false">-(G1475-F1475)</f>
        <v>-102857.193493151</v>
      </c>
      <c r="H1487" s="2" t="s">
        <v>1341</v>
      </c>
    </row>
    <row r="1488" customFormat="false" ht="15" hidden="false" customHeight="false" outlineLevel="1" collapsed="false">
      <c r="A1488" s="7" t="s">
        <v>721</v>
      </c>
      <c r="B1488" s="8" t="s">
        <v>10</v>
      </c>
      <c r="C1488" s="58" t="n">
        <f aca="false">-C1478</f>
        <v>-0</v>
      </c>
      <c r="D1488" s="58" t="n">
        <f aca="false">-(D1478-C1478)</f>
        <v>-15529.935359589</v>
      </c>
      <c r="E1488" s="58" t="n">
        <f aca="false">-(E1478-D1478)</f>
        <v>-12622.7542808219</v>
      </c>
      <c r="F1488" s="58" t="n">
        <f aca="false">-(F1478-E1478)</f>
        <v>-20602.8261986301</v>
      </c>
      <c r="G1488" s="58" t="n">
        <f aca="false">-(G1478-F1478)</f>
        <v>-25714.2983732877</v>
      </c>
      <c r="H1488" s="2" t="s">
        <v>1342</v>
      </c>
    </row>
    <row r="1489" customFormat="false" ht="15" hidden="false" customHeight="false" outlineLevel="1" collapsed="false">
      <c r="A1489" s="7" t="s">
        <v>722</v>
      </c>
      <c r="B1489" s="8" t="s">
        <v>10</v>
      </c>
      <c r="C1489" s="58" t="n">
        <f aca="false">-(C1477-Pressupostos!$C$106)</f>
        <v>45498.904109589</v>
      </c>
      <c r="D1489" s="58" t="n">
        <f aca="false">-(D1477-C1477)</f>
        <v>-17890.1301369863</v>
      </c>
      <c r="E1489" s="58" t="n">
        <f aca="false">-(E1477-D1477)</f>
        <v>22391.2260273973</v>
      </c>
      <c r="F1489" s="58" t="n">
        <f aca="false">-(F1477-E1477)</f>
        <v>-0</v>
      </c>
      <c r="G1489" s="58" t="n">
        <f aca="false">-(G1477-F1477)</f>
        <v>-0</v>
      </c>
      <c r="H1489" s="2" t="s">
        <v>1343</v>
      </c>
    </row>
    <row r="1490" customFormat="false" ht="15" hidden="false" customHeight="false" outlineLevel="1" collapsed="false">
      <c r="A1490" s="52" t="s">
        <v>723</v>
      </c>
      <c r="B1490" s="53" t="s">
        <v>10</v>
      </c>
      <c r="C1490" s="59" t="n">
        <f aca="false">C1485+C1486+C1487+C1488+C1489</f>
        <v>-803437.451832192</v>
      </c>
      <c r="D1490" s="59" t="n">
        <f aca="false">D1485+D1486+D1487+D1488+D1489</f>
        <v>-860943.413466243</v>
      </c>
      <c r="E1490" s="59" t="n">
        <f aca="false">E1485+E1486+E1487+E1488+E1489</f>
        <v>-1030581.97075147</v>
      </c>
      <c r="F1490" s="59" t="n">
        <f aca="false">F1485+F1486+F1487+F1488+F1489</f>
        <v>-1189386.33303843</v>
      </c>
      <c r="G1490" s="59" t="n">
        <f aca="false">G1485+G1486+G1487+G1488+G1489</f>
        <v>-1329404.50318877</v>
      </c>
      <c r="H1490" s="2" t="s">
        <v>1344</v>
      </c>
    </row>
    <row r="1491" customFormat="false" ht="15" hidden="false" customHeight="false" outlineLevel="1" collapsed="false">
      <c r="A1491" s="52" t="s">
        <v>724</v>
      </c>
      <c r="B1491" s="53" t="s">
        <v>10</v>
      </c>
      <c r="C1491" s="59" t="n">
        <f aca="false">C1490</f>
        <v>-803437.451832192</v>
      </c>
      <c r="D1491" s="59" t="n">
        <f aca="false">C1491+D1490</f>
        <v>-1664380.86529843</v>
      </c>
      <c r="E1491" s="59" t="n">
        <f aca="false">D1491+E1490</f>
        <v>-2694962.8360499</v>
      </c>
      <c r="F1491" s="59" t="n">
        <f aca="false">E1491+F1490</f>
        <v>-3884349.16908834</v>
      </c>
      <c r="G1491" s="59" t="n">
        <f aca="false">F1491+G1490</f>
        <v>-5213753.67227711</v>
      </c>
      <c r="H1491" s="2" t="s">
        <v>1345</v>
      </c>
    </row>
    <row r="1492" customFormat="false" ht="15" hidden="false" customHeight="false" outlineLevel="1" collapsed="false">
      <c r="A1492" s="8" t="s">
        <v>725</v>
      </c>
      <c r="B1492" s="8" t="s">
        <v>10</v>
      </c>
      <c r="C1492" s="66" t="n">
        <f aca="false">ROUND(C1447-C1432-C1462-(MAX(C1476,Pressupostos!$C$106)-Pressupostos!$C$106)-(C1478)-C1490,6)</f>
        <v>0</v>
      </c>
      <c r="D1492" s="66" t="n">
        <f aca="false">ROUND(D1447-D1432-D1462-(MAX(D1476,Pressupostos!$C$106)-MAX(C1476,Pressupostos!$C$106))-(D1478-C1478)-D1490,6)</f>
        <v>0</v>
      </c>
      <c r="E1492" s="66" t="n">
        <f aca="false">ROUND(E1447-E1432-E1462-(MAX(E1476,Pressupostos!$C$106)-MAX(D1476,Pressupostos!$C$106))-(E1478-D1478)-E1490,6)</f>
        <v>0</v>
      </c>
      <c r="F1492" s="66" t="n">
        <f aca="false">ROUND(F1447-F1432-F1462-(MAX(F1476,Pressupostos!$C$106)-MAX(E1476,Pressupostos!$C$106))-(F1478-E1478)-F1490,6)</f>
        <v>0</v>
      </c>
      <c r="G1492" s="66" t="n">
        <f aca="false">ROUND(G1447-G1432-G1462-(MAX(G1476,Pressupostos!$C$106)-MAX(F1476,Pressupostos!$C$106))-(G1478-F1478)-G1490,6)</f>
        <v>0</v>
      </c>
      <c r="H1492" s="2" t="s">
        <v>1346</v>
      </c>
    </row>
    <row r="1493" customFormat="false" ht="15" hidden="false" customHeight="false" outlineLevel="0" collapsed="false">
      <c r="A1493" s="3" t="s">
        <v>1347</v>
      </c>
      <c r="B1493" s="4"/>
      <c r="C1493" s="4"/>
      <c r="D1493" s="4"/>
      <c r="E1493" s="4"/>
      <c r="F1493" s="4"/>
      <c r="G1493" s="4"/>
      <c r="H1493" s="4"/>
    </row>
    <row r="1494" customFormat="false" ht="15" hidden="false" customHeight="false" outlineLevel="1" collapsed="false">
      <c r="A1494" s="7" t="s">
        <v>727</v>
      </c>
      <c r="B1494" s="8" t="s">
        <v>10</v>
      </c>
      <c r="C1494" s="58" t="n">
        <f aca="false">0</f>
        <v>0</v>
      </c>
      <c r="D1494" s="58" t="n">
        <f aca="false">C1499</f>
        <v>151562.548167808</v>
      </c>
      <c r="E1494" s="58" t="n">
        <f aca="false">D1499</f>
        <v>150000</v>
      </c>
      <c r="F1494" s="58" t="n">
        <f aca="false">E1499</f>
        <v>150000</v>
      </c>
      <c r="G1494" s="58" t="n">
        <f aca="false">F1499</f>
        <v>150000</v>
      </c>
      <c r="H1494" s="2" t="s">
        <v>1348</v>
      </c>
    </row>
    <row r="1495" customFormat="false" ht="15" hidden="false" customHeight="false" outlineLevel="1" collapsed="false">
      <c r="A1495" s="7" t="s">
        <v>728</v>
      </c>
      <c r="B1495" s="8" t="s">
        <v>10</v>
      </c>
      <c r="C1495" s="58" t="n">
        <f aca="false">-(Pressupostos!$C$157+Pressupostos!$C$158+Pressupostos!$C$159+Pressupostos!$C$160+Pressupostos!$C$161+Pressupostos!$C$106)</f>
        <v>-145000</v>
      </c>
      <c r="D1495" s="58" t="n">
        <f aca="false">0</f>
        <v>0</v>
      </c>
      <c r="E1495" s="58" t="n">
        <f aca="false">0</f>
        <v>0</v>
      </c>
      <c r="F1495" s="58" t="n">
        <f aca="false">0</f>
        <v>0</v>
      </c>
      <c r="G1495" s="58" t="n">
        <f aca="false">0</f>
        <v>0</v>
      </c>
      <c r="H1495" s="2" t="s">
        <v>1349</v>
      </c>
    </row>
    <row r="1496" customFormat="false" ht="15" hidden="false" customHeight="false" outlineLevel="1" collapsed="false">
      <c r="A1496" s="7" t="s">
        <v>729</v>
      </c>
      <c r="B1496" s="8" t="s">
        <v>10</v>
      </c>
      <c r="C1496" s="50" t="n">
        <f aca="false">Pressupostos!$D$32</f>
        <v>1100000</v>
      </c>
      <c r="D1496" s="58" t="n">
        <f aca="false">0</f>
        <v>0</v>
      </c>
      <c r="E1496" s="58" t="n">
        <f aca="false">0</f>
        <v>0</v>
      </c>
      <c r="F1496" s="58" t="n">
        <f aca="false">0</f>
        <v>0</v>
      </c>
      <c r="G1496" s="58" t="n">
        <f aca="false">0</f>
        <v>0</v>
      </c>
      <c r="H1496" s="2" t="s">
        <v>1350</v>
      </c>
    </row>
    <row r="1497" customFormat="false" ht="15" hidden="false" customHeight="false" outlineLevel="1" collapsed="false">
      <c r="A1497" s="7" t="s">
        <v>730</v>
      </c>
      <c r="B1497" s="8" t="s">
        <v>10</v>
      </c>
      <c r="C1497" s="58" t="n">
        <f aca="false">C1494+C1495+C1496+C1490</f>
        <v>151562.548167808</v>
      </c>
      <c r="D1497" s="58" t="n">
        <f aca="false">D1494+D1495+D1496+D1490</f>
        <v>-709380.865298435</v>
      </c>
      <c r="E1497" s="58" t="n">
        <f aca="false">E1494+E1495+E1496+E1490</f>
        <v>-880581.970751468</v>
      </c>
      <c r="F1497" s="58" t="n">
        <f aca="false">F1494+F1495+F1496+F1490</f>
        <v>-1039386.33303843</v>
      </c>
      <c r="G1497" s="58" t="n">
        <f aca="false">G1494+G1495+G1496+G1490</f>
        <v>-1179404.50318877</v>
      </c>
      <c r="H1497" s="2" t="s">
        <v>1351</v>
      </c>
    </row>
    <row r="1498" customFormat="false" ht="15" hidden="false" customHeight="false" outlineLevel="1" collapsed="false">
      <c r="A1498" s="52" t="s">
        <v>731</v>
      </c>
      <c r="B1498" s="53" t="s">
        <v>10</v>
      </c>
      <c r="C1498" s="59" t="n">
        <f aca="false">MAX(0,Pressupostos!$C$168-C1497)</f>
        <v>0</v>
      </c>
      <c r="D1498" s="59" t="n">
        <f aca="false">MAX(0,Pressupostos!$C$168-D1497)</f>
        <v>859380.865298435</v>
      </c>
      <c r="E1498" s="59" t="n">
        <f aca="false">MAX(0,Pressupostos!$C$168-E1497)</f>
        <v>1030581.97075147</v>
      </c>
      <c r="F1498" s="59" t="n">
        <f aca="false">MAX(0,Pressupostos!$C$168-F1497)</f>
        <v>1189386.33303843</v>
      </c>
      <c r="G1498" s="59" t="n">
        <f aca="false">MAX(0,Pressupostos!$C$168-G1497)</f>
        <v>1329404.50318877</v>
      </c>
      <c r="H1498" s="2" t="s">
        <v>1352</v>
      </c>
    </row>
    <row r="1499" customFormat="false" ht="15" hidden="false" customHeight="false" outlineLevel="1" collapsed="false">
      <c r="A1499" s="52" t="s">
        <v>732</v>
      </c>
      <c r="B1499" s="53" t="s">
        <v>10</v>
      </c>
      <c r="C1499" s="59" t="n">
        <f aca="false">C1497+C1498</f>
        <v>151562.548167808</v>
      </c>
      <c r="D1499" s="59" t="n">
        <f aca="false">D1497+D1498</f>
        <v>150000</v>
      </c>
      <c r="E1499" s="59" t="n">
        <f aca="false">E1497+E1498</f>
        <v>150000</v>
      </c>
      <c r="F1499" s="59" t="n">
        <f aca="false">F1497+F1498</f>
        <v>150000</v>
      </c>
      <c r="G1499" s="59" t="n">
        <f aca="false">G1497+G1498</f>
        <v>150000</v>
      </c>
      <c r="H1499" s="2" t="s">
        <v>1353</v>
      </c>
    </row>
    <row r="1500" customFormat="false" ht="15" hidden="false" customHeight="false" outlineLevel="1" collapsed="false">
      <c r="A1500" s="7" t="s">
        <v>733</v>
      </c>
      <c r="B1500" s="8" t="s">
        <v>10</v>
      </c>
      <c r="C1500" s="58" t="n">
        <f aca="false">C1475+C1478+C1477</f>
        <v>4501.09589041097</v>
      </c>
      <c r="D1500" s="58" t="n">
        <f aca="false">D1475+D1478+D1477</f>
        <v>100040.902825342</v>
      </c>
      <c r="E1500" s="58" t="n">
        <f aca="false">E1475+E1478+E1477</f>
        <v>140763.448202055</v>
      </c>
      <c r="F1500" s="58" t="n">
        <f aca="false">F1475+F1478+F1477</f>
        <v>243777.579195205</v>
      </c>
      <c r="G1500" s="58" t="n">
        <f aca="false">G1475+G1478+G1477</f>
        <v>372349.071061644</v>
      </c>
      <c r="H1500" s="2" t="s">
        <v>1354</v>
      </c>
    </row>
    <row r="1501" customFormat="false" ht="15" hidden="false" customHeight="false" outlineLevel="1" collapsed="false">
      <c r="A1501" s="7" t="s">
        <v>734</v>
      </c>
      <c r="B1501" s="8" t="s">
        <v>10</v>
      </c>
      <c r="C1501" s="58" t="n">
        <f aca="false">C1499+C1500</f>
        <v>156063.644058219</v>
      </c>
      <c r="D1501" s="58" t="n">
        <f aca="false">D1499+D1500</f>
        <v>250040.902825342</v>
      </c>
      <c r="E1501" s="58" t="n">
        <f aca="false">E1499+E1500</f>
        <v>290763.448202055</v>
      </c>
      <c r="F1501" s="58" t="n">
        <f aca="false">F1499+F1500</f>
        <v>393777.579195206</v>
      </c>
      <c r="G1501" s="58" t="n">
        <f aca="false">G1499+G1500</f>
        <v>522349.071061644</v>
      </c>
      <c r="H1501" s="2" t="s">
        <v>1355</v>
      </c>
    </row>
    <row r="1502" customFormat="false" ht="15" hidden="false" customHeight="false" outlineLevel="1" collapsed="false">
      <c r="A1502" s="7" t="s">
        <v>735</v>
      </c>
      <c r="B1502" s="8" t="s">
        <v>10</v>
      </c>
      <c r="C1502" s="58" t="n">
        <f aca="false">C1496+C1498</f>
        <v>1100000</v>
      </c>
      <c r="D1502" s="58" t="n">
        <f aca="false">C1502+D1496+D1498</f>
        <v>1959380.86529843</v>
      </c>
      <c r="E1502" s="58" t="n">
        <f aca="false">D1502+E1496+E1498</f>
        <v>2989962.8360499</v>
      </c>
      <c r="F1502" s="58" t="n">
        <f aca="false">E1502+F1496+F1498</f>
        <v>4179349.16908834</v>
      </c>
      <c r="G1502" s="58" t="n">
        <f aca="false">F1502+G1496+G1498</f>
        <v>5508753.67227711</v>
      </c>
      <c r="H1502" s="2" t="s">
        <v>1356</v>
      </c>
    </row>
    <row r="1503" customFormat="false" ht="15" hidden="false" customHeight="false" outlineLevel="0" collapsed="false">
      <c r="A1503" s="3" t="s">
        <v>1357</v>
      </c>
      <c r="B1503" s="4"/>
      <c r="C1503" s="4"/>
      <c r="D1503" s="4"/>
      <c r="E1503" s="4"/>
      <c r="F1503" s="4"/>
      <c r="G1503" s="4"/>
      <c r="H1503" s="4"/>
    </row>
    <row r="1504" customFormat="false" ht="15" hidden="false" customHeight="false" outlineLevel="1" collapsed="false">
      <c r="A1504" s="7" t="s">
        <v>739</v>
      </c>
      <c r="B1504" s="8" t="s">
        <v>10</v>
      </c>
      <c r="C1504" s="68" t="n">
        <f aca="false">Pressupostos!$C$157+Pressupostos!$C$158+Pressupostos!$C$159+Pressupostos!$C$160+Pressupostos!$C$161</f>
        <v>95000</v>
      </c>
      <c r="H1504" s="2" t="s">
        <v>1358</v>
      </c>
    </row>
    <row r="1505" customFormat="false" ht="15" hidden="false" customHeight="false" outlineLevel="1" collapsed="false">
      <c r="A1505" s="7" t="s">
        <v>740</v>
      </c>
      <c r="B1505" s="8" t="s">
        <v>10</v>
      </c>
      <c r="C1505" s="69" t="n">
        <f aca="false">Pressupostos!$C$106</f>
        <v>50000</v>
      </c>
      <c r="H1505" s="2" t="s">
        <v>1359</v>
      </c>
    </row>
    <row r="1506" customFormat="false" ht="15" hidden="false" customHeight="false" outlineLevel="1" collapsed="false">
      <c r="A1506" s="7" t="s">
        <v>312</v>
      </c>
      <c r="B1506" s="8" t="s">
        <v>10</v>
      </c>
      <c r="C1506" s="69" t="n">
        <f aca="false">Pressupostos!$C$168</f>
        <v>150000</v>
      </c>
      <c r="H1506" s="2" t="s">
        <v>1360</v>
      </c>
    </row>
    <row r="1507" customFormat="false" ht="15" hidden="false" customHeight="false" outlineLevel="1" collapsed="false">
      <c r="A1507" s="7" t="s">
        <v>741</v>
      </c>
      <c r="B1507" s="8" t="s">
        <v>10</v>
      </c>
      <c r="C1507" s="68" t="n">
        <f aca="false">MAX(0,-MIN($C$1491:$G$1491))</f>
        <v>5213753.67227711</v>
      </c>
      <c r="H1507" s="2" t="s">
        <v>1361</v>
      </c>
    </row>
    <row r="1508" customFormat="false" ht="15" hidden="false" customHeight="false" outlineLevel="1" collapsed="false">
      <c r="A1508" s="52" t="s">
        <v>14</v>
      </c>
      <c r="B1508" s="53" t="s">
        <v>10</v>
      </c>
      <c r="C1508" s="70" t="n">
        <f aca="false">C1504+C1505+C1506+C1507</f>
        <v>5508753.67227711</v>
      </c>
      <c r="H1508" s="2" t="s">
        <v>1362</v>
      </c>
    </row>
    <row r="1509" customFormat="false" ht="15" hidden="false" customHeight="false" outlineLevel="1" collapsed="false">
      <c r="A1509" s="7" t="s">
        <v>742</v>
      </c>
      <c r="B1509" s="8" t="s">
        <v>18</v>
      </c>
      <c r="C1509" s="71" t="n">
        <f aca="false">INDEX($C$1248:$G$1248,1,MATCH(MIN($C$1491:$G$1491),$C$1491:$G$1491,0))</f>
        <v>2031</v>
      </c>
      <c r="H1509" s="2" t="s">
        <v>1363</v>
      </c>
    </row>
    <row r="1510" customFormat="false" ht="15" hidden="false" customHeight="false" outlineLevel="1" collapsed="false">
      <c r="A1510" s="7" t="s">
        <v>743</v>
      </c>
      <c r="B1510" s="8"/>
      <c r="C1510" s="72" t="str">
        <f aca="false">IF(G1490&lt;0,"sim","não")</f>
        <v>sim</v>
      </c>
      <c r="H1510" s="2" t="s">
        <v>1364</v>
      </c>
    </row>
    <row r="1511" customFormat="false" ht="15" hidden="false" customHeight="false" outlineLevel="1" collapsed="false">
      <c r="A1511" s="7" t="s">
        <v>744</v>
      </c>
      <c r="B1511" s="8" t="s">
        <v>10</v>
      </c>
      <c r="C1511" s="68" t="n">
        <f aca="false">G1502</f>
        <v>5508753.67227711</v>
      </c>
      <c r="H1511" s="2" t="s">
        <v>1365</v>
      </c>
    </row>
    <row r="1512" customFormat="false" ht="15" hidden="false" customHeight="false" outlineLevel="0" collapsed="false">
      <c r="A1512" s="3" t="s">
        <v>1366</v>
      </c>
      <c r="B1512" s="4"/>
      <c r="C1512" s="4"/>
      <c r="D1512" s="4"/>
      <c r="E1512" s="4"/>
      <c r="F1512" s="4"/>
      <c r="G1512" s="4"/>
      <c r="H1512" s="4"/>
    </row>
    <row r="1513" customFormat="false" ht="15" hidden="false" customHeight="false" outlineLevel="1" collapsed="false">
      <c r="A1513" s="7" t="s">
        <v>746</v>
      </c>
      <c r="B1513" s="8" t="s">
        <v>10</v>
      </c>
      <c r="C1513" s="68" t="n">
        <f aca="false">C1504+C1505</f>
        <v>145000</v>
      </c>
      <c r="H1513" s="2" t="s">
        <v>1367</v>
      </c>
    </row>
    <row r="1514" customFormat="false" ht="15" hidden="false" customHeight="false" outlineLevel="1" collapsed="false">
      <c r="A1514" s="7" t="s">
        <v>747</v>
      </c>
      <c r="B1514" s="8" t="s">
        <v>10</v>
      </c>
      <c r="C1514" s="68" t="n">
        <f aca="false">-SUMPRODUCT(($C$1248:$G$1248&lt;=C1509)*$C$1447:$G$1447)</f>
        <v>4796893.07724286</v>
      </c>
      <c r="H1514" s="2" t="s">
        <v>1368</v>
      </c>
    </row>
    <row r="1515" customFormat="false" ht="15" hidden="false" customHeight="false" outlineLevel="1" collapsed="false">
      <c r="A1515" s="7" t="s">
        <v>407</v>
      </c>
      <c r="B1515" s="8" t="s">
        <v>10</v>
      </c>
      <c r="C1515" s="68" t="n">
        <f aca="false">SUMPRODUCT(($C$1248:$G$1248&lt;=C1509)*$C$1432:$G$1432)</f>
        <v>260000</v>
      </c>
      <c r="H1515" s="2" t="s">
        <v>1369</v>
      </c>
    </row>
    <row r="1516" customFormat="false" ht="15" hidden="false" customHeight="false" outlineLevel="1" collapsed="false">
      <c r="A1516" s="7" t="s">
        <v>748</v>
      </c>
      <c r="B1516" s="8" t="s">
        <v>10</v>
      </c>
      <c r="C1516" s="68" t="n">
        <f aca="false">SUMPRODUCT(($C$1248:$G$1248&lt;=C1509)*$C$1462:$G$1462)</f>
        <v>0</v>
      </c>
      <c r="H1516" s="2" t="s">
        <v>1370</v>
      </c>
    </row>
    <row r="1517" customFormat="false" ht="15" hidden="false" customHeight="false" outlineLevel="1" collapsed="false">
      <c r="A1517" s="7" t="s">
        <v>749</v>
      </c>
      <c r="B1517" s="8" t="s">
        <v>10</v>
      </c>
      <c r="C1517" s="68" t="n">
        <f aca="false">C1507-C1514-C1515-C1516</f>
        <v>156860.595034246</v>
      </c>
      <c r="H1517" s="2" t="s">
        <v>1371</v>
      </c>
    </row>
    <row r="1518" customFormat="false" ht="15" hidden="false" customHeight="false" outlineLevel="1" collapsed="false">
      <c r="A1518" s="7" t="s">
        <v>312</v>
      </c>
      <c r="B1518" s="8" t="s">
        <v>10</v>
      </c>
      <c r="C1518" s="68" t="n">
        <f aca="false">C1506</f>
        <v>150000</v>
      </c>
      <c r="H1518" s="2" t="s">
        <v>1372</v>
      </c>
    </row>
    <row r="1519" customFormat="false" ht="15" hidden="false" customHeight="false" outlineLevel="1" collapsed="false">
      <c r="A1519" s="52" t="s">
        <v>750</v>
      </c>
      <c r="B1519" s="53" t="s">
        <v>10</v>
      </c>
      <c r="C1519" s="70" t="n">
        <f aca="false">C1513+C1514+C1515+C1516+C1517+C1518</f>
        <v>5508753.67227711</v>
      </c>
      <c r="H1519" s="2" t="s">
        <v>1373</v>
      </c>
    </row>
    <row r="1520" customFormat="false" ht="15" hidden="false" customHeight="false" outlineLevel="0" collapsed="false">
      <c r="A1520" s="3" t="s">
        <v>1374</v>
      </c>
      <c r="B1520" s="4"/>
      <c r="C1520" s="4"/>
      <c r="D1520" s="4"/>
      <c r="E1520" s="4"/>
      <c r="F1520" s="4"/>
      <c r="G1520" s="4"/>
      <c r="H1520" s="4"/>
    </row>
    <row r="1521" customFormat="false" ht="15" hidden="false" customHeight="false" outlineLevel="1" collapsed="false">
      <c r="A1521" s="7" t="s">
        <v>729</v>
      </c>
      <c r="B1521" s="8" t="s">
        <v>10</v>
      </c>
      <c r="C1521" s="69" t="n">
        <f aca="false">Pressupostos!$D$32</f>
        <v>1100000</v>
      </c>
      <c r="H1521" s="2" t="s">
        <v>1375</v>
      </c>
    </row>
    <row r="1522" customFormat="false" ht="15" hidden="false" customHeight="false" outlineLevel="1" collapsed="false">
      <c r="A1522" s="7" t="s">
        <v>752</v>
      </c>
      <c r="B1522" s="8" t="s">
        <v>10</v>
      </c>
      <c r="C1522" s="68" t="n">
        <f aca="false">C1504+Pressupostos!$C$106+Pressupostos!$C$128/12*((C1408-C1396-C1397+(C1396+C1397)/Pressupostos!$C$126*Pressupostos!$C$127)*(1+Pressupostos!$C$122+Pressupostos!$C$123)+C1394*Pressupostos!$C$124+C1427)+C1432+MAX(0,Pressupostos!$C$181*1000*(C1267+C1270)+Pressupostos!$C$182*1000*(C1290+C1293)-Pressupostos!$C$106)</f>
        <v>734421.666666667</v>
      </c>
      <c r="H1522" s="2" t="s">
        <v>1376</v>
      </c>
    </row>
    <row r="1523" customFormat="false" ht="15" hidden="false" customHeight="false" outlineLevel="1" collapsed="false">
      <c r="A1523" s="7" t="s">
        <v>754</v>
      </c>
      <c r="B1523" s="8" t="s">
        <v>10</v>
      </c>
      <c r="C1523" s="68" t="n">
        <f aca="false">C1504+Pressupostos!$C$106-C1490</f>
        <v>948437.451832192</v>
      </c>
      <c r="H1523" s="2" t="s">
        <v>1377</v>
      </c>
    </row>
    <row r="1524" customFormat="false" ht="15" hidden="false" customHeight="false" outlineLevel="1" collapsed="false">
      <c r="A1524" s="7" t="s">
        <v>755</v>
      </c>
      <c r="B1524" s="8" t="s">
        <v>10</v>
      </c>
      <c r="C1524" s="58" t="n">
        <f aca="false">Pressupostos!$D$32-C1504-Pressupostos!$C$106+C1491</f>
        <v>151562.548167808</v>
      </c>
      <c r="D1524" s="58" t="n">
        <f aca="false">Pressupostos!$D$32-C1504-Pressupostos!$C$106+D1491</f>
        <v>-709380.865298435</v>
      </c>
      <c r="E1524" s="58" t="n">
        <f aca="false">Pressupostos!$D$32-C1504-Pressupostos!$C$106+E1491</f>
        <v>-1739962.8360499</v>
      </c>
      <c r="F1524" s="58" t="n">
        <f aca="false">Pressupostos!$D$32-C1504-Pressupostos!$C$106+F1491</f>
        <v>-2929349.16908834</v>
      </c>
      <c r="G1524" s="58" t="n">
        <f aca="false">Pressupostos!$D$32-C1504-Pressupostos!$C$106+G1491</f>
        <v>-4258753.67227711</v>
      </c>
      <c r="H1524" s="2" t="s">
        <v>1378</v>
      </c>
    </row>
    <row r="1525" customFormat="false" ht="15" hidden="false" customHeight="false" outlineLevel="1" collapsed="false">
      <c r="A1525" s="7" t="s">
        <v>756</v>
      </c>
      <c r="B1525" s="8" t="s">
        <v>16</v>
      </c>
      <c r="C1525" s="73" t="str">
        <f aca="false">IF(AND(Pressupostos!$D$32-C1504-Pressupostos!$C$106&gt;0,C1524&lt;=0),12*(Pressupostos!$D$32-C1504-Pressupostos!$C$106)/(Pressupostos!$D$32-C1504-Pressupostos!$C$106-C1524),"")</f>
        <v/>
      </c>
      <c r="D1525" s="73" t="n">
        <f aca="false">IF(AND(C1524&gt;0,D1524&lt;=0),12+12*C1524/(C1524-D1524),"")</f>
        <v>14.1125088473483</v>
      </c>
      <c r="E1525" s="73" t="str">
        <f aca="false">IF(AND(D1524&gt;0,E1524&lt;=0),24+12*D1524/(D1524-E1524),"")</f>
        <v/>
      </c>
      <c r="F1525" s="73" t="str">
        <f aca="false">IF(AND(E1524&gt;0,F1524&lt;=0),36+12*E1524/(E1524-F1524),"")</f>
        <v/>
      </c>
      <c r="G1525" s="73" t="str">
        <f aca="false">IF(AND(F1524&gt;0,G1524&lt;=0),48+12*F1524/(F1524-G1524),"")</f>
        <v/>
      </c>
      <c r="H1525" s="2" t="s">
        <v>1379</v>
      </c>
    </row>
    <row r="1526" customFormat="false" ht="15" hidden="false" customHeight="false" outlineLevel="1" collapsed="false">
      <c r="A1526" s="52" t="s">
        <v>757</v>
      </c>
      <c r="B1526" s="53" t="s">
        <v>264</v>
      </c>
      <c r="C1526" s="74" t="n">
        <f aca="false">IF(COUNT($C$1525:$G$1525)=0,"&gt; 60",MIN($C$1525:$G$1525))</f>
        <v>14.1125088473483</v>
      </c>
      <c r="H1526" s="2" t="s">
        <v>1380</v>
      </c>
    </row>
    <row r="1527" customFormat="false" ht="15" hidden="false" customHeight="false" outlineLevel="0" collapsed="false">
      <c r="A1527" s="3" t="s">
        <v>1381</v>
      </c>
      <c r="B1527" s="4"/>
      <c r="C1527" s="4"/>
      <c r="D1527" s="4"/>
      <c r="E1527" s="4"/>
      <c r="F1527" s="4"/>
      <c r="G1527" s="4"/>
      <c r="H1527" s="4"/>
    </row>
    <row r="1528" customFormat="false" ht="15" hidden="false" customHeight="false" outlineLevel="1" collapsed="false">
      <c r="A1528" s="7" t="s">
        <v>759</v>
      </c>
      <c r="B1528" s="8" t="s">
        <v>16</v>
      </c>
      <c r="C1528" s="73" t="str">
        <f aca="false">IF(C1447&gt;=0,1,"")</f>
        <v/>
      </c>
      <c r="D1528" s="73" t="str">
        <f aca="false">IF(AND(C1447&lt;0,D1447&gt;=0),6.5+12*(-C1447)/(D1447-C1447),"")</f>
        <v/>
      </c>
      <c r="E1528" s="73" t="str">
        <f aca="false">IF(AND(D1447&lt;0,E1447&gt;=0),18.5+12*(-D1447)/(E1447-D1447),"")</f>
        <v/>
      </c>
      <c r="F1528" s="73" t="str">
        <f aca="false">IF(AND(E1447&lt;0,F1447&gt;=0),30.5+12*(-E1447)/(F1447-E1447),"")</f>
        <v/>
      </c>
      <c r="G1528" s="73" t="str">
        <f aca="false">IF(AND(F1447&lt;0,G1447&gt;=0),42.5+12*(-F1447)/(G1447-F1447),"")</f>
        <v/>
      </c>
      <c r="H1528" s="2" t="s">
        <v>1382</v>
      </c>
    </row>
    <row r="1529" customFormat="false" ht="15" hidden="false" customHeight="false" outlineLevel="1" collapsed="false">
      <c r="A1529" s="7" t="s">
        <v>760</v>
      </c>
      <c r="B1529" s="8" t="s">
        <v>16</v>
      </c>
      <c r="C1529" s="75" t="str">
        <f aca="false">IF(COUNT($C$1528:$G$1528)=0,"não atinge até 2031",ROUNDUP(MIN($C$1528:$G$1528),0))</f>
        <v>não atinge até 2031</v>
      </c>
      <c r="H1529" s="2" t="s">
        <v>1383</v>
      </c>
    </row>
    <row r="1530" customFormat="false" ht="15" hidden="false" customHeight="false" outlineLevel="1" collapsed="false">
      <c r="A1530" s="52" t="s">
        <v>761</v>
      </c>
      <c r="B1530" s="53" t="s">
        <v>762</v>
      </c>
      <c r="C1530" s="76" t="str">
        <f aca="false">IF(ISNUMBER(C1529),DATE(2027,C1529,1),"não atinge até 2031")</f>
        <v>não atinge até 2031</v>
      </c>
      <c r="H1530" s="2" t="s">
        <v>1384</v>
      </c>
    </row>
    <row r="1531" customFormat="false" ht="15" hidden="false" customHeight="false" outlineLevel="1" collapsed="false">
      <c r="A1531" s="7" t="s">
        <v>763</v>
      </c>
      <c r="B1531" s="8" t="s">
        <v>18</v>
      </c>
      <c r="C1531" s="77" t="str">
        <f aca="false">IF(C1447&gt;=0,C1248,"")</f>
        <v/>
      </c>
      <c r="D1531" s="77" t="str">
        <f aca="false">IF(D1447&gt;=0,D1248,"")</f>
        <v/>
      </c>
      <c r="E1531" s="77" t="str">
        <f aca="false">IF(E1447&gt;=0,E1248,"")</f>
        <v/>
      </c>
      <c r="F1531" s="77" t="str">
        <f aca="false">IF(F1447&gt;=0,F1248,"")</f>
        <v/>
      </c>
      <c r="G1531" s="77" t="str">
        <f aca="false">IF(G1447&gt;=0,G1248,"")</f>
        <v/>
      </c>
      <c r="H1531" s="2" t="s">
        <v>1385</v>
      </c>
    </row>
    <row r="1532" customFormat="false" ht="15" hidden="false" customHeight="false" outlineLevel="1" collapsed="false">
      <c r="A1532" s="7" t="s">
        <v>764</v>
      </c>
      <c r="B1532" s="8" t="s">
        <v>18</v>
      </c>
      <c r="C1532" s="71" t="str">
        <f aca="false">IF(COUNT($C$1531:$G$1531)=0,"não atinge até 2031",MIN($C$1531:$G$1531))</f>
        <v>não atinge até 2031</v>
      </c>
      <c r="H1532" s="2" t="s">
        <v>1386</v>
      </c>
    </row>
    <row r="1533" customFormat="false" ht="15" hidden="false" customHeight="false" outlineLevel="1" collapsed="false">
      <c r="A1533" s="7" t="s">
        <v>765</v>
      </c>
      <c r="B1533" s="8" t="s">
        <v>18</v>
      </c>
      <c r="C1533" s="77" t="str">
        <f aca="false">IF(C1465&gt;=0,C1248,"")</f>
        <v/>
      </c>
      <c r="D1533" s="77" t="str">
        <f aca="false">IF(D1465&gt;=0,D1248,"")</f>
        <v/>
      </c>
      <c r="E1533" s="77" t="str">
        <f aca="false">IF(E1465&gt;=0,E1248,"")</f>
        <v/>
      </c>
      <c r="F1533" s="77" t="str">
        <f aca="false">IF(F1465&gt;=0,F1248,"")</f>
        <v/>
      </c>
      <c r="G1533" s="77" t="str">
        <f aca="false">IF(G1465&gt;=0,G1248,"")</f>
        <v/>
      </c>
      <c r="H1533" s="2" t="s">
        <v>1387</v>
      </c>
    </row>
    <row r="1534" customFormat="false" ht="15" hidden="false" customHeight="false" outlineLevel="1" collapsed="false">
      <c r="A1534" s="7" t="s">
        <v>766</v>
      </c>
      <c r="B1534" s="8" t="s">
        <v>18</v>
      </c>
      <c r="C1534" s="71" t="str">
        <f aca="false">IF(COUNT($C$1533:$G$1533)=0,"não atinge até 2031",MIN($C$1533:$G$1533))</f>
        <v>não atinge até 2031</v>
      </c>
      <c r="H1534" s="2" t="s">
        <v>1388</v>
      </c>
    </row>
    <row r="1535" customFormat="false" ht="15" hidden="false" customHeight="false" outlineLevel="1" collapsed="false">
      <c r="A1535" s="7" t="s">
        <v>767</v>
      </c>
      <c r="B1535" s="8" t="s">
        <v>18</v>
      </c>
      <c r="C1535" s="77" t="str">
        <f aca="false">IF(C1490&gt;=0,C1248,"")</f>
        <v/>
      </c>
      <c r="D1535" s="77" t="str">
        <f aca="false">IF(D1490&gt;=0,D1248,"")</f>
        <v/>
      </c>
      <c r="E1535" s="77" t="str">
        <f aca="false">IF(E1490&gt;=0,E1248,"")</f>
        <v/>
      </c>
      <c r="F1535" s="77" t="str">
        <f aca="false">IF(F1490&gt;=0,F1248,"")</f>
        <v/>
      </c>
      <c r="G1535" s="77" t="str">
        <f aca="false">IF(G1490&gt;=0,G1248,"")</f>
        <v/>
      </c>
      <c r="H1535" s="2" t="s">
        <v>1389</v>
      </c>
    </row>
    <row r="1536" customFormat="false" ht="15" hidden="false" customHeight="false" outlineLevel="1" collapsed="false">
      <c r="A1536" s="7" t="s">
        <v>17</v>
      </c>
      <c r="B1536" s="8" t="s">
        <v>18</v>
      </c>
      <c r="C1536" s="71" t="str">
        <f aca="false">IF(COUNT($C$1535:$G$1535)=0,"não atinge até 2031",MIN($C$1535:$G$1535))</f>
        <v>não atinge até 2031</v>
      </c>
      <c r="H1536" s="2" t="s">
        <v>1390</v>
      </c>
    </row>
    <row r="1537" customFormat="false" ht="15" hidden="false" customHeight="false" outlineLevel="0" collapsed="false">
      <c r="A1537" s="3" t="s">
        <v>1391</v>
      </c>
      <c r="B1537" s="4"/>
      <c r="C1537" s="4"/>
      <c r="D1537" s="4"/>
      <c r="E1537" s="4"/>
      <c r="F1537" s="4"/>
      <c r="G1537" s="4"/>
      <c r="H1537" s="4"/>
    </row>
    <row r="1538" customFormat="false" ht="15" hidden="false" customHeight="false" outlineLevel="1" collapsed="false">
      <c r="A1538" s="7" t="s">
        <v>769</v>
      </c>
      <c r="B1538" s="8" t="s">
        <v>10</v>
      </c>
      <c r="C1538" s="58" t="n">
        <f aca="false">C1473</f>
        <v>0</v>
      </c>
      <c r="D1538" s="58" t="n">
        <f aca="false">D1473</f>
        <v>310598.707191781</v>
      </c>
      <c r="E1538" s="58" t="n">
        <f aca="false">E1473</f>
        <v>563053.792808219</v>
      </c>
      <c r="F1538" s="58" t="n">
        <f aca="false">F1473</f>
        <v>975110.316780822</v>
      </c>
      <c r="G1538" s="58" t="n">
        <f aca="false">G1473</f>
        <v>1489396.28424658</v>
      </c>
      <c r="H1538" s="2" t="s">
        <v>1392</v>
      </c>
    </row>
    <row r="1539" customFormat="false" ht="15" hidden="false" customHeight="false" outlineLevel="1" collapsed="false">
      <c r="A1539" s="7" t="s">
        <v>487</v>
      </c>
      <c r="B1539" s="8" t="s">
        <v>71</v>
      </c>
      <c r="C1539" s="78" t="n">
        <f aca="false">Pressupostos!$C$283</f>
        <v>0.08</v>
      </c>
      <c r="D1539" s="78" t="n">
        <f aca="false">Pressupostos!$D$283</f>
        <v>0.08</v>
      </c>
      <c r="E1539" s="78" t="n">
        <f aca="false">Pressupostos!$E$283</f>
        <v>0.075</v>
      </c>
      <c r="F1539" s="78" t="n">
        <f aca="false">Pressupostos!$F$283</f>
        <v>0.07</v>
      </c>
      <c r="G1539" s="78" t="n">
        <f aca="false">Pressupostos!$G$283</f>
        <v>0.07</v>
      </c>
      <c r="H1539" s="2" t="s">
        <v>1393</v>
      </c>
    </row>
    <row r="1540" customFormat="false" ht="15" hidden="false" customHeight="false" outlineLevel="1" collapsed="false">
      <c r="A1540" s="7" t="s">
        <v>770</v>
      </c>
      <c r="B1540" s="8" t="s">
        <v>71</v>
      </c>
      <c r="C1540" s="56" t="n">
        <f aca="false">Pressupostos!$C$283*(1-Pressupostos!$C$109)</f>
        <v>0.0576</v>
      </c>
      <c r="D1540" s="56" t="n">
        <f aca="false">Pressupostos!$D$283*(1-Pressupostos!$C$109)</f>
        <v>0.0576</v>
      </c>
      <c r="E1540" s="56" t="n">
        <f aca="false">Pressupostos!$E$283*(1-Pressupostos!$C$109)</f>
        <v>0.054</v>
      </c>
      <c r="F1540" s="56" t="n">
        <f aca="false">Pressupostos!$F$283*(1-Pressupostos!$C$109)</f>
        <v>0.0504</v>
      </c>
      <c r="G1540" s="56" t="n">
        <f aca="false">Pressupostos!$G$283*(1-Pressupostos!$C$109)</f>
        <v>0.0504</v>
      </c>
      <c r="H1540" s="2" t="s">
        <v>1394</v>
      </c>
    </row>
    <row r="1541" customFormat="false" ht="15" hidden="false" customHeight="false" outlineLevel="1" collapsed="false">
      <c r="A1541" s="7" t="s">
        <v>771</v>
      </c>
      <c r="B1541" s="8" t="s">
        <v>10</v>
      </c>
      <c r="C1541" s="58" t="n">
        <f aca="false">C1379</f>
        <v>0</v>
      </c>
      <c r="D1541" s="58" t="n">
        <f aca="false">D1379</f>
        <v>23317.0273972603</v>
      </c>
      <c r="E1541" s="58" t="n">
        <f aca="false">E1379</f>
        <v>38771.0637842466</v>
      </c>
      <c r="F1541" s="58" t="n">
        <f aca="false">F1379</f>
        <v>62547.834760274</v>
      </c>
      <c r="G1541" s="58" t="n">
        <f aca="false">G1379</f>
        <v>95536.1558219178</v>
      </c>
      <c r="H1541" s="2" t="s">
        <v>1395</v>
      </c>
    </row>
    <row r="1542" customFormat="false" ht="15" hidden="false" customHeight="false" outlineLevel="1" collapsed="false">
      <c r="A1542" s="7" t="s">
        <v>772</v>
      </c>
      <c r="B1542" s="8" t="s">
        <v>71</v>
      </c>
      <c r="C1542" s="55" t="n">
        <f aca="false">IF(C1473&gt;0,(C1476+C1478)/C1473,0)</f>
        <v>0</v>
      </c>
      <c r="D1542" s="55" t="n">
        <f aca="false">IF(D1473&gt;0,(D1476+D1478)/D1473,0)</f>
        <v>0.138888888888889</v>
      </c>
      <c r="E1542" s="55" t="n">
        <f aca="false">IF(E1473&gt;0,(E1476+E1478)/E1473,0)</f>
        <v>0.138888888888889</v>
      </c>
      <c r="F1542" s="55" t="n">
        <f aca="false">IF(F1473&gt;0,(F1476+F1478)/F1473,0)</f>
        <v>0.138888888888889</v>
      </c>
      <c r="G1542" s="55" t="n">
        <f aca="false">IF(G1473&gt;0,(G1476+G1478)/G1473,0)</f>
        <v>0.138888888888889</v>
      </c>
      <c r="H1542" s="2" t="s">
        <v>1396</v>
      </c>
    </row>
    <row r="1543" customFormat="false" ht="15" hidden="false" customHeight="false" outlineLevel="1" collapsed="false">
      <c r="A1543" s="7" t="s">
        <v>773</v>
      </c>
      <c r="B1543" s="8" t="s">
        <v>115</v>
      </c>
      <c r="C1543" s="58" t="n">
        <f aca="false">C1479</f>
        <v>0</v>
      </c>
      <c r="D1543" s="58" t="n">
        <f aca="false">D1479</f>
        <v>6.21197414383562</v>
      </c>
      <c r="E1543" s="58" t="n">
        <f aca="false">E1479</f>
        <v>11.2610758561644</v>
      </c>
      <c r="F1543" s="58" t="n">
        <f aca="false">F1479</f>
        <v>19.5022063356164</v>
      </c>
      <c r="G1543" s="58" t="n">
        <f aca="false">G1479</f>
        <v>29.7879256849315</v>
      </c>
      <c r="H1543" s="2" t="s">
        <v>1397</v>
      </c>
    </row>
    <row r="1544" customFormat="false" ht="15" hidden="false" customHeight="false" outlineLevel="0" collapsed="false">
      <c r="A1544" s="3" t="s">
        <v>1398</v>
      </c>
      <c r="B1544" s="4"/>
      <c r="C1544" s="4"/>
      <c r="D1544" s="4"/>
      <c r="E1544" s="4"/>
      <c r="F1544" s="4"/>
      <c r="G1544" s="4"/>
      <c r="H1544" s="4"/>
    </row>
    <row r="1545" customFormat="false" ht="15" hidden="false" customHeight="false" outlineLevel="1" collapsed="false">
      <c r="A1545" s="7" t="s">
        <v>775</v>
      </c>
      <c r="B1545" s="8" t="s">
        <v>10</v>
      </c>
      <c r="C1545" s="58" t="n">
        <f aca="false">MAX(0,-C1447)</f>
        <v>711437.451832192</v>
      </c>
      <c r="D1545" s="58" t="n">
        <f aca="false">MAX(0,-D1447)</f>
        <v>801413.478106654</v>
      </c>
      <c r="E1545" s="58" t="n">
        <f aca="false">MAX(0,-E1447)</f>
        <v>969909.990443249</v>
      </c>
      <c r="F1545" s="58" t="n">
        <f aca="false">MAX(0,-F1447)</f>
        <v>1094156.26026446</v>
      </c>
      <c r="G1545" s="58" t="n">
        <f aca="false">MAX(0,-G1447)</f>
        <v>1219975.89659631</v>
      </c>
      <c r="H1545" s="2" t="s">
        <v>1399</v>
      </c>
    </row>
    <row r="1546" customFormat="false" ht="15" hidden="false" customHeight="false" outlineLevel="1" collapsed="false">
      <c r="A1546" s="2" t="s">
        <v>776</v>
      </c>
      <c r="B1546" s="8"/>
      <c r="C1546" s="58" t="n">
        <f aca="false">IF(AND(C1248&gt;=Pressupostos!$C$118,Pressupostos!$C$116*(C1336+C1337)+Pressupostos!$C$117*C1338&gt;Pressupostos!$C$295),1,0)</f>
        <v>0</v>
      </c>
      <c r="D1546" s="58" t="n">
        <f aca="false">IF(AND(D1248&gt;=Pressupostos!$C$118,Pressupostos!$C$116*(D1336+D1337)+Pressupostos!$C$117*D1338&gt;Pressupostos!$D$295),1,0)</f>
        <v>1</v>
      </c>
      <c r="E1546" s="58" t="n">
        <f aca="false">IF(AND(E1248&gt;=Pressupostos!$C$118,Pressupostos!$C$116*(E1336+E1337)+Pressupostos!$C$117*E1338&gt;Pressupostos!$E$295),1,0)</f>
        <v>1</v>
      </c>
      <c r="F1546" s="58" t="n">
        <f aca="false">IF(AND(F1248&gt;=Pressupostos!$C$118,Pressupostos!$C$116*(F1336+F1337)+Pressupostos!$C$117*F1338&gt;Pressupostos!$F$295),1,0)</f>
        <v>1</v>
      </c>
      <c r="G1546" s="58" t="n">
        <f aca="false">IF(AND(G1248&gt;=Pressupostos!$C$118,Pressupostos!$C$116*(G1336+G1337)+Pressupostos!$C$117*G1338&gt;Pressupostos!$G$295),1,0)</f>
        <v>1</v>
      </c>
      <c r="H1546" s="2" t="s">
        <v>1400</v>
      </c>
    </row>
    <row r="1547" customFormat="false" ht="15" hidden="false" customHeight="false" outlineLevel="1" collapsed="false">
      <c r="A1547" s="7" t="s">
        <v>777</v>
      </c>
      <c r="B1547" s="8" t="s">
        <v>59</v>
      </c>
      <c r="C1547" s="60" t="n">
        <f aca="false">IF(C1252&gt;0,C1545/(C1252*1000*(1-Pressupostos!$D$22)*(1-Pressupostos!$D$25-C1546*Pressupostos!$C$116)),"n/a")</f>
        <v>13.7226574306032</v>
      </c>
      <c r="D1547" s="60" t="n">
        <f aca="false">IF(D1252&gt;0,D1545/(D1252*1000*(1-Pressupostos!$D$22)*(1-Pressupostos!$D$25-D1546*Pressupostos!$C$116)),"n/a")</f>
        <v>2.22331382516917</v>
      </c>
      <c r="E1547" s="60" t="n">
        <f aca="false">IF(E1252&gt;0,E1545/(E1252*1000*(1-Pressupostos!$D$22)*(1-Pressupostos!$D$25-E1546*Pressupostos!$C$116)),"n/a")</f>
        <v>1.36226948534195</v>
      </c>
      <c r="F1547" s="60" t="n">
        <f aca="false">IF(F1252&gt;0,F1545/(F1252*1000*(1-Pressupostos!$D$22)*(1-Pressupostos!$D$25-F1546*Pressupostos!$C$116)),"n/a")</f>
        <v>0.931419565244505</v>
      </c>
      <c r="G1547" s="60" t="n">
        <f aca="false">IF(G1252&gt;0,G1545/(G1252*1000*(1-Pressupostos!$D$22)*(1-Pressupostos!$D$25-G1546*Pressupostos!$C$116)),"n/a")</f>
        <v>0.686355267091038</v>
      </c>
      <c r="H1547" s="2" t="s">
        <v>1401</v>
      </c>
    </row>
    <row r="1548" customFormat="false" ht="15" hidden="false" customHeight="false" outlineLevel="1" collapsed="false">
      <c r="A1548" s="7" t="s">
        <v>778</v>
      </c>
      <c r="B1548" s="8" t="s">
        <v>59</v>
      </c>
      <c r="C1548" s="60" t="n">
        <f aca="false">IF(C1251&gt;0,Pressupostos!$D$15+C1545/(C1251*1000*(1-(Pressupostos!$C$189))*(1-Pressupostos!$D$18-C1546*Pressupostos!$C$116)),"n/a")</f>
        <v>105.057200401323</v>
      </c>
      <c r="D1548" s="60" t="n">
        <f aca="false">IF(D1251&gt;0,Pressupostos!$D$15+D1545/(D1251*1000*(1-(Pressupostos!$C$189))*(1-Pressupostos!$D$18-D1546*Pressupostos!$C$116)),"n/a")</f>
        <v>29.9595664788016</v>
      </c>
      <c r="E1548" s="60" t="n">
        <f aca="false">IF(E1251&gt;0,Pressupostos!$D$15+E1545/(E1251*1000*(1-(Pressupostos!$C$189))*(1-Pressupostos!$D$18-E1546*Pressupostos!$C$116)),"n/a")</f>
        <v>13.8346872268487</v>
      </c>
      <c r="F1548" s="60" t="n">
        <f aca="false">IF(F1251&gt;0,Pressupostos!$D$15+F1545/(F1251*1000*(1-(Pressupostos!$C$189))*(1-Pressupostos!$D$18-F1546*Pressupostos!$C$116)),"n/a")</f>
        <v>10.2492856583499</v>
      </c>
      <c r="G1548" s="60" t="n">
        <f aca="false">IF(G1251&gt;0,Pressupostos!$D$15+G1545/(G1251*1000*(1-(Pressupostos!$C$189))*(1-Pressupostos!$D$18-G1546*Pressupostos!$C$116)),"n/a")</f>
        <v>8.98956337520546</v>
      </c>
      <c r="H1548" s="2" t="s">
        <v>1402</v>
      </c>
    </row>
    <row r="1549" customFormat="false" ht="15" hidden="false" customHeight="false" outlineLevel="1" collapsed="false">
      <c r="A1549" s="7" t="s">
        <v>779</v>
      </c>
      <c r="B1549" s="8" t="s">
        <v>59</v>
      </c>
      <c r="C1549" s="60" t="n">
        <f aca="false">C1332-C1546*Pressupostos!$C$117*C1315</f>
        <v>0.058762328767124</v>
      </c>
      <c r="D1549" s="60" t="n">
        <f aca="false">D1332-D1546*Pressupostos!$C$117*D1315</f>
        <v>0.0255719178082197</v>
      </c>
      <c r="E1549" s="60" t="n">
        <f aca="false">E1332-E1546*Pressupostos!$C$117*E1315</f>
        <v>0.0271900684931515</v>
      </c>
      <c r="F1549" s="60" t="n">
        <f aca="false">F1332-F1546*Pressupostos!$C$117*F1315</f>
        <v>0.0288082191780828</v>
      </c>
      <c r="G1549" s="60" t="n">
        <f aca="false">G1332-G1546*Pressupostos!$C$117*G1315</f>
        <v>0.0288082191780828</v>
      </c>
      <c r="H1549" s="2" t="s">
        <v>1403</v>
      </c>
    </row>
    <row r="1550" customFormat="false" ht="15" hidden="false" customHeight="false" outlineLevel="1" collapsed="false">
      <c r="A1550" s="7" t="s">
        <v>780</v>
      </c>
      <c r="B1550" s="8" t="s">
        <v>112</v>
      </c>
      <c r="C1550" s="57" t="n">
        <f aca="false">IF(C1549&gt;0,C1253+C1545/(C1549*1000),"n/a")</f>
        <v>12107.0329709299</v>
      </c>
      <c r="D1550" s="57" t="n">
        <f aca="false">IF(D1549&gt;0,D1253+D1545/(D1549*1000),"n/a")</f>
        <v>31339.5922870146</v>
      </c>
      <c r="E1550" s="57" t="n">
        <f aca="false">IF(E1549&gt;0,E1253+E1545/(E1549*1000),"n/a")</f>
        <v>35671.4802203439</v>
      </c>
      <c r="F1550" s="57" t="n">
        <f aca="false">IF(F1549&gt;0,F1253+F1545/(F1549*1000),"n/a")</f>
        <v>37980.697574562</v>
      </c>
      <c r="G1550" s="57" t="n">
        <f aca="false">IF(G1549&gt;0,G1253+G1545/(G1549*1000),"n/a")</f>
        <v>42348.1885171319</v>
      </c>
      <c r="H1550" s="2" t="s">
        <v>1404</v>
      </c>
    </row>
    <row r="1551" customFormat="false" ht="15" hidden="false" customHeight="false" outlineLevel="1" collapsed="false">
      <c r="A1551" s="7" t="s">
        <v>781</v>
      </c>
      <c r="B1551" s="8" t="s">
        <v>71</v>
      </c>
      <c r="C1551" s="55" t="n">
        <f aca="false">C1545/(C1411+C1424+C1425)</f>
        <v>0.988127343113512</v>
      </c>
      <c r="D1551" s="55" t="n">
        <f aca="false">D1545/(D1411+D1424+D1425)</f>
        <v>0.973023859650716</v>
      </c>
      <c r="E1551" s="55" t="n">
        <f aca="false">E1545/(E1411+E1424+E1425)</f>
        <v>0.902941824466644</v>
      </c>
      <c r="F1551" s="55" t="n">
        <f aca="false">F1545/(F1411+F1424+F1425)</f>
        <v>0.838343906683493</v>
      </c>
      <c r="G1551" s="55" t="n">
        <f aca="false">G1545/(G1411+G1424+G1425)</f>
        <v>0.781458857228551</v>
      </c>
      <c r="H1551" s="2" t="s">
        <v>1405</v>
      </c>
    </row>
    <row r="1552" customFormat="false" ht="15" hidden="false" customHeight="false" outlineLevel="1" collapsed="false">
      <c r="A1552" s="2" t="s">
        <v>782</v>
      </c>
      <c r="B1552" s="8" t="s">
        <v>71</v>
      </c>
      <c r="C1552" s="56" t="n">
        <f aca="false">Pressupostos!$C$99*Pressupostos!$C$100+Pressupostos!$C$101-Pressupostos!$D$30*Pressupostos!$C$102*Pressupostos!$C$100/(Pressupostos!$C$103*Pressupostos!$C$104)</f>
        <v>0.00354285714285715</v>
      </c>
      <c r="D1552" s="56" t="n">
        <f aca="false">Pressupostos!$C$99*Pressupostos!$C$100+Pressupostos!$C$101-Pressupostos!$D$30*Pressupostos!$C$102*Pressupostos!$C$100/(Pressupostos!$C$103*Pressupostos!$C$104)</f>
        <v>0.00354285714285715</v>
      </c>
      <c r="E1552" s="56" t="n">
        <f aca="false">Pressupostos!$C$99*Pressupostos!$C$100+Pressupostos!$C$101-Pressupostos!$D$30*Pressupostos!$C$102*Pressupostos!$C$100/(Pressupostos!$C$103*Pressupostos!$C$104)</f>
        <v>0.00354285714285715</v>
      </c>
      <c r="F1552" s="56" t="n">
        <f aca="false">Pressupostos!$C$99*Pressupostos!$C$100+Pressupostos!$C$101-Pressupostos!$D$30*Pressupostos!$C$102*Pressupostos!$C$100/(Pressupostos!$C$103*Pressupostos!$C$104)</f>
        <v>0.00354285714285715</v>
      </c>
      <c r="G1552" s="56" t="n">
        <f aca="false">Pressupostos!$C$99*Pressupostos!$C$100+Pressupostos!$C$101-Pressupostos!$D$30*Pressupostos!$C$102*Pressupostos!$C$100/(Pressupostos!$C$103*Pressupostos!$C$104)</f>
        <v>0.00354285714285715</v>
      </c>
      <c r="H1552" s="2" t="s">
        <v>1406</v>
      </c>
    </row>
    <row r="1553" customFormat="false" ht="15" hidden="false" customHeight="false" outlineLevel="1" collapsed="false">
      <c r="A1553" s="7" t="s">
        <v>783</v>
      </c>
      <c r="B1553" s="8" t="s">
        <v>10</v>
      </c>
      <c r="C1553" s="58" t="n">
        <f aca="false">IF(C1552&gt;0,C1264+C1545/C1552,"n/a")</f>
        <v>200808958.178441</v>
      </c>
      <c r="D1553" s="58" t="n">
        <f aca="false">IF(D1552&gt;0,D1264+D1545/D1552,"n/a")</f>
        <v>226705417.207523</v>
      </c>
      <c r="E1553" s="58" t="n">
        <f aca="false">IF(E1552&gt;0,E1264+E1545/E1552,"n/a")</f>
        <v>275264916.657368</v>
      </c>
      <c r="F1553" s="58" t="n">
        <f aca="false">IF(F1552&gt;0,F1264+F1545/F1552,"n/a")</f>
        <v>311834428.300452</v>
      </c>
      <c r="G1553" s="58" t="n">
        <f aca="false">IF(G1552&gt;0,G1264+G1545/G1552,"n/a")</f>
        <v>349348035.329602</v>
      </c>
      <c r="H1553" s="2" t="s">
        <v>1407</v>
      </c>
    </row>
    <row r="1556" customFormat="false" ht="15" hidden="false" customHeight="false" outlineLevel="0" collapsed="false">
      <c r="A1556" s="104" t="s">
        <v>1412</v>
      </c>
      <c r="B1556" s="105"/>
      <c r="C1556" s="105"/>
      <c r="D1556" s="105"/>
      <c r="E1556" s="105"/>
      <c r="F1556" s="105"/>
      <c r="G1556" s="105"/>
      <c r="H1556" s="105"/>
    </row>
    <row r="1557" customFormat="false" ht="15" hidden="false" customHeight="false" outlineLevel="0" collapsed="false">
      <c r="A1557" s="3" t="s">
        <v>1102</v>
      </c>
      <c r="B1557" s="4"/>
      <c r="C1557" s="4"/>
      <c r="D1557" s="4"/>
      <c r="E1557" s="4"/>
      <c r="F1557" s="4"/>
      <c r="G1557" s="4"/>
      <c r="H1557" s="4"/>
    </row>
    <row r="1558" customFormat="false" ht="15" hidden="false" customHeight="false" outlineLevel="1" collapsed="false">
      <c r="A1558" s="7" t="s">
        <v>557</v>
      </c>
      <c r="B1558" s="8"/>
      <c r="C1558" s="49" t="n">
        <v>2027</v>
      </c>
      <c r="D1558" s="49" t="n">
        <v>2028</v>
      </c>
      <c r="E1558" s="49" t="n">
        <v>2029</v>
      </c>
      <c r="F1558" s="49" t="n">
        <v>2030</v>
      </c>
      <c r="G1558" s="49" t="n">
        <v>2031</v>
      </c>
      <c r="H1558" s="2" t="s">
        <v>18</v>
      </c>
    </row>
    <row r="1559" customFormat="false" ht="15" hidden="false" customHeight="false" outlineLevel="0" collapsed="false">
      <c r="A1559" s="3" t="s">
        <v>1103</v>
      </c>
      <c r="B1559" s="4"/>
      <c r="C1559" s="4"/>
      <c r="D1559" s="4"/>
      <c r="E1559" s="4"/>
      <c r="F1559" s="4"/>
      <c r="G1559" s="4"/>
      <c r="H1559" s="4"/>
    </row>
    <row r="1560" customFormat="false" ht="15" hidden="false" customHeight="false" outlineLevel="1" collapsed="false">
      <c r="A1560" s="7" t="s">
        <v>372</v>
      </c>
      <c r="B1560" s="8" t="s">
        <v>115</v>
      </c>
      <c r="C1560" s="50" t="n">
        <f aca="false">Pressupostos!$C$208</f>
        <v>40</v>
      </c>
      <c r="D1560" s="50" t="n">
        <f aca="false">Pressupostos!$D$208</f>
        <v>180</v>
      </c>
      <c r="E1560" s="50" t="n">
        <f aca="false">Pressupostos!$E$208</f>
        <v>650</v>
      </c>
      <c r="F1560" s="50" t="n">
        <f aca="false">Pressupostos!$F$208</f>
        <v>1300</v>
      </c>
      <c r="G1560" s="50" t="n">
        <f aca="false">Pressupostos!$G$208</f>
        <v>2000</v>
      </c>
      <c r="H1560" s="2" t="s">
        <v>1104</v>
      </c>
    </row>
    <row r="1561" customFormat="false" ht="15" hidden="false" customHeight="false" outlineLevel="1" collapsed="false">
      <c r="A1561" s="7" t="s">
        <v>559</v>
      </c>
      <c r="B1561" s="8" t="s">
        <v>112</v>
      </c>
      <c r="C1561" s="51" t="n">
        <f aca="false">Pressupostos!$C$214</f>
        <v>8</v>
      </c>
      <c r="D1561" s="51" t="n">
        <f aca="false">Pressupostos!$D$214</f>
        <v>37</v>
      </c>
      <c r="E1561" s="51" t="n">
        <f aca="false">Pressupostos!$E$214</f>
        <v>133</v>
      </c>
      <c r="F1561" s="51" t="n">
        <f aca="false">Pressupostos!$F$214</f>
        <v>267</v>
      </c>
      <c r="G1561" s="51" t="n">
        <f aca="false">Pressupostos!$G$214</f>
        <v>410</v>
      </c>
      <c r="H1561" s="2" t="s">
        <v>1105</v>
      </c>
    </row>
    <row r="1562" customFormat="false" ht="15" hidden="false" customHeight="false" outlineLevel="1" collapsed="false">
      <c r="A1562" s="7" t="s">
        <v>560</v>
      </c>
      <c r="B1562" s="8" t="s">
        <v>112</v>
      </c>
      <c r="C1562" s="51" t="n">
        <f aca="false">Pressupostos!$C$220</f>
        <v>52</v>
      </c>
      <c r="D1562" s="51" t="n">
        <f aca="false">Pressupostos!$D$220</f>
        <v>363</v>
      </c>
      <c r="E1562" s="51" t="n">
        <f aca="false">Pressupostos!$E$220</f>
        <v>717</v>
      </c>
      <c r="F1562" s="51" t="n">
        <f aca="false">Pressupostos!$F$220</f>
        <v>1183</v>
      </c>
      <c r="G1562" s="51" t="n">
        <f aca="false">Pressupostos!$G$220</f>
        <v>1790</v>
      </c>
      <c r="H1562" s="2" t="s">
        <v>1106</v>
      </c>
    </row>
    <row r="1563" customFormat="false" ht="15" hidden="false" customHeight="false" outlineLevel="1" collapsed="false">
      <c r="A1563" s="7" t="s">
        <v>383</v>
      </c>
      <c r="B1563" s="8" t="s">
        <v>112</v>
      </c>
      <c r="C1563" s="51" t="n">
        <f aca="false">Pressupostos!$C$226</f>
        <v>0</v>
      </c>
      <c r="D1563" s="51" t="n">
        <f aca="false">Pressupostos!$D$226</f>
        <v>0</v>
      </c>
      <c r="E1563" s="51" t="n">
        <f aca="false">Pressupostos!$E$226</f>
        <v>0</v>
      </c>
      <c r="F1563" s="51" t="n">
        <f aca="false">Pressupostos!$F$226</f>
        <v>0</v>
      </c>
      <c r="G1563" s="51" t="n">
        <f aca="false">Pressupostos!$G$226</f>
        <v>0</v>
      </c>
      <c r="H1563" s="2" t="s">
        <v>1107</v>
      </c>
    </row>
    <row r="1564" customFormat="false" ht="15" hidden="false" customHeight="false" outlineLevel="1" collapsed="false">
      <c r="A1564" s="52" t="s">
        <v>561</v>
      </c>
      <c r="B1564" s="53" t="s">
        <v>112</v>
      </c>
      <c r="C1564" s="54" t="n">
        <f aca="false">C1561+C1562+C1563</f>
        <v>60</v>
      </c>
      <c r="D1564" s="54" t="n">
        <f aca="false">D1561+D1562+D1563</f>
        <v>400</v>
      </c>
      <c r="E1564" s="54" t="n">
        <f aca="false">E1561+E1562+E1563</f>
        <v>850</v>
      </c>
      <c r="F1564" s="54" t="n">
        <f aca="false">F1561+F1562+F1563</f>
        <v>1450</v>
      </c>
      <c r="G1564" s="54" t="n">
        <f aca="false">G1561+G1562+G1563</f>
        <v>2200</v>
      </c>
      <c r="H1564" s="2" t="s">
        <v>1108</v>
      </c>
    </row>
    <row r="1565" customFormat="false" ht="15" hidden="false" customHeight="false" outlineLevel="1" collapsed="false">
      <c r="A1565" s="7" t="s">
        <v>562</v>
      </c>
      <c r="B1565" s="8" t="s">
        <v>71</v>
      </c>
      <c r="C1565" s="55" t="n">
        <f aca="false">IF(C1564&gt;0,C1561/C1564,0)</f>
        <v>0.133333333333333</v>
      </c>
      <c r="D1565" s="55" t="n">
        <f aca="false">IF(D1564&gt;0,D1561/D1564,0)</f>
        <v>0.0925</v>
      </c>
      <c r="E1565" s="55" t="n">
        <f aca="false">IF(E1564&gt;0,E1561/E1564,0)</f>
        <v>0.156470588235294</v>
      </c>
      <c r="F1565" s="55" t="n">
        <f aca="false">IF(F1564&gt;0,F1561/F1564,0)</f>
        <v>0.184137931034483</v>
      </c>
      <c r="G1565" s="55" t="n">
        <f aca="false">IF(G1564&gt;0,G1561/G1564,0)</f>
        <v>0.186363636363636</v>
      </c>
      <c r="H1565" s="2" t="s">
        <v>1109</v>
      </c>
    </row>
    <row r="1566" customFormat="false" ht="15" hidden="false" customHeight="false" outlineLevel="1" collapsed="false">
      <c r="A1566" s="7" t="s">
        <v>563</v>
      </c>
      <c r="B1566" s="8" t="s">
        <v>71</v>
      </c>
      <c r="C1566" s="56" t="n">
        <f aca="false">C1564/(Pressupostos!$C$74*1000)</f>
        <v>0.000342857142857143</v>
      </c>
      <c r="D1566" s="56" t="n">
        <f aca="false">D1564/(Pressupostos!$C$74*1000)</f>
        <v>0.00228571428571429</v>
      </c>
      <c r="E1566" s="56" t="n">
        <f aca="false">E1564/(Pressupostos!$C$74*1000)</f>
        <v>0.00485714285714286</v>
      </c>
      <c r="F1566" s="56" t="n">
        <f aca="false">F1564/(Pressupostos!$C$74*1000)</f>
        <v>0.00828571428571429</v>
      </c>
      <c r="G1566" s="56" t="n">
        <f aca="false">G1564/(Pressupostos!$C$74*1000)</f>
        <v>0.0125714285714286</v>
      </c>
      <c r="H1566" s="2" t="s">
        <v>1110</v>
      </c>
    </row>
    <row r="1567" customFormat="false" ht="15" hidden="false" customHeight="false" outlineLevel="1" collapsed="false">
      <c r="A1567" s="7" t="s">
        <v>564</v>
      </c>
      <c r="B1567" s="8" t="s">
        <v>115</v>
      </c>
      <c r="C1567" s="57" t="n">
        <f aca="false">C1561/Pressupostos!$C$39+C1562/Pressupostos!$C$46+C1563/Pressupostos!$C$58</f>
        <v>2.13333333333333</v>
      </c>
      <c r="D1567" s="57" t="n">
        <f aca="false">D1561/Pressupostos!$C$39+D1562/Pressupostos!$C$46+D1563/Pressupostos!$C$58</f>
        <v>13.95</v>
      </c>
      <c r="E1567" s="57" t="n">
        <f aca="false">E1561/Pressupostos!$C$39+E1562/Pressupostos!$C$46+E1563/Pressupostos!$C$58</f>
        <v>30.55</v>
      </c>
      <c r="F1567" s="57" t="n">
        <f aca="false">F1561/Pressupostos!$C$39+F1562/Pressupostos!$C$46+F1563/Pressupostos!$C$58</f>
        <v>52.7833333333333</v>
      </c>
      <c r="G1567" s="57" t="n">
        <f aca="false">G1561/Pressupostos!$C$39+G1562/Pressupostos!$C$46+G1563/Pressupostos!$C$58</f>
        <v>80.1666666666667</v>
      </c>
      <c r="H1567" s="2" t="s">
        <v>1111</v>
      </c>
    </row>
    <row r="1568" customFormat="false" ht="15" hidden="false" customHeight="false" outlineLevel="0" collapsed="false">
      <c r="A1568" s="3" t="s">
        <v>1112</v>
      </c>
      <c r="B1568" s="4"/>
      <c r="C1568" s="4"/>
      <c r="D1568" s="4"/>
      <c r="E1568" s="4"/>
      <c r="F1568" s="4"/>
      <c r="G1568" s="4"/>
      <c r="H1568" s="4"/>
    </row>
    <row r="1569" customFormat="false" ht="15" hidden="false" customHeight="false" outlineLevel="1" collapsed="false">
      <c r="A1569" s="7" t="s">
        <v>566</v>
      </c>
      <c r="B1569" s="8" t="s">
        <v>192</v>
      </c>
      <c r="C1569" s="50" t="n">
        <f aca="false">Pressupostos!$C$252</f>
        <v>150</v>
      </c>
      <c r="D1569" s="50" t="n">
        <f aca="false">Pressupostos!$D$252</f>
        <v>600</v>
      </c>
      <c r="E1569" s="50" t="n">
        <f aca="false">Pressupostos!$E$252</f>
        <v>1000</v>
      </c>
      <c r="F1569" s="50" t="n">
        <f aca="false">Pressupostos!$F$252</f>
        <v>1400</v>
      </c>
      <c r="G1569" s="50" t="n">
        <f aca="false">Pressupostos!$G$252</f>
        <v>1800</v>
      </c>
      <c r="H1569" s="2" t="s">
        <v>1113</v>
      </c>
    </row>
    <row r="1570" customFormat="false" ht="15" hidden="false" customHeight="false" outlineLevel="1" collapsed="false">
      <c r="A1570" s="7" t="s">
        <v>566</v>
      </c>
      <c r="B1570" s="8" t="s">
        <v>179</v>
      </c>
      <c r="C1570" s="58" t="n">
        <f aca="false">C1569*Pressupostos!$C$76</f>
        <v>112500</v>
      </c>
      <c r="D1570" s="58" t="n">
        <f aca="false">D1569*Pressupostos!$C$76</f>
        <v>450000</v>
      </c>
      <c r="E1570" s="58" t="n">
        <f aca="false">E1569*Pressupostos!$C$76</f>
        <v>750000</v>
      </c>
      <c r="F1570" s="58" t="n">
        <f aca="false">F1569*Pressupostos!$C$76</f>
        <v>1050000</v>
      </c>
      <c r="G1570" s="58" t="n">
        <f aca="false">G1569*Pressupostos!$C$76</f>
        <v>1350000</v>
      </c>
      <c r="H1570" s="2" t="s">
        <v>1114</v>
      </c>
    </row>
    <row r="1571" customFormat="false" ht="15" hidden="false" customHeight="false" outlineLevel="0" collapsed="false">
      <c r="A1571" s="3" t="s">
        <v>1115</v>
      </c>
      <c r="B1571" s="4"/>
      <c r="C1571" s="4"/>
      <c r="D1571" s="4"/>
      <c r="E1571" s="4"/>
      <c r="F1571" s="4"/>
      <c r="G1571" s="4"/>
      <c r="H1571" s="4"/>
    </row>
    <row r="1572" customFormat="false" ht="15" hidden="false" customHeight="false" outlineLevel="1" collapsed="false">
      <c r="A1572" s="7" t="s">
        <v>568</v>
      </c>
      <c r="B1572" s="8" t="s">
        <v>112</v>
      </c>
      <c r="C1572" s="57" t="n">
        <f aca="false">IF(C1558&lt;Pressupostos!$D$28,0,Pressupostos!$C$258)</f>
        <v>0</v>
      </c>
      <c r="D1572" s="57" t="n">
        <f aca="false">IF(D1558&lt;Pressupostos!$D$28,0,Pressupostos!$D$258)</f>
        <v>0</v>
      </c>
      <c r="E1572" s="57" t="n">
        <f aca="false">IF(E1558&lt;Pressupostos!$D$28,0,Pressupostos!$E$258)</f>
        <v>30</v>
      </c>
      <c r="F1572" s="57" t="n">
        <f aca="false">IF(F1558&lt;Pressupostos!$D$28,0,Pressupostos!$F$258)</f>
        <v>60</v>
      </c>
      <c r="G1572" s="57" t="n">
        <f aca="false">IF(G1558&lt;Pressupostos!$D$28,0,Pressupostos!$G$258)</f>
        <v>100</v>
      </c>
      <c r="H1572" s="2" t="s">
        <v>1116</v>
      </c>
    </row>
    <row r="1573" customFormat="false" ht="15" hidden="false" customHeight="false" outlineLevel="0" collapsed="false">
      <c r="A1573" s="3" t="s">
        <v>1117</v>
      </c>
      <c r="B1573" s="4"/>
      <c r="C1573" s="4"/>
      <c r="D1573" s="4"/>
      <c r="E1573" s="4"/>
      <c r="F1573" s="4"/>
      <c r="G1573" s="4"/>
      <c r="H1573" s="4"/>
    </row>
    <row r="1574" customFormat="false" ht="15" hidden="false" customHeight="false" outlineLevel="1" collapsed="false">
      <c r="A1574" s="7" t="s">
        <v>570</v>
      </c>
      <c r="B1574" s="8" t="s">
        <v>10</v>
      </c>
      <c r="C1574" s="50" t="n">
        <f aca="false">Pressupostos!$C$264</f>
        <v>0</v>
      </c>
      <c r="D1574" s="50" t="n">
        <f aca="false">Pressupostos!$D$264</f>
        <v>500000</v>
      </c>
      <c r="E1574" s="50" t="n">
        <f aca="false">Pressupostos!$E$264</f>
        <v>1500000</v>
      </c>
      <c r="F1574" s="50" t="n">
        <f aca="false">Pressupostos!$F$264</f>
        <v>3000000</v>
      </c>
      <c r="G1574" s="50" t="n">
        <f aca="false">Pressupostos!$G$264</f>
        <v>5000000</v>
      </c>
      <c r="H1574" s="2" t="s">
        <v>1118</v>
      </c>
    </row>
    <row r="1575" customFormat="false" ht="15" hidden="false" customHeight="false" outlineLevel="1" collapsed="false">
      <c r="A1575" s="7" t="s">
        <v>571</v>
      </c>
      <c r="B1575" s="8" t="s">
        <v>112</v>
      </c>
      <c r="C1575" s="57" t="n">
        <f aca="false">C1574/(Pressupostos!$C$103*Pressupostos!$C$104)*Pressupostos!$C$100/1000</f>
        <v>0</v>
      </c>
      <c r="D1575" s="57" t="n">
        <f aca="false">D1574/(Pressupostos!$C$103*Pressupostos!$C$104)*Pressupostos!$C$100/1000</f>
        <v>457.142857142857</v>
      </c>
      <c r="E1575" s="57" t="n">
        <f aca="false">E1574/(Pressupostos!$C$103*Pressupostos!$C$104)*Pressupostos!$C$100/1000</f>
        <v>1371.42857142857</v>
      </c>
      <c r="F1575" s="57" t="n">
        <f aca="false">F1574/(Pressupostos!$C$103*Pressupostos!$C$104)*Pressupostos!$C$100/1000</f>
        <v>2742.85714285714</v>
      </c>
      <c r="G1575" s="57" t="n">
        <f aca="false">G1574/(Pressupostos!$C$103*Pressupostos!$C$104)*Pressupostos!$C$100/1000</f>
        <v>4571.42857142857</v>
      </c>
      <c r="H1575" s="2" t="s">
        <v>1119</v>
      </c>
    </row>
    <row r="1576" customFormat="false" ht="15" hidden="false" customHeight="false" outlineLevel="0" collapsed="false">
      <c r="A1576" s="3" t="s">
        <v>1120</v>
      </c>
      <c r="B1576" s="4"/>
      <c r="C1576" s="4"/>
      <c r="D1576" s="4"/>
      <c r="E1576" s="4"/>
      <c r="F1576" s="4"/>
      <c r="G1576" s="4"/>
      <c r="H1576" s="4"/>
    </row>
    <row r="1577" customFormat="false" ht="15" hidden="false" customHeight="false" outlineLevel="1" collapsed="false">
      <c r="A1577" s="7" t="s">
        <v>633</v>
      </c>
      <c r="B1577" s="8" t="s">
        <v>59</v>
      </c>
      <c r="C1577" s="60" t="n">
        <f aca="false">Pressupostos!$D$10+Pressupostos!$D$11</f>
        <v>3.6</v>
      </c>
      <c r="D1577" s="60" t="n">
        <f aca="false">Pressupostos!$D$10+Pressupostos!$D$11</f>
        <v>3.6</v>
      </c>
      <c r="E1577" s="60" t="n">
        <f aca="false">Pressupostos!$D$10+Pressupostos!$D$11</f>
        <v>3.6</v>
      </c>
      <c r="F1577" s="60" t="n">
        <f aca="false">Pressupostos!$D$10+Pressupostos!$D$11</f>
        <v>3.6</v>
      </c>
      <c r="G1577" s="60" t="n">
        <f aca="false">Pressupostos!$D$10+Pressupostos!$D$11</f>
        <v>3.6</v>
      </c>
      <c r="H1577" s="2" t="s">
        <v>1121</v>
      </c>
    </row>
    <row r="1578" customFormat="false" ht="15" hidden="false" customHeight="false" outlineLevel="1" collapsed="false">
      <c r="A1578" s="7" t="s">
        <v>634</v>
      </c>
      <c r="B1578" s="8" t="s">
        <v>59</v>
      </c>
      <c r="C1578" s="63" t="n">
        <f aca="false">Pressupostos!$D$15</f>
        <v>5.65</v>
      </c>
      <c r="D1578" s="63" t="n">
        <f aca="false">Pressupostos!$D$15</f>
        <v>5.65</v>
      </c>
      <c r="E1578" s="63" t="n">
        <f aca="false">Pressupostos!$D$15</f>
        <v>5.65</v>
      </c>
      <c r="F1578" s="63" t="n">
        <f aca="false">Pressupostos!$D$15</f>
        <v>5.65</v>
      </c>
      <c r="G1578" s="63" t="n">
        <f aca="false">Pressupostos!$D$15</f>
        <v>5.65</v>
      </c>
      <c r="H1578" s="2" t="s">
        <v>1122</v>
      </c>
    </row>
    <row r="1579" customFormat="false" ht="15" hidden="false" customHeight="false" outlineLevel="1" collapsed="false">
      <c r="A1579" s="52" t="s">
        <v>635</v>
      </c>
      <c r="B1579" s="53" t="s">
        <v>59</v>
      </c>
      <c r="C1579" s="64" t="n">
        <f aca="false">C1578*(1-(Pressupostos!$C$190))</f>
        <v>4.94375</v>
      </c>
      <c r="D1579" s="64" t="n">
        <f aca="false">D1578*(1-(Pressupostos!$C$190))</f>
        <v>4.94375</v>
      </c>
      <c r="E1579" s="64" t="n">
        <f aca="false">E1578*(1-(Pressupostos!$C$190))</f>
        <v>4.94375</v>
      </c>
      <c r="F1579" s="64" t="n">
        <f aca="false">F1578*(1-(Pressupostos!$C$190))</f>
        <v>4.94375</v>
      </c>
      <c r="G1579" s="64" t="n">
        <f aca="false">G1578*(1-(Pressupostos!$C$190))</f>
        <v>4.94375</v>
      </c>
      <c r="H1579" s="2" t="s">
        <v>1123</v>
      </c>
    </row>
    <row r="1580" customFormat="false" ht="15" hidden="false" customHeight="false" outlineLevel="1" collapsed="false">
      <c r="A1580" s="7" t="s">
        <v>136</v>
      </c>
      <c r="B1580" s="8" t="s">
        <v>59</v>
      </c>
      <c r="C1580" s="63" t="n">
        <f aca="false">Pressupostos!$C$37</f>
        <v>0.55</v>
      </c>
      <c r="D1580" s="63" t="n">
        <f aca="false">Pressupostos!$C$37</f>
        <v>0.55</v>
      </c>
      <c r="E1580" s="63" t="n">
        <f aca="false">Pressupostos!$C$37</f>
        <v>0.55</v>
      </c>
      <c r="F1580" s="63" t="n">
        <f aca="false">Pressupostos!$C$37</f>
        <v>0.55</v>
      </c>
      <c r="G1580" s="63" t="n">
        <f aca="false">Pressupostos!$C$37</f>
        <v>0.55</v>
      </c>
      <c r="H1580" s="2" t="s">
        <v>1124</v>
      </c>
    </row>
    <row r="1581" customFormat="false" ht="15" hidden="false" customHeight="false" outlineLevel="1" collapsed="false">
      <c r="A1581" s="7" t="s">
        <v>205</v>
      </c>
      <c r="B1581" s="8" t="s">
        <v>59</v>
      </c>
      <c r="C1581" s="63" t="n">
        <f aca="false">Pressupostos!$C$233</f>
        <v>0.3</v>
      </c>
      <c r="D1581" s="63" t="n">
        <f aca="false">Pressupostos!$D$233</f>
        <v>0.3</v>
      </c>
      <c r="E1581" s="63" t="n">
        <f aca="false">Pressupostos!$E$233</f>
        <v>0.28</v>
      </c>
      <c r="F1581" s="63" t="n">
        <f aca="false">Pressupostos!$F$233</f>
        <v>0.27</v>
      </c>
      <c r="G1581" s="63" t="n">
        <f aca="false">Pressupostos!$G$233</f>
        <v>0.27</v>
      </c>
      <c r="H1581" s="2" t="s">
        <v>1125</v>
      </c>
    </row>
    <row r="1582" customFormat="false" ht="15" hidden="false" customHeight="false" outlineLevel="1" collapsed="false">
      <c r="A1582" s="7" t="s">
        <v>109</v>
      </c>
      <c r="B1582" s="8" t="s">
        <v>59</v>
      </c>
      <c r="C1582" s="63" t="n">
        <f aca="false">Pressupostos!$C$38</f>
        <v>0.06</v>
      </c>
      <c r="D1582" s="63" t="n">
        <f aca="false">Pressupostos!$C$38</f>
        <v>0.06</v>
      </c>
      <c r="E1582" s="63" t="n">
        <f aca="false">Pressupostos!$C$38</f>
        <v>0.06</v>
      </c>
      <c r="F1582" s="63" t="n">
        <f aca="false">Pressupostos!$C$38</f>
        <v>0.06</v>
      </c>
      <c r="G1582" s="63" t="n">
        <f aca="false">Pressupostos!$C$38</f>
        <v>0.06</v>
      </c>
      <c r="H1582" s="2" t="s">
        <v>1126</v>
      </c>
    </row>
    <row r="1583" customFormat="false" ht="15" hidden="false" customHeight="false" outlineLevel="1" collapsed="false">
      <c r="A1583" s="7" t="s">
        <v>86</v>
      </c>
      <c r="B1583" s="8" t="s">
        <v>74</v>
      </c>
      <c r="C1583" s="65" t="n">
        <f aca="false">Pressupostos!$C$239</f>
        <v>180</v>
      </c>
      <c r="D1583" s="65" t="n">
        <f aca="false">Pressupostos!$D$239</f>
        <v>180</v>
      </c>
      <c r="E1583" s="65" t="n">
        <f aca="false">Pressupostos!$E$239</f>
        <v>45</v>
      </c>
      <c r="F1583" s="65" t="n">
        <f aca="false">Pressupostos!$F$239</f>
        <v>45</v>
      </c>
      <c r="G1583" s="65" t="n">
        <f aca="false">Pressupostos!$G$239</f>
        <v>45</v>
      </c>
      <c r="H1583" s="2" t="s">
        <v>1127</v>
      </c>
    </row>
    <row r="1584" customFormat="false" ht="15" hidden="false" customHeight="false" outlineLevel="1" collapsed="false">
      <c r="A1584" s="7" t="s">
        <v>73</v>
      </c>
      <c r="B1584" s="8" t="s">
        <v>74</v>
      </c>
      <c r="C1584" s="65" t="n">
        <f aca="false">Pressupostos!$D$17</f>
        <v>35</v>
      </c>
      <c r="D1584" s="65" t="n">
        <f aca="false">Pressupostos!$D$17</f>
        <v>35</v>
      </c>
      <c r="E1584" s="65" t="n">
        <f aca="false">Pressupostos!$D$17</f>
        <v>35</v>
      </c>
      <c r="F1584" s="65" t="n">
        <f aca="false">Pressupostos!$D$17</f>
        <v>35</v>
      </c>
      <c r="G1584" s="65" t="n">
        <f aca="false">Pressupostos!$D$17</f>
        <v>35</v>
      </c>
      <c r="H1584" s="2" t="s">
        <v>1128</v>
      </c>
    </row>
    <row r="1585" customFormat="false" ht="15" hidden="false" customHeight="false" outlineLevel="1" collapsed="false">
      <c r="A1585" s="7" t="s">
        <v>471</v>
      </c>
      <c r="B1585" s="8" t="s">
        <v>59</v>
      </c>
      <c r="C1585" s="60" t="n">
        <f aca="false">Pressupostos!$C$64*C1583/30/1000</f>
        <v>0.024</v>
      </c>
      <c r="D1585" s="60" t="n">
        <f aca="false">Pressupostos!$C$64*D1583/30/1000</f>
        <v>0.024</v>
      </c>
      <c r="E1585" s="60" t="n">
        <f aca="false">Pressupostos!$C$64*E1583/30/1000</f>
        <v>0.006</v>
      </c>
      <c r="F1585" s="60" t="n">
        <f aca="false">Pressupostos!$C$64*F1583/30/1000</f>
        <v>0.006</v>
      </c>
      <c r="G1585" s="60" t="n">
        <f aca="false">Pressupostos!$C$64*G1583/30/1000</f>
        <v>0.006</v>
      </c>
      <c r="H1585" s="2" t="s">
        <v>1129</v>
      </c>
    </row>
    <row r="1586" customFormat="false" ht="15" hidden="false" customHeight="false" outlineLevel="1" collapsed="false">
      <c r="A1586" s="7" t="s">
        <v>154</v>
      </c>
      <c r="B1586" s="8" t="s">
        <v>59</v>
      </c>
      <c r="C1586" s="60" t="n">
        <f aca="false">C1577*Pressupostos!$C$65*C1583/365</f>
        <v>0.00355068493150685</v>
      </c>
      <c r="D1586" s="60" t="n">
        <f aca="false">D1577*Pressupostos!$C$65*D1583/365</f>
        <v>0.00355068493150685</v>
      </c>
      <c r="E1586" s="60" t="n">
        <f aca="false">E1577*Pressupostos!$C$65*E1583/365</f>
        <v>0.000887671232876712</v>
      </c>
      <c r="F1586" s="60" t="n">
        <f aca="false">F1577*Pressupostos!$C$65*F1583/365</f>
        <v>0.000887671232876712</v>
      </c>
      <c r="G1586" s="60" t="n">
        <f aca="false">G1577*Pressupostos!$C$65*G1583/365</f>
        <v>0.000887671232876712</v>
      </c>
      <c r="H1586" s="2" t="s">
        <v>1130</v>
      </c>
    </row>
    <row r="1587" customFormat="false" ht="15" hidden="false" customHeight="false" outlineLevel="1" collapsed="false">
      <c r="A1587" s="7" t="s">
        <v>636</v>
      </c>
      <c r="B1587" s="8" t="s">
        <v>59</v>
      </c>
      <c r="C1587" s="60" t="n">
        <f aca="false">Pressupostos!$C$40*Pressupostos!$C$66/(Pressupostos!$C$39*1000)</f>
        <v>0.03</v>
      </c>
      <c r="D1587" s="60" t="n">
        <f aca="false">Pressupostos!$C$40*Pressupostos!$C$66/(Pressupostos!$C$39*1000)</f>
        <v>0.03</v>
      </c>
      <c r="E1587" s="60" t="n">
        <f aca="false">Pressupostos!$C$40*Pressupostos!$C$66/(Pressupostos!$C$39*1000)</f>
        <v>0.03</v>
      </c>
      <c r="F1587" s="60" t="n">
        <f aca="false">Pressupostos!$C$40*Pressupostos!$C$66/(Pressupostos!$C$39*1000)</f>
        <v>0.03</v>
      </c>
      <c r="G1587" s="60" t="n">
        <f aca="false">Pressupostos!$C$40*Pressupostos!$C$66/(Pressupostos!$C$39*1000)</f>
        <v>0.03</v>
      </c>
      <c r="H1587" s="2" t="s">
        <v>1131</v>
      </c>
    </row>
    <row r="1588" customFormat="false" ht="15" hidden="false" customHeight="false" outlineLevel="1" collapsed="false">
      <c r="A1588" s="7" t="s">
        <v>473</v>
      </c>
      <c r="B1588" s="8" t="s">
        <v>59</v>
      </c>
      <c r="C1588" s="60" t="n">
        <f aca="false">Pressupostos!$C$67*C1577</f>
        <v>0.018</v>
      </c>
      <c r="D1588" s="60" t="n">
        <f aca="false">Pressupostos!$C$67*D1577</f>
        <v>0.018</v>
      </c>
      <c r="E1588" s="60" t="n">
        <f aca="false">Pressupostos!$C$67*E1577</f>
        <v>0.018</v>
      </c>
      <c r="F1588" s="60" t="n">
        <f aca="false">Pressupostos!$C$67*F1577</f>
        <v>0.018</v>
      </c>
      <c r="G1588" s="60" t="n">
        <f aca="false">Pressupostos!$C$67*G1577</f>
        <v>0.018</v>
      </c>
      <c r="H1588" s="2" t="s">
        <v>1132</v>
      </c>
    </row>
    <row r="1589" customFormat="false" ht="15" hidden="false" customHeight="false" outlineLevel="1" collapsed="false">
      <c r="A1589" s="7" t="s">
        <v>474</v>
      </c>
      <c r="B1589" s="8" t="s">
        <v>59</v>
      </c>
      <c r="C1589" s="60" t="n">
        <f aca="false">Pressupostos!$C$68*Pressupostos!$C$69*C1583/90</f>
        <v>0.018</v>
      </c>
      <c r="D1589" s="60" t="n">
        <f aca="false">Pressupostos!$C$68*Pressupostos!$C$69*D1583/90</f>
        <v>0.018</v>
      </c>
      <c r="E1589" s="60" t="n">
        <f aca="false">Pressupostos!$C$68*Pressupostos!$C$69*E1583/90</f>
        <v>0.0045</v>
      </c>
      <c r="F1589" s="60" t="n">
        <f aca="false">Pressupostos!$C$68*Pressupostos!$C$69*F1583/90</f>
        <v>0.0045</v>
      </c>
      <c r="G1589" s="60" t="n">
        <f aca="false">Pressupostos!$C$68*Pressupostos!$C$69*G1583/90</f>
        <v>0.0045</v>
      </c>
      <c r="H1589" s="2" t="s">
        <v>1133</v>
      </c>
    </row>
    <row r="1590" customFormat="false" ht="15" hidden="false" customHeight="false" outlineLevel="1" collapsed="false">
      <c r="A1590" s="7" t="s">
        <v>637</v>
      </c>
      <c r="B1590" s="8" t="s">
        <v>59</v>
      </c>
      <c r="C1590" s="60" t="n">
        <f aca="false">Pressupostos!$C$41/(Pressupostos!$C$39*1000)</f>
        <v>0.1</v>
      </c>
      <c r="D1590" s="60" t="n">
        <f aca="false">Pressupostos!$C$41/(Pressupostos!$C$39*1000)</f>
        <v>0.1</v>
      </c>
      <c r="E1590" s="60" t="n">
        <f aca="false">Pressupostos!$C$41/(Pressupostos!$C$39*1000)</f>
        <v>0.1</v>
      </c>
      <c r="F1590" s="60" t="n">
        <f aca="false">Pressupostos!$C$41/(Pressupostos!$C$39*1000)</f>
        <v>0.1</v>
      </c>
      <c r="G1590" s="60" t="n">
        <f aca="false">Pressupostos!$C$41/(Pressupostos!$C$39*1000)</f>
        <v>0.1</v>
      </c>
      <c r="H1590" s="2" t="s">
        <v>1134</v>
      </c>
    </row>
    <row r="1591" customFormat="false" ht="15" hidden="false" customHeight="false" outlineLevel="1" collapsed="false">
      <c r="A1591" s="7" t="s">
        <v>131</v>
      </c>
      <c r="B1591" s="8" t="s">
        <v>59</v>
      </c>
      <c r="C1591" s="63" t="n">
        <f aca="false">Pressupostos!$C$42</f>
        <v>0.01</v>
      </c>
      <c r="D1591" s="63" t="n">
        <f aca="false">Pressupostos!$C$42</f>
        <v>0.01</v>
      </c>
      <c r="E1591" s="63" t="n">
        <f aca="false">Pressupostos!$C$42</f>
        <v>0.01</v>
      </c>
      <c r="F1591" s="63" t="n">
        <f aca="false">Pressupostos!$C$42</f>
        <v>0.01</v>
      </c>
      <c r="G1591" s="63" t="n">
        <f aca="false">Pressupostos!$C$42</f>
        <v>0.01</v>
      </c>
      <c r="H1591" s="2" t="s">
        <v>1135</v>
      </c>
    </row>
    <row r="1592" customFormat="false" ht="15" hidden="false" customHeight="false" outlineLevel="1" collapsed="false">
      <c r="A1592" s="7" t="s">
        <v>76</v>
      </c>
      <c r="B1592" s="8" t="s">
        <v>59</v>
      </c>
      <c r="C1592" s="60" t="n">
        <f aca="false">Pressupostos!$D$18*C1579</f>
        <v>0.0296625</v>
      </c>
      <c r="D1592" s="60" t="n">
        <f aca="false">Pressupostos!$D$18*D1579</f>
        <v>0.0296625</v>
      </c>
      <c r="E1592" s="60" t="n">
        <f aca="false">Pressupostos!$D$18*E1579</f>
        <v>0.0296625</v>
      </c>
      <c r="F1592" s="60" t="n">
        <f aca="false">Pressupostos!$D$18*F1579</f>
        <v>0.0296625</v>
      </c>
      <c r="G1592" s="60" t="n">
        <f aca="false">Pressupostos!$D$18*G1579</f>
        <v>0.0296625</v>
      </c>
      <c r="H1592" s="2" t="s">
        <v>1136</v>
      </c>
    </row>
    <row r="1593" customFormat="false" ht="15" hidden="false" customHeight="false" outlineLevel="1" collapsed="false">
      <c r="A1593" s="7" t="s">
        <v>638</v>
      </c>
      <c r="B1593" s="8" t="s">
        <v>59</v>
      </c>
      <c r="C1593" s="60" t="n">
        <f aca="false">Pressupostos!$C$71*C1579</f>
        <v>0</v>
      </c>
      <c r="D1593" s="60" t="n">
        <f aca="false">Pressupostos!$C$71*D1579</f>
        <v>0</v>
      </c>
      <c r="E1593" s="60" t="n">
        <f aca="false">Pressupostos!$C$71*E1579</f>
        <v>0</v>
      </c>
      <c r="F1593" s="60" t="n">
        <f aca="false">Pressupostos!$C$71*F1579</f>
        <v>0</v>
      </c>
      <c r="G1593" s="60" t="n">
        <f aca="false">Pressupostos!$C$71*G1579</f>
        <v>0</v>
      </c>
      <c r="H1593" s="2" t="s">
        <v>1137</v>
      </c>
    </row>
    <row r="1594" customFormat="false" ht="15" hidden="false" customHeight="false" outlineLevel="1" collapsed="false">
      <c r="A1594" s="7" t="s">
        <v>639</v>
      </c>
      <c r="B1594" s="8" t="s">
        <v>59</v>
      </c>
      <c r="C1594" s="60" t="n">
        <f aca="false">Pressupostos!$C$283*(C1577+C1580)*(C1583+C1584-Pressupostos!$C$70)/365*Pressupostos!$C$277/Pressupostos!$D$31</f>
        <v>0</v>
      </c>
      <c r="D1594" s="60" t="n">
        <f aca="false">Pressupostos!$D$283*(D1577+D1580)*(D1583+D1584-Pressupostos!$C$70)/365*Pressupostos!$D$277/Pressupostos!$D$31</f>
        <v>0.189308219178082</v>
      </c>
      <c r="E1594" s="60" t="n">
        <f aca="false">Pressupostos!$E$283*(E1577+E1580)*(E1583+E1584-Pressupostos!$C$70)/365*Pressupostos!$E$277/Pressupostos!$D$31</f>
        <v>0.0479666095890411</v>
      </c>
      <c r="F1594" s="60" t="n">
        <f aca="false">Pressupostos!$F$283*(F1577+F1580)*(F1583+F1584-Pressupostos!$C$70)/365*Pressupostos!$F$277/Pressupostos!$D$31</f>
        <v>0.0447688356164384</v>
      </c>
      <c r="G1594" s="60" t="n">
        <f aca="false">Pressupostos!$G$283*(G1577+G1580)*(G1583+G1584-Pressupostos!$C$70)/365*Pressupostos!$G$277/Pressupostos!$D$31</f>
        <v>0.0447688356164384</v>
      </c>
      <c r="H1594" s="2" t="s">
        <v>1138</v>
      </c>
    </row>
    <row r="1595" customFormat="false" ht="15" hidden="false" customHeight="false" outlineLevel="1" collapsed="false">
      <c r="A1595" s="7" t="s">
        <v>640</v>
      </c>
      <c r="B1595" s="8" t="s">
        <v>59</v>
      </c>
      <c r="C1595" s="60" t="n">
        <f aca="false">C1577+C1580+C1581+C1582+C1585+C1586+C1587+C1588+C1589+C1590+C1591+C1592+C1593+C1594</f>
        <v>4.74321318493151</v>
      </c>
      <c r="D1595" s="60" t="n">
        <f aca="false">D1577+D1580+D1581+D1582+D1585+D1586+D1587+D1588+D1589+D1590+D1591+D1592+D1593+D1594</f>
        <v>4.93252140410959</v>
      </c>
      <c r="E1595" s="60" t="n">
        <f aca="false">E1577+E1580+E1581+E1582+E1585+E1586+E1587+E1588+E1589+E1590+E1591+E1592+E1593+E1594</f>
        <v>4.73701678082192</v>
      </c>
      <c r="F1595" s="60" t="n">
        <f aca="false">F1577+F1580+F1581+F1582+F1585+F1586+F1587+F1588+F1589+F1590+F1591+F1592+F1593+F1594</f>
        <v>4.72381900684932</v>
      </c>
      <c r="G1595" s="60" t="n">
        <f aca="false">G1577+G1580+G1581+G1582+G1585+G1586+G1587+G1588+G1589+G1590+G1591+G1592+G1593+G1594</f>
        <v>4.72381900684932</v>
      </c>
      <c r="H1595" s="2" t="s">
        <v>1139</v>
      </c>
    </row>
    <row r="1596" customFormat="false" ht="15" hidden="false" customHeight="false" outlineLevel="1" collapsed="false">
      <c r="A1596" s="52" t="s">
        <v>641</v>
      </c>
      <c r="B1596" s="53" t="s">
        <v>59</v>
      </c>
      <c r="C1596" s="64" t="n">
        <f aca="false">C1579-C1595</f>
        <v>0.200536815068495</v>
      </c>
      <c r="D1596" s="64" t="n">
        <f aca="false">D1579-D1595</f>
        <v>0.0112285958904126</v>
      </c>
      <c r="E1596" s="64" t="n">
        <f aca="false">E1579-E1595</f>
        <v>0.206733219178083</v>
      </c>
      <c r="F1596" s="64" t="n">
        <f aca="false">F1579-F1595</f>
        <v>0.219930993150686</v>
      </c>
      <c r="G1596" s="64" t="n">
        <f aca="false">G1579-G1595</f>
        <v>0.219930993150686</v>
      </c>
      <c r="H1596" s="2" t="s">
        <v>1140</v>
      </c>
    </row>
    <row r="1597" customFormat="false" ht="15" hidden="false" customHeight="false" outlineLevel="1" collapsed="false">
      <c r="A1597" s="7" t="s">
        <v>642</v>
      </c>
      <c r="B1597" s="8" t="s">
        <v>71</v>
      </c>
      <c r="C1597" s="55" t="n">
        <f aca="false">IF(C1579&gt;0,C1596/C1579,0)</f>
        <v>0.0405637046914781</v>
      </c>
      <c r="D1597" s="55" t="n">
        <f aca="false">IF(D1579&gt;0,D1596/D1579,0)</f>
        <v>0.00227127097656892</v>
      </c>
      <c r="E1597" s="55" t="n">
        <f aca="false">IF(E1579&gt;0,E1596/E1579,0)</f>
        <v>0.0418170860537209</v>
      </c>
      <c r="F1597" s="55" t="n">
        <f aca="false">IF(F1579&gt;0,F1596/F1579,0)</f>
        <v>0.0444866737093676</v>
      </c>
      <c r="G1597" s="55" t="n">
        <f aca="false">IF(G1579&gt;0,G1596/G1579,0)</f>
        <v>0.0444866737093676</v>
      </c>
      <c r="H1597" s="2" t="s">
        <v>1141</v>
      </c>
    </row>
    <row r="1598" customFormat="false" ht="15" hidden="false" customHeight="false" outlineLevel="1" collapsed="false">
      <c r="A1598" s="7" t="s">
        <v>643</v>
      </c>
      <c r="B1598" s="8" t="s">
        <v>59</v>
      </c>
      <c r="C1598" s="60" t="n">
        <f aca="false">(C1577+C1580)*(C1583-Pressupostos!$C$70)/365+C1579*C1584/365</f>
        <v>2.17953767123288</v>
      </c>
      <c r="D1598" s="60" t="n">
        <f aca="false">(D1577+D1580)*(D1583-Pressupostos!$C$70)/365+D1579*D1584/365</f>
        <v>2.17953767123288</v>
      </c>
      <c r="E1598" s="60" t="n">
        <f aca="false">(E1577+E1580)*(E1583-Pressupostos!$C$70)/365+E1579*E1584/365</f>
        <v>0.644606164383562</v>
      </c>
      <c r="F1598" s="60" t="n">
        <f aca="false">(F1577+F1580)*(F1583-Pressupostos!$C$70)/365+F1579*F1584/365</f>
        <v>0.644606164383562</v>
      </c>
      <c r="G1598" s="60" t="n">
        <f aca="false">(G1577+G1580)*(G1583-Pressupostos!$C$70)/365+G1579*G1584/365</f>
        <v>0.644606164383562</v>
      </c>
      <c r="H1598" s="2" t="s">
        <v>1142</v>
      </c>
    </row>
    <row r="1599" customFormat="false" ht="15" hidden="false" customHeight="false" outlineLevel="0" collapsed="false">
      <c r="A1599" s="3" t="s">
        <v>1143</v>
      </c>
      <c r="B1599" s="4"/>
      <c r="C1599" s="4"/>
      <c r="D1599" s="4"/>
      <c r="E1599" s="4"/>
      <c r="F1599" s="4"/>
      <c r="G1599" s="4"/>
      <c r="H1599" s="4"/>
    </row>
    <row r="1600" customFormat="false" ht="15" hidden="false" customHeight="false" outlineLevel="1" collapsed="false">
      <c r="A1600" s="7" t="s">
        <v>633</v>
      </c>
      <c r="B1600" s="8" t="s">
        <v>59</v>
      </c>
      <c r="C1600" s="60" t="n">
        <f aca="false">Pressupostos!$D$10+Pressupostos!$D$12</f>
        <v>3.6</v>
      </c>
      <c r="D1600" s="60" t="n">
        <f aca="false">Pressupostos!$D$10+Pressupostos!$D$12</f>
        <v>3.6</v>
      </c>
      <c r="E1600" s="60" t="n">
        <f aca="false">Pressupostos!$D$10+Pressupostos!$D$12</f>
        <v>3.6</v>
      </c>
      <c r="F1600" s="60" t="n">
        <f aca="false">Pressupostos!$D$10+Pressupostos!$D$12</f>
        <v>3.6</v>
      </c>
      <c r="G1600" s="60" t="n">
        <f aca="false">Pressupostos!$D$10+Pressupostos!$D$12</f>
        <v>3.6</v>
      </c>
      <c r="H1600" s="2" t="s">
        <v>1144</v>
      </c>
    </row>
    <row r="1601" customFormat="false" ht="15" hidden="false" customHeight="false" outlineLevel="1" collapsed="false">
      <c r="A1601" s="7" t="s">
        <v>634</v>
      </c>
      <c r="B1601" s="8" t="s">
        <v>59</v>
      </c>
      <c r="C1601" s="60" t="n">
        <f aca="false">Pressupostos!$D$20+Pressupostos!$D$21</f>
        <v>4.35</v>
      </c>
      <c r="D1601" s="60" t="n">
        <f aca="false">Pressupostos!$D$20+Pressupostos!$D$21</f>
        <v>4.35</v>
      </c>
      <c r="E1601" s="60" t="n">
        <f aca="false">Pressupostos!$D$20+Pressupostos!$D$21</f>
        <v>4.35</v>
      </c>
      <c r="F1601" s="60" t="n">
        <f aca="false">Pressupostos!$D$20+Pressupostos!$D$21</f>
        <v>4.35</v>
      </c>
      <c r="G1601" s="60" t="n">
        <f aca="false">Pressupostos!$D$20+Pressupostos!$D$21</f>
        <v>4.35</v>
      </c>
      <c r="H1601" s="2" t="s">
        <v>1145</v>
      </c>
    </row>
    <row r="1602" customFormat="false" ht="15" hidden="false" customHeight="false" outlineLevel="1" collapsed="false">
      <c r="A1602" s="52" t="s">
        <v>635</v>
      </c>
      <c r="B1602" s="53" t="s">
        <v>59</v>
      </c>
      <c r="C1602" s="64" t="n">
        <f aca="false">C1601*(1-Pressupostos!$D$22)</f>
        <v>4.35</v>
      </c>
      <c r="D1602" s="64" t="n">
        <f aca="false">D1601*(1-Pressupostos!$D$22)</f>
        <v>4.35</v>
      </c>
      <c r="E1602" s="64" t="n">
        <f aca="false">E1601*(1-Pressupostos!$D$22)</f>
        <v>4.35</v>
      </c>
      <c r="F1602" s="64" t="n">
        <f aca="false">F1601*(1-Pressupostos!$D$22)</f>
        <v>4.35</v>
      </c>
      <c r="G1602" s="64" t="n">
        <f aca="false">G1601*(1-Pressupostos!$D$22)</f>
        <v>4.35</v>
      </c>
      <c r="H1602" s="2" t="s">
        <v>1146</v>
      </c>
    </row>
    <row r="1603" customFormat="false" ht="15" hidden="false" customHeight="false" outlineLevel="1" collapsed="false">
      <c r="A1603" s="7" t="s">
        <v>136</v>
      </c>
      <c r="B1603" s="8" t="s">
        <v>59</v>
      </c>
      <c r="C1603" s="63" t="n">
        <f aca="false">Pressupostos!$C$44</f>
        <v>0.45</v>
      </c>
      <c r="D1603" s="63" t="n">
        <f aca="false">Pressupostos!$C$44</f>
        <v>0.45</v>
      </c>
      <c r="E1603" s="63" t="n">
        <f aca="false">Pressupostos!$C$44</f>
        <v>0.45</v>
      </c>
      <c r="F1603" s="63" t="n">
        <f aca="false">Pressupostos!$C$44</f>
        <v>0.45</v>
      </c>
      <c r="G1603" s="63" t="n">
        <f aca="false">Pressupostos!$C$44</f>
        <v>0.45</v>
      </c>
      <c r="H1603" s="2" t="s">
        <v>1147</v>
      </c>
    </row>
    <row r="1604" customFormat="false" ht="15" hidden="false" customHeight="false" outlineLevel="1" collapsed="false">
      <c r="A1604" s="7" t="s">
        <v>205</v>
      </c>
      <c r="B1604" s="8" t="s">
        <v>59</v>
      </c>
      <c r="C1604" s="63" t="n">
        <f aca="false">Pressupostos!$C$245</f>
        <v>0.1</v>
      </c>
      <c r="D1604" s="63" t="n">
        <f aca="false">Pressupostos!$D$245</f>
        <v>0.1</v>
      </c>
      <c r="E1604" s="63" t="n">
        <f aca="false">Pressupostos!$E$245</f>
        <v>0.09</v>
      </c>
      <c r="F1604" s="63" t="n">
        <f aca="false">Pressupostos!$F$245</f>
        <v>0.09</v>
      </c>
      <c r="G1604" s="63" t="n">
        <f aca="false">Pressupostos!$G$245</f>
        <v>0.09</v>
      </c>
      <c r="H1604" s="2" t="s">
        <v>1148</v>
      </c>
    </row>
    <row r="1605" customFormat="false" ht="15" hidden="false" customHeight="false" outlineLevel="1" collapsed="false">
      <c r="A1605" s="7" t="s">
        <v>109</v>
      </c>
      <c r="B1605" s="8" t="s">
        <v>59</v>
      </c>
      <c r="C1605" s="63" t="n">
        <f aca="false">Pressupostos!$C$45</f>
        <v>0</v>
      </c>
      <c r="D1605" s="63" t="n">
        <f aca="false">Pressupostos!$C$45</f>
        <v>0</v>
      </c>
      <c r="E1605" s="63" t="n">
        <f aca="false">Pressupostos!$C$45</f>
        <v>0</v>
      </c>
      <c r="F1605" s="63" t="n">
        <f aca="false">Pressupostos!$C$45</f>
        <v>0</v>
      </c>
      <c r="G1605" s="63" t="n">
        <f aca="false">Pressupostos!$C$45</f>
        <v>0</v>
      </c>
      <c r="H1605" s="2" t="s">
        <v>1149</v>
      </c>
    </row>
    <row r="1606" customFormat="false" ht="15" hidden="false" customHeight="false" outlineLevel="1" collapsed="false">
      <c r="A1606" s="7" t="s">
        <v>86</v>
      </c>
      <c r="B1606" s="8" t="s">
        <v>74</v>
      </c>
      <c r="C1606" s="65" t="n">
        <f aca="false">Pressupostos!$D$23</f>
        <v>30</v>
      </c>
      <c r="D1606" s="65" t="n">
        <f aca="false">Pressupostos!$D$23</f>
        <v>30</v>
      </c>
      <c r="E1606" s="65" t="n">
        <f aca="false">Pressupostos!$D$23</f>
        <v>30</v>
      </c>
      <c r="F1606" s="65" t="n">
        <f aca="false">Pressupostos!$D$23</f>
        <v>30</v>
      </c>
      <c r="G1606" s="65" t="n">
        <f aca="false">Pressupostos!$D$23</f>
        <v>30</v>
      </c>
      <c r="H1606" s="2" t="s">
        <v>1150</v>
      </c>
    </row>
    <row r="1607" customFormat="false" ht="15" hidden="false" customHeight="false" outlineLevel="1" collapsed="false">
      <c r="A1607" s="7" t="s">
        <v>73</v>
      </c>
      <c r="B1607" s="8" t="s">
        <v>74</v>
      </c>
      <c r="C1607" s="65" t="n">
        <f aca="false">Pressupostos!$D$24</f>
        <v>45</v>
      </c>
      <c r="D1607" s="65" t="n">
        <f aca="false">Pressupostos!$D$24</f>
        <v>45</v>
      </c>
      <c r="E1607" s="65" t="n">
        <f aca="false">Pressupostos!$D$24</f>
        <v>45</v>
      </c>
      <c r="F1607" s="65" t="n">
        <f aca="false">Pressupostos!$D$24</f>
        <v>45</v>
      </c>
      <c r="G1607" s="65" t="n">
        <f aca="false">Pressupostos!$D$24</f>
        <v>45</v>
      </c>
      <c r="H1607" s="2" t="s">
        <v>1151</v>
      </c>
    </row>
    <row r="1608" customFormat="false" ht="15" hidden="false" customHeight="false" outlineLevel="1" collapsed="false">
      <c r="A1608" s="7" t="s">
        <v>471</v>
      </c>
      <c r="B1608" s="8" t="s">
        <v>59</v>
      </c>
      <c r="C1608" s="60" t="n">
        <f aca="false">Pressupostos!$C$64*C1606/30/1000</f>
        <v>0.004</v>
      </c>
      <c r="D1608" s="60" t="n">
        <f aca="false">Pressupostos!$C$64*D1606/30/1000</f>
        <v>0.004</v>
      </c>
      <c r="E1608" s="60" t="n">
        <f aca="false">Pressupostos!$C$64*E1606/30/1000</f>
        <v>0.004</v>
      </c>
      <c r="F1608" s="60" t="n">
        <f aca="false">Pressupostos!$C$64*F1606/30/1000</f>
        <v>0.004</v>
      </c>
      <c r="G1608" s="60" t="n">
        <f aca="false">Pressupostos!$C$64*G1606/30/1000</f>
        <v>0.004</v>
      </c>
      <c r="H1608" s="2" t="s">
        <v>1152</v>
      </c>
    </row>
    <row r="1609" customFormat="false" ht="15" hidden="false" customHeight="false" outlineLevel="1" collapsed="false">
      <c r="A1609" s="7" t="s">
        <v>154</v>
      </c>
      <c r="B1609" s="8" t="s">
        <v>59</v>
      </c>
      <c r="C1609" s="60" t="n">
        <f aca="false">C1600*Pressupostos!$C$65*C1606/365</f>
        <v>0.000591780821917808</v>
      </c>
      <c r="D1609" s="60" t="n">
        <f aca="false">D1600*Pressupostos!$C$65*D1606/365</f>
        <v>0.000591780821917808</v>
      </c>
      <c r="E1609" s="60" t="n">
        <f aca="false">E1600*Pressupostos!$C$65*E1606/365</f>
        <v>0.000591780821917808</v>
      </c>
      <c r="F1609" s="60" t="n">
        <f aca="false">F1600*Pressupostos!$C$65*F1606/365</f>
        <v>0.000591780821917808</v>
      </c>
      <c r="G1609" s="60" t="n">
        <f aca="false">G1600*Pressupostos!$C$65*G1606/365</f>
        <v>0.000591780821917808</v>
      </c>
      <c r="H1609" s="2" t="s">
        <v>1153</v>
      </c>
    </row>
    <row r="1610" customFormat="false" ht="15" hidden="false" customHeight="false" outlineLevel="1" collapsed="false">
      <c r="A1610" s="7" t="s">
        <v>636</v>
      </c>
      <c r="B1610" s="8" t="s">
        <v>59</v>
      </c>
      <c r="C1610" s="60" t="n">
        <f aca="false">Pressupostos!$C$47*Pressupostos!$C$66/(Pressupostos!$C$46*1000)</f>
        <v>0.02</v>
      </c>
      <c r="D1610" s="60" t="n">
        <f aca="false">Pressupostos!$C$47*Pressupostos!$C$66/(Pressupostos!$C$46*1000)</f>
        <v>0.02</v>
      </c>
      <c r="E1610" s="60" t="n">
        <f aca="false">Pressupostos!$C$47*Pressupostos!$C$66/(Pressupostos!$C$46*1000)</f>
        <v>0.02</v>
      </c>
      <c r="F1610" s="60" t="n">
        <f aca="false">Pressupostos!$C$47*Pressupostos!$C$66/(Pressupostos!$C$46*1000)</f>
        <v>0.02</v>
      </c>
      <c r="G1610" s="60" t="n">
        <f aca="false">Pressupostos!$C$47*Pressupostos!$C$66/(Pressupostos!$C$46*1000)</f>
        <v>0.02</v>
      </c>
      <c r="H1610" s="2" t="s">
        <v>1154</v>
      </c>
    </row>
    <row r="1611" customFormat="false" ht="15" hidden="false" customHeight="false" outlineLevel="1" collapsed="false">
      <c r="A1611" s="7" t="s">
        <v>473</v>
      </c>
      <c r="B1611" s="8" t="s">
        <v>59</v>
      </c>
      <c r="C1611" s="60" t="n">
        <f aca="false">Pressupostos!$C$67*C1600</f>
        <v>0.018</v>
      </c>
      <c r="D1611" s="60" t="n">
        <f aca="false">Pressupostos!$C$67*D1600</f>
        <v>0.018</v>
      </c>
      <c r="E1611" s="60" t="n">
        <f aca="false">Pressupostos!$C$67*E1600</f>
        <v>0.018</v>
      </c>
      <c r="F1611" s="60" t="n">
        <f aca="false">Pressupostos!$C$67*F1600</f>
        <v>0.018</v>
      </c>
      <c r="G1611" s="60" t="n">
        <f aca="false">Pressupostos!$C$67*G1600</f>
        <v>0.018</v>
      </c>
      <c r="H1611" s="2" t="s">
        <v>1155</v>
      </c>
    </row>
    <row r="1612" customFormat="false" ht="15" hidden="false" customHeight="false" outlineLevel="1" collapsed="false">
      <c r="A1612" s="7" t="s">
        <v>474</v>
      </c>
      <c r="B1612" s="8" t="s">
        <v>59</v>
      </c>
      <c r="C1612" s="60" t="n">
        <f aca="false">Pressupostos!$C$68*Pressupostos!$C$69*C1606/90</f>
        <v>0.003</v>
      </c>
      <c r="D1612" s="60" t="n">
        <f aca="false">Pressupostos!$C$68*Pressupostos!$C$69*D1606/90</f>
        <v>0.003</v>
      </c>
      <c r="E1612" s="60" t="n">
        <f aca="false">Pressupostos!$C$68*Pressupostos!$C$69*E1606/90</f>
        <v>0.003</v>
      </c>
      <c r="F1612" s="60" t="n">
        <f aca="false">Pressupostos!$C$68*Pressupostos!$C$69*F1606/90</f>
        <v>0.003</v>
      </c>
      <c r="G1612" s="60" t="n">
        <f aca="false">Pressupostos!$C$68*Pressupostos!$C$69*G1606/90</f>
        <v>0.003</v>
      </c>
      <c r="H1612" s="2" t="s">
        <v>1156</v>
      </c>
    </row>
    <row r="1613" customFormat="false" ht="15" hidden="false" customHeight="false" outlineLevel="1" collapsed="false">
      <c r="A1613" s="7" t="s">
        <v>637</v>
      </c>
      <c r="B1613" s="8" t="s">
        <v>59</v>
      </c>
      <c r="C1613" s="60" t="n">
        <f aca="false">Pressupostos!$C$48/(Pressupostos!$C$46*1000)</f>
        <v>0.04</v>
      </c>
      <c r="D1613" s="60" t="n">
        <f aca="false">Pressupostos!$C$48/(Pressupostos!$C$46*1000)</f>
        <v>0.04</v>
      </c>
      <c r="E1613" s="60" t="n">
        <f aca="false">Pressupostos!$C$48/(Pressupostos!$C$46*1000)</f>
        <v>0.04</v>
      </c>
      <c r="F1613" s="60" t="n">
        <f aca="false">Pressupostos!$C$48/(Pressupostos!$C$46*1000)</f>
        <v>0.04</v>
      </c>
      <c r="G1613" s="60" t="n">
        <f aca="false">Pressupostos!$C$48/(Pressupostos!$C$46*1000)</f>
        <v>0.04</v>
      </c>
      <c r="H1613" s="2" t="s">
        <v>1157</v>
      </c>
    </row>
    <row r="1614" customFormat="false" ht="15" hidden="false" customHeight="false" outlineLevel="1" collapsed="false">
      <c r="A1614" s="7" t="s">
        <v>131</v>
      </c>
      <c r="B1614" s="8" t="s">
        <v>59</v>
      </c>
      <c r="C1614" s="63" t="n">
        <f aca="false">Pressupostos!$C$49</f>
        <v>0.005</v>
      </c>
      <c r="D1614" s="63" t="n">
        <f aca="false">Pressupostos!$C$49</f>
        <v>0.005</v>
      </c>
      <c r="E1614" s="63" t="n">
        <f aca="false">Pressupostos!$C$49</f>
        <v>0.005</v>
      </c>
      <c r="F1614" s="63" t="n">
        <f aca="false">Pressupostos!$C$49</f>
        <v>0.005</v>
      </c>
      <c r="G1614" s="63" t="n">
        <f aca="false">Pressupostos!$C$49</f>
        <v>0.005</v>
      </c>
      <c r="H1614" s="2" t="s">
        <v>1158</v>
      </c>
    </row>
    <row r="1615" customFormat="false" ht="15" hidden="false" customHeight="false" outlineLevel="1" collapsed="false">
      <c r="A1615" s="7" t="s">
        <v>76</v>
      </c>
      <c r="B1615" s="8" t="s">
        <v>59</v>
      </c>
      <c r="C1615" s="60" t="n">
        <f aca="false">Pressupostos!$D$25*C1602</f>
        <v>0.01305</v>
      </c>
      <c r="D1615" s="60" t="n">
        <f aca="false">Pressupostos!$D$25*D1602</f>
        <v>0.01305</v>
      </c>
      <c r="E1615" s="60" t="n">
        <f aca="false">Pressupostos!$D$25*E1602</f>
        <v>0.01305</v>
      </c>
      <c r="F1615" s="60" t="n">
        <f aca="false">Pressupostos!$D$25*F1602</f>
        <v>0.01305</v>
      </c>
      <c r="G1615" s="60" t="n">
        <f aca="false">Pressupostos!$D$25*G1602</f>
        <v>0.01305</v>
      </c>
      <c r="H1615" s="2" t="s">
        <v>1159</v>
      </c>
    </row>
    <row r="1616" customFormat="false" ht="15" hidden="false" customHeight="false" outlineLevel="1" collapsed="false">
      <c r="A1616" s="7" t="s">
        <v>638</v>
      </c>
      <c r="B1616" s="8" t="s">
        <v>59</v>
      </c>
      <c r="C1616" s="60" t="n">
        <f aca="false">Pressupostos!$C$71*C1602</f>
        <v>0</v>
      </c>
      <c r="D1616" s="60" t="n">
        <f aca="false">Pressupostos!$C$71*D1602</f>
        <v>0</v>
      </c>
      <c r="E1616" s="60" t="n">
        <f aca="false">Pressupostos!$C$71*E1602</f>
        <v>0</v>
      </c>
      <c r="F1616" s="60" t="n">
        <f aca="false">Pressupostos!$C$71*F1602</f>
        <v>0</v>
      </c>
      <c r="G1616" s="60" t="n">
        <f aca="false">Pressupostos!$C$71*G1602</f>
        <v>0</v>
      </c>
      <c r="H1616" s="2" t="s">
        <v>1160</v>
      </c>
    </row>
    <row r="1617" customFormat="false" ht="15" hidden="false" customHeight="false" outlineLevel="1" collapsed="false">
      <c r="A1617" s="7" t="s">
        <v>639</v>
      </c>
      <c r="B1617" s="8" t="s">
        <v>59</v>
      </c>
      <c r="C1617" s="60" t="n">
        <f aca="false">Pressupostos!$C$283*(C1600+C1603)*(C1606+C1607-Pressupostos!$C$70)/365*Pressupostos!$C$277/Pressupostos!$D$31</f>
        <v>0</v>
      </c>
      <c r="D1617" s="60" t="n">
        <f aca="false">Pressupostos!$D$283*(D1600+D1603)*(D1606+D1607-Pressupostos!$C$70)/365*Pressupostos!$D$277/Pressupostos!$D$31</f>
        <v>0.0449383561643836</v>
      </c>
      <c r="E1617" s="60" t="n">
        <f aca="false">Pressupostos!$E$283*(E1600+E1603)*(E1606+E1607-Pressupostos!$C$70)/365*Pressupostos!$E$277/Pressupostos!$D$31</f>
        <v>0.0421297089041096</v>
      </c>
      <c r="F1617" s="60" t="n">
        <f aca="false">Pressupostos!$F$283*(F1600+F1603)*(F1606+F1607-Pressupostos!$C$70)/365*Pressupostos!$F$277/Pressupostos!$D$31</f>
        <v>0.0393210616438356</v>
      </c>
      <c r="G1617" s="60" t="n">
        <f aca="false">Pressupostos!$G$283*(G1600+G1603)*(G1606+G1607-Pressupostos!$C$70)/365*Pressupostos!$G$277/Pressupostos!$D$31</f>
        <v>0.0393210616438356</v>
      </c>
      <c r="H1617" s="2" t="s">
        <v>1161</v>
      </c>
    </row>
    <row r="1618" customFormat="false" ht="15" hidden="false" customHeight="false" outlineLevel="1" collapsed="false">
      <c r="A1618" s="7" t="s">
        <v>640</v>
      </c>
      <c r="B1618" s="8" t="s">
        <v>59</v>
      </c>
      <c r="C1618" s="60" t="n">
        <f aca="false">C1600+C1603+C1604+C1605+C1608+C1609+C1610+C1611+C1612+C1613+C1614+C1615+C1616+C1617</f>
        <v>4.25364178082192</v>
      </c>
      <c r="D1618" s="60" t="n">
        <f aca="false">D1600+D1603+D1604+D1605+D1608+D1609+D1610+D1611+D1612+D1613+D1614+D1615+D1616+D1617</f>
        <v>4.2985801369863</v>
      </c>
      <c r="E1618" s="60" t="n">
        <f aca="false">E1600+E1603+E1604+E1605+E1608+E1609+E1610+E1611+E1612+E1613+E1614+E1615+E1616+E1617</f>
        <v>4.28577148972603</v>
      </c>
      <c r="F1618" s="60" t="n">
        <f aca="false">F1600+F1603+F1604+F1605+F1608+F1609+F1610+F1611+F1612+F1613+F1614+F1615+F1616+F1617</f>
        <v>4.28296284246575</v>
      </c>
      <c r="G1618" s="60" t="n">
        <f aca="false">G1600+G1603+G1604+G1605+G1608+G1609+G1610+G1611+G1612+G1613+G1614+G1615+G1616+G1617</f>
        <v>4.28296284246575</v>
      </c>
      <c r="H1618" s="2" t="s">
        <v>1162</v>
      </c>
    </row>
    <row r="1619" customFormat="false" ht="15" hidden="false" customHeight="false" outlineLevel="1" collapsed="false">
      <c r="A1619" s="52" t="s">
        <v>641</v>
      </c>
      <c r="B1619" s="53" t="s">
        <v>59</v>
      </c>
      <c r="C1619" s="64" t="n">
        <f aca="false">C1602-C1618</f>
        <v>0.0963582191780832</v>
      </c>
      <c r="D1619" s="64" t="n">
        <f aca="false">D1602-D1618</f>
        <v>0.0514198630136997</v>
      </c>
      <c r="E1619" s="64" t="n">
        <f aca="false">E1602-E1618</f>
        <v>0.0642285102739733</v>
      </c>
      <c r="F1619" s="64" t="n">
        <f aca="false">F1602-F1618</f>
        <v>0.067037157534247</v>
      </c>
      <c r="G1619" s="64" t="n">
        <f aca="false">G1602-G1618</f>
        <v>0.067037157534247</v>
      </c>
      <c r="H1619" s="2" t="s">
        <v>1163</v>
      </c>
    </row>
    <row r="1620" customFormat="false" ht="15" hidden="false" customHeight="false" outlineLevel="1" collapsed="false">
      <c r="A1620" s="7" t="s">
        <v>642</v>
      </c>
      <c r="B1620" s="8" t="s">
        <v>71</v>
      </c>
      <c r="C1620" s="55" t="n">
        <f aca="false">IF(C1602&gt;0,C1619/C1602,0)</f>
        <v>0.0221513147535823</v>
      </c>
      <c r="D1620" s="55" t="n">
        <f aca="false">IF(D1602&gt;0,D1619/D1602,0)</f>
        <v>0.0118206581640689</v>
      </c>
      <c r="E1620" s="55" t="n">
        <f aca="false">IF(E1602&gt;0,E1619/E1602,0)</f>
        <v>0.014765174775626</v>
      </c>
      <c r="F1620" s="55" t="n">
        <f aca="false">IF(F1602&gt;0,F1619/F1602,0)</f>
        <v>0.0154108408124706</v>
      </c>
      <c r="G1620" s="55" t="n">
        <f aca="false">IF(G1602&gt;0,G1619/G1602,0)</f>
        <v>0.0154108408124706</v>
      </c>
      <c r="H1620" s="2" t="s">
        <v>1164</v>
      </c>
    </row>
    <row r="1621" customFormat="false" ht="15" hidden="false" customHeight="false" outlineLevel="1" collapsed="false">
      <c r="A1621" s="7" t="s">
        <v>643</v>
      </c>
      <c r="B1621" s="8" t="s">
        <v>59</v>
      </c>
      <c r="C1621" s="60" t="n">
        <f aca="false">(C1600+C1603)*(C1606-Pressupostos!$C$70)/365+C1602*C1607/365</f>
        <v>0.536301369863014</v>
      </c>
      <c r="D1621" s="60" t="n">
        <f aca="false">(D1600+D1603)*(D1606-Pressupostos!$C$70)/365+D1602*D1607/365</f>
        <v>0.536301369863014</v>
      </c>
      <c r="E1621" s="60" t="n">
        <f aca="false">(E1600+E1603)*(E1606-Pressupostos!$C$70)/365+E1602*E1607/365</f>
        <v>0.536301369863014</v>
      </c>
      <c r="F1621" s="60" t="n">
        <f aca="false">(F1600+F1603)*(F1606-Pressupostos!$C$70)/365+F1602*F1607/365</f>
        <v>0.536301369863014</v>
      </c>
      <c r="G1621" s="60" t="n">
        <f aca="false">(G1600+G1603)*(G1606-Pressupostos!$C$70)/365+G1602*G1607/365</f>
        <v>0.536301369863014</v>
      </c>
      <c r="H1621" s="2" t="s">
        <v>1165</v>
      </c>
    </row>
    <row r="1622" customFormat="false" ht="15" hidden="false" customHeight="false" outlineLevel="0" collapsed="false">
      <c r="A1622" s="3" t="s">
        <v>1166</v>
      </c>
      <c r="B1622" s="4"/>
      <c r="C1622" s="4"/>
      <c r="D1622" s="4"/>
      <c r="E1622" s="4"/>
      <c r="F1622" s="4"/>
      <c r="G1622" s="4"/>
      <c r="H1622" s="4"/>
    </row>
    <row r="1623" customFormat="false" ht="15" hidden="false" customHeight="false" outlineLevel="1" collapsed="false">
      <c r="A1623" s="7" t="s">
        <v>633</v>
      </c>
      <c r="B1623" s="8" t="s">
        <v>59</v>
      </c>
      <c r="C1623" s="60" t="n">
        <f aca="false">Pressupostos!$D$10+Pressupostos!$D$13</f>
        <v>3.5</v>
      </c>
      <c r="D1623" s="60" t="n">
        <f aca="false">Pressupostos!$D$10+Pressupostos!$D$13</f>
        <v>3.5</v>
      </c>
      <c r="E1623" s="60" t="n">
        <f aca="false">Pressupostos!$D$10+Pressupostos!$D$13</f>
        <v>3.5</v>
      </c>
      <c r="F1623" s="60" t="n">
        <f aca="false">Pressupostos!$D$10+Pressupostos!$D$13</f>
        <v>3.5</v>
      </c>
      <c r="G1623" s="60" t="n">
        <f aca="false">Pressupostos!$D$10+Pressupostos!$D$13</f>
        <v>3.5</v>
      </c>
      <c r="H1623" s="2" t="s">
        <v>1167</v>
      </c>
    </row>
    <row r="1624" customFormat="false" ht="15" hidden="false" customHeight="false" outlineLevel="1" collapsed="false">
      <c r="A1624" s="7" t="s">
        <v>634</v>
      </c>
      <c r="B1624" s="8" t="s">
        <v>59</v>
      </c>
      <c r="C1624" s="60" t="n">
        <f aca="false">Pressupostos!$D$10+Pressupostos!$C$51</f>
        <v>3.65</v>
      </c>
      <c r="D1624" s="60" t="n">
        <f aca="false">Pressupostos!$D$10+Pressupostos!$C$51</f>
        <v>3.65</v>
      </c>
      <c r="E1624" s="60" t="n">
        <f aca="false">Pressupostos!$D$10+Pressupostos!$C$51</f>
        <v>3.65</v>
      </c>
      <c r="F1624" s="60" t="n">
        <f aca="false">Pressupostos!$D$10+Pressupostos!$C$51</f>
        <v>3.65</v>
      </c>
      <c r="G1624" s="60" t="n">
        <f aca="false">Pressupostos!$D$10+Pressupostos!$C$51</f>
        <v>3.65</v>
      </c>
      <c r="H1624" s="2" t="s">
        <v>1168</v>
      </c>
    </row>
    <row r="1625" customFormat="false" ht="15" hidden="false" customHeight="false" outlineLevel="1" collapsed="false">
      <c r="A1625" s="52" t="s">
        <v>635</v>
      </c>
      <c r="B1625" s="53" t="s">
        <v>59</v>
      </c>
      <c r="C1625" s="64" t="n">
        <f aca="false">C1624*(1-Pressupostos!$C$52)</f>
        <v>3.65</v>
      </c>
      <c r="D1625" s="64" t="n">
        <f aca="false">D1624*(1-Pressupostos!$C$52)</f>
        <v>3.65</v>
      </c>
      <c r="E1625" s="64" t="n">
        <f aca="false">E1624*(1-Pressupostos!$C$52)</f>
        <v>3.65</v>
      </c>
      <c r="F1625" s="64" t="n">
        <f aca="false">F1624*(1-Pressupostos!$C$52)</f>
        <v>3.65</v>
      </c>
      <c r="G1625" s="64" t="n">
        <f aca="false">G1624*(1-Pressupostos!$C$52)</f>
        <v>3.65</v>
      </c>
      <c r="H1625" s="2" t="s">
        <v>1169</v>
      </c>
    </row>
    <row r="1626" customFormat="false" ht="15" hidden="false" customHeight="false" outlineLevel="1" collapsed="false">
      <c r="A1626" s="7" t="s">
        <v>136</v>
      </c>
      <c r="B1626" s="8" t="s">
        <v>59</v>
      </c>
      <c r="C1626" s="63" t="n">
        <f aca="false">Pressupostos!$C$53</f>
        <v>0</v>
      </c>
      <c r="D1626" s="63" t="n">
        <f aca="false">Pressupostos!$C$53</f>
        <v>0</v>
      </c>
      <c r="E1626" s="63" t="n">
        <f aca="false">Pressupostos!$C$53</f>
        <v>0</v>
      </c>
      <c r="F1626" s="63" t="n">
        <f aca="false">Pressupostos!$C$53</f>
        <v>0</v>
      </c>
      <c r="G1626" s="63" t="n">
        <f aca="false">Pressupostos!$C$53</f>
        <v>0</v>
      </c>
      <c r="H1626" s="2" t="s">
        <v>1170</v>
      </c>
    </row>
    <row r="1627" customFormat="false" ht="15" hidden="false" customHeight="false" outlineLevel="1" collapsed="false">
      <c r="A1627" s="7" t="s">
        <v>205</v>
      </c>
      <c r="B1627" s="8" t="s">
        <v>59</v>
      </c>
      <c r="C1627" s="63" t="n">
        <f aca="false">Pressupostos!$C$54</f>
        <v>0.04</v>
      </c>
      <c r="D1627" s="63" t="n">
        <f aca="false">Pressupostos!$C$54</f>
        <v>0.04</v>
      </c>
      <c r="E1627" s="63" t="n">
        <f aca="false">Pressupostos!$C$54</f>
        <v>0.04</v>
      </c>
      <c r="F1627" s="63" t="n">
        <f aca="false">Pressupostos!$C$54</f>
        <v>0.04</v>
      </c>
      <c r="G1627" s="63" t="n">
        <f aca="false">Pressupostos!$C$54</f>
        <v>0.04</v>
      </c>
      <c r="H1627" s="2" t="s">
        <v>1171</v>
      </c>
    </row>
    <row r="1628" customFormat="false" ht="15" hidden="false" customHeight="false" outlineLevel="1" collapsed="false">
      <c r="A1628" s="7" t="s">
        <v>109</v>
      </c>
      <c r="B1628" s="8" t="s">
        <v>59</v>
      </c>
      <c r="C1628" s="63" t="n">
        <f aca="false">Pressupostos!$C$55</f>
        <v>0</v>
      </c>
      <c r="D1628" s="63" t="n">
        <f aca="false">Pressupostos!$C$55</f>
        <v>0</v>
      </c>
      <c r="E1628" s="63" t="n">
        <f aca="false">Pressupostos!$C$55</f>
        <v>0</v>
      </c>
      <c r="F1628" s="63" t="n">
        <f aca="false">Pressupostos!$C$55</f>
        <v>0</v>
      </c>
      <c r="G1628" s="63" t="n">
        <f aca="false">Pressupostos!$C$55</f>
        <v>0</v>
      </c>
      <c r="H1628" s="2" t="s">
        <v>1172</v>
      </c>
    </row>
    <row r="1629" customFormat="false" ht="15" hidden="false" customHeight="false" outlineLevel="1" collapsed="false">
      <c r="A1629" s="7" t="s">
        <v>86</v>
      </c>
      <c r="B1629" s="8" t="s">
        <v>74</v>
      </c>
      <c r="C1629" s="65" t="n">
        <f aca="false">Pressupostos!$C$56</f>
        <v>15</v>
      </c>
      <c r="D1629" s="65" t="n">
        <f aca="false">Pressupostos!$C$56</f>
        <v>15</v>
      </c>
      <c r="E1629" s="65" t="n">
        <f aca="false">Pressupostos!$C$56</f>
        <v>15</v>
      </c>
      <c r="F1629" s="65" t="n">
        <f aca="false">Pressupostos!$C$56</f>
        <v>15</v>
      </c>
      <c r="G1629" s="65" t="n">
        <f aca="false">Pressupostos!$C$56</f>
        <v>15</v>
      </c>
      <c r="H1629" s="2" t="s">
        <v>1173</v>
      </c>
    </row>
    <row r="1630" customFormat="false" ht="15" hidden="false" customHeight="false" outlineLevel="1" collapsed="false">
      <c r="A1630" s="7" t="s">
        <v>73</v>
      </c>
      <c r="B1630" s="8" t="s">
        <v>74</v>
      </c>
      <c r="C1630" s="65" t="n">
        <f aca="false">Pressupostos!$C$57</f>
        <v>45</v>
      </c>
      <c r="D1630" s="65" t="n">
        <f aca="false">Pressupostos!$C$57</f>
        <v>45</v>
      </c>
      <c r="E1630" s="65" t="n">
        <f aca="false">Pressupostos!$C$57</f>
        <v>45</v>
      </c>
      <c r="F1630" s="65" t="n">
        <f aca="false">Pressupostos!$C$57</f>
        <v>45</v>
      </c>
      <c r="G1630" s="65" t="n">
        <f aca="false">Pressupostos!$C$57</f>
        <v>45</v>
      </c>
      <c r="H1630" s="2" t="s">
        <v>1174</v>
      </c>
    </row>
    <row r="1631" customFormat="false" ht="15" hidden="false" customHeight="false" outlineLevel="1" collapsed="false">
      <c r="A1631" s="7" t="s">
        <v>471</v>
      </c>
      <c r="B1631" s="8" t="s">
        <v>59</v>
      </c>
      <c r="C1631" s="60" t="n">
        <f aca="false">Pressupostos!$C$64*C1629/30/1000</f>
        <v>0.002</v>
      </c>
      <c r="D1631" s="60" t="n">
        <f aca="false">Pressupostos!$C$64*D1629/30/1000</f>
        <v>0.002</v>
      </c>
      <c r="E1631" s="60" t="n">
        <f aca="false">Pressupostos!$C$64*E1629/30/1000</f>
        <v>0.002</v>
      </c>
      <c r="F1631" s="60" t="n">
        <f aca="false">Pressupostos!$C$64*F1629/30/1000</f>
        <v>0.002</v>
      </c>
      <c r="G1631" s="60" t="n">
        <f aca="false">Pressupostos!$C$64*G1629/30/1000</f>
        <v>0.002</v>
      </c>
      <c r="H1631" s="2" t="s">
        <v>1175</v>
      </c>
    </row>
    <row r="1632" customFormat="false" ht="15" hidden="false" customHeight="false" outlineLevel="1" collapsed="false">
      <c r="A1632" s="7" t="s">
        <v>154</v>
      </c>
      <c r="B1632" s="8" t="s">
        <v>59</v>
      </c>
      <c r="C1632" s="60" t="n">
        <f aca="false">C1623*Pressupostos!$C$65*C1629/365</f>
        <v>0.000287671232876712</v>
      </c>
      <c r="D1632" s="60" t="n">
        <f aca="false">D1623*Pressupostos!$C$65*D1629/365</f>
        <v>0.000287671232876712</v>
      </c>
      <c r="E1632" s="60" t="n">
        <f aca="false">E1623*Pressupostos!$C$65*E1629/365</f>
        <v>0.000287671232876712</v>
      </c>
      <c r="F1632" s="60" t="n">
        <f aca="false">F1623*Pressupostos!$C$65*F1629/365</f>
        <v>0.000287671232876712</v>
      </c>
      <c r="G1632" s="60" t="n">
        <f aca="false">G1623*Pressupostos!$C$65*G1629/365</f>
        <v>0.000287671232876712</v>
      </c>
      <c r="H1632" s="2" t="s">
        <v>1176</v>
      </c>
    </row>
    <row r="1633" customFormat="false" ht="15" hidden="false" customHeight="false" outlineLevel="1" collapsed="false">
      <c r="A1633" s="7" t="s">
        <v>636</v>
      </c>
      <c r="B1633" s="8" t="s">
        <v>59</v>
      </c>
      <c r="C1633" s="60" t="n">
        <f aca="false">Pressupostos!$C$59*Pressupostos!$C$66/(Pressupostos!$C$58*1000)</f>
        <v>0.006</v>
      </c>
      <c r="D1633" s="60" t="n">
        <f aca="false">Pressupostos!$C$59*Pressupostos!$C$66/(Pressupostos!$C$58*1000)</f>
        <v>0.006</v>
      </c>
      <c r="E1633" s="60" t="n">
        <f aca="false">Pressupostos!$C$59*Pressupostos!$C$66/(Pressupostos!$C$58*1000)</f>
        <v>0.006</v>
      </c>
      <c r="F1633" s="60" t="n">
        <f aca="false">Pressupostos!$C$59*Pressupostos!$C$66/(Pressupostos!$C$58*1000)</f>
        <v>0.006</v>
      </c>
      <c r="G1633" s="60" t="n">
        <f aca="false">Pressupostos!$C$59*Pressupostos!$C$66/(Pressupostos!$C$58*1000)</f>
        <v>0.006</v>
      </c>
      <c r="H1633" s="2" t="s">
        <v>1177</v>
      </c>
    </row>
    <row r="1634" customFormat="false" ht="15" hidden="false" customHeight="false" outlineLevel="1" collapsed="false">
      <c r="A1634" s="7" t="s">
        <v>473</v>
      </c>
      <c r="B1634" s="8" t="s">
        <v>59</v>
      </c>
      <c r="C1634" s="60" t="n">
        <f aca="false">Pressupostos!$C$67*C1623</f>
        <v>0.0175</v>
      </c>
      <c r="D1634" s="60" t="n">
        <f aca="false">Pressupostos!$C$67*D1623</f>
        <v>0.0175</v>
      </c>
      <c r="E1634" s="60" t="n">
        <f aca="false">Pressupostos!$C$67*E1623</f>
        <v>0.0175</v>
      </c>
      <c r="F1634" s="60" t="n">
        <f aca="false">Pressupostos!$C$67*F1623</f>
        <v>0.0175</v>
      </c>
      <c r="G1634" s="60" t="n">
        <f aca="false">Pressupostos!$C$67*G1623</f>
        <v>0.0175</v>
      </c>
      <c r="H1634" s="2" t="s">
        <v>1178</v>
      </c>
    </row>
    <row r="1635" customFormat="false" ht="15" hidden="false" customHeight="false" outlineLevel="1" collapsed="false">
      <c r="A1635" s="7" t="s">
        <v>474</v>
      </c>
      <c r="B1635" s="8" t="s">
        <v>59</v>
      </c>
      <c r="C1635" s="60" t="n">
        <f aca="false">Pressupostos!$C$68*Pressupostos!$C$69*C1629/90</f>
        <v>0.0015</v>
      </c>
      <c r="D1635" s="60" t="n">
        <f aca="false">Pressupostos!$C$68*Pressupostos!$C$69*D1629/90</f>
        <v>0.0015</v>
      </c>
      <c r="E1635" s="60" t="n">
        <f aca="false">Pressupostos!$C$68*Pressupostos!$C$69*E1629/90</f>
        <v>0.0015</v>
      </c>
      <c r="F1635" s="60" t="n">
        <f aca="false">Pressupostos!$C$68*Pressupostos!$C$69*F1629/90</f>
        <v>0.0015</v>
      </c>
      <c r="G1635" s="60" t="n">
        <f aca="false">Pressupostos!$C$68*Pressupostos!$C$69*G1629/90</f>
        <v>0.0015</v>
      </c>
      <c r="H1635" s="2" t="s">
        <v>1179</v>
      </c>
    </row>
    <row r="1636" customFormat="false" ht="15" hidden="false" customHeight="false" outlineLevel="1" collapsed="false">
      <c r="A1636" s="7" t="s">
        <v>637</v>
      </c>
      <c r="B1636" s="8" t="s">
        <v>59</v>
      </c>
      <c r="C1636" s="60" t="n">
        <f aca="false">Pressupostos!$C$60/(Pressupostos!$C$58*1000)</f>
        <v>0.012</v>
      </c>
      <c r="D1636" s="60" t="n">
        <f aca="false">Pressupostos!$C$60/(Pressupostos!$C$58*1000)</f>
        <v>0.012</v>
      </c>
      <c r="E1636" s="60" t="n">
        <f aca="false">Pressupostos!$C$60/(Pressupostos!$C$58*1000)</f>
        <v>0.012</v>
      </c>
      <c r="F1636" s="60" t="n">
        <f aca="false">Pressupostos!$C$60/(Pressupostos!$C$58*1000)</f>
        <v>0.012</v>
      </c>
      <c r="G1636" s="60" t="n">
        <f aca="false">Pressupostos!$C$60/(Pressupostos!$C$58*1000)</f>
        <v>0.012</v>
      </c>
      <c r="H1636" s="2" t="s">
        <v>1180</v>
      </c>
    </row>
    <row r="1637" customFormat="false" ht="15" hidden="false" customHeight="false" outlineLevel="1" collapsed="false">
      <c r="A1637" s="7" t="s">
        <v>131</v>
      </c>
      <c r="B1637" s="8" t="s">
        <v>59</v>
      </c>
      <c r="C1637" s="63" t="n">
        <f aca="false">Pressupostos!$C$61</f>
        <v>0.001</v>
      </c>
      <c r="D1637" s="63" t="n">
        <f aca="false">Pressupostos!$C$61</f>
        <v>0.001</v>
      </c>
      <c r="E1637" s="63" t="n">
        <f aca="false">Pressupostos!$C$61</f>
        <v>0.001</v>
      </c>
      <c r="F1637" s="63" t="n">
        <f aca="false">Pressupostos!$C$61</f>
        <v>0.001</v>
      </c>
      <c r="G1637" s="63" t="n">
        <f aca="false">Pressupostos!$C$61</f>
        <v>0.001</v>
      </c>
      <c r="H1637" s="2" t="s">
        <v>1181</v>
      </c>
    </row>
    <row r="1638" customFormat="false" ht="15" hidden="false" customHeight="false" outlineLevel="1" collapsed="false">
      <c r="A1638" s="7" t="s">
        <v>76</v>
      </c>
      <c r="B1638" s="8" t="s">
        <v>59</v>
      </c>
      <c r="C1638" s="60" t="n">
        <f aca="false">Pressupostos!$C$62*C1625</f>
        <v>0.01095</v>
      </c>
      <c r="D1638" s="60" t="n">
        <f aca="false">Pressupostos!$C$62*D1625</f>
        <v>0.01095</v>
      </c>
      <c r="E1638" s="60" t="n">
        <f aca="false">Pressupostos!$C$62*E1625</f>
        <v>0.01095</v>
      </c>
      <c r="F1638" s="60" t="n">
        <f aca="false">Pressupostos!$C$62*F1625</f>
        <v>0.01095</v>
      </c>
      <c r="G1638" s="60" t="n">
        <f aca="false">Pressupostos!$C$62*G1625</f>
        <v>0.01095</v>
      </c>
      <c r="H1638" s="2" t="s">
        <v>1182</v>
      </c>
    </row>
    <row r="1639" customFormat="false" ht="15" hidden="false" customHeight="false" outlineLevel="1" collapsed="false">
      <c r="A1639" s="7" t="s">
        <v>638</v>
      </c>
      <c r="B1639" s="8" t="s">
        <v>59</v>
      </c>
      <c r="C1639" s="60" t="n">
        <f aca="false">Pressupostos!$C$71*C1625</f>
        <v>0</v>
      </c>
      <c r="D1639" s="60" t="n">
        <f aca="false">Pressupostos!$C$71*D1625</f>
        <v>0</v>
      </c>
      <c r="E1639" s="60" t="n">
        <f aca="false">Pressupostos!$C$71*E1625</f>
        <v>0</v>
      </c>
      <c r="F1639" s="60" t="n">
        <f aca="false">Pressupostos!$C$71*F1625</f>
        <v>0</v>
      </c>
      <c r="G1639" s="60" t="n">
        <f aca="false">Pressupostos!$C$71*G1625</f>
        <v>0</v>
      </c>
      <c r="H1639" s="2" t="s">
        <v>1183</v>
      </c>
    </row>
    <row r="1640" customFormat="false" ht="15" hidden="false" customHeight="false" outlineLevel="1" collapsed="false">
      <c r="A1640" s="7" t="s">
        <v>639</v>
      </c>
      <c r="B1640" s="8" t="s">
        <v>59</v>
      </c>
      <c r="C1640" s="60" t="n">
        <f aca="false">Pressupostos!$C$283*(C1623+C1626)*(C1629+C1630-Pressupostos!$C$70)/365*Pressupostos!$C$277/Pressupostos!$D$31</f>
        <v>0</v>
      </c>
      <c r="D1640" s="60" t="n">
        <f aca="false">Pressupostos!$D$283*(D1623+D1626)*(D1629+D1630-Pressupostos!$C$70)/365*Pressupostos!$D$277/Pressupostos!$D$31</f>
        <v>0.0258904109589041</v>
      </c>
      <c r="E1640" s="60" t="n">
        <f aca="false">Pressupostos!$E$283*(E1623+E1626)*(E1629+E1630-Pressupostos!$C$70)/365*Pressupostos!$E$277/Pressupostos!$D$31</f>
        <v>0.0242722602739726</v>
      </c>
      <c r="F1640" s="60" t="n">
        <f aca="false">Pressupostos!$F$283*(F1623+F1626)*(F1629+F1630-Pressupostos!$C$70)/365*Pressupostos!$F$277/Pressupostos!$D$31</f>
        <v>0.0226541095890411</v>
      </c>
      <c r="G1640" s="60" t="n">
        <f aca="false">Pressupostos!$G$283*(G1623+G1626)*(G1629+G1630-Pressupostos!$C$70)/365*Pressupostos!$G$277/Pressupostos!$D$31</f>
        <v>0.0226541095890411</v>
      </c>
      <c r="H1640" s="2" t="s">
        <v>1184</v>
      </c>
    </row>
    <row r="1641" customFormat="false" ht="15" hidden="false" customHeight="false" outlineLevel="1" collapsed="false">
      <c r="A1641" s="7" t="s">
        <v>640</v>
      </c>
      <c r="B1641" s="8" t="s">
        <v>59</v>
      </c>
      <c r="C1641" s="60" t="n">
        <f aca="false">C1623+C1626+C1627+C1628+C1631+C1632+C1633+C1634+C1635+C1636+C1637+C1638+C1639+C1640</f>
        <v>3.59123767123288</v>
      </c>
      <c r="D1641" s="60" t="n">
        <f aca="false">D1623+D1626+D1627+D1628+D1631+D1632+D1633+D1634+D1635+D1636+D1637+D1638+D1639+D1640</f>
        <v>3.61712808219178</v>
      </c>
      <c r="E1641" s="60" t="n">
        <f aca="false">E1623+E1626+E1627+E1628+E1631+E1632+E1633+E1634+E1635+E1636+E1637+E1638+E1639+E1640</f>
        <v>3.61550993150685</v>
      </c>
      <c r="F1641" s="60" t="n">
        <f aca="false">F1623+F1626+F1627+F1628+F1631+F1632+F1633+F1634+F1635+F1636+F1637+F1638+F1639+F1640</f>
        <v>3.61389178082192</v>
      </c>
      <c r="G1641" s="60" t="n">
        <f aca="false">G1623+G1626+G1627+G1628+G1631+G1632+G1633+G1634+G1635+G1636+G1637+G1638+G1639+G1640</f>
        <v>3.61389178082192</v>
      </c>
      <c r="H1641" s="2" t="s">
        <v>1185</v>
      </c>
    </row>
    <row r="1642" customFormat="false" ht="15" hidden="false" customHeight="false" outlineLevel="1" collapsed="false">
      <c r="A1642" s="52" t="s">
        <v>641</v>
      </c>
      <c r="B1642" s="53" t="s">
        <v>59</v>
      </c>
      <c r="C1642" s="64" t="n">
        <f aca="false">C1625-C1641</f>
        <v>0.058762328767124</v>
      </c>
      <c r="D1642" s="64" t="n">
        <f aca="false">D1625-D1641</f>
        <v>0.0328719178082197</v>
      </c>
      <c r="E1642" s="64" t="n">
        <f aca="false">E1625-E1641</f>
        <v>0.0344900684931515</v>
      </c>
      <c r="F1642" s="64" t="n">
        <f aca="false">F1625-F1641</f>
        <v>0.0361082191780828</v>
      </c>
      <c r="G1642" s="64" t="n">
        <f aca="false">G1625-G1641</f>
        <v>0.0361082191780828</v>
      </c>
      <c r="H1642" s="2" t="s">
        <v>1186</v>
      </c>
    </row>
    <row r="1643" customFormat="false" ht="15" hidden="false" customHeight="false" outlineLevel="1" collapsed="false">
      <c r="A1643" s="7" t="s">
        <v>642</v>
      </c>
      <c r="B1643" s="8" t="s">
        <v>71</v>
      </c>
      <c r="C1643" s="55" t="n">
        <f aca="false">IF(C1625&gt;0,C1642/C1625,0)</f>
        <v>0.0160992681553764</v>
      </c>
      <c r="D1643" s="55" t="n">
        <f aca="false">IF(D1625&gt;0,D1642/D1625,0)</f>
        <v>0.00900600487896431</v>
      </c>
      <c r="E1643" s="55" t="n">
        <f aca="false">IF(E1625&gt;0,E1642/E1625,0)</f>
        <v>0.00944933383374014</v>
      </c>
      <c r="F1643" s="55" t="n">
        <f aca="false">IF(F1625&gt;0,F1642/F1625,0)</f>
        <v>0.00989266278851584</v>
      </c>
      <c r="G1643" s="55" t="n">
        <f aca="false">IF(G1625&gt;0,G1642/G1625,0)</f>
        <v>0.00989266278851584</v>
      </c>
      <c r="H1643" s="2" t="s">
        <v>1187</v>
      </c>
    </row>
    <row r="1644" customFormat="false" ht="15" hidden="false" customHeight="false" outlineLevel="1" collapsed="false">
      <c r="A1644" s="7" t="s">
        <v>643</v>
      </c>
      <c r="B1644" s="8" t="s">
        <v>59</v>
      </c>
      <c r="C1644" s="60" t="n">
        <f aca="false">(C1623+C1626)*(C1629-Pressupostos!$C$70)/365+C1625*C1630/365</f>
        <v>0.306164383561644</v>
      </c>
      <c r="D1644" s="60" t="n">
        <f aca="false">(D1623+D1626)*(D1629-Pressupostos!$C$70)/365+D1625*D1630/365</f>
        <v>0.306164383561644</v>
      </c>
      <c r="E1644" s="60" t="n">
        <f aca="false">(E1623+E1626)*(E1629-Pressupostos!$C$70)/365+E1625*E1630/365</f>
        <v>0.306164383561644</v>
      </c>
      <c r="F1644" s="60" t="n">
        <f aca="false">(F1623+F1626)*(F1629-Pressupostos!$C$70)/365+F1625*F1630/365</f>
        <v>0.306164383561644</v>
      </c>
      <c r="G1644" s="60" t="n">
        <f aca="false">(G1623+G1626)*(G1629-Pressupostos!$C$70)/365+G1625*G1630/365</f>
        <v>0.306164383561644</v>
      </c>
      <c r="H1644" s="2" t="s">
        <v>1188</v>
      </c>
    </row>
    <row r="1645" customFormat="false" ht="15" hidden="false" customHeight="false" outlineLevel="0" collapsed="false">
      <c r="A1645" s="3" t="s">
        <v>1189</v>
      </c>
      <c r="B1645" s="4"/>
      <c r="C1645" s="4"/>
      <c r="D1645" s="4"/>
      <c r="E1645" s="4"/>
      <c r="F1645" s="4"/>
      <c r="G1645" s="4"/>
      <c r="H1645" s="4"/>
    </row>
    <row r="1646" customFormat="false" ht="15" hidden="false" customHeight="false" outlineLevel="1" collapsed="false">
      <c r="A1646" s="7" t="s">
        <v>575</v>
      </c>
      <c r="B1646" s="8" t="s">
        <v>10</v>
      </c>
      <c r="C1646" s="58" t="n">
        <f aca="false">C1561*1000*C1579</f>
        <v>39550</v>
      </c>
      <c r="D1646" s="58" t="n">
        <f aca="false">D1561*1000*D1579</f>
        <v>182918.75</v>
      </c>
      <c r="E1646" s="58" t="n">
        <f aca="false">E1561*1000*E1579</f>
        <v>657518.75</v>
      </c>
      <c r="F1646" s="58" t="n">
        <f aca="false">F1561*1000*F1579</f>
        <v>1319981.25</v>
      </c>
      <c r="G1646" s="58" t="n">
        <f aca="false">G1561*1000*G1579</f>
        <v>2026937.5</v>
      </c>
      <c r="H1646" s="2" t="s">
        <v>1190</v>
      </c>
    </row>
    <row r="1647" customFormat="false" ht="15" hidden="false" customHeight="false" outlineLevel="1" collapsed="false">
      <c r="A1647" s="7" t="s">
        <v>576</v>
      </c>
      <c r="B1647" s="8" t="s">
        <v>10</v>
      </c>
      <c r="C1647" s="58" t="n">
        <f aca="false">C1562*1000*C1602</f>
        <v>226200</v>
      </c>
      <c r="D1647" s="58" t="n">
        <f aca="false">D1562*1000*D1602</f>
        <v>1579050</v>
      </c>
      <c r="E1647" s="58" t="n">
        <f aca="false">E1562*1000*E1602</f>
        <v>3118950</v>
      </c>
      <c r="F1647" s="58" t="n">
        <f aca="false">F1562*1000*F1602</f>
        <v>5146050</v>
      </c>
      <c r="G1647" s="58" t="n">
        <f aca="false">G1562*1000*G1602</f>
        <v>7786500</v>
      </c>
      <c r="H1647" s="2" t="s">
        <v>1191</v>
      </c>
    </row>
    <row r="1648" customFormat="false" ht="15" hidden="false" customHeight="false" outlineLevel="1" collapsed="false">
      <c r="A1648" s="7" t="s">
        <v>577</v>
      </c>
      <c r="B1648" s="8" t="s">
        <v>10</v>
      </c>
      <c r="C1648" s="58" t="n">
        <f aca="false">C1563*1000*C1625</f>
        <v>0</v>
      </c>
      <c r="D1648" s="58" t="n">
        <f aca="false">D1563*1000*D1625</f>
        <v>0</v>
      </c>
      <c r="E1648" s="58" t="n">
        <f aca="false">E1563*1000*E1625</f>
        <v>0</v>
      </c>
      <c r="F1648" s="58" t="n">
        <f aca="false">F1563*1000*F1625</f>
        <v>0</v>
      </c>
      <c r="G1648" s="58" t="n">
        <f aca="false">G1563*1000*G1625</f>
        <v>0</v>
      </c>
      <c r="H1648" s="2" t="s">
        <v>1192</v>
      </c>
    </row>
    <row r="1649" customFormat="false" ht="15" hidden="false" customHeight="false" outlineLevel="1" collapsed="false">
      <c r="A1649" s="7" t="s">
        <v>578</v>
      </c>
      <c r="B1649" s="8" t="s">
        <v>10</v>
      </c>
      <c r="C1649" s="58" t="n">
        <f aca="false">C1646+C1647+C1648</f>
        <v>265750</v>
      </c>
      <c r="D1649" s="58" t="n">
        <f aca="false">D1646+D1647+D1648</f>
        <v>1761968.75</v>
      </c>
      <c r="E1649" s="58" t="n">
        <f aca="false">E1646+E1647+E1648</f>
        <v>3776468.75</v>
      </c>
      <c r="F1649" s="58" t="n">
        <f aca="false">F1646+F1647+F1648</f>
        <v>6466031.25</v>
      </c>
      <c r="G1649" s="58" t="n">
        <f aca="false">G1646+G1647+G1648</f>
        <v>9813437.5</v>
      </c>
      <c r="H1649" s="2" t="s">
        <v>1193</v>
      </c>
    </row>
    <row r="1650" customFormat="false" ht="15" hidden="false" customHeight="false" outlineLevel="1" collapsed="false">
      <c r="A1650" s="7" t="s">
        <v>579</v>
      </c>
      <c r="B1650" s="8" t="s">
        <v>10</v>
      </c>
      <c r="C1650" s="58" t="n">
        <f aca="false">C1572*1000*Pressupostos!$C$91</f>
        <v>0</v>
      </c>
      <c r="D1650" s="58" t="n">
        <f aca="false">D1572*1000*Pressupostos!$C$91</f>
        <v>0</v>
      </c>
      <c r="E1650" s="58" t="n">
        <f aca="false">E1572*1000*Pressupostos!$C$91</f>
        <v>235500</v>
      </c>
      <c r="F1650" s="58" t="n">
        <f aca="false">F1572*1000*Pressupostos!$C$91</f>
        <v>471000</v>
      </c>
      <c r="G1650" s="58" t="n">
        <f aca="false">G1572*1000*Pressupostos!$C$91</f>
        <v>785000</v>
      </c>
      <c r="H1650" s="2" t="s">
        <v>1194</v>
      </c>
    </row>
    <row r="1651" customFormat="false" ht="15" hidden="false" customHeight="false" outlineLevel="1" collapsed="false">
      <c r="A1651" s="2" t="s">
        <v>580</v>
      </c>
      <c r="B1651" s="8" t="s">
        <v>10</v>
      </c>
      <c r="C1651" s="58" t="n">
        <f aca="false">C1570*Pressupostos!$C$78*(1-Pressupostos!$C$79)</f>
        <v>40500</v>
      </c>
      <c r="D1651" s="58" t="n">
        <f aca="false">D1570*Pressupostos!$C$78*(1-Pressupostos!$C$79)</f>
        <v>162000</v>
      </c>
      <c r="E1651" s="58" t="n">
        <f aca="false">E1570*Pressupostos!$C$78*(1-Pressupostos!$C$79)</f>
        <v>270000</v>
      </c>
      <c r="F1651" s="58" t="n">
        <f aca="false">F1570*Pressupostos!$C$78*(1-Pressupostos!$C$79)</f>
        <v>378000</v>
      </c>
      <c r="G1651" s="58" t="n">
        <f aca="false">G1570*Pressupostos!$C$78*(1-Pressupostos!$C$79)</f>
        <v>486000</v>
      </c>
      <c r="H1651" s="2" t="s">
        <v>1195</v>
      </c>
    </row>
    <row r="1652" customFormat="false" ht="15" hidden="false" customHeight="false" outlineLevel="1" collapsed="false">
      <c r="A1652" s="7" t="s">
        <v>581</v>
      </c>
      <c r="B1652" s="8" t="s">
        <v>10</v>
      </c>
      <c r="C1652" s="58" t="n">
        <f aca="false">C1651*Pressupostos!$D$27</f>
        <v>810</v>
      </c>
      <c r="D1652" s="58" t="n">
        <f aca="false">D1651*Pressupostos!$D$27</f>
        <v>3240</v>
      </c>
      <c r="E1652" s="58" t="n">
        <f aca="false">E1651*Pressupostos!$D$27</f>
        <v>5400</v>
      </c>
      <c r="F1652" s="58" t="n">
        <f aca="false">F1651*Pressupostos!$D$27</f>
        <v>7560</v>
      </c>
      <c r="G1652" s="58" t="n">
        <f aca="false">G1651*Pressupostos!$D$27</f>
        <v>9720</v>
      </c>
      <c r="H1652" s="2" t="s">
        <v>1196</v>
      </c>
    </row>
    <row r="1653" customFormat="false" ht="15" hidden="false" customHeight="false" outlineLevel="1" collapsed="false">
      <c r="A1653" s="7" t="s">
        <v>582</v>
      </c>
      <c r="B1653" s="8" t="s">
        <v>10</v>
      </c>
      <c r="C1653" s="58" t="n">
        <f aca="false">C1574*(Pressupostos!$C$99*Pressupostos!$C$100+Pressupostos!$C$101)</f>
        <v>0</v>
      </c>
      <c r="D1653" s="58" t="n">
        <f aca="false">D1574*(Pressupostos!$C$99*Pressupostos!$C$100+Pressupostos!$C$101)</f>
        <v>10000</v>
      </c>
      <c r="E1653" s="58" t="n">
        <f aca="false">E1574*(Pressupostos!$C$99*Pressupostos!$C$100+Pressupostos!$C$101)</f>
        <v>30000</v>
      </c>
      <c r="F1653" s="58" t="n">
        <f aca="false">F1574*(Pressupostos!$C$99*Pressupostos!$C$100+Pressupostos!$C$101)</f>
        <v>60000</v>
      </c>
      <c r="G1653" s="58" t="n">
        <f aca="false">G1574*(Pressupostos!$C$99*Pressupostos!$C$100+Pressupostos!$C$101)</f>
        <v>100000</v>
      </c>
      <c r="H1653" s="2" t="s">
        <v>1197</v>
      </c>
    </row>
    <row r="1654" customFormat="false" ht="15" hidden="false" customHeight="false" outlineLevel="1" collapsed="false">
      <c r="A1654" s="7" t="s">
        <v>583</v>
      </c>
      <c r="B1654" s="8" t="s">
        <v>10</v>
      </c>
      <c r="C1654" s="50" t="n">
        <f aca="false">Pressupostos!$C$270</f>
        <v>0</v>
      </c>
      <c r="D1654" s="50" t="n">
        <f aca="false">Pressupostos!$D$270</f>
        <v>0</v>
      </c>
      <c r="E1654" s="50" t="n">
        <f aca="false">Pressupostos!$E$270</f>
        <v>0</v>
      </c>
      <c r="F1654" s="50" t="n">
        <f aca="false">Pressupostos!$F$270</f>
        <v>10000</v>
      </c>
      <c r="G1654" s="50" t="n">
        <f aca="false">Pressupostos!$G$270</f>
        <v>30000</v>
      </c>
      <c r="H1654" s="2" t="s">
        <v>1198</v>
      </c>
    </row>
    <row r="1655" customFormat="false" ht="15" hidden="false" customHeight="false" outlineLevel="1" collapsed="false">
      <c r="A1655" s="52" t="s">
        <v>584</v>
      </c>
      <c r="B1655" s="53" t="s">
        <v>10</v>
      </c>
      <c r="C1655" s="59" t="n">
        <f aca="false">C1649+C1650+C1652+C1653+C1654</f>
        <v>266560</v>
      </c>
      <c r="D1655" s="59" t="n">
        <f aca="false">D1649+D1650+D1652+D1653+D1654</f>
        <v>1775208.75</v>
      </c>
      <c r="E1655" s="59" t="n">
        <f aca="false">E1649+E1650+E1652+E1653+E1654</f>
        <v>4047368.75</v>
      </c>
      <c r="F1655" s="59" t="n">
        <f aca="false">F1649+F1650+F1652+F1653+F1654</f>
        <v>7014591.25</v>
      </c>
      <c r="G1655" s="59" t="n">
        <f aca="false">G1649+G1650+G1652+G1653+G1654</f>
        <v>10738157.5</v>
      </c>
      <c r="H1655" s="2" t="s">
        <v>1199</v>
      </c>
    </row>
    <row r="1656" customFormat="false" ht="15" hidden="false" customHeight="false" outlineLevel="0" collapsed="false">
      <c r="A1656" s="3" t="s">
        <v>1200</v>
      </c>
      <c r="B1656" s="4"/>
      <c r="C1656" s="4"/>
      <c r="D1656" s="4"/>
      <c r="E1656" s="4"/>
      <c r="F1656" s="4"/>
      <c r="G1656" s="4"/>
      <c r="H1656" s="4"/>
    </row>
    <row r="1657" customFormat="false" ht="15" hidden="false" customHeight="false" outlineLevel="1" collapsed="false">
      <c r="A1657" s="52" t="s">
        <v>586</v>
      </c>
      <c r="B1657" s="53" t="s">
        <v>10</v>
      </c>
      <c r="C1657" s="59" t="n">
        <f aca="false">C1649+C1650+C1651</f>
        <v>306250</v>
      </c>
      <c r="D1657" s="59" t="n">
        <f aca="false">D1649+D1650+D1651</f>
        <v>1923968.75</v>
      </c>
      <c r="E1657" s="59" t="n">
        <f aca="false">E1649+E1650+E1651</f>
        <v>4281968.75</v>
      </c>
      <c r="F1657" s="59" t="n">
        <f aca="false">F1649+F1650+F1651</f>
        <v>7315031.25</v>
      </c>
      <c r="G1657" s="59" t="n">
        <f aca="false">G1649+G1650+G1651</f>
        <v>11084437.5</v>
      </c>
      <c r="H1657" s="2" t="s">
        <v>1201</v>
      </c>
    </row>
    <row r="1658" customFormat="false" ht="15" hidden="false" customHeight="false" outlineLevel="1" collapsed="false">
      <c r="A1658" s="7" t="s">
        <v>587</v>
      </c>
      <c r="B1658" s="8" t="s">
        <v>10</v>
      </c>
      <c r="C1658" s="58" t="n">
        <f aca="false">C1561*1000*(C1577+C1580)+C1562*1000*(C1600+C1603)+C1563*1000*(C1623+C1626)+C1572*1000*Pressupostos!$C$90</f>
        <v>243800</v>
      </c>
      <c r="D1658" s="58" t="n">
        <f aca="false">D1561*1000*(D1577+D1580)+D1562*1000*(D1600+D1603)+D1563*1000*(D1623+D1626)+D1572*1000*Pressupostos!$C$90</f>
        <v>1623700</v>
      </c>
      <c r="E1658" s="58" t="n">
        <f aca="false">E1561*1000*(E1577+E1580)+E1562*1000*(E1600+E1603)+E1563*1000*(E1623+E1626)+E1572*1000*Pressupostos!$C$90</f>
        <v>3665800</v>
      </c>
      <c r="F1658" s="58" t="n">
        <f aca="false">F1561*1000*(F1577+F1580)+F1562*1000*(F1600+F1603)+F1563*1000*(F1623+F1626)+F1572*1000*Pressupostos!$C$90</f>
        <v>6319200</v>
      </c>
      <c r="G1658" s="58" t="n">
        <f aca="false">G1561*1000*(G1577+G1580)+G1562*1000*(G1600+G1603)+G1563*1000*(G1623+G1626)+G1572*1000*Pressupostos!$C$90</f>
        <v>9651000</v>
      </c>
      <c r="H1658" s="2" t="s">
        <v>1202</v>
      </c>
    </row>
    <row r="1659" customFormat="false" ht="15" hidden="false" customHeight="false" outlineLevel="1" collapsed="false">
      <c r="A1659" s="7" t="s">
        <v>588</v>
      </c>
      <c r="B1659" s="8" t="s">
        <v>10</v>
      </c>
      <c r="C1659" s="58" t="n">
        <f aca="false">C1658*Pressupostos!$C$277</f>
        <v>0</v>
      </c>
      <c r="D1659" s="58" t="n">
        <f aca="false">D1658*Pressupostos!$D$277</f>
        <v>1461330</v>
      </c>
      <c r="E1659" s="58" t="n">
        <f aca="false">E1658*Pressupostos!$E$277</f>
        <v>3299220</v>
      </c>
      <c r="F1659" s="58" t="n">
        <f aca="false">F1658*Pressupostos!$F$277</f>
        <v>5687280</v>
      </c>
      <c r="G1659" s="58" t="n">
        <f aca="false">G1658*Pressupostos!$G$277</f>
        <v>8685900</v>
      </c>
      <c r="H1659" s="2" t="s">
        <v>1203</v>
      </c>
    </row>
    <row r="1660" customFormat="false" ht="15" hidden="false" customHeight="false" outlineLevel="0" collapsed="false">
      <c r="A1660" s="3" t="s">
        <v>1204</v>
      </c>
      <c r="B1660" s="4"/>
      <c r="C1660" s="4"/>
      <c r="D1660" s="4"/>
      <c r="E1660" s="4"/>
      <c r="F1660" s="4"/>
      <c r="G1660" s="4"/>
      <c r="H1660" s="4"/>
    </row>
    <row r="1661" customFormat="false" ht="15" hidden="false" customHeight="false" outlineLevel="1" collapsed="false">
      <c r="A1661" s="7" t="s">
        <v>590</v>
      </c>
      <c r="B1661" s="8" t="s">
        <v>10</v>
      </c>
      <c r="C1661" s="58" t="n">
        <f aca="false">C1561*1000*C1596</f>
        <v>1604.29452054796</v>
      </c>
      <c r="D1661" s="58" t="n">
        <f aca="false">D1561*1000*D1596</f>
        <v>415.458047945266</v>
      </c>
      <c r="E1661" s="58" t="n">
        <f aca="false">E1561*1000*E1596</f>
        <v>27495.518150685</v>
      </c>
      <c r="F1661" s="58" t="n">
        <f aca="false">F1561*1000*F1596</f>
        <v>58721.5751712331</v>
      </c>
      <c r="G1661" s="58" t="n">
        <f aca="false">G1561*1000*G1596</f>
        <v>90171.7071917812</v>
      </c>
      <c r="H1661" s="2" t="s">
        <v>1205</v>
      </c>
    </row>
    <row r="1662" customFormat="false" ht="15" hidden="false" customHeight="false" outlineLevel="1" collapsed="false">
      <c r="A1662" s="7" t="s">
        <v>591</v>
      </c>
      <c r="B1662" s="8" t="s">
        <v>10</v>
      </c>
      <c r="C1662" s="58" t="n">
        <f aca="false">C1562*1000*C1619</f>
        <v>5010.62739726033</v>
      </c>
      <c r="D1662" s="58" t="n">
        <f aca="false">D1562*1000*D1619</f>
        <v>18665.410273973</v>
      </c>
      <c r="E1662" s="58" t="n">
        <f aca="false">E1562*1000*E1619</f>
        <v>46051.8418664388</v>
      </c>
      <c r="F1662" s="58" t="n">
        <f aca="false">F1562*1000*F1619</f>
        <v>79304.9573630142</v>
      </c>
      <c r="G1662" s="58" t="n">
        <f aca="false">G1562*1000*G1619</f>
        <v>119996.511986302</v>
      </c>
      <c r="H1662" s="2" t="s">
        <v>1206</v>
      </c>
    </row>
    <row r="1663" customFormat="false" ht="15" hidden="false" customHeight="false" outlineLevel="1" collapsed="false">
      <c r="A1663" s="7" t="s">
        <v>592</v>
      </c>
      <c r="B1663" s="8" t="s">
        <v>10</v>
      </c>
      <c r="C1663" s="58" t="n">
        <f aca="false">C1563*1000*C1642</f>
        <v>0</v>
      </c>
      <c r="D1663" s="58" t="n">
        <f aca="false">D1563*1000*D1642</f>
        <v>0</v>
      </c>
      <c r="E1663" s="58" t="n">
        <f aca="false">E1563*1000*E1642</f>
        <v>0</v>
      </c>
      <c r="F1663" s="58" t="n">
        <f aca="false">F1563*1000*F1642</f>
        <v>0</v>
      </c>
      <c r="G1663" s="58" t="n">
        <f aca="false">G1563*1000*G1642</f>
        <v>0</v>
      </c>
      <c r="H1663" s="2" t="s">
        <v>1207</v>
      </c>
    </row>
    <row r="1664" customFormat="false" ht="15" hidden="false" customHeight="false" outlineLevel="1" collapsed="false">
      <c r="A1664" s="7" t="s">
        <v>593</v>
      </c>
      <c r="B1664" s="8" t="s">
        <v>10</v>
      </c>
      <c r="C1664" s="58" t="n">
        <f aca="false">C1661+C1662+C1663</f>
        <v>6614.92191780829</v>
      </c>
      <c r="D1664" s="58" t="n">
        <f aca="false">D1661+D1662+D1663</f>
        <v>19080.8683219183</v>
      </c>
      <c r="E1664" s="58" t="n">
        <f aca="false">E1661+E1662+E1663</f>
        <v>73547.3600171238</v>
      </c>
      <c r="F1664" s="58" t="n">
        <f aca="false">F1661+F1662+F1663</f>
        <v>138026.532534247</v>
      </c>
      <c r="G1664" s="58" t="n">
        <f aca="false">G1661+G1662+G1663</f>
        <v>210168.219178083</v>
      </c>
      <c r="H1664" s="2" t="s">
        <v>1208</v>
      </c>
    </row>
    <row r="1665" customFormat="false" ht="15" hidden="false" customHeight="false" outlineLevel="1" collapsed="false">
      <c r="A1665" s="7" t="s">
        <v>594</v>
      </c>
      <c r="B1665" s="8" t="s">
        <v>59</v>
      </c>
      <c r="C1665" s="60" t="n">
        <f aca="false">IF(C1564&gt;0,C1664/(C1564*1000),0)</f>
        <v>0.110248698630138</v>
      </c>
      <c r="D1665" s="60" t="n">
        <f aca="false">IF(D1564&gt;0,D1664/(D1564*1000),0)</f>
        <v>0.0477021708047957</v>
      </c>
      <c r="E1665" s="60" t="n">
        <f aca="false">IF(E1564&gt;0,E1664/(E1564*1000),0)</f>
        <v>0.0865263059024986</v>
      </c>
      <c r="F1665" s="60" t="n">
        <f aca="false">IF(F1564&gt;0,F1664/(F1564*1000),0)</f>
        <v>0.0951907120925844</v>
      </c>
      <c r="G1665" s="60" t="n">
        <f aca="false">IF(G1564&gt;0,G1664/(G1564*1000),0)</f>
        <v>0.0955310087173106</v>
      </c>
      <c r="H1665" s="2" t="s">
        <v>1209</v>
      </c>
    </row>
    <row r="1666" customFormat="false" ht="15" hidden="false" customHeight="false" outlineLevel="1" collapsed="false">
      <c r="A1666" s="7" t="s">
        <v>595</v>
      </c>
      <c r="B1666" s="8" t="s">
        <v>71</v>
      </c>
      <c r="C1666" s="55" t="n">
        <f aca="false">IF(C1649&gt;0,C1664/C1649,0)</f>
        <v>0.0248915217979616</v>
      </c>
      <c r="D1666" s="55" t="n">
        <f aca="false">IF(D1649&gt;0,D1664/D1649,0)</f>
        <v>0.0108292887271232</v>
      </c>
      <c r="E1666" s="55" t="n">
        <f aca="false">IF(E1649&gt;0,E1664/E1649,0)</f>
        <v>0.0194751671166679</v>
      </c>
      <c r="F1666" s="55" t="n">
        <f aca="false">IF(F1649&gt;0,F1664/F1649,0)</f>
        <v>0.0213464066593008</v>
      </c>
      <c r="G1666" s="55" t="n">
        <f aca="false">IF(G1649&gt;0,G1664/G1649,0)</f>
        <v>0.0214163710909743</v>
      </c>
      <c r="H1666" s="2" t="s">
        <v>1210</v>
      </c>
    </row>
    <row r="1667" customFormat="false" ht="15" hidden="false" customHeight="false" outlineLevel="1" collapsed="false">
      <c r="A1667" s="2" t="s">
        <v>596</v>
      </c>
      <c r="B1667" s="8" t="s">
        <v>59</v>
      </c>
      <c r="C1667" s="60" t="n">
        <f aca="false">Pressupostos!$C$283*Pressupostos!$C$90*(Pressupostos!$C$93+Pressupostos!$C$94-Pressupostos!$C$95)/365*Pressupostos!$C$277/Pressupostos!$D$31</f>
        <v>0</v>
      </c>
      <c r="D1667" s="60" t="n">
        <f aca="false">Pressupostos!$D$283*Pressupostos!$C$90*(Pressupostos!$C$93+Pressupostos!$C$94-Pressupostos!$C$95)/365*Pressupostos!$D$277/Pressupostos!$D$31</f>
        <v>0.0776712328767123</v>
      </c>
      <c r="E1667" s="60" t="n">
        <f aca="false">Pressupostos!$E$283*Pressupostos!$C$90*(Pressupostos!$C$93+Pressupostos!$C$94-Pressupostos!$C$95)/365*Pressupostos!$E$277/Pressupostos!$D$31</f>
        <v>0.0728167808219178</v>
      </c>
      <c r="F1667" s="60" t="n">
        <f aca="false">Pressupostos!$F$283*Pressupostos!$C$90*(Pressupostos!$C$93+Pressupostos!$C$94-Pressupostos!$C$95)/365*Pressupostos!$F$277/Pressupostos!$D$31</f>
        <v>0.0679623287671233</v>
      </c>
      <c r="G1667" s="60" t="n">
        <f aca="false">Pressupostos!$G$283*Pressupostos!$C$90*(Pressupostos!$C$93+Pressupostos!$C$94-Pressupostos!$C$95)/365*Pressupostos!$G$277/Pressupostos!$D$31</f>
        <v>0.0679623287671233</v>
      </c>
      <c r="H1667" s="2" t="s">
        <v>1211</v>
      </c>
    </row>
    <row r="1668" customFormat="false" ht="15" hidden="false" customHeight="false" outlineLevel="1" collapsed="false">
      <c r="A1668" s="7" t="s">
        <v>567</v>
      </c>
      <c r="B1668" s="8" t="s">
        <v>10</v>
      </c>
      <c r="C1668" s="58" t="n">
        <f aca="false">C1572*1000*(Pressupostos!$C$91-Pressupostos!$C$90-Pressupostos!$C$92-C1667-Pressupostos!$C$96*Pressupostos!$C$91-Pressupostos!$C$97-Pressupostos!$D$29*Pressupostos!$C$90)</f>
        <v>0</v>
      </c>
      <c r="D1668" s="58" t="n">
        <f aca="false">D1572*1000*(Pressupostos!$C$91-Pressupostos!$C$90-Pressupostos!$C$92-D1667-Pressupostos!$C$96*Pressupostos!$C$91-Pressupostos!$C$97-Pressupostos!$D$29*Pressupostos!$C$90)</f>
        <v>0</v>
      </c>
      <c r="E1668" s="58" t="n">
        <f aca="false">E1572*1000*(Pressupostos!$C$91-Pressupostos!$C$90-Pressupostos!$C$92-E1667-Pressupostos!$C$96*Pressupostos!$C$91-Pressupostos!$C$97-Pressupostos!$D$29*Pressupostos!$C$90)</f>
        <v>16502.4965753425</v>
      </c>
      <c r="F1668" s="58" t="n">
        <f aca="false">F1572*1000*(Pressupostos!$C$91-Pressupostos!$C$90-Pressupostos!$C$92-F1667-Pressupostos!$C$96*Pressupostos!$C$91-Pressupostos!$C$97-Pressupostos!$D$29*Pressupostos!$C$90)</f>
        <v>33296.2602739726</v>
      </c>
      <c r="G1668" s="58" t="n">
        <f aca="false">G1572*1000*(Pressupostos!$C$91-Pressupostos!$C$90-Pressupostos!$C$92-G1667-Pressupostos!$C$96*Pressupostos!$C$91-Pressupostos!$C$97-Pressupostos!$D$29*Pressupostos!$C$90)</f>
        <v>55493.7671232876</v>
      </c>
      <c r="H1668" s="2" t="s">
        <v>1212</v>
      </c>
    </row>
    <row r="1669" customFormat="false" ht="15" hidden="false" customHeight="false" outlineLevel="1" collapsed="false">
      <c r="A1669" s="7" t="s">
        <v>597</v>
      </c>
      <c r="B1669" s="8" t="s">
        <v>10</v>
      </c>
      <c r="C1669" s="58" t="n">
        <f aca="false">C1652</f>
        <v>810</v>
      </c>
      <c r="D1669" s="58" t="n">
        <f aca="false">D1652</f>
        <v>3240</v>
      </c>
      <c r="E1669" s="58" t="n">
        <f aca="false">E1652</f>
        <v>5400</v>
      </c>
      <c r="F1669" s="58" t="n">
        <f aca="false">F1652</f>
        <v>7560</v>
      </c>
      <c r="G1669" s="58" t="n">
        <f aca="false">G1652</f>
        <v>9720</v>
      </c>
      <c r="H1669" s="2" t="s">
        <v>1213</v>
      </c>
    </row>
    <row r="1670" customFormat="false" ht="15" hidden="false" customHeight="false" outlineLevel="1" collapsed="false">
      <c r="A1670" s="7" t="s">
        <v>598</v>
      </c>
      <c r="B1670" s="8" t="s">
        <v>10</v>
      </c>
      <c r="C1670" s="58" t="n">
        <f aca="false">C1653-C1685</f>
        <v>0</v>
      </c>
      <c r="D1670" s="58" t="n">
        <f aca="false">D1653-D1685</f>
        <v>1771.42857142857</v>
      </c>
      <c r="E1670" s="58" t="n">
        <f aca="false">E1653-E1685</f>
        <v>5314.28571428572</v>
      </c>
      <c r="F1670" s="58" t="n">
        <f aca="false">F1653-F1685</f>
        <v>10628.5714285714</v>
      </c>
      <c r="G1670" s="58" t="n">
        <f aca="false">G1653-G1685</f>
        <v>17714.2857142857</v>
      </c>
      <c r="H1670" s="2" t="s">
        <v>1214</v>
      </c>
    </row>
    <row r="1671" customFormat="false" ht="15" hidden="false" customHeight="false" outlineLevel="1" collapsed="false">
      <c r="A1671" s="7" t="s">
        <v>583</v>
      </c>
      <c r="B1671" s="8" t="s">
        <v>10</v>
      </c>
      <c r="C1671" s="58" t="n">
        <f aca="false">C1654</f>
        <v>0</v>
      </c>
      <c r="D1671" s="58" t="n">
        <f aca="false">D1654</f>
        <v>0</v>
      </c>
      <c r="E1671" s="58" t="n">
        <f aca="false">E1654</f>
        <v>0</v>
      </c>
      <c r="F1671" s="58" t="n">
        <f aca="false">F1654</f>
        <v>10000</v>
      </c>
      <c r="G1671" s="58" t="n">
        <f aca="false">G1654</f>
        <v>30000</v>
      </c>
      <c r="H1671" s="2" t="s">
        <v>1215</v>
      </c>
    </row>
    <row r="1672" customFormat="false" ht="15" hidden="false" customHeight="false" outlineLevel="1" collapsed="false">
      <c r="A1672" s="52" t="s">
        <v>599</v>
      </c>
      <c r="B1672" s="53" t="s">
        <v>10</v>
      </c>
      <c r="C1672" s="59" t="n">
        <f aca="false">C1664+C1668+C1669+C1670+C1671</f>
        <v>7424.92191780829</v>
      </c>
      <c r="D1672" s="59" t="n">
        <f aca="false">D1664+D1668+D1669+D1670+D1671</f>
        <v>24092.2968933468</v>
      </c>
      <c r="E1672" s="59" t="n">
        <f aca="false">E1664+E1668+E1669+E1670+E1671</f>
        <v>100764.142306752</v>
      </c>
      <c r="F1672" s="59" t="n">
        <f aca="false">F1664+F1668+F1669+F1670+F1671</f>
        <v>199511.364236791</v>
      </c>
      <c r="G1672" s="59" t="n">
        <f aca="false">G1664+G1668+G1669+G1670+G1671</f>
        <v>323096.272015657</v>
      </c>
      <c r="H1672" s="2" t="s">
        <v>1216</v>
      </c>
    </row>
    <row r="1673" customFormat="false" ht="15" hidden="false" customHeight="false" outlineLevel="0" collapsed="false">
      <c r="A1673" s="3" t="s">
        <v>1217</v>
      </c>
      <c r="B1673" s="4"/>
      <c r="C1673" s="4"/>
      <c r="D1673" s="4"/>
      <c r="E1673" s="4"/>
      <c r="F1673" s="4"/>
      <c r="G1673" s="4"/>
      <c r="H1673" s="4"/>
    </row>
    <row r="1674" customFormat="false" ht="15" hidden="false" customHeight="false" outlineLevel="1" collapsed="false">
      <c r="A1674" s="7" t="s">
        <v>647</v>
      </c>
      <c r="B1674" s="8" t="s">
        <v>10</v>
      </c>
      <c r="C1674" s="58" t="n">
        <f aca="false">C1561*1000*(C1577+C1580)+C1562*1000*(C1600+C1603)+C1563*1000*(C1623+C1626)</f>
        <v>243800</v>
      </c>
      <c r="D1674" s="58" t="n">
        <f aca="false">D1561*1000*(D1577+D1580)+D1562*1000*(D1600+D1603)+D1563*1000*(D1623+D1626)</f>
        <v>1623700</v>
      </c>
      <c r="E1674" s="58" t="n">
        <f aca="false">E1561*1000*(E1577+E1580)+E1562*1000*(E1600+E1603)+E1563*1000*(E1623+E1626)</f>
        <v>3455800</v>
      </c>
      <c r="F1674" s="58" t="n">
        <f aca="false">F1561*1000*(F1577+F1580)+F1562*1000*(F1600+F1603)+F1563*1000*(F1623+F1626)</f>
        <v>5899200</v>
      </c>
      <c r="G1674" s="58" t="n">
        <f aca="false">G1561*1000*(G1577+G1580)+G1562*1000*(G1600+G1603)+G1563*1000*(G1623+G1626)</f>
        <v>8951000</v>
      </c>
      <c r="H1674" s="2" t="s">
        <v>1218</v>
      </c>
    </row>
    <row r="1675" customFormat="false" ht="15" hidden="false" customHeight="false" outlineLevel="1" collapsed="false">
      <c r="A1675" s="7" t="s">
        <v>648</v>
      </c>
      <c r="B1675" s="8" t="s">
        <v>10</v>
      </c>
      <c r="C1675" s="58" t="n">
        <f aca="false">C1572*1000*Pressupostos!$C$90</f>
        <v>0</v>
      </c>
      <c r="D1675" s="58" t="n">
        <f aca="false">D1572*1000*Pressupostos!$C$90</f>
        <v>0</v>
      </c>
      <c r="E1675" s="58" t="n">
        <f aca="false">E1572*1000*Pressupostos!$C$90</f>
        <v>210000</v>
      </c>
      <c r="F1675" s="58" t="n">
        <f aca="false">F1572*1000*Pressupostos!$C$90</f>
        <v>420000</v>
      </c>
      <c r="G1675" s="58" t="n">
        <f aca="false">G1572*1000*Pressupostos!$C$90</f>
        <v>700000</v>
      </c>
      <c r="H1675" s="2" t="s">
        <v>1219</v>
      </c>
    </row>
    <row r="1676" customFormat="false" ht="15" hidden="false" customHeight="false" outlineLevel="1" collapsed="false">
      <c r="A1676" s="7" t="s">
        <v>649</v>
      </c>
      <c r="B1676" s="8" t="s">
        <v>10</v>
      </c>
      <c r="C1676" s="58" t="n">
        <f aca="false">C1674+C1675</f>
        <v>243800</v>
      </c>
      <c r="D1676" s="58" t="n">
        <f aca="false">D1674+D1675</f>
        <v>1623700</v>
      </c>
      <c r="E1676" s="58" t="n">
        <f aca="false">E1674+E1675</f>
        <v>3665800</v>
      </c>
      <c r="F1676" s="58" t="n">
        <f aca="false">F1674+F1675</f>
        <v>6319200</v>
      </c>
      <c r="G1676" s="58" t="n">
        <f aca="false">G1674+G1675</f>
        <v>9651000</v>
      </c>
      <c r="H1676" s="2" t="s">
        <v>1220</v>
      </c>
    </row>
    <row r="1677" customFormat="false" ht="15" hidden="false" customHeight="false" outlineLevel="1" collapsed="false">
      <c r="A1677" s="7" t="s">
        <v>205</v>
      </c>
      <c r="B1677" s="8" t="s">
        <v>10</v>
      </c>
      <c r="C1677" s="58" t="n">
        <f aca="false">C1561*1000*(C1581)+C1562*1000*(C1604)+C1563*1000*(C1627)+C1572*1000*Pressupostos!$C$92</f>
        <v>7600</v>
      </c>
      <c r="D1677" s="58" t="n">
        <f aca="false">D1561*1000*(D1581)+D1562*1000*(D1604)+D1563*1000*(D1627)+D1572*1000*Pressupostos!$C$92</f>
        <v>47400</v>
      </c>
      <c r="E1677" s="58" t="n">
        <f aca="false">E1561*1000*(E1581)+E1562*1000*(E1604)+E1563*1000*(E1627)+E1572*1000*Pressupostos!$C$92</f>
        <v>106270</v>
      </c>
      <c r="F1677" s="58" t="n">
        <f aca="false">F1561*1000*(F1581)+F1562*1000*(F1604)+F1563*1000*(F1627)+F1572*1000*Pressupostos!$C$92</f>
        <v>187560</v>
      </c>
      <c r="G1677" s="58" t="n">
        <f aca="false">G1561*1000*(G1581)+G1562*1000*(G1604)+G1563*1000*(G1627)+G1572*1000*Pressupostos!$C$92</f>
        <v>286800</v>
      </c>
      <c r="H1677" s="2" t="s">
        <v>1221</v>
      </c>
    </row>
    <row r="1678" customFormat="false" ht="15" hidden="false" customHeight="false" outlineLevel="1" collapsed="false">
      <c r="A1678" s="7" t="s">
        <v>109</v>
      </c>
      <c r="B1678" s="8" t="s">
        <v>10</v>
      </c>
      <c r="C1678" s="58" t="n">
        <f aca="false">C1561*1000*(C1582)+C1562*1000*(C1605)+C1563*1000*(C1628)</f>
        <v>480</v>
      </c>
      <c r="D1678" s="58" t="n">
        <f aca="false">D1561*1000*(D1582)+D1562*1000*(D1605)+D1563*1000*(D1628)</f>
        <v>2220</v>
      </c>
      <c r="E1678" s="58" t="n">
        <f aca="false">E1561*1000*(E1582)+E1562*1000*(E1605)+E1563*1000*(E1628)</f>
        <v>7980</v>
      </c>
      <c r="F1678" s="58" t="n">
        <f aca="false">F1561*1000*(F1582)+F1562*1000*(F1605)+F1563*1000*(F1628)</f>
        <v>16020</v>
      </c>
      <c r="G1678" s="58" t="n">
        <f aca="false">G1561*1000*(G1582)+G1562*1000*(G1605)+G1563*1000*(G1628)</f>
        <v>24600</v>
      </c>
      <c r="H1678" s="2" t="s">
        <v>1222</v>
      </c>
    </row>
    <row r="1679" customFormat="false" ht="15" hidden="false" customHeight="false" outlineLevel="1" collapsed="false">
      <c r="A1679" s="7" t="s">
        <v>650</v>
      </c>
      <c r="B1679" s="8" t="s">
        <v>10</v>
      </c>
      <c r="C1679" s="58" t="n">
        <f aca="false">C1561*1000*(C1585+C1586)+C1562*1000*(C1608+C1609)+C1563*1000*(C1631+C1632)</f>
        <v>459.178082191781</v>
      </c>
      <c r="D1679" s="58" t="n">
        <f aca="false">D1561*1000*(D1585+D1586)+D1562*1000*(D1608+D1609)+D1563*1000*(D1631+D1632)</f>
        <v>2686.19178082192</v>
      </c>
      <c r="E1679" s="58" t="n">
        <f aca="false">E1561*1000*(E1585+E1586)+E1562*1000*(E1608+E1609)+E1563*1000*(E1631+E1632)</f>
        <v>4208.36712328767</v>
      </c>
      <c r="F1679" s="58" t="n">
        <f aca="false">F1561*1000*(F1585+F1586)+F1562*1000*(F1608+F1609)+F1563*1000*(F1631+F1632)</f>
        <v>7271.08493150685</v>
      </c>
      <c r="G1679" s="58" t="n">
        <f aca="false">G1561*1000*(G1585+G1586)+G1562*1000*(G1608+G1609)+G1563*1000*(G1631+G1632)</f>
        <v>11043.2328767123</v>
      </c>
      <c r="H1679" s="2" t="s">
        <v>1223</v>
      </c>
    </row>
    <row r="1680" customFormat="false" ht="15" hidden="false" customHeight="false" outlineLevel="1" collapsed="false">
      <c r="A1680" s="7" t="s">
        <v>651</v>
      </c>
      <c r="B1680" s="8" t="s">
        <v>10</v>
      </c>
      <c r="C1680" s="58" t="n">
        <f aca="false">C1561*1000*(C1587+C1588+C1589)+C1562*1000*(C1610+C1611+C1612)+C1563*1000*(C1633+C1634+C1635)</f>
        <v>2660</v>
      </c>
      <c r="D1680" s="58" t="n">
        <f aca="false">D1561*1000*(D1587+D1588+D1589)+D1562*1000*(D1610+D1611+D1612)+D1563*1000*(D1633+D1634+D1635)</f>
        <v>17325</v>
      </c>
      <c r="E1680" s="58" t="n">
        <f aca="false">E1561*1000*(E1587+E1588+E1589)+E1562*1000*(E1610+E1611+E1612)+E1563*1000*(E1633+E1634+E1635)</f>
        <v>36379.5</v>
      </c>
      <c r="F1680" s="58" t="n">
        <f aca="false">F1561*1000*(F1587+F1588+F1589)+F1562*1000*(F1610+F1611+F1612)+F1563*1000*(F1633+F1634+F1635)</f>
        <v>62520.5</v>
      </c>
      <c r="G1680" s="58" t="n">
        <f aca="false">G1561*1000*(G1587+G1588+G1589)+G1562*1000*(G1610+G1611+G1612)+G1563*1000*(G1633+G1634+G1635)</f>
        <v>94915</v>
      </c>
      <c r="H1680" s="2" t="s">
        <v>1224</v>
      </c>
    </row>
    <row r="1681" customFormat="false" ht="15" hidden="false" customHeight="false" outlineLevel="1" collapsed="false">
      <c r="A1681" s="7" t="s">
        <v>637</v>
      </c>
      <c r="B1681" s="8" t="s">
        <v>10</v>
      </c>
      <c r="C1681" s="58" t="n">
        <f aca="false">C1561*1000*(C1590)+C1562*1000*(C1613)+C1563*1000*(C1636)</f>
        <v>2880</v>
      </c>
      <c r="D1681" s="58" t="n">
        <f aca="false">D1561*1000*(D1590)+D1562*1000*(D1613)+D1563*1000*(D1636)</f>
        <v>18220</v>
      </c>
      <c r="E1681" s="58" t="n">
        <f aca="false">E1561*1000*(E1590)+E1562*1000*(E1613)+E1563*1000*(E1636)</f>
        <v>41980</v>
      </c>
      <c r="F1681" s="58" t="n">
        <f aca="false">F1561*1000*(F1590)+F1562*1000*(F1613)+F1563*1000*(F1636)</f>
        <v>74020</v>
      </c>
      <c r="G1681" s="58" t="n">
        <f aca="false">G1561*1000*(G1590)+G1562*1000*(G1613)+G1563*1000*(G1636)</f>
        <v>112600</v>
      </c>
      <c r="H1681" s="2" t="s">
        <v>1225</v>
      </c>
    </row>
    <row r="1682" customFormat="false" ht="15" hidden="false" customHeight="false" outlineLevel="1" collapsed="false">
      <c r="A1682" s="7" t="s">
        <v>652</v>
      </c>
      <c r="B1682" s="8" t="s">
        <v>10</v>
      </c>
      <c r="C1682" s="58" t="n">
        <f aca="false">C1561*1000*(C1591)+C1562*1000*(C1614)+C1563*1000*(C1637)+C1572*1000*Pressupostos!$C$97</f>
        <v>340</v>
      </c>
      <c r="D1682" s="58" t="n">
        <f aca="false">D1561*1000*(D1591)+D1562*1000*(D1614)+D1563*1000*(D1637)+D1572*1000*Pressupostos!$C$97</f>
        <v>2185</v>
      </c>
      <c r="E1682" s="58" t="n">
        <f aca="false">E1561*1000*(E1591)+E1562*1000*(E1614)+E1563*1000*(E1637)+E1572*1000*Pressupostos!$C$97</f>
        <v>5815</v>
      </c>
      <c r="F1682" s="58" t="n">
        <f aca="false">F1561*1000*(F1591)+F1562*1000*(F1614)+F1563*1000*(F1637)+F1572*1000*Pressupostos!$C$97</f>
        <v>10385</v>
      </c>
      <c r="G1682" s="58" t="n">
        <f aca="false">G1561*1000*(G1591)+G1562*1000*(G1614)+G1563*1000*(G1637)+G1572*1000*Pressupostos!$C$97</f>
        <v>16050</v>
      </c>
      <c r="H1682" s="2" t="s">
        <v>1226</v>
      </c>
    </row>
    <row r="1683" customFormat="false" ht="15" hidden="false" customHeight="false" outlineLevel="1" collapsed="false">
      <c r="A1683" s="7" t="s">
        <v>76</v>
      </c>
      <c r="B1683" s="8" t="s">
        <v>10</v>
      </c>
      <c r="C1683" s="58" t="n">
        <f aca="false">C1561*1000*(C1592)+C1562*1000*(C1615)+C1563*1000*(C1638)+C1572*1000*Pressupostos!$C$96*Pressupostos!$C$91</f>
        <v>915.9</v>
      </c>
      <c r="D1683" s="58" t="n">
        <f aca="false">D1561*1000*(D1592)+D1562*1000*(D1615)+D1563*1000*(D1638)+D1572*1000*Pressupostos!$C$96*Pressupostos!$C$91</f>
        <v>5834.6625</v>
      </c>
      <c r="E1683" s="58" t="n">
        <f aca="false">E1561*1000*(E1592)+E1562*1000*(E1615)+E1563*1000*(E1638)+E1572*1000*Pressupostos!$C$96*Pressupostos!$C$91</f>
        <v>14714.9625</v>
      </c>
      <c r="F1683" s="58" t="n">
        <f aca="false">F1561*1000*(F1592)+F1562*1000*(F1615)+F1563*1000*(F1638)+F1572*1000*Pressupostos!$C$96*Pressupostos!$C$91</f>
        <v>26184.0375</v>
      </c>
      <c r="G1683" s="58" t="n">
        <f aca="false">G1561*1000*(G1592)+G1562*1000*(G1615)+G1563*1000*(G1638)+G1572*1000*Pressupostos!$C$96*Pressupostos!$C$91</f>
        <v>40231.125</v>
      </c>
      <c r="H1683" s="2" t="s">
        <v>1227</v>
      </c>
    </row>
    <row r="1684" customFormat="false" ht="15" hidden="false" customHeight="false" outlineLevel="1" collapsed="false">
      <c r="A1684" s="7" t="s">
        <v>653</v>
      </c>
      <c r="B1684" s="8" t="s">
        <v>10</v>
      </c>
      <c r="C1684" s="58" t="n">
        <f aca="false">C1561*1000*(C1593)+C1562*1000*(C1616)+C1563*1000*(C1639)+C1572*1000*Pressupostos!$D$29*Pressupostos!$C$90</f>
        <v>0</v>
      </c>
      <c r="D1684" s="58" t="n">
        <f aca="false">D1561*1000*(D1593)+D1562*1000*(D1616)+D1563*1000*(D1639)+D1572*1000*Pressupostos!$D$29*Pressupostos!$C$90</f>
        <v>0</v>
      </c>
      <c r="E1684" s="58" t="n">
        <f aca="false">E1561*1000*(E1593)+E1562*1000*(E1616)+E1563*1000*(E1639)+E1572*1000*Pressupostos!$D$29*Pressupostos!$C$90</f>
        <v>0</v>
      </c>
      <c r="F1684" s="58" t="n">
        <f aca="false">F1561*1000*(F1593)+F1562*1000*(F1616)+F1563*1000*(F1639)+F1572*1000*Pressupostos!$D$29*Pressupostos!$C$90</f>
        <v>0</v>
      </c>
      <c r="G1684" s="58" t="n">
        <f aca="false">G1561*1000*(G1593)+G1562*1000*(G1616)+G1563*1000*(G1639)+G1572*1000*Pressupostos!$D$29*Pressupostos!$C$90</f>
        <v>0</v>
      </c>
      <c r="H1684" s="2" t="s">
        <v>1228</v>
      </c>
    </row>
    <row r="1685" customFormat="false" ht="15" hidden="false" customHeight="false" outlineLevel="1" collapsed="false">
      <c r="A1685" s="7" t="s">
        <v>654</v>
      </c>
      <c r="B1685" s="8" t="s">
        <v>10</v>
      </c>
      <c r="C1685" s="58" t="n">
        <f aca="false">C1575*1000*Pressupostos!$C$102*Pressupostos!$D$30</f>
        <v>0</v>
      </c>
      <c r="D1685" s="58" t="n">
        <f aca="false">D1575*1000*Pressupostos!$C$102*Pressupostos!$D$30</f>
        <v>8228.57142857143</v>
      </c>
      <c r="E1685" s="58" t="n">
        <f aca="false">E1575*1000*Pressupostos!$C$102*Pressupostos!$D$30</f>
        <v>24685.7142857143</v>
      </c>
      <c r="F1685" s="58" t="n">
        <f aca="false">F1575*1000*Pressupostos!$C$102*Pressupostos!$D$30</f>
        <v>49371.4285714286</v>
      </c>
      <c r="G1685" s="58" t="n">
        <f aca="false">G1575*1000*Pressupostos!$C$102*Pressupostos!$D$30</f>
        <v>82285.7142857143</v>
      </c>
      <c r="H1685" s="2" t="s">
        <v>1229</v>
      </c>
    </row>
    <row r="1686" customFormat="false" ht="15" hidden="false" customHeight="false" outlineLevel="1" collapsed="false">
      <c r="A1686" s="7" t="s">
        <v>655</v>
      </c>
      <c r="B1686" s="8" t="s">
        <v>10</v>
      </c>
      <c r="C1686" s="58" t="n">
        <f aca="false">C1677+C1678+C1679+C1680+C1681+C1682+C1683+C1684+C1685</f>
        <v>15335.0780821918</v>
      </c>
      <c r="D1686" s="58" t="n">
        <f aca="false">D1677+D1678+D1679+D1680+D1681+D1682+D1683+D1684+D1685</f>
        <v>104099.425709393</v>
      </c>
      <c r="E1686" s="58" t="n">
        <f aca="false">E1677+E1678+E1679+E1680+E1681+E1682+E1683+E1684+E1685</f>
        <v>242033.543909002</v>
      </c>
      <c r="F1686" s="58" t="n">
        <f aca="false">F1677+F1678+F1679+F1680+F1681+F1682+F1683+F1684+F1685</f>
        <v>433332.051002935</v>
      </c>
      <c r="G1686" s="58" t="n">
        <f aca="false">G1677+G1678+G1679+G1680+G1681+G1682+G1683+G1684+G1685</f>
        <v>668525.072162427</v>
      </c>
      <c r="H1686" s="2" t="s">
        <v>1230</v>
      </c>
    </row>
    <row r="1687" customFormat="false" ht="15" hidden="false" customHeight="false" outlineLevel="1" collapsed="false">
      <c r="A1687" s="7" t="s">
        <v>656</v>
      </c>
      <c r="B1687" s="8" t="s">
        <v>10</v>
      </c>
      <c r="C1687" s="58" t="n">
        <f aca="false">C1561*1000*(C1594)+C1562*1000*(C1617)+C1563*1000*(C1640)</f>
        <v>0</v>
      </c>
      <c r="D1687" s="58" t="n">
        <f aca="false">D1561*1000*(D1594)+D1562*1000*(D1617)+D1563*1000*(D1640)</f>
        <v>23317.0273972603</v>
      </c>
      <c r="E1687" s="58" t="n">
        <f aca="false">E1561*1000*(E1594)+E1562*1000*(E1617)+E1563*1000*(E1640)</f>
        <v>36586.560359589</v>
      </c>
      <c r="F1687" s="58" t="n">
        <f aca="false">F1561*1000*(F1594)+F1562*1000*(F1617)+F1563*1000*(F1640)</f>
        <v>58470.0950342466</v>
      </c>
      <c r="G1687" s="58" t="n">
        <f aca="false">G1561*1000*(G1594)+G1562*1000*(G1617)+G1563*1000*(G1640)</f>
        <v>88739.9229452055</v>
      </c>
      <c r="H1687" s="2" t="s">
        <v>1231</v>
      </c>
    </row>
    <row r="1688" customFormat="false" ht="15" hidden="false" customHeight="false" outlineLevel="1" collapsed="false">
      <c r="A1688" s="7" t="s">
        <v>657</v>
      </c>
      <c r="B1688" s="8" t="s">
        <v>10</v>
      </c>
      <c r="C1688" s="58" t="n">
        <f aca="false">C1572*1000*C1667</f>
        <v>0</v>
      </c>
      <c r="D1688" s="58" t="n">
        <f aca="false">D1572*1000*D1667</f>
        <v>0</v>
      </c>
      <c r="E1688" s="58" t="n">
        <f aca="false">E1572*1000*E1667</f>
        <v>2184.50342465753</v>
      </c>
      <c r="F1688" s="58" t="n">
        <f aca="false">F1572*1000*F1667</f>
        <v>4077.7397260274</v>
      </c>
      <c r="G1688" s="58" t="n">
        <f aca="false">G1572*1000*G1667</f>
        <v>6796.23287671233</v>
      </c>
      <c r="H1688" s="2" t="s">
        <v>1232</v>
      </c>
    </row>
    <row r="1689" customFormat="false" ht="15" hidden="false" customHeight="false" outlineLevel="1" collapsed="false">
      <c r="A1689" s="7" t="s">
        <v>658</v>
      </c>
      <c r="B1689" s="8" t="s">
        <v>10</v>
      </c>
      <c r="C1689" s="58" t="n">
        <f aca="false">C1687+C1688</f>
        <v>0</v>
      </c>
      <c r="D1689" s="58" t="n">
        <f aca="false">D1687+D1688</f>
        <v>23317.0273972603</v>
      </c>
      <c r="E1689" s="58" t="n">
        <f aca="false">E1687+E1688</f>
        <v>38771.0637842466</v>
      </c>
      <c r="F1689" s="58" t="n">
        <f aca="false">F1687+F1688</f>
        <v>62547.834760274</v>
      </c>
      <c r="G1689" s="58" t="n">
        <f aca="false">G1687+G1688</f>
        <v>95536.1558219178</v>
      </c>
      <c r="H1689" s="2" t="s">
        <v>1233</v>
      </c>
    </row>
    <row r="1690" customFormat="false" ht="15" hidden="false" customHeight="false" outlineLevel="1" collapsed="false">
      <c r="A1690" s="8" t="s">
        <v>659</v>
      </c>
      <c r="B1690" s="8" t="s">
        <v>10</v>
      </c>
      <c r="C1690" s="66" t="n">
        <f aca="false">ROUND(C1655-C1676-C1686-C1689-C1672,6)</f>
        <v>-0</v>
      </c>
      <c r="D1690" s="66" t="n">
        <f aca="false">ROUND(D1655-D1676-D1686-D1689-D1672,6)</f>
        <v>-0</v>
      </c>
      <c r="E1690" s="66" t="n">
        <f aca="false">ROUND(E1655-E1676-E1686-E1689-E1672,6)</f>
        <v>-0</v>
      </c>
      <c r="F1690" s="66" t="n">
        <f aca="false">ROUND(F1655-F1676-F1686-F1689-F1672,6)</f>
        <v>-0</v>
      </c>
      <c r="G1690" s="66" t="n">
        <f aca="false">ROUND(G1655-G1676-G1686-G1689-G1672,6)</f>
        <v>-0</v>
      </c>
      <c r="H1690" s="2" t="s">
        <v>1234</v>
      </c>
    </row>
    <row r="1691" customFormat="false" ht="15" hidden="false" customHeight="false" outlineLevel="0" collapsed="false">
      <c r="A1691" s="3" t="s">
        <v>1235</v>
      </c>
      <c r="B1691" s="4"/>
      <c r="C1691" s="4"/>
      <c r="D1691" s="4"/>
      <c r="E1691" s="4"/>
      <c r="F1691" s="4"/>
      <c r="G1691" s="4"/>
      <c r="H1691" s="4"/>
    </row>
    <row r="1692" customFormat="false" ht="15" hidden="false" customHeight="false" outlineLevel="1" collapsed="false">
      <c r="A1692" s="7" t="s">
        <v>602</v>
      </c>
      <c r="B1692" s="8" t="s">
        <v>413</v>
      </c>
      <c r="C1692" s="61" t="n">
        <f aca="false">Pressupostos!$C$315</f>
        <v>1</v>
      </c>
      <c r="D1692" s="61" t="n">
        <f aca="false">Pressupostos!$D$315</f>
        <v>1</v>
      </c>
      <c r="E1692" s="61" t="n">
        <f aca="false">Pressupostos!$E$315</f>
        <v>1</v>
      </c>
      <c r="F1692" s="61" t="n">
        <f aca="false">Pressupostos!$F$315</f>
        <v>1</v>
      </c>
      <c r="G1692" s="61" t="n">
        <f aca="false">Pressupostos!$G$315</f>
        <v>1</v>
      </c>
      <c r="H1692" s="2" t="s">
        <v>1236</v>
      </c>
    </row>
    <row r="1693" customFormat="false" ht="15" hidden="false" customHeight="false" outlineLevel="1" collapsed="false">
      <c r="A1693" s="7" t="s">
        <v>603</v>
      </c>
      <c r="B1693" s="8" t="s">
        <v>413</v>
      </c>
      <c r="C1693" s="61" t="n">
        <f aca="false">Pressupostos!$C$321</f>
        <v>1</v>
      </c>
      <c r="D1693" s="61" t="n">
        <f aca="false">Pressupostos!$D$321</f>
        <v>1</v>
      </c>
      <c r="E1693" s="61" t="n">
        <f aca="false">Pressupostos!$E$321</f>
        <v>1</v>
      </c>
      <c r="F1693" s="61" t="n">
        <f aca="false">Pressupostos!$F$321</f>
        <v>1</v>
      </c>
      <c r="G1693" s="61" t="n">
        <f aca="false">Pressupostos!$G$321</f>
        <v>1</v>
      </c>
      <c r="H1693" s="2" t="s">
        <v>1237</v>
      </c>
    </row>
    <row r="1694" customFormat="false" ht="15" hidden="false" customHeight="false" outlineLevel="1" collapsed="false">
      <c r="A1694" s="7" t="s">
        <v>604</v>
      </c>
      <c r="B1694" s="8" t="s">
        <v>413</v>
      </c>
      <c r="C1694" s="61" t="n">
        <f aca="false">Pressupostos!$C$327</f>
        <v>1</v>
      </c>
      <c r="D1694" s="61" t="n">
        <f aca="false">Pressupostos!$D$327</f>
        <v>1</v>
      </c>
      <c r="E1694" s="61" t="n">
        <f aca="false">Pressupostos!$E$327</f>
        <v>2</v>
      </c>
      <c r="F1694" s="61" t="n">
        <f aca="false">Pressupostos!$F$327</f>
        <v>2</v>
      </c>
      <c r="G1694" s="61" t="n">
        <f aca="false">Pressupostos!$G$327</f>
        <v>2</v>
      </c>
      <c r="H1694" s="2" t="s">
        <v>1238</v>
      </c>
    </row>
    <row r="1695" customFormat="false" ht="15" hidden="false" customHeight="false" outlineLevel="1" collapsed="false">
      <c r="A1695" s="7" t="s">
        <v>605</v>
      </c>
      <c r="B1695" s="8" t="s">
        <v>413</v>
      </c>
      <c r="C1695" s="61" t="n">
        <f aca="false">Pressupostos!$C$333</f>
        <v>1</v>
      </c>
      <c r="D1695" s="61" t="n">
        <f aca="false">Pressupostos!$D$333</f>
        <v>1</v>
      </c>
      <c r="E1695" s="61" t="n">
        <f aca="false">Pressupostos!$E$333</f>
        <v>1</v>
      </c>
      <c r="F1695" s="61" t="n">
        <f aca="false">Pressupostos!$F$333</f>
        <v>1</v>
      </c>
      <c r="G1695" s="61" t="n">
        <f aca="false">Pressupostos!$G$333</f>
        <v>1</v>
      </c>
      <c r="H1695" s="2" t="s">
        <v>1239</v>
      </c>
    </row>
    <row r="1696" customFormat="false" ht="15" hidden="false" customHeight="false" outlineLevel="1" collapsed="false">
      <c r="A1696" s="7" t="s">
        <v>606</v>
      </c>
      <c r="B1696" s="8" t="s">
        <v>413</v>
      </c>
      <c r="C1696" s="61" t="n">
        <f aca="false">Pressupostos!$C$339</f>
        <v>0.5</v>
      </c>
      <c r="D1696" s="61" t="n">
        <f aca="false">Pressupostos!$D$339</f>
        <v>1</v>
      </c>
      <c r="E1696" s="61" t="n">
        <f aca="false">Pressupostos!$E$339</f>
        <v>1</v>
      </c>
      <c r="F1696" s="61" t="n">
        <f aca="false">Pressupostos!$F$339</f>
        <v>1</v>
      </c>
      <c r="G1696" s="61" t="n">
        <f aca="false">Pressupostos!$G$339</f>
        <v>1</v>
      </c>
      <c r="H1696" s="2" t="s">
        <v>1240</v>
      </c>
    </row>
    <row r="1697" customFormat="false" ht="15" hidden="false" customHeight="false" outlineLevel="1" collapsed="false">
      <c r="A1697" s="7" t="s">
        <v>607</v>
      </c>
      <c r="B1697" s="8" t="s">
        <v>413</v>
      </c>
      <c r="C1697" s="61" t="n">
        <f aca="false">Pressupostos!$C$345</f>
        <v>1</v>
      </c>
      <c r="D1697" s="61" t="n">
        <f aca="false">Pressupostos!$D$345</f>
        <v>1</v>
      </c>
      <c r="E1697" s="61" t="n">
        <f aca="false">Pressupostos!$E$345</f>
        <v>1</v>
      </c>
      <c r="F1697" s="61" t="n">
        <f aca="false">Pressupostos!$F$345</f>
        <v>2</v>
      </c>
      <c r="G1697" s="61" t="n">
        <f aca="false">Pressupostos!$G$345</f>
        <v>2</v>
      </c>
      <c r="H1697" s="2" t="s">
        <v>1241</v>
      </c>
    </row>
    <row r="1698" customFormat="false" ht="15" hidden="false" customHeight="false" outlineLevel="1" collapsed="false">
      <c r="A1698" s="7" t="s">
        <v>608</v>
      </c>
      <c r="B1698" s="8" t="s">
        <v>413</v>
      </c>
      <c r="C1698" s="61" t="n">
        <f aca="false">Pressupostos!$C$351</f>
        <v>0.5</v>
      </c>
      <c r="D1698" s="61" t="n">
        <f aca="false">Pressupostos!$D$351</f>
        <v>1</v>
      </c>
      <c r="E1698" s="61" t="n">
        <f aca="false">Pressupostos!$E$351</f>
        <v>1</v>
      </c>
      <c r="F1698" s="61" t="n">
        <f aca="false">Pressupostos!$F$351</f>
        <v>1</v>
      </c>
      <c r="G1698" s="61" t="n">
        <f aca="false">Pressupostos!$G$351</f>
        <v>1</v>
      </c>
      <c r="H1698" s="2" t="s">
        <v>1242</v>
      </c>
    </row>
    <row r="1699" customFormat="false" ht="15" hidden="false" customHeight="false" outlineLevel="1" collapsed="false">
      <c r="A1699" s="7" t="s">
        <v>609</v>
      </c>
      <c r="B1699" s="8" t="s">
        <v>413</v>
      </c>
      <c r="C1699" s="61" t="n">
        <f aca="false">Pressupostos!$C$357</f>
        <v>1</v>
      </c>
      <c r="D1699" s="61" t="n">
        <f aca="false">Pressupostos!$D$357</f>
        <v>1</v>
      </c>
      <c r="E1699" s="61" t="n">
        <f aca="false">Pressupostos!$E$357</f>
        <v>2</v>
      </c>
      <c r="F1699" s="61" t="n">
        <f aca="false">Pressupostos!$F$357</f>
        <v>3</v>
      </c>
      <c r="G1699" s="61" t="n">
        <f aca="false">Pressupostos!$G$357</f>
        <v>5</v>
      </c>
      <c r="H1699" s="2" t="s">
        <v>1243</v>
      </c>
    </row>
    <row r="1700" customFormat="false" ht="15" hidden="false" customHeight="false" outlineLevel="1" collapsed="false">
      <c r="A1700" s="7" t="s">
        <v>610</v>
      </c>
      <c r="B1700" s="8" t="s">
        <v>413</v>
      </c>
      <c r="C1700" s="61" t="n">
        <f aca="false">Pressupostos!$C$363</f>
        <v>0</v>
      </c>
      <c r="D1700" s="61" t="n">
        <f aca="false">Pressupostos!$D$363</f>
        <v>0</v>
      </c>
      <c r="E1700" s="61" t="n">
        <f aca="false">Pressupostos!$E$363</f>
        <v>0</v>
      </c>
      <c r="F1700" s="61" t="n">
        <f aca="false">Pressupostos!$F$363</f>
        <v>1</v>
      </c>
      <c r="G1700" s="61" t="n">
        <f aca="false">Pressupostos!$G$363</f>
        <v>1</v>
      </c>
      <c r="H1700" s="2" t="s">
        <v>1244</v>
      </c>
    </row>
    <row r="1701" customFormat="false" ht="15" hidden="false" customHeight="false" outlineLevel="1" collapsed="false">
      <c r="A1701" s="7" t="s">
        <v>611</v>
      </c>
      <c r="B1701" s="8" t="s">
        <v>413</v>
      </c>
      <c r="C1701" s="61" t="n">
        <f aca="false">Pressupostos!$C$369</f>
        <v>0</v>
      </c>
      <c r="D1701" s="61" t="n">
        <f aca="false">Pressupostos!$D$369</f>
        <v>0</v>
      </c>
      <c r="E1701" s="61" t="n">
        <f aca="false">Pressupostos!$E$369</f>
        <v>0</v>
      </c>
      <c r="F1701" s="61" t="n">
        <f aca="false">Pressupostos!$F$369</f>
        <v>0</v>
      </c>
      <c r="G1701" s="61" t="n">
        <f aca="false">Pressupostos!$G$369</f>
        <v>1</v>
      </c>
      <c r="H1701" s="2" t="s">
        <v>1245</v>
      </c>
    </row>
    <row r="1702" customFormat="false" ht="15" hidden="false" customHeight="false" outlineLevel="1" collapsed="false">
      <c r="A1702" s="7" t="s">
        <v>612</v>
      </c>
      <c r="B1702" s="8" t="s">
        <v>413</v>
      </c>
      <c r="C1702" s="61" t="n">
        <f aca="false">Pressupostos!$C$375</f>
        <v>0</v>
      </c>
      <c r="D1702" s="61" t="n">
        <f aca="false">Pressupostos!$D$375</f>
        <v>0</v>
      </c>
      <c r="E1702" s="61" t="n">
        <f aca="false">Pressupostos!$E$375</f>
        <v>1</v>
      </c>
      <c r="F1702" s="61" t="n">
        <f aca="false">Pressupostos!$F$375</f>
        <v>1</v>
      </c>
      <c r="G1702" s="61" t="n">
        <f aca="false">Pressupostos!$G$375</f>
        <v>1</v>
      </c>
      <c r="H1702" s="2" t="s">
        <v>1246</v>
      </c>
    </row>
    <row r="1703" customFormat="false" ht="15" hidden="false" customHeight="false" outlineLevel="1" collapsed="false">
      <c r="A1703" s="7" t="s">
        <v>613</v>
      </c>
      <c r="B1703" s="8" t="s">
        <v>413</v>
      </c>
      <c r="C1703" s="61" t="n">
        <f aca="false">Pressupostos!$C$381</f>
        <v>0</v>
      </c>
      <c r="D1703" s="61" t="n">
        <f aca="false">Pressupostos!$D$381</f>
        <v>0</v>
      </c>
      <c r="E1703" s="61" t="n">
        <f aca="false">Pressupostos!$E$381</f>
        <v>0</v>
      </c>
      <c r="F1703" s="61" t="n">
        <f aca="false">Pressupostos!$F$381</f>
        <v>0</v>
      </c>
      <c r="G1703" s="61" t="n">
        <f aca="false">Pressupostos!$G$381</f>
        <v>0</v>
      </c>
      <c r="H1703" s="2" t="s">
        <v>1247</v>
      </c>
    </row>
    <row r="1704" customFormat="false" ht="15" hidden="false" customHeight="false" outlineLevel="1" collapsed="false">
      <c r="A1704" s="52" t="s">
        <v>614</v>
      </c>
      <c r="B1704" s="53" t="s">
        <v>413</v>
      </c>
      <c r="C1704" s="62" t="n">
        <f aca="false">C1692+C1693+C1694+C1695+C1696+C1697+C1698+C1699+C1700+C1701+C1702+C1703</f>
        <v>7</v>
      </c>
      <c r="D1704" s="62" t="n">
        <f aca="false">D1692+D1693+D1694+D1695+D1696+D1697+D1698+D1699+D1700+D1701+D1702+D1703</f>
        <v>8</v>
      </c>
      <c r="E1704" s="62" t="n">
        <f aca="false">E1692+E1693+E1694+E1695+E1696+E1697+E1698+E1699+E1700+E1701+E1702+E1703</f>
        <v>11</v>
      </c>
      <c r="F1704" s="62" t="n">
        <f aca="false">F1692+F1693+F1694+F1695+F1696+F1697+F1698+F1699+F1700+F1701+F1702+F1703</f>
        <v>14</v>
      </c>
      <c r="G1704" s="62" t="n">
        <f aca="false">G1692+G1693+G1694+G1695+G1696+G1697+G1698+G1699+G1700+G1701+G1702+G1703</f>
        <v>17</v>
      </c>
      <c r="H1704" s="2" t="s">
        <v>1248</v>
      </c>
    </row>
    <row r="1705" customFormat="false" ht="15" hidden="false" customHeight="false" outlineLevel="0" collapsed="false">
      <c r="A1705" s="3" t="s">
        <v>1249</v>
      </c>
      <c r="B1705" s="4"/>
      <c r="C1705" s="4"/>
      <c r="D1705" s="4"/>
      <c r="E1705" s="4"/>
      <c r="F1705" s="4"/>
      <c r="G1705" s="4"/>
      <c r="H1705" s="4"/>
    </row>
    <row r="1706" customFormat="false" ht="15" hidden="false" customHeight="false" outlineLevel="1" collapsed="false">
      <c r="A1706" s="7" t="s">
        <v>602</v>
      </c>
      <c r="B1706" s="8" t="s">
        <v>10</v>
      </c>
      <c r="C1706" s="58" t="n">
        <f aca="false">C1692*Pressupostos!$C$129*(1+Pressupostos!$C$125)^0*(1+Pressupostos!$C$130)*Pressupostos!$C$126</f>
        <v>43998</v>
      </c>
      <c r="D1706" s="58" t="n">
        <f aca="false">D1692*Pressupostos!$C$129*(1+Pressupostos!$C$125)^1*(1+Pressupostos!$C$130)</f>
        <v>61800</v>
      </c>
      <c r="E1706" s="58" t="n">
        <f aca="false">E1692*Pressupostos!$C$129*(1+Pressupostos!$C$125)^2*(1+Pressupostos!$C$130)</f>
        <v>63654</v>
      </c>
      <c r="F1706" s="58" t="n">
        <f aca="false">F1692*Pressupostos!$C$129*(1+Pressupostos!$C$125)^3*(1+Pressupostos!$C$130)</f>
        <v>65563.62</v>
      </c>
      <c r="G1706" s="58" t="n">
        <f aca="false">G1692*Pressupostos!$C$129*(1+Pressupostos!$C$125)^4*(1+Pressupostos!$C$130)</f>
        <v>67530.5286</v>
      </c>
      <c r="H1706" s="2" t="s">
        <v>1250</v>
      </c>
    </row>
    <row r="1707" customFormat="false" ht="15" hidden="false" customHeight="false" outlineLevel="1" collapsed="false">
      <c r="A1707" s="7" t="s">
        <v>603</v>
      </c>
      <c r="B1707" s="8" t="s">
        <v>10</v>
      </c>
      <c r="C1707" s="58" t="n">
        <f aca="false">C1693*Pressupostos!$C$131*(1+Pressupostos!$C$125)^0*(1+Pressupostos!$C$132)*Pressupostos!$C$126</f>
        <v>47664.5</v>
      </c>
      <c r="D1707" s="58" t="n">
        <f aca="false">D1693*Pressupostos!$C$131*(1+Pressupostos!$C$125)^1*(1+Pressupostos!$C$132)</f>
        <v>66950</v>
      </c>
      <c r="E1707" s="58" t="n">
        <f aca="false">E1693*Pressupostos!$C$131*(1+Pressupostos!$C$125)^2*(1+Pressupostos!$C$132)</f>
        <v>68958.5</v>
      </c>
      <c r="F1707" s="58" t="n">
        <f aca="false">F1693*Pressupostos!$C$131*(1+Pressupostos!$C$125)^3*(1+Pressupostos!$C$132)</f>
        <v>71027.255</v>
      </c>
      <c r="G1707" s="58" t="n">
        <f aca="false">G1693*Pressupostos!$C$131*(1+Pressupostos!$C$125)^4*(1+Pressupostos!$C$132)</f>
        <v>73158.07265</v>
      </c>
      <c r="H1707" s="2" t="s">
        <v>1251</v>
      </c>
    </row>
    <row r="1708" customFormat="false" ht="15" hidden="false" customHeight="false" outlineLevel="1" collapsed="false">
      <c r="A1708" s="7" t="s">
        <v>604</v>
      </c>
      <c r="B1708" s="8" t="s">
        <v>10</v>
      </c>
      <c r="C1708" s="58" t="n">
        <f aca="false">C1694*Pressupostos!$C$133*(1+Pressupostos!$C$125)^0*(1+Pressupostos!$C$134)</f>
        <v>45000</v>
      </c>
      <c r="D1708" s="58" t="n">
        <f aca="false">D1694*Pressupostos!$C$133*(1+Pressupostos!$C$125)^1*(1+Pressupostos!$C$134)</f>
        <v>46350</v>
      </c>
      <c r="E1708" s="58" t="n">
        <f aca="false">E1694*Pressupostos!$C$133*(1+Pressupostos!$C$125)^2*(1+Pressupostos!$C$134)</f>
        <v>95481</v>
      </c>
      <c r="F1708" s="58" t="n">
        <f aca="false">F1694*Pressupostos!$C$133*(1+Pressupostos!$C$125)^3*(1+Pressupostos!$C$134)</f>
        <v>98345.43</v>
      </c>
      <c r="G1708" s="58" t="n">
        <f aca="false">G1694*Pressupostos!$C$133*(1+Pressupostos!$C$125)^4*(1+Pressupostos!$C$134)</f>
        <v>101295.7929</v>
      </c>
      <c r="H1708" s="2" t="s">
        <v>1252</v>
      </c>
    </row>
    <row r="1709" customFormat="false" ht="15" hidden="false" customHeight="false" outlineLevel="1" collapsed="false">
      <c r="A1709" s="7" t="s">
        <v>605</v>
      </c>
      <c r="B1709" s="8" t="s">
        <v>10</v>
      </c>
      <c r="C1709" s="58" t="n">
        <f aca="false">C1695*Pressupostos!$C$135*(1+Pressupostos!$C$125)^0*(1+Pressupostos!$C$136)</f>
        <v>60000</v>
      </c>
      <c r="D1709" s="58" t="n">
        <f aca="false">D1695*Pressupostos!$C$135*(1+Pressupostos!$C$125)^1*(1+Pressupostos!$C$136)</f>
        <v>61800</v>
      </c>
      <c r="E1709" s="58" t="n">
        <f aca="false">E1695*Pressupostos!$C$135*(1+Pressupostos!$C$125)^2*(1+Pressupostos!$C$136)</f>
        <v>63654</v>
      </c>
      <c r="F1709" s="58" t="n">
        <f aca="false">F1695*Pressupostos!$C$135*(1+Pressupostos!$C$125)^3*(1+Pressupostos!$C$136)</f>
        <v>65563.62</v>
      </c>
      <c r="G1709" s="58" t="n">
        <f aca="false">G1695*Pressupostos!$C$135*(1+Pressupostos!$C$125)^4*(1+Pressupostos!$C$136)</f>
        <v>67530.5286</v>
      </c>
      <c r="H1709" s="2" t="s">
        <v>1253</v>
      </c>
    </row>
    <row r="1710" customFormat="false" ht="15" hidden="false" customHeight="false" outlineLevel="1" collapsed="false">
      <c r="A1710" s="7" t="s">
        <v>606</v>
      </c>
      <c r="B1710" s="8" t="s">
        <v>10</v>
      </c>
      <c r="C1710" s="58" t="n">
        <f aca="false">C1696*Pressupostos!$C$137*(1+Pressupostos!$C$125)^0*(1+Pressupostos!$C$138)</f>
        <v>22500</v>
      </c>
      <c r="D1710" s="58" t="n">
        <f aca="false">D1696*Pressupostos!$C$137*(1+Pressupostos!$C$125)^1*(1+Pressupostos!$C$138)</f>
        <v>46350</v>
      </c>
      <c r="E1710" s="58" t="n">
        <f aca="false">E1696*Pressupostos!$C$137*(1+Pressupostos!$C$125)^2*(1+Pressupostos!$C$138)</f>
        <v>47740.5</v>
      </c>
      <c r="F1710" s="58" t="n">
        <f aca="false">F1696*Pressupostos!$C$137*(1+Pressupostos!$C$125)^3*(1+Pressupostos!$C$138)</f>
        <v>49172.715</v>
      </c>
      <c r="G1710" s="58" t="n">
        <f aca="false">G1696*Pressupostos!$C$137*(1+Pressupostos!$C$125)^4*(1+Pressupostos!$C$138)</f>
        <v>50647.89645</v>
      </c>
      <c r="H1710" s="2" t="s">
        <v>1254</v>
      </c>
    </row>
    <row r="1711" customFormat="false" ht="15" hidden="false" customHeight="false" outlineLevel="1" collapsed="false">
      <c r="A1711" s="7" t="s">
        <v>607</v>
      </c>
      <c r="B1711" s="8" t="s">
        <v>10</v>
      </c>
      <c r="C1711" s="58" t="n">
        <f aca="false">C1697*Pressupostos!$C$139*(1+Pressupostos!$C$125)^0*(1+Pressupostos!$C$140)</f>
        <v>38000</v>
      </c>
      <c r="D1711" s="58" t="n">
        <f aca="false">D1697*Pressupostos!$C$139*(1+Pressupostos!$C$125)^1*(1+Pressupostos!$C$140)</f>
        <v>39140</v>
      </c>
      <c r="E1711" s="58" t="n">
        <f aca="false">E1697*Pressupostos!$C$139*(1+Pressupostos!$C$125)^2*(1+Pressupostos!$C$140)</f>
        <v>40314.2</v>
      </c>
      <c r="F1711" s="58" t="n">
        <f aca="false">F1697*Pressupostos!$C$139*(1+Pressupostos!$C$125)^3*(1+Pressupostos!$C$140)</f>
        <v>83047.252</v>
      </c>
      <c r="G1711" s="58" t="n">
        <f aca="false">G1697*Pressupostos!$C$139*(1+Pressupostos!$C$125)^4*(1+Pressupostos!$C$140)</f>
        <v>85538.66956</v>
      </c>
      <c r="H1711" s="2" t="s">
        <v>1255</v>
      </c>
    </row>
    <row r="1712" customFormat="false" ht="15" hidden="false" customHeight="false" outlineLevel="1" collapsed="false">
      <c r="A1712" s="7" t="s">
        <v>608</v>
      </c>
      <c r="B1712" s="8" t="s">
        <v>10</v>
      </c>
      <c r="C1712" s="58" t="n">
        <f aca="false">C1698*Pressupostos!$C$141*(1+Pressupostos!$C$125)^0*(1+Pressupostos!$C$142)</f>
        <v>16000</v>
      </c>
      <c r="D1712" s="58" t="n">
        <f aca="false">D1698*Pressupostos!$C$141*(1+Pressupostos!$C$125)^1*(1+Pressupostos!$C$142)</f>
        <v>32960</v>
      </c>
      <c r="E1712" s="58" t="n">
        <f aca="false">E1698*Pressupostos!$C$141*(1+Pressupostos!$C$125)^2*(1+Pressupostos!$C$142)</f>
        <v>33948.8</v>
      </c>
      <c r="F1712" s="58" t="n">
        <f aca="false">F1698*Pressupostos!$C$141*(1+Pressupostos!$C$125)^3*(1+Pressupostos!$C$142)</f>
        <v>34967.264</v>
      </c>
      <c r="G1712" s="58" t="n">
        <f aca="false">G1698*Pressupostos!$C$141*(1+Pressupostos!$C$125)^4*(1+Pressupostos!$C$142)</f>
        <v>36016.28192</v>
      </c>
      <c r="H1712" s="2" t="s">
        <v>1256</v>
      </c>
    </row>
    <row r="1713" customFormat="false" ht="15" hidden="false" customHeight="false" outlineLevel="1" collapsed="false">
      <c r="A1713" s="7" t="s">
        <v>609</v>
      </c>
      <c r="B1713" s="8" t="s">
        <v>10</v>
      </c>
      <c r="C1713" s="58" t="n">
        <f aca="false">C1699*Pressupostos!$C$143*(1+Pressupostos!$C$125)^0*(1+Pressupostos!$C$144)</f>
        <v>34500</v>
      </c>
      <c r="D1713" s="58" t="n">
        <f aca="false">D1699*Pressupostos!$C$143*(1+Pressupostos!$C$125)^1*(1+Pressupostos!$C$144)</f>
        <v>35535</v>
      </c>
      <c r="E1713" s="58" t="n">
        <f aca="false">E1699*Pressupostos!$C$143*(1+Pressupostos!$C$125)^2*(1+Pressupostos!$C$144)</f>
        <v>73202.1</v>
      </c>
      <c r="F1713" s="58" t="n">
        <f aca="false">F1699*Pressupostos!$C$143*(1+Pressupostos!$C$125)^3*(1+Pressupostos!$C$144)</f>
        <v>113097.2445</v>
      </c>
      <c r="G1713" s="58" t="n">
        <f aca="false">G1699*Pressupostos!$C$143*(1+Pressupostos!$C$125)^4*(1+Pressupostos!$C$144)</f>
        <v>194150.269725</v>
      </c>
      <c r="H1713" s="2" t="s">
        <v>1257</v>
      </c>
    </row>
    <row r="1714" customFormat="false" ht="15" hidden="false" customHeight="false" outlineLevel="1" collapsed="false">
      <c r="A1714" s="7" t="s">
        <v>610</v>
      </c>
      <c r="B1714" s="8" t="s">
        <v>10</v>
      </c>
      <c r="C1714" s="58" t="n">
        <f aca="false">C1700*Pressupostos!$C$145*(1+Pressupostos!$C$125)^0*(1+Pressupostos!$C$146)</f>
        <v>0</v>
      </c>
      <c r="D1714" s="58" t="n">
        <f aca="false">D1700*Pressupostos!$C$145*(1+Pressupostos!$C$125)^1*(1+Pressupostos!$C$146)</f>
        <v>0</v>
      </c>
      <c r="E1714" s="58" t="n">
        <f aca="false">E1700*Pressupostos!$C$145*(1+Pressupostos!$C$125)^2*(1+Pressupostos!$C$146)</f>
        <v>0</v>
      </c>
      <c r="F1714" s="58" t="n">
        <f aca="false">F1700*Pressupostos!$C$145*(1+Pressupostos!$C$125)^3*(1+Pressupostos!$C$146)</f>
        <v>49172.715</v>
      </c>
      <c r="G1714" s="58" t="n">
        <f aca="false">G1700*Pressupostos!$C$145*(1+Pressupostos!$C$125)^4*(1+Pressupostos!$C$146)</f>
        <v>50647.89645</v>
      </c>
      <c r="H1714" s="2" t="s">
        <v>1258</v>
      </c>
    </row>
    <row r="1715" customFormat="false" ht="15" hidden="false" customHeight="false" outlineLevel="1" collapsed="false">
      <c r="A1715" s="7" t="s">
        <v>611</v>
      </c>
      <c r="B1715" s="8" t="s">
        <v>10</v>
      </c>
      <c r="C1715" s="58" t="n">
        <f aca="false">C1701*Pressupostos!$C$147*(1+Pressupostos!$C$125)^0*(1+Pressupostos!$C$148)</f>
        <v>0</v>
      </c>
      <c r="D1715" s="58" t="n">
        <f aca="false">D1701*Pressupostos!$C$147*(1+Pressupostos!$C$125)^1*(1+Pressupostos!$C$148)</f>
        <v>0</v>
      </c>
      <c r="E1715" s="58" t="n">
        <f aca="false">E1701*Pressupostos!$C$147*(1+Pressupostos!$C$125)^2*(1+Pressupostos!$C$148)</f>
        <v>0</v>
      </c>
      <c r="F1715" s="58" t="n">
        <f aca="false">F1701*Pressupostos!$C$147*(1+Pressupostos!$C$125)^3*(1+Pressupostos!$C$148)</f>
        <v>0</v>
      </c>
      <c r="G1715" s="58" t="n">
        <f aca="false">G1701*Pressupostos!$C$147*(1+Pressupostos!$C$125)^4*(1+Pressupostos!$C$148)</f>
        <v>45020.3524</v>
      </c>
      <c r="H1715" s="2" t="s">
        <v>1259</v>
      </c>
    </row>
    <row r="1716" customFormat="false" ht="15" hidden="false" customHeight="false" outlineLevel="1" collapsed="false">
      <c r="A1716" s="7" t="s">
        <v>612</v>
      </c>
      <c r="B1716" s="8" t="s">
        <v>10</v>
      </c>
      <c r="C1716" s="58" t="n">
        <f aca="false">C1702*Pressupostos!$C$149*(1+Pressupostos!$C$125)^0*(1+Pressupostos!$C$150)</f>
        <v>0</v>
      </c>
      <c r="D1716" s="58" t="n">
        <f aca="false">D1702*Pressupostos!$C$149*(1+Pressupostos!$C$125)^1*(1+Pressupostos!$C$150)</f>
        <v>0</v>
      </c>
      <c r="E1716" s="58" t="n">
        <f aca="false">E1702*Pressupostos!$C$149*(1+Pressupostos!$C$125)^2*(1+Pressupostos!$C$150)</f>
        <v>25461.6</v>
      </c>
      <c r="F1716" s="58" t="n">
        <f aca="false">F1702*Pressupostos!$C$149*(1+Pressupostos!$C$125)^3*(1+Pressupostos!$C$150)</f>
        <v>26225.448</v>
      </c>
      <c r="G1716" s="58" t="n">
        <f aca="false">G1702*Pressupostos!$C$149*(1+Pressupostos!$C$125)^4*(1+Pressupostos!$C$150)</f>
        <v>27012.21144</v>
      </c>
      <c r="H1716" s="2" t="s">
        <v>1260</v>
      </c>
    </row>
    <row r="1717" customFormat="false" ht="15" hidden="false" customHeight="false" outlineLevel="1" collapsed="false">
      <c r="A1717" s="7" t="s">
        <v>613</v>
      </c>
      <c r="B1717" s="8" t="s">
        <v>10</v>
      </c>
      <c r="C1717" s="58" t="n">
        <f aca="false">C1703*Pressupostos!$C$151*(1+Pressupostos!$C$125)^0*(1+Pressupostos!$C$152)</f>
        <v>0</v>
      </c>
      <c r="D1717" s="58" t="n">
        <f aca="false">D1703*Pressupostos!$C$151*(1+Pressupostos!$C$125)^1*(1+Pressupostos!$C$152)</f>
        <v>0</v>
      </c>
      <c r="E1717" s="58" t="n">
        <f aca="false">E1703*Pressupostos!$C$151*(1+Pressupostos!$C$125)^2*(1+Pressupostos!$C$152)</f>
        <v>0</v>
      </c>
      <c r="F1717" s="58" t="n">
        <f aca="false">F1703*Pressupostos!$C$151*(1+Pressupostos!$C$125)^3*(1+Pressupostos!$C$152)</f>
        <v>0</v>
      </c>
      <c r="G1717" s="58" t="n">
        <f aca="false">G1703*Pressupostos!$C$151*(1+Pressupostos!$C$125)^4*(1+Pressupostos!$C$152)</f>
        <v>0</v>
      </c>
      <c r="H1717" s="2" t="s">
        <v>1261</v>
      </c>
    </row>
    <row r="1718" customFormat="false" ht="15" hidden="false" customHeight="false" outlineLevel="1" collapsed="false">
      <c r="A1718" s="7" t="s">
        <v>616</v>
      </c>
      <c r="B1718" s="8" t="s">
        <v>10</v>
      </c>
      <c r="C1718" s="58" t="n">
        <f aca="false">C1706+C1707+C1708+C1709+C1710+C1711+C1712+C1713+C1714+C1715+C1716+C1717</f>
        <v>307662.5</v>
      </c>
      <c r="D1718" s="58" t="n">
        <f aca="false">D1706+D1707+D1708+D1709+D1710+D1711+D1712+D1713+D1714+D1715+D1716+D1717</f>
        <v>390885</v>
      </c>
      <c r="E1718" s="58" t="n">
        <f aca="false">E1706+E1707+E1708+E1709+E1710+E1711+E1712+E1713+E1714+E1715+E1716+E1717</f>
        <v>512414.7</v>
      </c>
      <c r="F1718" s="58" t="n">
        <f aca="false">F1706+F1707+F1708+F1709+F1710+F1711+F1712+F1713+F1714+F1715+F1716+F1717</f>
        <v>656182.5635</v>
      </c>
      <c r="G1718" s="58" t="n">
        <f aca="false">G1706+G1707+G1708+G1709+G1710+G1711+G1712+G1713+G1714+G1715+G1716+G1717</f>
        <v>798548.500695</v>
      </c>
      <c r="H1718" s="2" t="s">
        <v>1262</v>
      </c>
    </row>
    <row r="1719" customFormat="false" ht="15" hidden="false" customHeight="false" outlineLevel="1" collapsed="false">
      <c r="A1719" s="7" t="s">
        <v>617</v>
      </c>
      <c r="B1719" s="8" t="s">
        <v>10</v>
      </c>
      <c r="C1719" s="58" t="n">
        <f aca="false">C1718*(Pressupostos!$C$122+Pressupostos!$C$123)</f>
        <v>79223.09375</v>
      </c>
      <c r="D1719" s="58" t="n">
        <f aca="false">D1718*(Pressupostos!$C$122+Pressupostos!$C$123)</f>
        <v>100652.8875</v>
      </c>
      <c r="E1719" s="58" t="n">
        <f aca="false">E1718*(Pressupostos!$C$122+Pressupostos!$C$123)</f>
        <v>131946.78525</v>
      </c>
      <c r="F1719" s="58" t="n">
        <f aca="false">F1718*(Pressupostos!$C$122+Pressupostos!$C$123)</f>
        <v>168967.01010125</v>
      </c>
      <c r="G1719" s="58" t="n">
        <f aca="false">G1718*(Pressupostos!$C$122+Pressupostos!$C$123)</f>
        <v>205626.238928963</v>
      </c>
      <c r="H1719" s="2" t="s">
        <v>1263</v>
      </c>
    </row>
    <row r="1720" customFormat="false" ht="15" hidden="false" customHeight="false" outlineLevel="1" collapsed="false">
      <c r="A1720" s="7" t="s">
        <v>618</v>
      </c>
      <c r="B1720" s="8" t="s">
        <v>10</v>
      </c>
      <c r="C1720" s="58" t="n">
        <f aca="false">C1704*Pressupostos!$C$124*(1+Pressupostos!$C$125)^0</f>
        <v>14000</v>
      </c>
      <c r="D1720" s="58" t="n">
        <f aca="false">D1704*Pressupostos!$C$124*(1+Pressupostos!$C$125)^1</f>
        <v>16480</v>
      </c>
      <c r="E1720" s="58" t="n">
        <f aca="false">E1704*Pressupostos!$C$124*(1+Pressupostos!$C$125)^2</f>
        <v>23339.8</v>
      </c>
      <c r="F1720" s="58" t="n">
        <f aca="false">F1704*Pressupostos!$C$124*(1+Pressupostos!$C$125)^3</f>
        <v>30596.356</v>
      </c>
      <c r="G1720" s="58" t="n">
        <f aca="false">G1704*Pressupostos!$C$124*(1+Pressupostos!$C$125)^4</f>
        <v>38267.29954</v>
      </c>
      <c r="H1720" s="2" t="s">
        <v>1264</v>
      </c>
    </row>
    <row r="1721" customFormat="false" ht="15" hidden="false" customHeight="false" outlineLevel="1" collapsed="false">
      <c r="A1721" s="52" t="s">
        <v>619</v>
      </c>
      <c r="B1721" s="53" t="s">
        <v>10</v>
      </c>
      <c r="C1721" s="59" t="n">
        <f aca="false">C1718+C1719+C1720</f>
        <v>400885.59375</v>
      </c>
      <c r="D1721" s="59" t="n">
        <f aca="false">D1718+D1719+D1720</f>
        <v>508017.8875</v>
      </c>
      <c r="E1721" s="59" t="n">
        <f aca="false">E1718+E1719+E1720</f>
        <v>667701.28525</v>
      </c>
      <c r="F1721" s="59" t="n">
        <f aca="false">F1718+F1719+F1720</f>
        <v>855745.92960125</v>
      </c>
      <c r="G1721" s="59" t="n">
        <f aca="false">G1718+G1719+G1720</f>
        <v>1042442.03916396</v>
      </c>
      <c r="H1721" s="2" t="s">
        <v>1265</v>
      </c>
    </row>
    <row r="1722" customFormat="false" ht="15" hidden="false" customHeight="false" outlineLevel="1" collapsed="false">
      <c r="A1722" s="2" t="s">
        <v>620</v>
      </c>
      <c r="B1722" s="8" t="s">
        <v>10</v>
      </c>
      <c r="C1722" s="58" t="n">
        <f aca="false">IF(C1704&gt;0,C1721/C1704,0)</f>
        <v>57269.3705357143</v>
      </c>
      <c r="D1722" s="58" t="n">
        <f aca="false">IF(D1704&gt;0,D1721/D1704,0)</f>
        <v>63502.2359375</v>
      </c>
      <c r="E1722" s="58" t="n">
        <f aca="false">IF(E1704&gt;0,E1721/E1704,0)</f>
        <v>60700.1168409091</v>
      </c>
      <c r="F1722" s="58" t="n">
        <f aca="false">IF(F1704&gt;0,F1721/F1704,0)</f>
        <v>61124.7092572321</v>
      </c>
      <c r="G1722" s="58" t="n">
        <f aca="false">IF(G1704&gt;0,G1721/G1704,0)</f>
        <v>61320.1199508213</v>
      </c>
      <c r="H1722" s="2" t="s">
        <v>1266</v>
      </c>
    </row>
    <row r="1723" customFormat="false" ht="15" hidden="false" customHeight="false" outlineLevel="0" collapsed="false">
      <c r="A1723" s="3" t="s">
        <v>1267</v>
      </c>
      <c r="B1723" s="4"/>
      <c r="C1723" s="4"/>
      <c r="D1723" s="4"/>
      <c r="E1723" s="4"/>
      <c r="F1723" s="4"/>
      <c r="G1723" s="4"/>
      <c r="H1723" s="4"/>
    </row>
    <row r="1724" customFormat="false" ht="15" hidden="false" customHeight="false" outlineLevel="1" collapsed="false">
      <c r="A1724" s="7" t="s">
        <v>430</v>
      </c>
      <c r="B1724" s="8" t="s">
        <v>10</v>
      </c>
      <c r="C1724" s="58" t="n">
        <f aca="false">Pressupostos!$C$388*(1+Pressupostos!$C$154)*(1+Pressupostos!$C$155)^0</f>
        <v>94500</v>
      </c>
      <c r="D1724" s="58" t="n">
        <f aca="false">Pressupostos!$D$388*(1+Pressupostos!$C$154)*(1+Pressupostos!$C$155)^1</f>
        <v>53550</v>
      </c>
      <c r="E1724" s="58" t="n">
        <f aca="false">Pressupostos!$E$388*(1+Pressupostos!$C$154)*(1+Pressupostos!$C$155)^2</f>
        <v>49158.9</v>
      </c>
      <c r="F1724" s="58" t="n">
        <f aca="false">Pressupostos!$F$388*(1+Pressupostos!$C$154)*(1+Pressupostos!$C$155)^3</f>
        <v>50142.078</v>
      </c>
      <c r="G1724" s="58" t="n">
        <f aca="false">Pressupostos!$G$388*(1+Pressupostos!$C$154)*(1+Pressupostos!$C$155)^4</f>
        <v>51144.91956</v>
      </c>
      <c r="H1724" s="2" t="s">
        <v>1268</v>
      </c>
    </row>
    <row r="1725" customFormat="false" ht="15" hidden="false" customHeight="false" outlineLevel="1" collapsed="false">
      <c r="A1725" s="7" t="s">
        <v>432</v>
      </c>
      <c r="B1725" s="8" t="s">
        <v>10</v>
      </c>
      <c r="C1725" s="58" t="n">
        <f aca="false">Pressupostos!$C$394*(1+Pressupostos!$C$154)*(1+Pressupostos!$C$155)^0</f>
        <v>10500</v>
      </c>
      <c r="D1725" s="58" t="n">
        <f aca="false">Pressupostos!$D$394*(1+Pressupostos!$C$154)*(1+Pressupostos!$C$155)^1</f>
        <v>10710</v>
      </c>
      <c r="E1725" s="58" t="n">
        <f aca="false">Pressupostos!$E$394*(1+Pressupostos!$C$154)*(1+Pressupostos!$C$155)^2</f>
        <v>10924.2</v>
      </c>
      <c r="F1725" s="58" t="n">
        <f aca="false">Pressupostos!$F$394*(1+Pressupostos!$C$154)*(1+Pressupostos!$C$155)^3</f>
        <v>11142.684</v>
      </c>
      <c r="G1725" s="58" t="n">
        <f aca="false">Pressupostos!$G$394*(1+Pressupostos!$C$154)*(1+Pressupostos!$C$155)^4</f>
        <v>11365.53768</v>
      </c>
      <c r="H1725" s="2" t="s">
        <v>1269</v>
      </c>
    </row>
    <row r="1726" customFormat="false" ht="15" hidden="false" customHeight="false" outlineLevel="1" collapsed="false">
      <c r="A1726" s="7" t="s">
        <v>433</v>
      </c>
      <c r="B1726" s="8" t="s">
        <v>10</v>
      </c>
      <c r="C1726" s="58" t="n">
        <f aca="false">Pressupostos!$C$400*(1+Pressupostos!$C$154)*(1+Pressupostos!$C$155)^0</f>
        <v>12600</v>
      </c>
      <c r="D1726" s="58" t="n">
        <f aca="false">Pressupostos!$D$400*(1+Pressupostos!$C$154)*(1+Pressupostos!$C$155)^1</f>
        <v>12852</v>
      </c>
      <c r="E1726" s="58" t="n">
        <f aca="false">Pressupostos!$E$400*(1+Pressupostos!$C$154)*(1+Pressupostos!$C$155)^2</f>
        <v>13109.04</v>
      </c>
      <c r="F1726" s="58" t="n">
        <f aca="false">Pressupostos!$F$400*(1+Pressupostos!$C$154)*(1+Pressupostos!$C$155)^3</f>
        <v>0</v>
      </c>
      <c r="G1726" s="58" t="n">
        <f aca="false">Pressupostos!$G$400*(1+Pressupostos!$C$154)*(1+Pressupostos!$C$155)^4</f>
        <v>0</v>
      </c>
      <c r="H1726" s="2" t="s">
        <v>1270</v>
      </c>
    </row>
    <row r="1727" customFormat="false" ht="15" hidden="false" customHeight="false" outlineLevel="1" collapsed="false">
      <c r="A1727" s="7" t="s">
        <v>435</v>
      </c>
      <c r="B1727" s="8" t="s">
        <v>10</v>
      </c>
      <c r="C1727" s="58" t="n">
        <f aca="false">Pressupostos!$C$406*(1+Pressupostos!$C$154)*(1+Pressupostos!$C$155)^0</f>
        <v>31500</v>
      </c>
      <c r="D1727" s="58" t="n">
        <f aca="false">Pressupostos!$D$406*(1+Pressupostos!$C$154)*(1+Pressupostos!$C$155)^1</f>
        <v>42840</v>
      </c>
      <c r="E1727" s="58" t="n">
        <f aca="false">Pressupostos!$E$406*(1+Pressupostos!$C$154)*(1+Pressupostos!$C$155)^2</f>
        <v>60083.1</v>
      </c>
      <c r="F1727" s="58" t="n">
        <f aca="false">Pressupostos!$F$406*(1+Pressupostos!$C$154)*(1+Pressupostos!$C$155)^3</f>
        <v>77998.788</v>
      </c>
      <c r="G1727" s="58" t="n">
        <f aca="false">Pressupostos!$G$406*(1+Pressupostos!$C$154)*(1+Pressupostos!$C$155)^4</f>
        <v>96607.07028</v>
      </c>
      <c r="H1727" s="2" t="s">
        <v>1271</v>
      </c>
    </row>
    <row r="1728" customFormat="false" ht="15" hidden="false" customHeight="false" outlineLevel="1" collapsed="false">
      <c r="A1728" s="7" t="s">
        <v>437</v>
      </c>
      <c r="B1728" s="8" t="s">
        <v>10</v>
      </c>
      <c r="C1728" s="58" t="n">
        <f aca="false">Pressupostos!$C$412*(1+Pressupostos!$C$154)*(1+Pressupostos!$C$155)^0</f>
        <v>15750</v>
      </c>
      <c r="D1728" s="58" t="n">
        <f aca="false">Pressupostos!$D$412*(1+Pressupostos!$C$154)*(1+Pressupostos!$C$155)^1</f>
        <v>16065</v>
      </c>
      <c r="E1728" s="58" t="n">
        <f aca="false">Pressupostos!$E$412*(1+Pressupostos!$C$154)*(1+Pressupostos!$C$155)^2</f>
        <v>38234.7</v>
      </c>
      <c r="F1728" s="58" t="n">
        <f aca="false">Pressupostos!$F$412*(1+Pressupostos!$C$154)*(1+Pressupostos!$C$155)^3</f>
        <v>22285.368</v>
      </c>
      <c r="G1728" s="58" t="n">
        <f aca="false">Pressupostos!$G$412*(1+Pressupostos!$C$154)*(1+Pressupostos!$C$155)^4</f>
        <v>22731.07536</v>
      </c>
      <c r="H1728" s="2" t="s">
        <v>1272</v>
      </c>
    </row>
    <row r="1729" customFormat="false" ht="15" hidden="false" customHeight="false" outlineLevel="1" collapsed="false">
      <c r="A1729" s="7" t="s">
        <v>439</v>
      </c>
      <c r="B1729" s="8" t="s">
        <v>10</v>
      </c>
      <c r="C1729" s="58" t="n">
        <f aca="false">Pressupostos!$C$418*(1+Pressupostos!$C$154)*(1+Pressupostos!$C$155)^0</f>
        <v>10500</v>
      </c>
      <c r="D1729" s="58" t="n">
        <f aca="false">Pressupostos!$D$418*(1+Pressupostos!$C$154)*(1+Pressupostos!$C$155)^1</f>
        <v>12852</v>
      </c>
      <c r="E1729" s="58" t="n">
        <f aca="false">Pressupostos!$E$418*(1+Pressupostos!$C$154)*(1+Pressupostos!$C$155)^2</f>
        <v>16386.3</v>
      </c>
      <c r="F1729" s="58" t="n">
        <f aca="false">Pressupostos!$F$418*(1+Pressupostos!$C$154)*(1+Pressupostos!$C$155)^3</f>
        <v>20056.8312</v>
      </c>
      <c r="G1729" s="58" t="n">
        <f aca="false">Pressupostos!$G$418*(1+Pressupostos!$C$154)*(1+Pressupostos!$C$155)^4</f>
        <v>22731.07536</v>
      </c>
      <c r="H1729" s="2" t="s">
        <v>1273</v>
      </c>
    </row>
    <row r="1730" customFormat="false" ht="15" hidden="false" customHeight="false" outlineLevel="1" collapsed="false">
      <c r="A1730" s="7" t="s">
        <v>440</v>
      </c>
      <c r="B1730" s="8" t="s">
        <v>10</v>
      </c>
      <c r="C1730" s="58" t="n">
        <f aca="false">Pressupostos!$C$424*(1+Pressupostos!$C$154)*(1+Pressupostos!$C$155)^0</f>
        <v>42000</v>
      </c>
      <c r="D1730" s="58" t="n">
        <f aca="false">Pressupostos!$D$424*(1+Pressupostos!$C$154)*(1+Pressupostos!$C$155)^1</f>
        <v>53550</v>
      </c>
      <c r="E1730" s="58" t="n">
        <f aca="false">Pressupostos!$E$424*(1+Pressupostos!$C$154)*(1+Pressupostos!$C$155)^2</f>
        <v>76469.4</v>
      </c>
      <c r="F1730" s="58" t="n">
        <f aca="false">Pressupostos!$F$424*(1+Pressupostos!$C$154)*(1+Pressupostos!$C$155)^3</f>
        <v>100284.156</v>
      </c>
      <c r="G1730" s="58" t="n">
        <f aca="false">Pressupostos!$G$424*(1+Pressupostos!$C$154)*(1+Pressupostos!$C$155)^4</f>
        <v>125020.91448</v>
      </c>
      <c r="H1730" s="2" t="s">
        <v>1274</v>
      </c>
    </row>
    <row r="1731" customFormat="false" ht="15" hidden="false" customHeight="false" outlineLevel="1" collapsed="false">
      <c r="A1731" s="7" t="s">
        <v>442</v>
      </c>
      <c r="B1731" s="8" t="s">
        <v>10</v>
      </c>
      <c r="C1731" s="58" t="n">
        <f aca="false">Pressupostos!$C$430*(1+Pressupostos!$C$154)*(1+Pressupostos!$C$155)^0</f>
        <v>12600</v>
      </c>
      <c r="D1731" s="58" t="n">
        <f aca="false">Pressupostos!$D$430*(1+Pressupostos!$C$154)*(1+Pressupostos!$C$155)^1</f>
        <v>16065</v>
      </c>
      <c r="E1731" s="58" t="n">
        <f aca="false">Pressupostos!$E$430*(1+Pressupostos!$C$154)*(1+Pressupostos!$C$155)^2</f>
        <v>26218.08</v>
      </c>
      <c r="F1731" s="58" t="n">
        <f aca="false">Pressupostos!$F$430*(1+Pressupostos!$C$154)*(1+Pressupostos!$C$155)^3</f>
        <v>33428.052</v>
      </c>
      <c r="G1731" s="58" t="n">
        <f aca="false">Pressupostos!$G$430*(1+Pressupostos!$C$154)*(1+Pressupostos!$C$155)^4</f>
        <v>40915.935648</v>
      </c>
      <c r="H1731" s="2" t="s">
        <v>1275</v>
      </c>
    </row>
    <row r="1732" customFormat="false" ht="15" hidden="false" customHeight="false" outlineLevel="1" collapsed="false">
      <c r="A1732" s="7" t="s">
        <v>444</v>
      </c>
      <c r="B1732" s="8" t="s">
        <v>10</v>
      </c>
      <c r="C1732" s="58" t="n">
        <f aca="false">Pressupostos!$C$436*(1+Pressupostos!$C$154)*(1+Pressupostos!$C$155)^0</f>
        <v>18900</v>
      </c>
      <c r="D1732" s="58" t="n">
        <f aca="false">Pressupostos!$D$436*(1+Pressupostos!$C$154)*(1+Pressupostos!$C$155)^1</f>
        <v>23562</v>
      </c>
      <c r="E1732" s="58" t="n">
        <f aca="false">Pressupostos!$E$436*(1+Pressupostos!$C$154)*(1+Pressupostos!$C$155)^2</f>
        <v>32772.6</v>
      </c>
      <c r="F1732" s="58" t="n">
        <f aca="false">Pressupostos!$F$436*(1+Pressupostos!$C$154)*(1+Pressupostos!$C$155)^3</f>
        <v>42342.1992</v>
      </c>
      <c r="G1732" s="58" t="n">
        <f aca="false">Pressupostos!$G$436*(1+Pressupostos!$C$154)*(1+Pressupostos!$C$155)^4</f>
        <v>51144.91956</v>
      </c>
      <c r="H1732" s="2" t="s">
        <v>1276</v>
      </c>
    </row>
    <row r="1733" customFormat="false" ht="15" hidden="false" customHeight="false" outlineLevel="1" collapsed="false">
      <c r="A1733" s="7" t="s">
        <v>445</v>
      </c>
      <c r="B1733" s="8" t="s">
        <v>10</v>
      </c>
      <c r="C1733" s="58" t="n">
        <f aca="false">Pressupostos!$C$442*(1+Pressupostos!$C$154)*(1+Pressupostos!$C$155)^0</f>
        <v>5250</v>
      </c>
      <c r="D1733" s="58" t="n">
        <f aca="false">Pressupostos!$D$442*(1+Pressupostos!$C$154)*(1+Pressupostos!$C$155)^1</f>
        <v>8568</v>
      </c>
      <c r="E1733" s="58" t="n">
        <f aca="false">Pressupostos!$E$442*(1+Pressupostos!$C$154)*(1+Pressupostos!$C$155)^2</f>
        <v>13109.04</v>
      </c>
      <c r="F1733" s="58" t="n">
        <f aca="false">Pressupostos!$F$442*(1+Pressupostos!$C$154)*(1+Pressupostos!$C$155)^3</f>
        <v>16714.026</v>
      </c>
      <c r="G1733" s="58" t="n">
        <f aca="false">Pressupostos!$G$442*(1+Pressupostos!$C$154)*(1+Pressupostos!$C$155)^4</f>
        <v>17048.30652</v>
      </c>
      <c r="H1733" s="2" t="s">
        <v>1277</v>
      </c>
    </row>
    <row r="1734" customFormat="false" ht="15" hidden="false" customHeight="false" outlineLevel="1" collapsed="false">
      <c r="A1734" s="7" t="s">
        <v>661</v>
      </c>
      <c r="B1734" s="8" t="s">
        <v>10</v>
      </c>
      <c r="C1734" s="58" t="n">
        <f aca="false">C1724+C1725+C1726+C1727+C1728+C1729+C1730+C1731+C1732+C1733</f>
        <v>254100</v>
      </c>
      <c r="D1734" s="58" t="n">
        <f aca="false">D1724+D1725+D1726+D1727+D1728+D1729+D1730+D1731+D1732+D1733</f>
        <v>250614</v>
      </c>
      <c r="E1734" s="58" t="n">
        <f aca="false">E1724+E1725+E1726+E1727+E1728+E1729+E1730+E1731+E1732+E1733</f>
        <v>336465.36</v>
      </c>
      <c r="F1734" s="58" t="n">
        <f aca="false">F1724+F1725+F1726+F1727+F1728+F1729+F1730+F1731+F1732+F1733</f>
        <v>374394.1824</v>
      </c>
      <c r="G1734" s="58" t="n">
        <f aca="false">G1724+G1725+G1726+G1727+G1728+G1729+G1730+G1731+G1732+G1733</f>
        <v>438709.754448</v>
      </c>
      <c r="H1734" s="2" t="s">
        <v>1278</v>
      </c>
    </row>
    <row r="1735" customFormat="false" ht="15" hidden="false" customHeight="false" outlineLevel="1" collapsed="false">
      <c r="A1735" s="7" t="s">
        <v>662</v>
      </c>
      <c r="B1735" s="8" t="s">
        <v>10</v>
      </c>
      <c r="C1735" s="58" t="n">
        <f aca="false">Pressupostos!$C$112+Pressupostos!$C$113+Pressupostos!$C$114*Pressupostos!$C$289+Pressupostos!$C$449</f>
        <v>65000</v>
      </c>
      <c r="D1735" s="58" t="n">
        <f aca="false">Pressupostos!$C$113+Pressupostos!$C$114*Pressupostos!$D$289+Pressupostos!$D$449</f>
        <v>65000</v>
      </c>
      <c r="E1735" s="58" t="n">
        <f aca="false">Pressupostos!$C$113+Pressupostos!$C$114*Pressupostos!$E$289+Pressupostos!$E$449</f>
        <v>70000</v>
      </c>
      <c r="F1735" s="58" t="n">
        <f aca="false">Pressupostos!$C$113+Pressupostos!$C$114*Pressupostos!$F$289+Pressupostos!$F$449</f>
        <v>75000</v>
      </c>
      <c r="G1735" s="58" t="n">
        <f aca="false">Pressupostos!$C$113+Pressupostos!$C$114*Pressupostos!$G$289+Pressupostos!$G$449</f>
        <v>80000</v>
      </c>
      <c r="H1735" s="2" t="s">
        <v>1279</v>
      </c>
    </row>
    <row r="1736" customFormat="false" ht="15" hidden="false" customHeight="false" outlineLevel="1" collapsed="false">
      <c r="A1736" s="7" t="s">
        <v>663</v>
      </c>
      <c r="B1736" s="8" t="s">
        <v>10</v>
      </c>
      <c r="C1736" s="58" t="n">
        <f aca="false">IF(C1558&lt;Pressupostos!$C$118,0,MAX(Pressupostos!$C$295,Pressupostos!$C$116*(C1646+C1647)+Pressupostos!$C$117*C1648))</f>
        <v>0</v>
      </c>
      <c r="D1736" s="58" t="n">
        <f aca="false">IF(D1558&lt;Pressupostos!$C$118,0,MAX(Pressupostos!$D$295,Pressupostos!$C$116*(D1646+D1647)+Pressupostos!$C$117*D1648))</f>
        <v>7047.875</v>
      </c>
      <c r="E1736" s="58" t="n">
        <f aca="false">IF(E1558&lt;Pressupostos!$C$118,0,MAX(Pressupostos!$E$295,Pressupostos!$C$116*(E1646+E1647)+Pressupostos!$C$117*E1648))</f>
        <v>15105.875</v>
      </c>
      <c r="F1736" s="58" t="n">
        <f aca="false">IF(F1558&lt;Pressupostos!$C$118,0,MAX(Pressupostos!$F$295,Pressupostos!$C$116*(F1646+F1647)+Pressupostos!$C$117*F1648))</f>
        <v>25864.125</v>
      </c>
      <c r="G1736" s="58" t="n">
        <f aca="false">IF(G1558&lt;Pressupostos!$C$118,0,MAX(Pressupostos!$G$295,Pressupostos!$C$116*(G1646+G1647)+Pressupostos!$C$117*G1648))</f>
        <v>39253.75</v>
      </c>
      <c r="H1736" s="2" t="s">
        <v>1280</v>
      </c>
    </row>
    <row r="1737" customFormat="false" ht="15" hidden="false" customHeight="false" outlineLevel="1" collapsed="false">
      <c r="A1737" s="52" t="s">
        <v>664</v>
      </c>
      <c r="B1737" s="53" t="s">
        <v>10</v>
      </c>
      <c r="C1737" s="59" t="n">
        <f aca="false">C1734+C1735+C1736</f>
        <v>319100</v>
      </c>
      <c r="D1737" s="59" t="n">
        <f aca="false">D1734+D1735+D1736</f>
        <v>322661.875</v>
      </c>
      <c r="E1737" s="59" t="n">
        <f aca="false">E1734+E1735+E1736</f>
        <v>421571.235</v>
      </c>
      <c r="F1737" s="59" t="n">
        <f aca="false">F1734+F1735+F1736</f>
        <v>475258.3074</v>
      </c>
      <c r="G1737" s="59" t="n">
        <f aca="false">G1734+G1735+G1736</f>
        <v>557963.504448</v>
      </c>
      <c r="H1737" s="2" t="s">
        <v>1281</v>
      </c>
    </row>
    <row r="1738" customFormat="false" ht="15" hidden="false" customHeight="false" outlineLevel="0" collapsed="false">
      <c r="A1738" s="3" t="s">
        <v>1282</v>
      </c>
      <c r="B1738" s="4"/>
      <c r="C1738" s="4"/>
      <c r="D1738" s="4"/>
      <c r="E1738" s="4"/>
      <c r="F1738" s="4"/>
      <c r="G1738" s="4"/>
      <c r="H1738" s="4"/>
    </row>
    <row r="1739" customFormat="false" ht="15" hidden="false" customHeight="false" outlineLevel="1" collapsed="false">
      <c r="A1739" s="7" t="s">
        <v>666</v>
      </c>
      <c r="B1739" s="8" t="s">
        <v>10</v>
      </c>
      <c r="C1739" s="58" t="n">
        <f aca="false">Pressupostos!$C$163*Pressupostos!$C$302</f>
        <v>18000</v>
      </c>
      <c r="D1739" s="58" t="n">
        <f aca="false">Pressupostos!$C$163*Pressupostos!$D$302</f>
        <v>12000</v>
      </c>
      <c r="E1739" s="58" t="n">
        <f aca="false">Pressupostos!$C$163*Pressupostos!$E$302</f>
        <v>12000</v>
      </c>
      <c r="F1739" s="58" t="n">
        <f aca="false">Pressupostos!$C$163*Pressupostos!$F$302</f>
        <v>12000</v>
      </c>
      <c r="G1739" s="58" t="n">
        <f aca="false">Pressupostos!$C$163*Pressupostos!$G$302</f>
        <v>12000</v>
      </c>
      <c r="H1739" s="2" t="s">
        <v>1283</v>
      </c>
    </row>
    <row r="1740" customFormat="false" ht="15" hidden="false" customHeight="false" outlineLevel="1" collapsed="false">
      <c r="A1740" s="7" t="s">
        <v>667</v>
      </c>
      <c r="B1740" s="8" t="s">
        <v>10</v>
      </c>
      <c r="C1740" s="50" t="n">
        <f aca="false">Pressupostos!$C$308</f>
        <v>60000</v>
      </c>
      <c r="D1740" s="50" t="n">
        <f aca="false">Pressupostos!$D$308</f>
        <v>30000</v>
      </c>
      <c r="E1740" s="50" t="n">
        <f aca="false">Pressupostos!$E$308</f>
        <v>30000</v>
      </c>
      <c r="F1740" s="50" t="n">
        <f aca="false">Pressupostos!$F$308</f>
        <v>20000</v>
      </c>
      <c r="G1740" s="50" t="n">
        <f aca="false">Pressupostos!$G$308</f>
        <v>20000</v>
      </c>
      <c r="H1740" s="2" t="s">
        <v>1284</v>
      </c>
    </row>
    <row r="1741" customFormat="false" ht="15" hidden="false" customHeight="false" outlineLevel="1" collapsed="false">
      <c r="A1741" s="7" t="s">
        <v>668</v>
      </c>
      <c r="B1741" s="8" t="s">
        <v>10</v>
      </c>
      <c r="C1741" s="58" t="n">
        <f aca="false">Pressupostos!$C$164*MAX(0,C1704)</f>
        <v>14000</v>
      </c>
      <c r="D1741" s="58" t="n">
        <f aca="false">Pressupostos!$C$164*MAX(0,D1704-C1704)</f>
        <v>2000</v>
      </c>
      <c r="E1741" s="58" t="n">
        <f aca="false">Pressupostos!$C$164*MAX(0,E1704-D1704)</f>
        <v>6000</v>
      </c>
      <c r="F1741" s="58" t="n">
        <f aca="false">Pressupostos!$C$164*MAX(0,F1704-E1704)</f>
        <v>6000</v>
      </c>
      <c r="G1741" s="58" t="n">
        <f aca="false">Pressupostos!$C$164*MAX(0,G1704-F1704)</f>
        <v>6000</v>
      </c>
      <c r="H1741" s="2" t="s">
        <v>1285</v>
      </c>
    </row>
    <row r="1742" customFormat="false" ht="15" hidden="false" customHeight="false" outlineLevel="1" collapsed="false">
      <c r="A1742" s="7" t="s">
        <v>407</v>
      </c>
      <c r="B1742" s="8" t="s">
        <v>10</v>
      </c>
      <c r="C1742" s="58" t="n">
        <f aca="false">C1739+C1740+C1741</f>
        <v>92000</v>
      </c>
      <c r="D1742" s="58" t="n">
        <f aca="false">D1739+D1740+D1741</f>
        <v>44000</v>
      </c>
      <c r="E1742" s="58" t="n">
        <f aca="false">E1739+E1740+E1741</f>
        <v>48000</v>
      </c>
      <c r="F1742" s="58" t="n">
        <f aca="false">F1739+F1740+F1741</f>
        <v>38000</v>
      </c>
      <c r="G1742" s="58" t="n">
        <f aca="false">G1739+G1740+G1741</f>
        <v>38000</v>
      </c>
      <c r="H1742" s="2" t="s">
        <v>1286</v>
      </c>
    </row>
    <row r="1743" customFormat="false" ht="15" hidden="false" customHeight="false" outlineLevel="1" collapsed="false">
      <c r="A1743" s="7" t="s">
        <v>669</v>
      </c>
      <c r="B1743" s="8" t="s">
        <v>10</v>
      </c>
      <c r="C1743" s="58" t="n">
        <f aca="false">(C1740*((0)&lt;Pressupostos!$C$165))/Pressupostos!$C$165</f>
        <v>20000</v>
      </c>
      <c r="D1743" s="58" t="n">
        <f aca="false">(C1740*((1)&lt;Pressupostos!$C$165)+D1740*((0)&lt;Pressupostos!$C$165))/Pressupostos!$C$165</f>
        <v>30000</v>
      </c>
      <c r="E1743" s="58" t="n">
        <f aca="false">(C1740*((2)&lt;Pressupostos!$C$165)+D1740*((1)&lt;Pressupostos!$C$165)+E1740*((0)&lt;Pressupostos!$C$165))/Pressupostos!$C$165</f>
        <v>40000</v>
      </c>
      <c r="F1743" s="58" t="n">
        <f aca="false">(C1740*((3)&lt;Pressupostos!$C$165)+D1740*((2)&lt;Pressupostos!$C$165)+E1740*((1)&lt;Pressupostos!$C$165)+F1740*((0)&lt;Pressupostos!$C$165))/Pressupostos!$C$165</f>
        <v>26666.6666666667</v>
      </c>
      <c r="G1743" s="58" t="n">
        <f aca="false">(C1740*((4)&lt;Pressupostos!$C$165)+D1740*((3)&lt;Pressupostos!$C$165)+E1740*((2)&lt;Pressupostos!$C$165)+F1740*((1)&lt;Pressupostos!$C$165)+G1740*((0)&lt;Pressupostos!$C$165))/Pressupostos!$C$165</f>
        <v>23333.3333333333</v>
      </c>
      <c r="H1743" s="2" t="s">
        <v>1287</v>
      </c>
    </row>
    <row r="1744" customFormat="false" ht="15" hidden="false" customHeight="false" outlineLevel="1" collapsed="false">
      <c r="A1744" s="7" t="s">
        <v>670</v>
      </c>
      <c r="B1744" s="8" t="s">
        <v>10</v>
      </c>
      <c r="C1744" s="58" t="n">
        <f aca="false">(C1739*((0)&lt;Pressupostos!$C$167))/Pressupostos!$C$167</f>
        <v>3600</v>
      </c>
      <c r="D1744" s="58" t="n">
        <f aca="false">(C1739*((1)&lt;Pressupostos!$C$167)+D1739*((0)&lt;Pressupostos!$C$167))/Pressupostos!$C$167</f>
        <v>6000</v>
      </c>
      <c r="E1744" s="58" t="n">
        <f aca="false">(C1739*((2)&lt;Pressupostos!$C$167)+D1739*((1)&lt;Pressupostos!$C$167)+E1739*((0)&lt;Pressupostos!$C$167))/Pressupostos!$C$167</f>
        <v>8400</v>
      </c>
      <c r="F1744" s="58" t="n">
        <f aca="false">(C1739*((3)&lt;Pressupostos!$C$167)+D1739*((2)&lt;Pressupostos!$C$167)+E1739*((1)&lt;Pressupostos!$C$167)+F1739*((0)&lt;Pressupostos!$C$167))/Pressupostos!$C$167</f>
        <v>10800</v>
      </c>
      <c r="G1744" s="58" t="n">
        <f aca="false">(C1739*((4)&lt;Pressupostos!$C$167)+D1739*((3)&lt;Pressupostos!$C$167)+E1739*((2)&lt;Pressupostos!$C$167)+F1739*((1)&lt;Pressupostos!$C$167)+G1739*((0)&lt;Pressupostos!$C$167))/Pressupostos!$C$167</f>
        <v>13200</v>
      </c>
      <c r="H1744" s="2" t="s">
        <v>1288</v>
      </c>
    </row>
    <row r="1745" customFormat="false" ht="15" hidden="false" customHeight="false" outlineLevel="1" collapsed="false">
      <c r="A1745" s="7" t="s">
        <v>671</v>
      </c>
      <c r="B1745" s="8" t="s">
        <v>10</v>
      </c>
      <c r="C1745" s="58" t="n">
        <f aca="false">(C1741*((0)&lt;Pressupostos!$C$166))/Pressupostos!$C$166</f>
        <v>3500</v>
      </c>
      <c r="D1745" s="58" t="n">
        <f aca="false">(C1741*((1)&lt;Pressupostos!$C$166)+D1741*((0)&lt;Pressupostos!$C$166))/Pressupostos!$C$166</f>
        <v>4000</v>
      </c>
      <c r="E1745" s="58" t="n">
        <f aca="false">(C1741*((2)&lt;Pressupostos!$C$166)+D1741*((1)&lt;Pressupostos!$C$166)+E1741*((0)&lt;Pressupostos!$C$166))/Pressupostos!$C$166</f>
        <v>5500</v>
      </c>
      <c r="F1745" s="58" t="n">
        <f aca="false">(C1741*((3)&lt;Pressupostos!$C$166)+D1741*((2)&lt;Pressupostos!$C$166)+E1741*((1)&lt;Pressupostos!$C$166)+F1741*((0)&lt;Pressupostos!$C$166))/Pressupostos!$C$166</f>
        <v>7000</v>
      </c>
      <c r="G1745" s="58" t="n">
        <f aca="false">(C1741*((4)&lt;Pressupostos!$C$166)+D1741*((3)&lt;Pressupostos!$C$166)+E1741*((2)&lt;Pressupostos!$C$166)+F1741*((1)&lt;Pressupostos!$C$166)+G1741*((0)&lt;Pressupostos!$C$166))/Pressupostos!$C$166</f>
        <v>5000</v>
      </c>
      <c r="H1745" s="2" t="s">
        <v>1289</v>
      </c>
    </row>
    <row r="1746" customFormat="false" ht="15" hidden="false" customHeight="false" outlineLevel="1" collapsed="false">
      <c r="A1746" s="7" t="s">
        <v>672</v>
      </c>
      <c r="B1746" s="8" t="s">
        <v>10</v>
      </c>
      <c r="C1746" s="58" t="n">
        <f aca="false">C1743+C1744+C1745</f>
        <v>27100</v>
      </c>
      <c r="D1746" s="58" t="n">
        <f aca="false">D1743+D1744+D1745</f>
        <v>40000</v>
      </c>
      <c r="E1746" s="58" t="n">
        <f aca="false">E1743+E1744+E1745</f>
        <v>53900</v>
      </c>
      <c r="F1746" s="58" t="n">
        <f aca="false">F1743+F1744+F1745</f>
        <v>44466.6666666667</v>
      </c>
      <c r="G1746" s="58" t="n">
        <f aca="false">G1743+G1744+G1745</f>
        <v>41533.3333333333</v>
      </c>
      <c r="H1746" s="2" t="s">
        <v>1290</v>
      </c>
    </row>
    <row r="1747" customFormat="false" ht="15" hidden="false" customHeight="false" outlineLevel="0" collapsed="false">
      <c r="A1747" s="3" t="s">
        <v>1291</v>
      </c>
      <c r="B1747" s="4"/>
      <c r="C1747" s="4"/>
      <c r="D1747" s="4"/>
      <c r="E1747" s="4"/>
      <c r="F1747" s="4"/>
      <c r="G1747" s="4"/>
      <c r="H1747" s="4"/>
    </row>
    <row r="1748" customFormat="false" ht="15" hidden="false" customHeight="false" outlineLevel="1" collapsed="false">
      <c r="A1748" s="52" t="s">
        <v>676</v>
      </c>
      <c r="B1748" s="53" t="s">
        <v>10</v>
      </c>
      <c r="C1748" s="59" t="n">
        <f aca="false">C1655</f>
        <v>266560</v>
      </c>
      <c r="D1748" s="59" t="n">
        <f aca="false">D1655</f>
        <v>1775208.75</v>
      </c>
      <c r="E1748" s="59" t="n">
        <f aca="false">E1655</f>
        <v>4047368.75</v>
      </c>
      <c r="F1748" s="59" t="n">
        <f aca="false">F1655</f>
        <v>7014591.25</v>
      </c>
      <c r="G1748" s="59" t="n">
        <f aca="false">G1655</f>
        <v>10738157.5</v>
      </c>
      <c r="H1748" s="2" t="s">
        <v>1292</v>
      </c>
    </row>
    <row r="1749" customFormat="false" ht="15" hidden="false" customHeight="false" outlineLevel="1" collapsed="false">
      <c r="A1749" s="7" t="s">
        <v>649</v>
      </c>
      <c r="B1749" s="8" t="s">
        <v>10</v>
      </c>
      <c r="C1749" s="58" t="n">
        <f aca="false">-C1676</f>
        <v>-243800</v>
      </c>
      <c r="D1749" s="58" t="n">
        <f aca="false">-D1676</f>
        <v>-1623700</v>
      </c>
      <c r="E1749" s="58" t="n">
        <f aca="false">-E1676</f>
        <v>-3665800</v>
      </c>
      <c r="F1749" s="58" t="n">
        <f aca="false">-F1676</f>
        <v>-6319200</v>
      </c>
      <c r="G1749" s="58" t="n">
        <f aca="false">-G1676</f>
        <v>-9651000</v>
      </c>
      <c r="H1749" s="2" t="s">
        <v>1293</v>
      </c>
    </row>
    <row r="1750" customFormat="false" ht="15" hidden="false" customHeight="false" outlineLevel="1" collapsed="false">
      <c r="A1750" s="52" t="s">
        <v>677</v>
      </c>
      <c r="B1750" s="53" t="s">
        <v>10</v>
      </c>
      <c r="C1750" s="59" t="n">
        <f aca="false">C1748+C1749</f>
        <v>22760</v>
      </c>
      <c r="D1750" s="59" t="n">
        <f aca="false">D1748+D1749</f>
        <v>151508.75</v>
      </c>
      <c r="E1750" s="59" t="n">
        <f aca="false">E1748+E1749</f>
        <v>381568.75</v>
      </c>
      <c r="F1750" s="59" t="n">
        <f aca="false">F1748+F1749</f>
        <v>695391.25</v>
      </c>
      <c r="G1750" s="59" t="n">
        <f aca="false">G1748+G1749</f>
        <v>1087157.5</v>
      </c>
      <c r="H1750" s="2" t="s">
        <v>1294</v>
      </c>
    </row>
    <row r="1751" customFormat="false" ht="15" hidden="false" customHeight="false" outlineLevel="1" collapsed="false">
      <c r="A1751" s="2" t="s">
        <v>678</v>
      </c>
      <c r="B1751" s="8" t="s">
        <v>71</v>
      </c>
      <c r="C1751" s="55" t="n">
        <f aca="false">IF(C1748&gt;0,C1750/C1748,0)</f>
        <v>0.0853841536614646</v>
      </c>
      <c r="D1751" s="55" t="n">
        <f aca="false">IF(D1748&gt;0,D1750/D1748,0)</f>
        <v>0.0853470049649089</v>
      </c>
      <c r="E1751" s="55" t="n">
        <f aca="false">IF(E1748&gt;0,E1750/E1748,0)</f>
        <v>0.0942757563169898</v>
      </c>
      <c r="F1751" s="55" t="n">
        <f aca="false">IF(F1748&gt;0,F1750/F1748,0)</f>
        <v>0.0991349638512437</v>
      </c>
      <c r="G1751" s="55" t="n">
        <f aca="false">IF(G1748&gt;0,G1750/G1748,0)</f>
        <v>0.101242461753797</v>
      </c>
      <c r="H1751" s="2" t="s">
        <v>1295</v>
      </c>
    </row>
    <row r="1752" customFormat="false" ht="15" hidden="false" customHeight="false" outlineLevel="1" collapsed="false">
      <c r="A1752" s="7" t="s">
        <v>679</v>
      </c>
      <c r="B1752" s="8" t="s">
        <v>10</v>
      </c>
      <c r="C1752" s="58" t="n">
        <f aca="false">-C1686</f>
        <v>-15335.0780821918</v>
      </c>
      <c r="D1752" s="58" t="n">
        <f aca="false">-D1686</f>
        <v>-104099.425709393</v>
      </c>
      <c r="E1752" s="58" t="n">
        <f aca="false">-E1686</f>
        <v>-242033.543909002</v>
      </c>
      <c r="F1752" s="58" t="n">
        <f aca="false">-F1686</f>
        <v>-433332.051002935</v>
      </c>
      <c r="G1752" s="58" t="n">
        <f aca="false">-G1686</f>
        <v>-668525.072162427</v>
      </c>
      <c r="H1752" s="2" t="s">
        <v>1296</v>
      </c>
    </row>
    <row r="1753" customFormat="false" ht="15" hidden="false" customHeight="false" outlineLevel="1" collapsed="false">
      <c r="A1753" s="7" t="s">
        <v>658</v>
      </c>
      <c r="B1753" s="8" t="s">
        <v>10</v>
      </c>
      <c r="C1753" s="58" t="n">
        <f aca="false">-C1689</f>
        <v>-0</v>
      </c>
      <c r="D1753" s="58" t="n">
        <f aca="false">-D1689</f>
        <v>-23317.0273972603</v>
      </c>
      <c r="E1753" s="58" t="n">
        <f aca="false">-E1689</f>
        <v>-38771.0637842466</v>
      </c>
      <c r="F1753" s="58" t="n">
        <f aca="false">-F1689</f>
        <v>-62547.834760274</v>
      </c>
      <c r="G1753" s="58" t="n">
        <f aca="false">-G1689</f>
        <v>-95536.1558219178</v>
      </c>
      <c r="H1753" s="2" t="s">
        <v>1297</v>
      </c>
    </row>
    <row r="1754" customFormat="false" ht="15" hidden="false" customHeight="false" outlineLevel="1" collapsed="false">
      <c r="A1754" s="52" t="s">
        <v>641</v>
      </c>
      <c r="B1754" s="53" t="s">
        <v>10</v>
      </c>
      <c r="C1754" s="59" t="n">
        <f aca="false">C1750+C1752+C1753</f>
        <v>7424.92191780822</v>
      </c>
      <c r="D1754" s="59" t="n">
        <f aca="false">D1750+D1752+D1753</f>
        <v>24092.2968933462</v>
      </c>
      <c r="E1754" s="59" t="n">
        <f aca="false">E1750+E1752+E1753</f>
        <v>100764.142306751</v>
      </c>
      <c r="F1754" s="59" t="n">
        <f aca="false">F1750+F1752+F1753</f>
        <v>199511.364236791</v>
      </c>
      <c r="G1754" s="59" t="n">
        <f aca="false">G1750+G1752+G1753</f>
        <v>323096.272015656</v>
      </c>
      <c r="H1754" s="2" t="s">
        <v>1298</v>
      </c>
    </row>
    <row r="1755" customFormat="false" ht="15" hidden="false" customHeight="false" outlineLevel="1" collapsed="false">
      <c r="A1755" s="7" t="s">
        <v>251</v>
      </c>
      <c r="B1755" s="8" t="s">
        <v>10</v>
      </c>
      <c r="C1755" s="58" t="n">
        <f aca="false">-C1721</f>
        <v>-400885.59375</v>
      </c>
      <c r="D1755" s="58" t="n">
        <f aca="false">-D1721</f>
        <v>-508017.8875</v>
      </c>
      <c r="E1755" s="58" t="n">
        <f aca="false">-E1721</f>
        <v>-667701.28525</v>
      </c>
      <c r="F1755" s="58" t="n">
        <f aca="false">-F1721</f>
        <v>-855745.92960125</v>
      </c>
      <c r="G1755" s="58" t="n">
        <f aca="false">-G1721</f>
        <v>-1042442.03916396</v>
      </c>
      <c r="H1755" s="2" t="s">
        <v>1299</v>
      </c>
    </row>
    <row r="1756" customFormat="false" ht="15" hidden="false" customHeight="false" outlineLevel="1" collapsed="false">
      <c r="A1756" s="7" t="s">
        <v>680</v>
      </c>
      <c r="B1756" s="8" t="s">
        <v>10</v>
      </c>
      <c r="C1756" s="58" t="n">
        <f aca="false">-C1737</f>
        <v>-319100</v>
      </c>
      <c r="D1756" s="58" t="n">
        <f aca="false">-D1737</f>
        <v>-322661.875</v>
      </c>
      <c r="E1756" s="58" t="n">
        <f aca="false">-E1737</f>
        <v>-421571.235</v>
      </c>
      <c r="F1756" s="58" t="n">
        <f aca="false">-F1737</f>
        <v>-475258.3074</v>
      </c>
      <c r="G1756" s="58" t="n">
        <f aca="false">-G1737</f>
        <v>-557963.504448</v>
      </c>
      <c r="H1756" s="2" t="s">
        <v>1300</v>
      </c>
    </row>
    <row r="1757" customFormat="false" ht="15" hidden="false" customHeight="false" outlineLevel="1" collapsed="false">
      <c r="A1757" s="52" t="s">
        <v>681</v>
      </c>
      <c r="B1757" s="53" t="s">
        <v>10</v>
      </c>
      <c r="C1757" s="59" t="n">
        <f aca="false">C1754+C1755+C1756</f>
        <v>-712560.671832192</v>
      </c>
      <c r="D1757" s="59" t="n">
        <f aca="false">D1754+D1755+D1756</f>
        <v>-806587.465606654</v>
      </c>
      <c r="E1757" s="59" t="n">
        <f aca="false">E1754+E1755+E1756</f>
        <v>-988508.377943249</v>
      </c>
      <c r="F1757" s="59" t="n">
        <f aca="false">F1754+F1755+F1756</f>
        <v>-1131492.87276446</v>
      </c>
      <c r="G1757" s="59" t="n">
        <f aca="false">G1754+G1755+G1756</f>
        <v>-1277309.27159631</v>
      </c>
      <c r="H1757" s="2" t="s">
        <v>1301</v>
      </c>
    </row>
    <row r="1758" customFormat="false" ht="15" hidden="false" customHeight="false" outlineLevel="1" collapsed="false">
      <c r="A1758" s="2" t="s">
        <v>683</v>
      </c>
      <c r="B1758" s="8" t="s">
        <v>71</v>
      </c>
      <c r="C1758" s="55" t="n">
        <f aca="false">IF(C1748&gt;0,C1757/C1748,0)</f>
        <v>-2.67317178808595</v>
      </c>
      <c r="D1758" s="55" t="n">
        <f aca="false">IF(D1748&gt;0,D1757/D1748,0)</f>
        <v>-0.454362038045753</v>
      </c>
      <c r="E1758" s="55" t="n">
        <f aca="false">IF(E1748&gt;0,E1757/E1748,0)</f>
        <v>-0.24423481995389</v>
      </c>
      <c r="F1758" s="55" t="n">
        <f aca="false">IF(F1748&gt;0,F1757/F1748,0)</f>
        <v>-0.161305603197401</v>
      </c>
      <c r="G1758" s="55" t="n">
        <f aca="false">IF(G1748&gt;0,G1757/G1748,0)</f>
        <v>-0.118950506322552</v>
      </c>
      <c r="H1758" s="2" t="s">
        <v>1302</v>
      </c>
    </row>
    <row r="1759" customFormat="false" ht="15" hidden="false" customHeight="false" outlineLevel="1" collapsed="false">
      <c r="A1759" s="2" t="s">
        <v>684</v>
      </c>
      <c r="B1759" s="8" t="s">
        <v>10</v>
      </c>
      <c r="C1759" s="58" t="n">
        <f aca="false">C1757+C1689</f>
        <v>-712560.671832192</v>
      </c>
      <c r="D1759" s="58" t="n">
        <f aca="false">D1757+D1689</f>
        <v>-783270.438209394</v>
      </c>
      <c r="E1759" s="58" t="n">
        <f aca="false">E1757+E1689</f>
        <v>-949737.314159002</v>
      </c>
      <c r="F1759" s="58" t="n">
        <f aca="false">F1757+F1689</f>
        <v>-1068945.03800419</v>
      </c>
      <c r="G1759" s="58" t="n">
        <f aca="false">G1757+G1689</f>
        <v>-1181773.11577439</v>
      </c>
      <c r="H1759" s="2" t="s">
        <v>1303</v>
      </c>
    </row>
    <row r="1760" customFormat="false" ht="15" hidden="false" customHeight="false" outlineLevel="1" collapsed="false">
      <c r="A1760" s="7" t="s">
        <v>672</v>
      </c>
      <c r="B1760" s="8" t="s">
        <v>10</v>
      </c>
      <c r="C1760" s="58" t="n">
        <f aca="false">-C1746</f>
        <v>-27100</v>
      </c>
      <c r="D1760" s="58" t="n">
        <f aca="false">-D1746</f>
        <v>-40000</v>
      </c>
      <c r="E1760" s="58" t="n">
        <f aca="false">-E1746</f>
        <v>-53900</v>
      </c>
      <c r="F1760" s="58" t="n">
        <f aca="false">-F1746</f>
        <v>-44466.6666666667</v>
      </c>
      <c r="G1760" s="58" t="n">
        <f aca="false">-G1746</f>
        <v>-41533.3333333333</v>
      </c>
      <c r="H1760" s="2" t="s">
        <v>1304</v>
      </c>
    </row>
    <row r="1761" customFormat="false" ht="15" hidden="false" customHeight="false" outlineLevel="1" collapsed="false">
      <c r="A1761" s="52" t="s">
        <v>685</v>
      </c>
      <c r="B1761" s="53" t="s">
        <v>10</v>
      </c>
      <c r="C1761" s="59" t="n">
        <f aca="false">C1757+C1760</f>
        <v>-739660.671832192</v>
      </c>
      <c r="D1761" s="59" t="n">
        <f aca="false">D1757+D1760</f>
        <v>-846587.465606654</v>
      </c>
      <c r="E1761" s="59" t="n">
        <f aca="false">E1757+E1760</f>
        <v>-1042408.37794325</v>
      </c>
      <c r="F1761" s="59" t="n">
        <f aca="false">F1757+F1760</f>
        <v>-1175959.53943113</v>
      </c>
      <c r="G1761" s="59" t="n">
        <f aca="false">G1757+G1760</f>
        <v>-1318842.60492964</v>
      </c>
      <c r="H1761" s="2" t="s">
        <v>1305</v>
      </c>
    </row>
    <row r="1762" customFormat="false" ht="15" hidden="false" customHeight="false" outlineLevel="0" collapsed="false">
      <c r="A1762" s="3" t="s">
        <v>1306</v>
      </c>
      <c r="B1762" s="4"/>
      <c r="C1762" s="4"/>
      <c r="D1762" s="4"/>
      <c r="E1762" s="4"/>
      <c r="F1762" s="4"/>
      <c r="G1762" s="4"/>
      <c r="H1762" s="4"/>
    </row>
    <row r="1763" customFormat="false" ht="15" hidden="false" customHeight="false" outlineLevel="1" collapsed="false">
      <c r="A1763" s="7" t="s">
        <v>687</v>
      </c>
      <c r="B1763" s="8" t="s">
        <v>10</v>
      </c>
      <c r="C1763" s="58" t="n">
        <f aca="false">C1761</f>
        <v>-739660.671832192</v>
      </c>
      <c r="D1763" s="58" t="n">
        <f aca="false">D1761</f>
        <v>-846587.465606654</v>
      </c>
      <c r="E1763" s="58" t="n">
        <f aca="false">E1761</f>
        <v>-1042408.37794325</v>
      </c>
      <c r="F1763" s="58" t="n">
        <f aca="false">F1761</f>
        <v>-1175959.53943113</v>
      </c>
      <c r="G1763" s="58" t="n">
        <f aca="false">G1761</f>
        <v>-1318842.60492964</v>
      </c>
      <c r="H1763" s="2" t="s">
        <v>1307</v>
      </c>
    </row>
    <row r="1764" customFormat="false" ht="15" hidden="false" customHeight="false" outlineLevel="1" collapsed="false">
      <c r="A1764" s="7" t="s">
        <v>688</v>
      </c>
      <c r="B1764" s="8" t="s">
        <v>10</v>
      </c>
      <c r="C1764" s="58" t="n">
        <f aca="false">0</f>
        <v>0</v>
      </c>
      <c r="D1764" s="58" t="n">
        <f aca="false">C1767</f>
        <v>739660.671832192</v>
      </c>
      <c r="E1764" s="58" t="n">
        <f aca="false">D1767</f>
        <v>1586248.13743885</v>
      </c>
      <c r="F1764" s="58" t="n">
        <f aca="false">E1767</f>
        <v>2628656.51538209</v>
      </c>
      <c r="G1764" s="58" t="n">
        <f aca="false">F1767</f>
        <v>3804616.05481322</v>
      </c>
      <c r="H1764" s="2" t="s">
        <v>1308</v>
      </c>
    </row>
    <row r="1765" customFormat="false" ht="15" hidden="false" customHeight="false" outlineLevel="1" collapsed="false">
      <c r="A1765" s="7" t="s">
        <v>689</v>
      </c>
      <c r="B1765" s="8" t="s">
        <v>10</v>
      </c>
      <c r="C1765" s="58" t="n">
        <f aca="false">MAX(0,-C1763)</f>
        <v>739660.671832192</v>
      </c>
      <c r="D1765" s="58" t="n">
        <f aca="false">MAX(0,-D1763)</f>
        <v>846587.465606654</v>
      </c>
      <c r="E1765" s="58" t="n">
        <f aca="false">MAX(0,-E1763)</f>
        <v>1042408.37794325</v>
      </c>
      <c r="F1765" s="58" t="n">
        <f aca="false">MAX(0,-F1763)</f>
        <v>1175959.53943113</v>
      </c>
      <c r="G1765" s="58" t="n">
        <f aca="false">MAX(0,-G1763)</f>
        <v>1318842.60492964</v>
      </c>
      <c r="H1765" s="2" t="s">
        <v>1309</v>
      </c>
    </row>
    <row r="1766" customFormat="false" ht="15" hidden="false" customHeight="false" outlineLevel="1" collapsed="false">
      <c r="A1766" s="7" t="s">
        <v>690</v>
      </c>
      <c r="B1766" s="8" t="s">
        <v>10</v>
      </c>
      <c r="C1766" s="58" t="n">
        <f aca="false">MIN(C1764,Pressupostos!$C$179*MAX(0,C1763))</f>
        <v>0</v>
      </c>
      <c r="D1766" s="58" t="n">
        <f aca="false">MIN(D1764,Pressupostos!$C$179*MAX(0,D1763))</f>
        <v>0</v>
      </c>
      <c r="E1766" s="58" t="n">
        <f aca="false">MIN(E1764,Pressupostos!$C$179*MAX(0,E1763))</f>
        <v>0</v>
      </c>
      <c r="F1766" s="58" t="n">
        <f aca="false">MIN(F1764,Pressupostos!$C$179*MAX(0,F1763))</f>
        <v>0</v>
      </c>
      <c r="G1766" s="58" t="n">
        <f aca="false">MIN(G1764,Pressupostos!$C$179*MAX(0,G1763))</f>
        <v>0</v>
      </c>
      <c r="H1766" s="2" t="s">
        <v>1310</v>
      </c>
    </row>
    <row r="1767" customFormat="false" ht="15" hidden="false" customHeight="false" outlineLevel="1" collapsed="false">
      <c r="A1767" s="7" t="s">
        <v>691</v>
      </c>
      <c r="B1767" s="8" t="s">
        <v>10</v>
      </c>
      <c r="C1767" s="58" t="n">
        <f aca="false">C1764+C1765-C1766</f>
        <v>739660.671832192</v>
      </c>
      <c r="D1767" s="58" t="n">
        <f aca="false">D1764+D1765-D1766</f>
        <v>1586248.13743885</v>
      </c>
      <c r="E1767" s="58" t="n">
        <f aca="false">E1764+E1765-E1766</f>
        <v>2628656.51538209</v>
      </c>
      <c r="F1767" s="58" t="n">
        <f aca="false">F1764+F1765-F1766</f>
        <v>3804616.05481322</v>
      </c>
      <c r="G1767" s="58" t="n">
        <f aca="false">G1764+G1765-G1766</f>
        <v>5123458.65974286</v>
      </c>
      <c r="H1767" s="2" t="s">
        <v>1311</v>
      </c>
    </row>
    <row r="1768" customFormat="false" ht="15" hidden="false" customHeight="false" outlineLevel="1" collapsed="false">
      <c r="A1768" s="7" t="s">
        <v>692</v>
      </c>
      <c r="B1768" s="8" t="s">
        <v>10</v>
      </c>
      <c r="C1768" s="58" t="n">
        <f aca="false">MAX(0,C1763)-C1766</f>
        <v>0</v>
      </c>
      <c r="D1768" s="58" t="n">
        <f aca="false">MAX(0,D1763)-D1766</f>
        <v>0</v>
      </c>
      <c r="E1768" s="58" t="n">
        <f aca="false">MAX(0,E1763)-E1766</f>
        <v>0</v>
      </c>
      <c r="F1768" s="58" t="n">
        <f aca="false">MAX(0,F1763)-F1766</f>
        <v>0</v>
      </c>
      <c r="G1768" s="58" t="n">
        <f aca="false">MAX(0,G1763)-G1766</f>
        <v>0</v>
      </c>
      <c r="H1768" s="2" t="s">
        <v>1312</v>
      </c>
    </row>
    <row r="1769" customFormat="false" ht="15" hidden="false" customHeight="false" outlineLevel="1" collapsed="false">
      <c r="A1769" s="7" t="s">
        <v>693</v>
      </c>
      <c r="B1769" s="8" t="s">
        <v>10</v>
      </c>
      <c r="C1769" s="58" t="n">
        <f aca="false">Pressupostos!$C$170*MIN(C1768,Pressupostos!$C$171)+Pressupostos!$C$450*MAX(0,C1768-Pressupostos!$C$171)</f>
        <v>0</v>
      </c>
      <c r="D1769" s="58" t="n">
        <f aca="false">Pressupostos!$C$170*MIN(D1768,Pressupostos!$C$171)+Pressupostos!$D$450*MAX(0,D1768-Pressupostos!$C$171)</f>
        <v>0</v>
      </c>
      <c r="E1769" s="58" t="n">
        <f aca="false">Pressupostos!$C$170*MIN(E1768,Pressupostos!$C$171)+Pressupostos!$E$450*MAX(0,E1768-Pressupostos!$C$171)</f>
        <v>0</v>
      </c>
      <c r="F1769" s="58" t="n">
        <f aca="false">Pressupostos!$C$170*MIN(F1768,Pressupostos!$C$171)+Pressupostos!$F$450*MAX(0,F1768-Pressupostos!$C$171)</f>
        <v>0</v>
      </c>
      <c r="G1769" s="58" t="n">
        <f aca="false">Pressupostos!$C$170*MIN(G1768,Pressupostos!$C$171)+Pressupostos!$G$450*MAX(0,G1768-Pressupostos!$C$171)</f>
        <v>0</v>
      </c>
      <c r="H1769" s="2" t="s">
        <v>1313</v>
      </c>
    </row>
    <row r="1770" customFormat="false" ht="15" hidden="false" customHeight="false" outlineLevel="1" collapsed="false">
      <c r="A1770" s="7" t="s">
        <v>694</v>
      </c>
      <c r="B1770" s="8" t="s">
        <v>10</v>
      </c>
      <c r="C1770" s="58" t="n">
        <f aca="false">Pressupostos!$C$172*MAX(0,C1763)</f>
        <v>0</v>
      </c>
      <c r="D1770" s="58" t="n">
        <f aca="false">Pressupostos!$C$172*MAX(0,D1763)</f>
        <v>0</v>
      </c>
      <c r="E1770" s="58" t="n">
        <f aca="false">Pressupostos!$C$172*MAX(0,E1763)</f>
        <v>0</v>
      </c>
      <c r="F1770" s="58" t="n">
        <f aca="false">Pressupostos!$C$172*MAX(0,F1763)</f>
        <v>0</v>
      </c>
      <c r="G1770" s="58" t="n">
        <f aca="false">Pressupostos!$C$172*MAX(0,G1763)</f>
        <v>0</v>
      </c>
      <c r="H1770" s="2" t="s">
        <v>1314</v>
      </c>
    </row>
    <row r="1771" customFormat="false" ht="15" hidden="false" customHeight="false" outlineLevel="1" collapsed="false">
      <c r="A1771" s="7" t="s">
        <v>695</v>
      </c>
      <c r="B1771" s="8" t="s">
        <v>10</v>
      </c>
      <c r="C1771" s="58" t="n">
        <f aca="false">Pressupostos!$C$174*MAX(0,MIN(C1763,Pressupostos!$C$175)-Pressupostos!$C$173)+Pressupostos!$C$176*MAX(0,MIN(C1763,Pressupostos!$C$177)-Pressupostos!$C$175)+Pressupostos!$C$178*MAX(0,C1763-Pressupostos!$C$177)</f>
        <v>0</v>
      </c>
      <c r="D1771" s="58" t="n">
        <f aca="false">Pressupostos!$C$174*MAX(0,MIN(D1763,Pressupostos!$C$175)-Pressupostos!$C$173)+Pressupostos!$C$176*MAX(0,MIN(D1763,Pressupostos!$C$177)-Pressupostos!$C$175)+Pressupostos!$C$178*MAX(0,D1763-Pressupostos!$C$177)</f>
        <v>0</v>
      </c>
      <c r="E1771" s="58" t="n">
        <f aca="false">Pressupostos!$C$174*MAX(0,MIN(E1763,Pressupostos!$C$175)-Pressupostos!$C$173)+Pressupostos!$C$176*MAX(0,MIN(E1763,Pressupostos!$C$177)-Pressupostos!$C$175)+Pressupostos!$C$178*MAX(0,E1763-Pressupostos!$C$177)</f>
        <v>0</v>
      </c>
      <c r="F1771" s="58" t="n">
        <f aca="false">Pressupostos!$C$174*MAX(0,MIN(F1763,Pressupostos!$C$175)-Pressupostos!$C$173)+Pressupostos!$C$176*MAX(0,MIN(F1763,Pressupostos!$C$177)-Pressupostos!$C$175)+Pressupostos!$C$178*MAX(0,F1763-Pressupostos!$C$177)</f>
        <v>0</v>
      </c>
      <c r="G1771" s="58" t="n">
        <f aca="false">Pressupostos!$C$174*MAX(0,MIN(G1763,Pressupostos!$C$175)-Pressupostos!$C$173)+Pressupostos!$C$176*MAX(0,MIN(G1763,Pressupostos!$C$177)-Pressupostos!$C$175)+Pressupostos!$C$178*MAX(0,G1763-Pressupostos!$C$177)</f>
        <v>0</v>
      </c>
      <c r="H1771" s="2" t="s">
        <v>1315</v>
      </c>
    </row>
    <row r="1772" customFormat="false" ht="15" hidden="false" customHeight="false" outlineLevel="1" collapsed="false">
      <c r="A1772" s="7" t="s">
        <v>696</v>
      </c>
      <c r="B1772" s="8" t="s">
        <v>10</v>
      </c>
      <c r="C1772" s="58" t="n">
        <f aca="false">C1769+C1770+C1771</f>
        <v>0</v>
      </c>
      <c r="D1772" s="58" t="n">
        <f aca="false">D1769+D1770+D1771</f>
        <v>0</v>
      </c>
      <c r="E1772" s="58" t="n">
        <f aca="false">E1769+E1770+E1771</f>
        <v>0</v>
      </c>
      <c r="F1772" s="58" t="n">
        <f aca="false">F1769+F1770+F1771</f>
        <v>0</v>
      </c>
      <c r="G1772" s="58" t="n">
        <f aca="false">G1769+G1770+G1771</f>
        <v>0</v>
      </c>
      <c r="H1772" s="2" t="s">
        <v>1316</v>
      </c>
    </row>
    <row r="1773" customFormat="false" ht="15" hidden="false" customHeight="false" outlineLevel="0" collapsed="false">
      <c r="A1773" s="3" t="s">
        <v>1317</v>
      </c>
      <c r="B1773" s="4"/>
      <c r="C1773" s="4"/>
      <c r="D1773" s="4"/>
      <c r="E1773" s="4"/>
      <c r="F1773" s="4"/>
      <c r="G1773" s="4"/>
      <c r="H1773" s="4"/>
    </row>
    <row r="1774" customFormat="false" ht="15" hidden="false" customHeight="false" outlineLevel="1" collapsed="false">
      <c r="A1774" s="7" t="s">
        <v>696</v>
      </c>
      <c r="B1774" s="8" t="s">
        <v>10</v>
      </c>
      <c r="C1774" s="58" t="n">
        <f aca="false">-C1772</f>
        <v>-0</v>
      </c>
      <c r="D1774" s="58" t="n">
        <f aca="false">-D1772</f>
        <v>-0</v>
      </c>
      <c r="E1774" s="58" t="n">
        <f aca="false">-E1772</f>
        <v>-0</v>
      </c>
      <c r="F1774" s="58" t="n">
        <f aca="false">-F1772</f>
        <v>-0</v>
      </c>
      <c r="G1774" s="58" t="n">
        <f aca="false">-G1772</f>
        <v>-0</v>
      </c>
      <c r="H1774" s="2" t="s">
        <v>1318</v>
      </c>
    </row>
    <row r="1775" customFormat="false" ht="15" hidden="false" customHeight="false" outlineLevel="1" collapsed="false">
      <c r="A1775" s="52" t="s">
        <v>698</v>
      </c>
      <c r="B1775" s="53" t="s">
        <v>10</v>
      </c>
      <c r="C1775" s="59" t="n">
        <f aca="false">C1761+C1774</f>
        <v>-739660.671832192</v>
      </c>
      <c r="D1775" s="59" t="n">
        <f aca="false">D1761+D1774</f>
        <v>-846587.465606654</v>
      </c>
      <c r="E1775" s="59" t="n">
        <f aca="false">E1761+E1774</f>
        <v>-1042408.37794325</v>
      </c>
      <c r="F1775" s="59" t="n">
        <f aca="false">F1761+F1774</f>
        <v>-1175959.53943113</v>
      </c>
      <c r="G1775" s="59" t="n">
        <f aca="false">G1761+G1774</f>
        <v>-1318842.60492964</v>
      </c>
      <c r="H1775" s="2" t="s">
        <v>1319</v>
      </c>
    </row>
    <row r="1776" customFormat="false" ht="15" hidden="false" customHeight="false" outlineLevel="0" collapsed="false">
      <c r="A1776" s="3" t="s">
        <v>1320</v>
      </c>
      <c r="B1776" s="4"/>
      <c r="C1776" s="4"/>
      <c r="D1776" s="4"/>
      <c r="E1776" s="4"/>
      <c r="F1776" s="4"/>
      <c r="G1776" s="4"/>
      <c r="H1776" s="4"/>
    </row>
    <row r="1777" customFormat="false" ht="15" hidden="false" customHeight="false" outlineLevel="1" collapsed="false">
      <c r="A1777" s="7" t="s">
        <v>702</v>
      </c>
      <c r="B1777" s="8" t="s">
        <v>10</v>
      </c>
      <c r="C1777" s="58" t="n">
        <f aca="false">C1561*1000*((C1577+C1580)*C1583/365)+C1562*1000*((C1600+C1603)*C1606/365)+C1563*1000*((C1623+C1626)*C1629/365)</f>
        <v>33682.1917808219</v>
      </c>
      <c r="D1777" s="58" t="n">
        <f aca="false">D1561*1000*((D1577+D1580)*D1583/365)+D1562*1000*((D1600+D1603)*D1606/365)+D1563*1000*((D1623+D1626)*D1629/365)</f>
        <v>196557.534246575</v>
      </c>
      <c r="E1777" s="58" t="n">
        <f aca="false">E1561*1000*((E1577+E1580)*E1583/365)+E1562*1000*((E1600+E1603)*E1606/365)+E1563*1000*((E1623+E1626)*E1629/365)</f>
        <v>306721.232876712</v>
      </c>
      <c r="F1777" s="58" t="n">
        <f aca="false">F1561*1000*((F1577+F1580)*F1583/365)+F1562*1000*((F1600+F1603)*F1606/365)+F1563*1000*((F1623+F1626)*F1629/365)</f>
        <v>530402.054794521</v>
      </c>
      <c r="G1777" s="58" t="n">
        <f aca="false">G1561*1000*((G1577+G1580)*G1583/365)+G1562*1000*((G1600+G1603)*G1606/365)+G1563*1000*((G1623+G1626)*G1629/365)</f>
        <v>805623.287671233</v>
      </c>
      <c r="H1777" s="2" t="s">
        <v>1321</v>
      </c>
    </row>
    <row r="1778" customFormat="false" ht="15" hidden="false" customHeight="false" outlineLevel="1" collapsed="false">
      <c r="A1778" s="7" t="s">
        <v>703</v>
      </c>
      <c r="B1778" s="8" t="s">
        <v>10</v>
      </c>
      <c r="C1778" s="58" t="n">
        <f aca="false">C1777+C1572*1000*Pressupostos!$C$90*Pressupostos!$C$93/365</f>
        <v>33682.1917808219</v>
      </c>
      <c r="D1778" s="58" t="n">
        <f aca="false">D1777+D1572*1000*Pressupostos!$C$90*Pressupostos!$C$93/365</f>
        <v>196557.534246575</v>
      </c>
      <c r="E1778" s="58" t="n">
        <f aca="false">E1777+E1572*1000*Pressupostos!$C$90*Pressupostos!$C$93/365</f>
        <v>332611.643835617</v>
      </c>
      <c r="F1778" s="58" t="n">
        <f aca="false">F1777+F1572*1000*Pressupostos!$C$90*Pressupostos!$C$93/365</f>
        <v>582182.876712329</v>
      </c>
      <c r="G1778" s="58" t="n">
        <f aca="false">G1777+G1572*1000*Pressupostos!$C$90*Pressupostos!$C$93/365</f>
        <v>891924.657534247</v>
      </c>
      <c r="H1778" s="2" t="s">
        <v>1322</v>
      </c>
    </row>
    <row r="1779" customFormat="false" ht="15" hidden="false" customHeight="false" outlineLevel="1" collapsed="false">
      <c r="A1779" s="7" t="s">
        <v>704</v>
      </c>
      <c r="B1779" s="8" t="s">
        <v>10</v>
      </c>
      <c r="C1779" s="58" t="n">
        <f aca="false">C1561*1000*(C1579*C1584/365)+C1562*1000*(C1602*C1607/365)+C1563*1000*(C1625*C1630/365)+C1650*Pressupostos!$C$94/365+C1652*Pressupostos!$C$80/365</f>
        <v>31746.7123287671</v>
      </c>
      <c r="D1779" s="58" t="n">
        <f aca="false">D1561*1000*(D1579*D1584/365)+D1562*1000*(D1602*D1607/365)+D1563*1000*(D1625*D1630/365)+D1650*Pressupostos!$C$94/365+D1652*Pressupostos!$C$80/365</f>
        <v>212483.852739726</v>
      </c>
      <c r="E1779" s="58" t="n">
        <f aca="false">E1561*1000*(E1579*E1584/365)+E1562*1000*(E1602*E1607/365)+E1563*1000*(E1625*E1630/365)+E1650*Pressupostos!$C$94/365+E1652*Pressupostos!$C$80/365</f>
        <v>467377.825342466</v>
      </c>
      <c r="F1779" s="58" t="n">
        <f aca="false">F1561*1000*(F1579*F1584/365)+F1562*1000*(F1602*F1607/365)+F1563*1000*(F1625*F1630/365)+F1650*Pressupostos!$C$94/365+F1652*Pressupostos!$C$80/365</f>
        <v>800351.76369863</v>
      </c>
      <c r="G1779" s="58" t="n">
        <f aca="false">G1561*1000*(G1579*G1584/365)+G1562*1000*(G1602*G1607/365)+G1563*1000*(G1625*G1630/365)+G1650*Pressupostos!$C$94/365+G1652*Pressupostos!$C$80/365</f>
        <v>1219662.7739726</v>
      </c>
      <c r="H1779" s="2" t="s">
        <v>1323</v>
      </c>
    </row>
    <row r="1780" customFormat="false" ht="15" hidden="false" customHeight="false" outlineLevel="1" collapsed="false">
      <c r="A1780" s="7" t="s">
        <v>705</v>
      </c>
      <c r="B1780" s="8" t="s">
        <v>10</v>
      </c>
      <c r="C1780" s="58" t="n">
        <f aca="false">C1561*1000*((C1577+C1580)*Pressupostos!$C$70/365)+C1562*1000*((C1600+C1603)*Pressupostos!$C$70/365)+C1563*1000*((C1623+C1626)*Pressupostos!$C$70/365)+C1572*1000*Pressupostos!$C$90*Pressupostos!$C$95/365</f>
        <v>20038.3561643836</v>
      </c>
      <c r="D1780" s="58" t="n">
        <f aca="false">D1561*1000*((D1577+D1580)*Pressupostos!$C$70/365)+D1562*1000*((D1600+D1603)*Pressupostos!$C$70/365)+D1563*1000*((D1623+D1626)*Pressupostos!$C$70/365)+D1572*1000*Pressupostos!$C$90*Pressupostos!$C$95/365</f>
        <v>133454.794520548</v>
      </c>
      <c r="E1780" s="58" t="n">
        <f aca="false">E1561*1000*((E1577+E1580)*Pressupostos!$C$70/365)+E1562*1000*((E1600+E1603)*Pressupostos!$C$70/365)+E1563*1000*((E1623+E1626)*Pressupostos!$C$70/365)+E1572*1000*Pressupostos!$C$90*Pressupostos!$C$95/365</f>
        <v>301298.630136986</v>
      </c>
      <c r="F1780" s="58" t="n">
        <f aca="false">F1561*1000*((F1577+F1580)*Pressupostos!$C$70/365)+F1562*1000*((F1600+F1603)*Pressupostos!$C$70/365)+F1563*1000*((F1623+F1626)*Pressupostos!$C$70/365)+F1572*1000*Pressupostos!$C$90*Pressupostos!$C$95/365</f>
        <v>519386.301369863</v>
      </c>
      <c r="G1780" s="58" t="n">
        <f aca="false">G1561*1000*((G1577+G1580)*Pressupostos!$C$70/365)+G1562*1000*((G1600+G1603)*Pressupostos!$C$70/365)+G1563*1000*((G1623+G1626)*Pressupostos!$C$70/365)+G1572*1000*Pressupostos!$C$90*Pressupostos!$C$95/365</f>
        <v>793232.876712329</v>
      </c>
      <c r="H1780" s="2" t="s">
        <v>1324</v>
      </c>
    </row>
    <row r="1781" customFormat="false" ht="15" hidden="false" customHeight="false" outlineLevel="1" collapsed="false">
      <c r="A1781" s="52" t="s">
        <v>706</v>
      </c>
      <c r="B1781" s="53" t="s">
        <v>10</v>
      </c>
      <c r="C1781" s="59" t="n">
        <f aca="false">C1778+C1779-C1780</f>
        <v>45390.5479452055</v>
      </c>
      <c r="D1781" s="59" t="n">
        <f aca="false">D1778+D1779-D1780</f>
        <v>275586.592465753</v>
      </c>
      <c r="E1781" s="59" t="n">
        <f aca="false">E1778+E1779-E1780</f>
        <v>498690.839041096</v>
      </c>
      <c r="F1781" s="59" t="n">
        <f aca="false">F1778+F1779-F1780</f>
        <v>863148.339041096</v>
      </c>
      <c r="G1781" s="59" t="n">
        <f aca="false">G1778+G1779-G1780</f>
        <v>1318354.55479452</v>
      </c>
      <c r="H1781" s="2" t="s">
        <v>1325</v>
      </c>
    </row>
    <row r="1782" customFormat="false" ht="15" hidden="false" customHeight="false" outlineLevel="0" collapsed="false">
      <c r="A1782" s="3" t="s">
        <v>1326</v>
      </c>
      <c r="B1782" s="4"/>
      <c r="C1782" s="4"/>
      <c r="D1782" s="4"/>
      <c r="E1782" s="4"/>
      <c r="F1782" s="4"/>
      <c r="G1782" s="4"/>
      <c r="H1782" s="4"/>
    </row>
    <row r="1783" customFormat="false" ht="15" hidden="false" customHeight="false" outlineLevel="1" collapsed="false">
      <c r="A1783" s="52" t="s">
        <v>708</v>
      </c>
      <c r="B1783" s="53" t="s">
        <v>10</v>
      </c>
      <c r="C1783" s="59" t="n">
        <f aca="false">Pressupostos!$C$277*C1781/Pressupostos!$D$31</f>
        <v>0</v>
      </c>
      <c r="D1783" s="59" t="n">
        <f aca="false">Pressupostos!$D$277*D1781/Pressupostos!$D$31</f>
        <v>310034.916523973</v>
      </c>
      <c r="E1783" s="59" t="n">
        <f aca="false">Pressupostos!$E$277*E1781/Pressupostos!$D$31</f>
        <v>561027.193921233</v>
      </c>
      <c r="F1783" s="59" t="n">
        <f aca="false">Pressupostos!$F$277*F1781/Pressupostos!$D$31</f>
        <v>971041.881421233</v>
      </c>
      <c r="G1783" s="59" t="n">
        <f aca="false">Pressupostos!$G$277*G1781/Pressupostos!$D$31</f>
        <v>1483148.87414384</v>
      </c>
      <c r="H1783" s="2" t="s">
        <v>1327</v>
      </c>
    </row>
    <row r="1784" customFormat="false" ht="15" hidden="false" customHeight="false" outlineLevel="1" collapsed="false">
      <c r="A1784" s="7" t="s">
        <v>709</v>
      </c>
      <c r="B1784" s="8" t="s">
        <v>10</v>
      </c>
      <c r="C1784" s="58" t="n">
        <f aca="false">Pressupostos!$C$277*C1781</f>
        <v>0</v>
      </c>
      <c r="D1784" s="58" t="n">
        <f aca="false">Pressupostos!$D$277*D1781</f>
        <v>248027.933219178</v>
      </c>
      <c r="E1784" s="58" t="n">
        <f aca="false">Pressupostos!$E$277*E1781</f>
        <v>448821.755136986</v>
      </c>
      <c r="F1784" s="58" t="n">
        <f aca="false">Pressupostos!$F$277*F1781</f>
        <v>776833.505136986</v>
      </c>
      <c r="G1784" s="58" t="n">
        <f aca="false">Pressupostos!$G$277*G1781</f>
        <v>1186519.09931507</v>
      </c>
      <c r="H1784" s="2" t="s">
        <v>1328</v>
      </c>
    </row>
    <row r="1785" customFormat="false" ht="15" hidden="false" customHeight="false" outlineLevel="1" collapsed="false">
      <c r="A1785" s="7" t="s">
        <v>710</v>
      </c>
      <c r="B1785" s="8" t="s">
        <v>10</v>
      </c>
      <c r="C1785" s="58" t="n">
        <f aca="false">C1783-C1784</f>
        <v>0</v>
      </c>
      <c r="D1785" s="58" t="n">
        <f aca="false">D1783-D1784</f>
        <v>62006.9833047945</v>
      </c>
      <c r="E1785" s="58" t="n">
        <f aca="false">E1783-E1784</f>
        <v>112205.438784247</v>
      </c>
      <c r="F1785" s="58" t="n">
        <f aca="false">F1783-F1784</f>
        <v>194208.376284246</v>
      </c>
      <c r="G1785" s="58" t="n">
        <f aca="false">G1783-G1784</f>
        <v>296629.774828767</v>
      </c>
      <c r="H1785" s="2" t="s">
        <v>1329</v>
      </c>
    </row>
    <row r="1786" customFormat="false" ht="15" hidden="false" customHeight="false" outlineLevel="1" collapsed="false">
      <c r="A1786" s="7" t="s">
        <v>711</v>
      </c>
      <c r="B1786" s="8" t="s">
        <v>10</v>
      </c>
      <c r="C1786" s="58" t="n">
        <f aca="false">C1781-C1784</f>
        <v>45390.5479452055</v>
      </c>
      <c r="D1786" s="58" t="n">
        <f aca="false">D1781-D1784</f>
        <v>27558.6592465754</v>
      </c>
      <c r="E1786" s="58" t="n">
        <f aca="false">E1781-E1784</f>
        <v>49869.0839041096</v>
      </c>
      <c r="F1786" s="58" t="n">
        <f aca="false">F1781-F1784</f>
        <v>86314.8339041096</v>
      </c>
      <c r="G1786" s="58" t="n">
        <f aca="false">G1781-G1784</f>
        <v>131835.455479452</v>
      </c>
      <c r="H1786" s="2" t="s">
        <v>1330</v>
      </c>
    </row>
    <row r="1787" customFormat="false" ht="15" hidden="false" customHeight="false" outlineLevel="1" collapsed="false">
      <c r="A1787" s="7" t="s">
        <v>712</v>
      </c>
      <c r="B1787" s="8" t="s">
        <v>10</v>
      </c>
      <c r="C1787" s="58" t="n">
        <f aca="false">MAX(0,Pressupostos!$C$106-C1786)</f>
        <v>4609.45205479452</v>
      </c>
      <c r="D1787" s="58" t="n">
        <f aca="false">MAX(0,Pressupostos!$C$106-D1786)</f>
        <v>22441.3407534247</v>
      </c>
      <c r="E1787" s="58" t="n">
        <f aca="false">MAX(0,Pressupostos!$C$106-E1786)</f>
        <v>130.916095890396</v>
      </c>
      <c r="F1787" s="58" t="n">
        <f aca="false">MAX(0,Pressupostos!$C$106-F1786)</f>
        <v>0</v>
      </c>
      <c r="G1787" s="58" t="n">
        <f aca="false">MAX(0,Pressupostos!$C$106-G1786)</f>
        <v>0</v>
      </c>
      <c r="H1787" s="2" t="s">
        <v>1331</v>
      </c>
    </row>
    <row r="1788" customFormat="false" ht="15" hidden="false" customHeight="false" outlineLevel="1" collapsed="false">
      <c r="A1788" s="7" t="s">
        <v>713</v>
      </c>
      <c r="B1788" s="8" t="s">
        <v>10</v>
      </c>
      <c r="C1788" s="58" t="n">
        <f aca="false">Pressupostos!$C$107*C1783</f>
        <v>0</v>
      </c>
      <c r="D1788" s="58" t="n">
        <f aca="false">Pressupostos!$C$107*D1783</f>
        <v>15501.7458261986</v>
      </c>
      <c r="E1788" s="58" t="n">
        <f aca="false">Pressupostos!$C$107*E1783</f>
        <v>28051.3596960616</v>
      </c>
      <c r="F1788" s="58" t="n">
        <f aca="false">Pressupostos!$C$107*F1783</f>
        <v>48552.0940710616</v>
      </c>
      <c r="G1788" s="58" t="n">
        <f aca="false">Pressupostos!$C$107*G1783</f>
        <v>74157.4437071918</v>
      </c>
      <c r="H1788" s="2" t="s">
        <v>1332</v>
      </c>
    </row>
    <row r="1789" customFormat="false" ht="15" hidden="false" customHeight="false" outlineLevel="1" collapsed="false">
      <c r="A1789" s="2" t="s">
        <v>714</v>
      </c>
      <c r="B1789" s="8" t="s">
        <v>115</v>
      </c>
      <c r="C1789" s="58" t="n">
        <f aca="false">C1783/Pressupostos!$C$110</f>
        <v>0</v>
      </c>
      <c r="D1789" s="58" t="n">
        <f aca="false">D1783/Pressupostos!$C$110</f>
        <v>6.20069833047945</v>
      </c>
      <c r="E1789" s="58" t="n">
        <f aca="false">E1783/Pressupostos!$C$110</f>
        <v>11.2205438784247</v>
      </c>
      <c r="F1789" s="58" t="n">
        <f aca="false">F1783/Pressupostos!$C$110</f>
        <v>19.4208376284247</v>
      </c>
      <c r="G1789" s="58" t="n">
        <f aca="false">G1783/Pressupostos!$C$110</f>
        <v>29.6629774828767</v>
      </c>
      <c r="H1789" s="2" t="s">
        <v>1333</v>
      </c>
    </row>
    <row r="1790" customFormat="false" ht="15" hidden="false" customHeight="false" outlineLevel="0" collapsed="false">
      <c r="A1790" s="3" t="s">
        <v>1334</v>
      </c>
      <c r="B1790" s="4"/>
      <c r="C1790" s="4"/>
      <c r="D1790" s="4"/>
      <c r="E1790" s="4"/>
      <c r="F1790" s="4"/>
      <c r="G1790" s="4"/>
      <c r="H1790" s="4"/>
    </row>
    <row r="1791" customFormat="false" ht="15" hidden="false" customHeight="false" outlineLevel="1" collapsed="false">
      <c r="A1791" s="7" t="s">
        <v>681</v>
      </c>
      <c r="B1791" s="8" t="s">
        <v>10</v>
      </c>
      <c r="C1791" s="58" t="n">
        <f aca="false">C1757</f>
        <v>-712560.671832192</v>
      </c>
      <c r="D1791" s="58" t="n">
        <f aca="false">D1757</f>
        <v>-806587.465606654</v>
      </c>
      <c r="E1791" s="58" t="n">
        <f aca="false">E1757</f>
        <v>-988508.377943249</v>
      </c>
      <c r="F1791" s="58" t="n">
        <f aca="false">F1757</f>
        <v>-1131492.87276446</v>
      </c>
      <c r="G1791" s="58" t="n">
        <f aca="false">G1757</f>
        <v>-1277309.27159631</v>
      </c>
      <c r="H1791" s="2" t="s">
        <v>1335</v>
      </c>
    </row>
    <row r="1792" customFormat="false" ht="15" hidden="false" customHeight="false" outlineLevel="1" collapsed="false">
      <c r="A1792" s="7" t="s">
        <v>716</v>
      </c>
      <c r="B1792" s="8" t="s">
        <v>10</v>
      </c>
      <c r="C1792" s="58" t="n">
        <f aca="false">-C1772</f>
        <v>-0</v>
      </c>
      <c r="D1792" s="58" t="n">
        <f aca="false">-D1772</f>
        <v>-0</v>
      </c>
      <c r="E1792" s="58" t="n">
        <f aca="false">-E1772</f>
        <v>-0</v>
      </c>
      <c r="F1792" s="58" t="n">
        <f aca="false">-F1772</f>
        <v>-0</v>
      </c>
      <c r="G1792" s="58" t="n">
        <f aca="false">-G1772</f>
        <v>-0</v>
      </c>
      <c r="H1792" s="2" t="s">
        <v>1336</v>
      </c>
    </row>
    <row r="1793" customFormat="false" ht="15" hidden="false" customHeight="false" outlineLevel="1" collapsed="false">
      <c r="A1793" s="7" t="s">
        <v>717</v>
      </c>
      <c r="B1793" s="8" t="s">
        <v>10</v>
      </c>
      <c r="C1793" s="58" t="n">
        <f aca="false">-C1781</f>
        <v>-45390.5479452055</v>
      </c>
      <c r="D1793" s="58" t="n">
        <f aca="false">-(D1781-C1781)</f>
        <v>-230196.044520548</v>
      </c>
      <c r="E1793" s="58" t="n">
        <f aca="false">-(E1781-D1781)</f>
        <v>-223104.246575342</v>
      </c>
      <c r="F1793" s="58" t="n">
        <f aca="false">-(F1781-E1781)</f>
        <v>-364457.5</v>
      </c>
      <c r="G1793" s="58" t="n">
        <f aca="false">-(G1781-F1781)</f>
        <v>-455206.215753425</v>
      </c>
      <c r="H1793" s="2" t="s">
        <v>1337</v>
      </c>
    </row>
    <row r="1794" customFormat="false" ht="15" hidden="false" customHeight="false" outlineLevel="1" collapsed="false">
      <c r="A1794" s="7" t="s">
        <v>407</v>
      </c>
      <c r="B1794" s="8" t="s">
        <v>10</v>
      </c>
      <c r="C1794" s="58" t="n">
        <f aca="false">-C1742</f>
        <v>-92000</v>
      </c>
      <c r="D1794" s="58" t="n">
        <f aca="false">-D1742</f>
        <v>-44000</v>
      </c>
      <c r="E1794" s="58" t="n">
        <f aca="false">-E1742</f>
        <v>-48000</v>
      </c>
      <c r="F1794" s="58" t="n">
        <f aca="false">-F1742</f>
        <v>-38000</v>
      </c>
      <c r="G1794" s="58" t="n">
        <f aca="false">-G1742</f>
        <v>-38000</v>
      </c>
      <c r="H1794" s="2" t="s">
        <v>1338</v>
      </c>
    </row>
    <row r="1795" customFormat="false" ht="15" hidden="false" customHeight="false" outlineLevel="1" collapsed="false">
      <c r="A1795" s="7" t="s">
        <v>718</v>
      </c>
      <c r="B1795" s="8" t="s">
        <v>10</v>
      </c>
      <c r="C1795" s="58" t="n">
        <f aca="false">C1791+C1792+C1793+C1794</f>
        <v>-849951.219777397</v>
      </c>
      <c r="D1795" s="58" t="n">
        <f aca="false">D1791+D1792+D1793+D1794</f>
        <v>-1080783.5101272</v>
      </c>
      <c r="E1795" s="58" t="n">
        <f aca="false">E1791+E1792+E1793+E1794</f>
        <v>-1259612.62451859</v>
      </c>
      <c r="F1795" s="58" t="n">
        <f aca="false">F1791+F1792+F1793+F1794</f>
        <v>-1533950.37276446</v>
      </c>
      <c r="G1795" s="58" t="n">
        <f aca="false">G1791+G1792+G1793+G1794</f>
        <v>-1770515.48734973</v>
      </c>
      <c r="H1795" s="2" t="s">
        <v>1339</v>
      </c>
    </row>
    <row r="1796" customFormat="false" ht="15" hidden="false" customHeight="false" outlineLevel="1" collapsed="false">
      <c r="A1796" s="7" t="s">
        <v>719</v>
      </c>
      <c r="B1796" s="8" t="s">
        <v>10</v>
      </c>
      <c r="C1796" s="58" t="n">
        <f aca="false">C1783</f>
        <v>0</v>
      </c>
      <c r="D1796" s="58" t="n">
        <f aca="false">D1783-C1783</f>
        <v>310034.916523973</v>
      </c>
      <c r="E1796" s="58" t="n">
        <f aca="false">E1783-D1783</f>
        <v>250992.27739726</v>
      </c>
      <c r="F1796" s="58" t="n">
        <f aca="false">F1783-E1783</f>
        <v>410014.6875</v>
      </c>
      <c r="G1796" s="58" t="n">
        <f aca="false">G1783-F1783</f>
        <v>512106.992722603</v>
      </c>
      <c r="H1796" s="2" t="s">
        <v>1340</v>
      </c>
    </row>
    <row r="1797" customFormat="false" ht="15" hidden="false" customHeight="false" outlineLevel="1" collapsed="false">
      <c r="A1797" s="7" t="s">
        <v>720</v>
      </c>
      <c r="B1797" s="8" t="s">
        <v>10</v>
      </c>
      <c r="C1797" s="58" t="n">
        <f aca="false">-C1785</f>
        <v>-0</v>
      </c>
      <c r="D1797" s="58" t="n">
        <f aca="false">-(D1785-C1785)</f>
        <v>-62006.9833047945</v>
      </c>
      <c r="E1797" s="58" t="n">
        <f aca="false">-(E1785-D1785)</f>
        <v>-50198.4554794521</v>
      </c>
      <c r="F1797" s="58" t="n">
        <f aca="false">-(F1785-E1785)</f>
        <v>-82002.9374999999</v>
      </c>
      <c r="G1797" s="58" t="n">
        <f aca="false">-(G1785-F1785)</f>
        <v>-102421.398544521</v>
      </c>
      <c r="H1797" s="2" t="s">
        <v>1341</v>
      </c>
    </row>
    <row r="1798" customFormat="false" ht="15" hidden="false" customHeight="false" outlineLevel="1" collapsed="false">
      <c r="A1798" s="7" t="s">
        <v>721</v>
      </c>
      <c r="B1798" s="8" t="s">
        <v>10</v>
      </c>
      <c r="C1798" s="58" t="n">
        <f aca="false">-C1788</f>
        <v>-0</v>
      </c>
      <c r="D1798" s="58" t="n">
        <f aca="false">-(D1788-C1788)</f>
        <v>-15501.7458261986</v>
      </c>
      <c r="E1798" s="58" t="n">
        <f aca="false">-(E1788-D1788)</f>
        <v>-12549.613869863</v>
      </c>
      <c r="F1798" s="58" t="n">
        <f aca="false">-(F1788-E1788)</f>
        <v>-20500.734375</v>
      </c>
      <c r="G1798" s="58" t="n">
        <f aca="false">-(G1788-F1788)</f>
        <v>-25605.3496361302</v>
      </c>
      <c r="H1798" s="2" t="s">
        <v>1342</v>
      </c>
    </row>
    <row r="1799" customFormat="false" ht="15" hidden="false" customHeight="false" outlineLevel="1" collapsed="false">
      <c r="A1799" s="7" t="s">
        <v>722</v>
      </c>
      <c r="B1799" s="8" t="s">
        <v>10</v>
      </c>
      <c r="C1799" s="58" t="n">
        <f aca="false">-(C1787-Pressupostos!$C$106)</f>
        <v>45390.5479452055</v>
      </c>
      <c r="D1799" s="58" t="n">
        <f aca="false">-(D1787-C1787)</f>
        <v>-17831.8886986301</v>
      </c>
      <c r="E1799" s="58" t="n">
        <f aca="false">-(E1787-D1787)</f>
        <v>22310.4246575343</v>
      </c>
      <c r="F1799" s="58" t="n">
        <f aca="false">-(F1787-E1787)</f>
        <v>130.916095890396</v>
      </c>
      <c r="G1799" s="58" t="n">
        <f aca="false">-(G1787-F1787)</f>
        <v>-0</v>
      </c>
      <c r="H1799" s="2" t="s">
        <v>1343</v>
      </c>
    </row>
    <row r="1800" customFormat="false" ht="15" hidden="false" customHeight="false" outlineLevel="1" collapsed="false">
      <c r="A1800" s="52" t="s">
        <v>723</v>
      </c>
      <c r="B1800" s="53" t="s">
        <v>10</v>
      </c>
      <c r="C1800" s="59" t="n">
        <f aca="false">C1795+C1796+C1797+C1798+C1799</f>
        <v>-804560.671832192</v>
      </c>
      <c r="D1800" s="59" t="n">
        <f aca="false">D1795+D1796+D1797+D1798+D1799</f>
        <v>-866089.211432852</v>
      </c>
      <c r="E1800" s="59" t="n">
        <f aca="false">E1795+E1796+E1797+E1798+E1799</f>
        <v>-1049057.99181311</v>
      </c>
      <c r="F1800" s="59" t="n">
        <f aca="false">F1795+F1796+F1797+F1798+F1799</f>
        <v>-1226308.44104357</v>
      </c>
      <c r="G1800" s="59" t="n">
        <f aca="false">G1795+G1796+G1797+G1798+G1799</f>
        <v>-1386435.24280778</v>
      </c>
      <c r="H1800" s="2" t="s">
        <v>1344</v>
      </c>
    </row>
    <row r="1801" customFormat="false" ht="15" hidden="false" customHeight="false" outlineLevel="1" collapsed="false">
      <c r="A1801" s="52" t="s">
        <v>724</v>
      </c>
      <c r="B1801" s="53" t="s">
        <v>10</v>
      </c>
      <c r="C1801" s="59" t="n">
        <f aca="false">C1800</f>
        <v>-804560.671832192</v>
      </c>
      <c r="D1801" s="59" t="n">
        <f aca="false">C1801+D1800</f>
        <v>-1670649.88326504</v>
      </c>
      <c r="E1801" s="59" t="n">
        <f aca="false">D1801+E1800</f>
        <v>-2719707.87507816</v>
      </c>
      <c r="F1801" s="59" t="n">
        <f aca="false">E1801+F1800</f>
        <v>-3946016.31612173</v>
      </c>
      <c r="G1801" s="59" t="n">
        <f aca="false">F1801+G1800</f>
        <v>-5332451.55892951</v>
      </c>
      <c r="H1801" s="2" t="s">
        <v>1345</v>
      </c>
    </row>
    <row r="1802" customFormat="false" ht="15" hidden="false" customHeight="false" outlineLevel="1" collapsed="false">
      <c r="A1802" s="8" t="s">
        <v>725</v>
      </c>
      <c r="B1802" s="8" t="s">
        <v>10</v>
      </c>
      <c r="C1802" s="66" t="n">
        <f aca="false">ROUND(C1757-C1742-C1772-(MAX(C1786,Pressupostos!$C$106)-Pressupostos!$C$106)-(C1788)-C1800,6)</f>
        <v>0</v>
      </c>
      <c r="D1802" s="66" t="n">
        <f aca="false">ROUND(D1757-D1742-D1772-(MAX(D1786,Pressupostos!$C$106)-MAX(C1786,Pressupostos!$C$106))-(D1788-C1788)-D1800,6)</f>
        <v>0</v>
      </c>
      <c r="E1802" s="66" t="n">
        <f aca="false">ROUND(E1757-E1742-E1772-(MAX(E1786,Pressupostos!$C$106)-MAX(D1786,Pressupostos!$C$106))-(E1788-D1788)-E1800,6)</f>
        <v>0</v>
      </c>
      <c r="F1802" s="66" t="n">
        <f aca="false">ROUND(F1757-F1742-F1772-(MAX(F1786,Pressupostos!$C$106)-MAX(E1786,Pressupostos!$C$106))-(F1788-E1788)-F1800,6)</f>
        <v>0</v>
      </c>
      <c r="G1802" s="66" t="n">
        <f aca="false">ROUND(G1757-G1742-G1772-(MAX(G1786,Pressupostos!$C$106)-MAX(F1786,Pressupostos!$C$106))-(G1788-F1788)-G1800,6)</f>
        <v>0</v>
      </c>
      <c r="H1802" s="2" t="s">
        <v>1346</v>
      </c>
    </row>
    <row r="1803" customFormat="false" ht="15" hidden="false" customHeight="false" outlineLevel="0" collapsed="false">
      <c r="A1803" s="3" t="s">
        <v>1347</v>
      </c>
      <c r="B1803" s="4"/>
      <c r="C1803" s="4"/>
      <c r="D1803" s="4"/>
      <c r="E1803" s="4"/>
      <c r="F1803" s="4"/>
      <c r="G1803" s="4"/>
      <c r="H1803" s="4"/>
    </row>
    <row r="1804" customFormat="false" ht="15" hidden="false" customHeight="false" outlineLevel="1" collapsed="false">
      <c r="A1804" s="7" t="s">
        <v>727</v>
      </c>
      <c r="B1804" s="8" t="s">
        <v>10</v>
      </c>
      <c r="C1804" s="58" t="n">
        <f aca="false">0</f>
        <v>0</v>
      </c>
      <c r="D1804" s="58" t="n">
        <f aca="false">C1809</f>
        <v>150439.328167808</v>
      </c>
      <c r="E1804" s="58" t="n">
        <f aca="false">D1809</f>
        <v>150000</v>
      </c>
      <c r="F1804" s="58" t="n">
        <f aca="false">E1809</f>
        <v>150000</v>
      </c>
      <c r="G1804" s="58" t="n">
        <f aca="false">F1809</f>
        <v>150000</v>
      </c>
      <c r="H1804" s="2" t="s">
        <v>1348</v>
      </c>
    </row>
    <row r="1805" customFormat="false" ht="15" hidden="false" customHeight="false" outlineLevel="1" collapsed="false">
      <c r="A1805" s="7" t="s">
        <v>728</v>
      </c>
      <c r="B1805" s="8" t="s">
        <v>10</v>
      </c>
      <c r="C1805" s="58" t="n">
        <f aca="false">-(Pressupostos!$C$157+Pressupostos!$C$158+Pressupostos!$C$159+Pressupostos!$C$160+Pressupostos!$C$161+Pressupostos!$C$106)</f>
        <v>-145000</v>
      </c>
      <c r="D1805" s="58" t="n">
        <f aca="false">0</f>
        <v>0</v>
      </c>
      <c r="E1805" s="58" t="n">
        <f aca="false">0</f>
        <v>0</v>
      </c>
      <c r="F1805" s="58" t="n">
        <f aca="false">0</f>
        <v>0</v>
      </c>
      <c r="G1805" s="58" t="n">
        <f aca="false">0</f>
        <v>0</v>
      </c>
      <c r="H1805" s="2" t="s">
        <v>1349</v>
      </c>
    </row>
    <row r="1806" customFormat="false" ht="15" hidden="false" customHeight="false" outlineLevel="1" collapsed="false">
      <c r="A1806" s="7" t="s">
        <v>729</v>
      </c>
      <c r="B1806" s="8" t="s">
        <v>10</v>
      </c>
      <c r="C1806" s="50" t="n">
        <f aca="false">Pressupostos!$D$32</f>
        <v>1100000</v>
      </c>
      <c r="D1806" s="58" t="n">
        <f aca="false">0</f>
        <v>0</v>
      </c>
      <c r="E1806" s="58" t="n">
        <f aca="false">0</f>
        <v>0</v>
      </c>
      <c r="F1806" s="58" t="n">
        <f aca="false">0</f>
        <v>0</v>
      </c>
      <c r="G1806" s="58" t="n">
        <f aca="false">0</f>
        <v>0</v>
      </c>
      <c r="H1806" s="2" t="s">
        <v>1350</v>
      </c>
    </row>
    <row r="1807" customFormat="false" ht="15" hidden="false" customHeight="false" outlineLevel="1" collapsed="false">
      <c r="A1807" s="7" t="s">
        <v>730</v>
      </c>
      <c r="B1807" s="8" t="s">
        <v>10</v>
      </c>
      <c r="C1807" s="58" t="n">
        <f aca="false">C1804+C1805+C1806+C1800</f>
        <v>150439.328167808</v>
      </c>
      <c r="D1807" s="58" t="n">
        <f aca="false">D1804+D1805+D1806+D1800</f>
        <v>-715649.883265044</v>
      </c>
      <c r="E1807" s="58" t="n">
        <f aca="false">E1804+E1805+E1806+E1800</f>
        <v>-899057.991813112</v>
      </c>
      <c r="F1807" s="58" t="n">
        <f aca="false">F1804+F1805+F1806+F1800</f>
        <v>-1076308.44104357</v>
      </c>
      <c r="G1807" s="58" t="n">
        <f aca="false">G1804+G1805+G1806+G1800</f>
        <v>-1236435.24280778</v>
      </c>
      <c r="H1807" s="2" t="s">
        <v>1351</v>
      </c>
    </row>
    <row r="1808" customFormat="false" ht="15" hidden="false" customHeight="false" outlineLevel="1" collapsed="false">
      <c r="A1808" s="52" t="s">
        <v>731</v>
      </c>
      <c r="B1808" s="53" t="s">
        <v>10</v>
      </c>
      <c r="C1808" s="59" t="n">
        <f aca="false">MAX(0,Pressupostos!$C$168-C1807)</f>
        <v>0</v>
      </c>
      <c r="D1808" s="59" t="n">
        <f aca="false">MAX(0,Pressupostos!$C$168-D1807)</f>
        <v>865649.883265044</v>
      </c>
      <c r="E1808" s="59" t="n">
        <f aca="false">MAX(0,Pressupostos!$C$168-E1807)</f>
        <v>1049057.99181311</v>
      </c>
      <c r="F1808" s="59" t="n">
        <f aca="false">MAX(0,Pressupostos!$C$168-F1807)</f>
        <v>1226308.44104357</v>
      </c>
      <c r="G1808" s="59" t="n">
        <f aca="false">MAX(0,Pressupostos!$C$168-G1807)</f>
        <v>1386435.24280778</v>
      </c>
      <c r="H1808" s="2" t="s">
        <v>1352</v>
      </c>
    </row>
    <row r="1809" customFormat="false" ht="15" hidden="false" customHeight="false" outlineLevel="1" collapsed="false">
      <c r="A1809" s="52" t="s">
        <v>732</v>
      </c>
      <c r="B1809" s="53" t="s">
        <v>10</v>
      </c>
      <c r="C1809" s="59" t="n">
        <f aca="false">C1807+C1808</f>
        <v>150439.328167808</v>
      </c>
      <c r="D1809" s="59" t="n">
        <f aca="false">D1807+D1808</f>
        <v>150000</v>
      </c>
      <c r="E1809" s="59" t="n">
        <f aca="false">E1807+E1808</f>
        <v>150000</v>
      </c>
      <c r="F1809" s="59" t="n">
        <f aca="false">F1807+F1808</f>
        <v>150000</v>
      </c>
      <c r="G1809" s="59" t="n">
        <f aca="false">G1807+G1808</f>
        <v>150000</v>
      </c>
      <c r="H1809" s="2" t="s">
        <v>1353</v>
      </c>
    </row>
    <row r="1810" customFormat="false" ht="15" hidden="false" customHeight="false" outlineLevel="1" collapsed="false">
      <c r="A1810" s="7" t="s">
        <v>733</v>
      </c>
      <c r="B1810" s="8" t="s">
        <v>10</v>
      </c>
      <c r="C1810" s="58" t="n">
        <f aca="false">C1785+C1788+C1787</f>
        <v>4609.45205479452</v>
      </c>
      <c r="D1810" s="58" t="n">
        <f aca="false">D1785+D1788+D1787</f>
        <v>99950.0698844178</v>
      </c>
      <c r="E1810" s="58" t="n">
        <f aca="false">E1785+E1788+E1787</f>
        <v>140387.714576199</v>
      </c>
      <c r="F1810" s="58" t="n">
        <f aca="false">F1785+F1788+F1787</f>
        <v>242760.470355308</v>
      </c>
      <c r="G1810" s="58" t="n">
        <f aca="false">G1785+G1788+G1787</f>
        <v>370787.218535959</v>
      </c>
      <c r="H1810" s="2" t="s">
        <v>1354</v>
      </c>
    </row>
    <row r="1811" customFormat="false" ht="15" hidden="false" customHeight="false" outlineLevel="1" collapsed="false">
      <c r="A1811" s="7" t="s">
        <v>734</v>
      </c>
      <c r="B1811" s="8" t="s">
        <v>10</v>
      </c>
      <c r="C1811" s="58" t="n">
        <f aca="false">C1809+C1810</f>
        <v>155048.780222603</v>
      </c>
      <c r="D1811" s="58" t="n">
        <f aca="false">D1809+D1810</f>
        <v>249950.069884418</v>
      </c>
      <c r="E1811" s="58" t="n">
        <f aca="false">E1809+E1810</f>
        <v>290387.714576199</v>
      </c>
      <c r="F1811" s="58" t="n">
        <f aca="false">F1809+F1810</f>
        <v>392760.470355308</v>
      </c>
      <c r="G1811" s="58" t="n">
        <f aca="false">G1809+G1810</f>
        <v>520787.218535959</v>
      </c>
      <c r="H1811" s="2" t="s">
        <v>1355</v>
      </c>
    </row>
    <row r="1812" customFormat="false" ht="15" hidden="false" customHeight="false" outlineLevel="1" collapsed="false">
      <c r="A1812" s="7" t="s">
        <v>735</v>
      </c>
      <c r="B1812" s="8" t="s">
        <v>10</v>
      </c>
      <c r="C1812" s="58" t="n">
        <f aca="false">C1806+C1808</f>
        <v>1100000</v>
      </c>
      <c r="D1812" s="58" t="n">
        <f aca="false">C1812+D1806+D1808</f>
        <v>1965649.88326504</v>
      </c>
      <c r="E1812" s="58" t="n">
        <f aca="false">D1812+E1806+E1808</f>
        <v>3014707.87507816</v>
      </c>
      <c r="F1812" s="58" t="n">
        <f aca="false">E1812+F1806+F1808</f>
        <v>4241016.31612173</v>
      </c>
      <c r="G1812" s="58" t="n">
        <f aca="false">F1812+G1806+G1808</f>
        <v>5627451.55892951</v>
      </c>
      <c r="H1812" s="2" t="s">
        <v>1356</v>
      </c>
    </row>
    <row r="1813" customFormat="false" ht="15" hidden="false" customHeight="false" outlineLevel="0" collapsed="false">
      <c r="A1813" s="3" t="s">
        <v>1357</v>
      </c>
      <c r="B1813" s="4"/>
      <c r="C1813" s="4"/>
      <c r="D1813" s="4"/>
      <c r="E1813" s="4"/>
      <c r="F1813" s="4"/>
      <c r="G1813" s="4"/>
      <c r="H1813" s="4"/>
    </row>
    <row r="1814" customFormat="false" ht="15" hidden="false" customHeight="false" outlineLevel="1" collapsed="false">
      <c r="A1814" s="7" t="s">
        <v>739</v>
      </c>
      <c r="B1814" s="8" t="s">
        <v>10</v>
      </c>
      <c r="C1814" s="68" t="n">
        <f aca="false">Pressupostos!$C$157+Pressupostos!$C$158+Pressupostos!$C$159+Pressupostos!$C$160+Pressupostos!$C$161</f>
        <v>95000</v>
      </c>
      <c r="H1814" s="2" t="s">
        <v>1358</v>
      </c>
    </row>
    <row r="1815" customFormat="false" ht="15" hidden="false" customHeight="false" outlineLevel="1" collapsed="false">
      <c r="A1815" s="7" t="s">
        <v>740</v>
      </c>
      <c r="B1815" s="8" t="s">
        <v>10</v>
      </c>
      <c r="C1815" s="69" t="n">
        <f aca="false">Pressupostos!$C$106</f>
        <v>50000</v>
      </c>
      <c r="H1815" s="2" t="s">
        <v>1359</v>
      </c>
    </row>
    <row r="1816" customFormat="false" ht="15" hidden="false" customHeight="false" outlineLevel="1" collapsed="false">
      <c r="A1816" s="7" t="s">
        <v>312</v>
      </c>
      <c r="B1816" s="8" t="s">
        <v>10</v>
      </c>
      <c r="C1816" s="69" t="n">
        <f aca="false">Pressupostos!$C$168</f>
        <v>150000</v>
      </c>
      <c r="H1816" s="2" t="s">
        <v>1360</v>
      </c>
    </row>
    <row r="1817" customFormat="false" ht="15" hidden="false" customHeight="false" outlineLevel="1" collapsed="false">
      <c r="A1817" s="7" t="s">
        <v>741</v>
      </c>
      <c r="B1817" s="8" t="s">
        <v>10</v>
      </c>
      <c r="C1817" s="68" t="n">
        <f aca="false">MAX(0,-MIN($C$1801:$G$1801))</f>
        <v>5332451.55892951</v>
      </c>
      <c r="H1817" s="2" t="s">
        <v>1361</v>
      </c>
    </row>
    <row r="1818" customFormat="false" ht="15" hidden="false" customHeight="false" outlineLevel="1" collapsed="false">
      <c r="A1818" s="52" t="s">
        <v>14</v>
      </c>
      <c r="B1818" s="53" t="s">
        <v>10</v>
      </c>
      <c r="C1818" s="70" t="n">
        <f aca="false">C1814+C1815+C1816+C1817</f>
        <v>5627451.55892951</v>
      </c>
      <c r="H1818" s="2" t="s">
        <v>1362</v>
      </c>
    </row>
    <row r="1819" customFormat="false" ht="15" hidden="false" customHeight="false" outlineLevel="1" collapsed="false">
      <c r="A1819" s="7" t="s">
        <v>742</v>
      </c>
      <c r="B1819" s="8" t="s">
        <v>18</v>
      </c>
      <c r="C1819" s="71" t="n">
        <f aca="false">INDEX($C$1558:$G$1558,1,MATCH(MIN($C$1801:$G$1801),$C$1801:$G$1801,0))</f>
        <v>2031</v>
      </c>
      <c r="H1819" s="2" t="s">
        <v>1363</v>
      </c>
    </row>
    <row r="1820" customFormat="false" ht="15" hidden="false" customHeight="false" outlineLevel="1" collapsed="false">
      <c r="A1820" s="7" t="s">
        <v>743</v>
      </c>
      <c r="B1820" s="8"/>
      <c r="C1820" s="72" t="str">
        <f aca="false">IF(G1800&lt;0,"sim","não")</f>
        <v>sim</v>
      </c>
      <c r="H1820" s="2" t="s">
        <v>1364</v>
      </c>
    </row>
    <row r="1821" customFormat="false" ht="15" hidden="false" customHeight="false" outlineLevel="1" collapsed="false">
      <c r="A1821" s="7" t="s">
        <v>744</v>
      </c>
      <c r="B1821" s="8" t="s">
        <v>10</v>
      </c>
      <c r="C1821" s="68" t="n">
        <f aca="false">G1812</f>
        <v>5627451.55892951</v>
      </c>
      <c r="H1821" s="2" t="s">
        <v>1365</v>
      </c>
    </row>
    <row r="1822" customFormat="false" ht="15" hidden="false" customHeight="false" outlineLevel="0" collapsed="false">
      <c r="A1822" s="3" t="s">
        <v>1366</v>
      </c>
      <c r="B1822" s="4"/>
      <c r="C1822" s="4"/>
      <c r="D1822" s="4"/>
      <c r="E1822" s="4"/>
      <c r="F1822" s="4"/>
      <c r="G1822" s="4"/>
      <c r="H1822" s="4"/>
    </row>
    <row r="1823" customFormat="false" ht="15" hidden="false" customHeight="false" outlineLevel="1" collapsed="false">
      <c r="A1823" s="7" t="s">
        <v>746</v>
      </c>
      <c r="B1823" s="8" t="s">
        <v>10</v>
      </c>
      <c r="C1823" s="68" t="n">
        <f aca="false">C1814+C1815</f>
        <v>145000</v>
      </c>
      <c r="H1823" s="2" t="s">
        <v>1367</v>
      </c>
    </row>
    <row r="1824" customFormat="false" ht="15" hidden="false" customHeight="false" outlineLevel="1" collapsed="false">
      <c r="A1824" s="7" t="s">
        <v>747</v>
      </c>
      <c r="B1824" s="8" t="s">
        <v>10</v>
      </c>
      <c r="C1824" s="68" t="n">
        <f aca="false">-SUMPRODUCT(($C$1558:$G$1558&lt;=C1819)*$C$1757:$G$1757)</f>
        <v>4916458.65974286</v>
      </c>
      <c r="H1824" s="2" t="s">
        <v>1368</v>
      </c>
    </row>
    <row r="1825" customFormat="false" ht="15" hidden="false" customHeight="false" outlineLevel="1" collapsed="false">
      <c r="A1825" s="7" t="s">
        <v>407</v>
      </c>
      <c r="B1825" s="8" t="s">
        <v>10</v>
      </c>
      <c r="C1825" s="68" t="n">
        <f aca="false">SUMPRODUCT(($C$1558:$G$1558&lt;=C1819)*$C$1742:$G$1742)</f>
        <v>260000</v>
      </c>
      <c r="H1825" s="2" t="s">
        <v>1369</v>
      </c>
    </row>
    <row r="1826" customFormat="false" ht="15" hidden="false" customHeight="false" outlineLevel="1" collapsed="false">
      <c r="A1826" s="7" t="s">
        <v>748</v>
      </c>
      <c r="B1826" s="8" t="s">
        <v>10</v>
      </c>
      <c r="C1826" s="68" t="n">
        <f aca="false">SUMPRODUCT(($C$1558:$G$1558&lt;=C1819)*$C$1772:$G$1772)</f>
        <v>0</v>
      </c>
      <c r="H1826" s="2" t="s">
        <v>1370</v>
      </c>
    </row>
    <row r="1827" customFormat="false" ht="15" hidden="false" customHeight="false" outlineLevel="1" collapsed="false">
      <c r="A1827" s="7" t="s">
        <v>749</v>
      </c>
      <c r="B1827" s="8" t="s">
        <v>10</v>
      </c>
      <c r="C1827" s="68" t="n">
        <f aca="false">C1817-C1824-C1825-C1826</f>
        <v>155992.899186644</v>
      </c>
      <c r="H1827" s="2" t="s">
        <v>1371</v>
      </c>
    </row>
    <row r="1828" customFormat="false" ht="15" hidden="false" customHeight="false" outlineLevel="1" collapsed="false">
      <c r="A1828" s="7" t="s">
        <v>312</v>
      </c>
      <c r="B1828" s="8" t="s">
        <v>10</v>
      </c>
      <c r="C1828" s="68" t="n">
        <f aca="false">C1816</f>
        <v>150000</v>
      </c>
      <c r="H1828" s="2" t="s">
        <v>1372</v>
      </c>
    </row>
    <row r="1829" customFormat="false" ht="15" hidden="false" customHeight="false" outlineLevel="1" collapsed="false">
      <c r="A1829" s="52" t="s">
        <v>750</v>
      </c>
      <c r="B1829" s="53" t="s">
        <v>10</v>
      </c>
      <c r="C1829" s="70" t="n">
        <f aca="false">C1823+C1824+C1825+C1826+C1827+C1828</f>
        <v>5627451.55892951</v>
      </c>
      <c r="H1829" s="2" t="s">
        <v>1373</v>
      </c>
    </row>
    <row r="1830" customFormat="false" ht="15" hidden="false" customHeight="false" outlineLevel="0" collapsed="false">
      <c r="A1830" s="3" t="s">
        <v>1374</v>
      </c>
      <c r="B1830" s="4"/>
      <c r="C1830" s="4"/>
      <c r="D1830" s="4"/>
      <c r="E1830" s="4"/>
      <c r="F1830" s="4"/>
      <c r="G1830" s="4"/>
      <c r="H1830" s="4"/>
    </row>
    <row r="1831" customFormat="false" ht="15" hidden="false" customHeight="false" outlineLevel="1" collapsed="false">
      <c r="A1831" s="7" t="s">
        <v>729</v>
      </c>
      <c r="B1831" s="8" t="s">
        <v>10</v>
      </c>
      <c r="C1831" s="69" t="n">
        <f aca="false">Pressupostos!$D$32</f>
        <v>1100000</v>
      </c>
      <c r="H1831" s="2" t="s">
        <v>1375</v>
      </c>
    </row>
    <row r="1832" customFormat="false" ht="15" hidden="false" customHeight="false" outlineLevel="1" collapsed="false">
      <c r="A1832" s="7" t="s">
        <v>752</v>
      </c>
      <c r="B1832" s="8" t="s">
        <v>10</v>
      </c>
      <c r="C1832" s="68" t="n">
        <f aca="false">C1814+Pressupostos!$C$106+Pressupostos!$C$128/12*((C1718-C1706-C1707+(C1706+C1707)/Pressupostos!$C$126*Pressupostos!$C$127)*(1+Pressupostos!$C$122+Pressupostos!$C$123)+C1704*Pressupostos!$C$124+C1737)+C1742+MAX(0,Pressupostos!$C$181*1000*(C1577+C1580)+Pressupostos!$C$182*1000*(C1600+C1603)-Pressupostos!$C$106)</f>
        <v>734421.666666667</v>
      </c>
      <c r="H1832" s="2" t="s">
        <v>1376</v>
      </c>
    </row>
    <row r="1833" customFormat="false" ht="15" hidden="false" customHeight="false" outlineLevel="1" collapsed="false">
      <c r="A1833" s="7" t="s">
        <v>754</v>
      </c>
      <c r="B1833" s="8" t="s">
        <v>10</v>
      </c>
      <c r="C1833" s="68" t="n">
        <f aca="false">C1814+Pressupostos!$C$106-C1800</f>
        <v>949560.671832192</v>
      </c>
      <c r="H1833" s="2" t="s">
        <v>1377</v>
      </c>
    </row>
    <row r="1834" customFormat="false" ht="15" hidden="false" customHeight="false" outlineLevel="1" collapsed="false">
      <c r="A1834" s="7" t="s">
        <v>755</v>
      </c>
      <c r="B1834" s="8" t="s">
        <v>10</v>
      </c>
      <c r="C1834" s="58" t="n">
        <f aca="false">Pressupostos!$D$32-C1814-Pressupostos!$C$106+C1801</f>
        <v>150439.328167808</v>
      </c>
      <c r="D1834" s="58" t="n">
        <f aca="false">Pressupostos!$D$32-C1814-Pressupostos!$C$106+D1801</f>
        <v>-715649.883265044</v>
      </c>
      <c r="E1834" s="58" t="n">
        <f aca="false">Pressupostos!$D$32-C1814-Pressupostos!$C$106+E1801</f>
        <v>-1764707.87507816</v>
      </c>
      <c r="F1834" s="58" t="n">
        <f aca="false">Pressupostos!$D$32-C1814-Pressupostos!$C$106+F1801</f>
        <v>-2991016.31612173</v>
      </c>
      <c r="G1834" s="58" t="n">
        <f aca="false">Pressupostos!$D$32-C1814-Pressupostos!$C$106+G1801</f>
        <v>-4377451.55892951</v>
      </c>
      <c r="H1834" s="2" t="s">
        <v>1378</v>
      </c>
    </row>
    <row r="1835" customFormat="false" ht="15" hidden="false" customHeight="false" outlineLevel="1" collapsed="false">
      <c r="A1835" s="7" t="s">
        <v>756</v>
      </c>
      <c r="B1835" s="8" t="s">
        <v>16</v>
      </c>
      <c r="C1835" s="73" t="str">
        <f aca="false">IF(AND(Pressupostos!$D$32-C1814-Pressupostos!$C$106&gt;0,C1834&lt;=0),12*(Pressupostos!$D$32-C1814-Pressupostos!$C$106)/(Pressupostos!$D$32-C1814-Pressupostos!$C$106-C1834),"")</f>
        <v/>
      </c>
      <c r="D1835" s="73" t="n">
        <f aca="false">IF(AND(C1834&gt;0,D1834&lt;=0),12+12*C1834/(C1834-D1834),"")</f>
        <v>14.0843949031845</v>
      </c>
      <c r="E1835" s="73" t="str">
        <f aca="false">IF(AND(D1834&gt;0,E1834&lt;=0),24+12*D1834/(D1834-E1834),"")</f>
        <v/>
      </c>
      <c r="F1835" s="73" t="str">
        <f aca="false">IF(AND(E1834&gt;0,F1834&lt;=0),36+12*E1834/(E1834-F1834),"")</f>
        <v/>
      </c>
      <c r="G1835" s="73" t="str">
        <f aca="false">IF(AND(F1834&gt;0,G1834&lt;=0),48+12*F1834/(F1834-G1834),"")</f>
        <v/>
      </c>
      <c r="H1835" s="2" t="s">
        <v>1379</v>
      </c>
    </row>
    <row r="1836" customFormat="false" ht="15" hidden="false" customHeight="false" outlineLevel="1" collapsed="false">
      <c r="A1836" s="52" t="s">
        <v>757</v>
      </c>
      <c r="B1836" s="53" t="s">
        <v>264</v>
      </c>
      <c r="C1836" s="74" t="n">
        <f aca="false">IF(COUNT($C$1835:$G$1835)=0,"&gt; 60",MIN($C$1835:$G$1835))</f>
        <v>14.0843949031845</v>
      </c>
      <c r="H1836" s="2" t="s">
        <v>1380</v>
      </c>
    </row>
    <row r="1837" customFormat="false" ht="15" hidden="false" customHeight="false" outlineLevel="0" collapsed="false">
      <c r="A1837" s="3" t="s">
        <v>1381</v>
      </c>
      <c r="B1837" s="4"/>
      <c r="C1837" s="4"/>
      <c r="D1837" s="4"/>
      <c r="E1837" s="4"/>
      <c r="F1837" s="4"/>
      <c r="G1837" s="4"/>
      <c r="H1837" s="4"/>
    </row>
    <row r="1838" customFormat="false" ht="15" hidden="false" customHeight="false" outlineLevel="1" collapsed="false">
      <c r="A1838" s="7" t="s">
        <v>759</v>
      </c>
      <c r="B1838" s="8" t="s">
        <v>16</v>
      </c>
      <c r="C1838" s="73" t="str">
        <f aca="false">IF(C1757&gt;=0,1,"")</f>
        <v/>
      </c>
      <c r="D1838" s="73" t="str">
        <f aca="false">IF(AND(C1757&lt;0,D1757&gt;=0),6.5+12*(-C1757)/(D1757-C1757),"")</f>
        <v/>
      </c>
      <c r="E1838" s="73" t="str">
        <f aca="false">IF(AND(D1757&lt;0,E1757&gt;=0),18.5+12*(-D1757)/(E1757-D1757),"")</f>
        <v/>
      </c>
      <c r="F1838" s="73" t="str">
        <f aca="false">IF(AND(E1757&lt;0,F1757&gt;=0),30.5+12*(-E1757)/(F1757-E1757),"")</f>
        <v/>
      </c>
      <c r="G1838" s="73" t="str">
        <f aca="false">IF(AND(F1757&lt;0,G1757&gt;=0),42.5+12*(-F1757)/(G1757-F1757),"")</f>
        <v/>
      </c>
      <c r="H1838" s="2" t="s">
        <v>1382</v>
      </c>
    </row>
    <row r="1839" customFormat="false" ht="15" hidden="false" customHeight="false" outlineLevel="1" collapsed="false">
      <c r="A1839" s="7" t="s">
        <v>760</v>
      </c>
      <c r="B1839" s="8" t="s">
        <v>16</v>
      </c>
      <c r="C1839" s="75" t="str">
        <f aca="false">IF(COUNT($C$1838:$G$1838)=0,"não atinge até 2031",ROUNDUP(MIN($C$1838:$G$1838),0))</f>
        <v>não atinge até 2031</v>
      </c>
      <c r="H1839" s="2" t="s">
        <v>1383</v>
      </c>
    </row>
    <row r="1840" customFormat="false" ht="15" hidden="false" customHeight="false" outlineLevel="1" collapsed="false">
      <c r="A1840" s="52" t="s">
        <v>761</v>
      </c>
      <c r="B1840" s="53" t="s">
        <v>762</v>
      </c>
      <c r="C1840" s="76" t="str">
        <f aca="false">IF(ISNUMBER(C1839),DATE(2027,C1839,1),"não atinge até 2031")</f>
        <v>não atinge até 2031</v>
      </c>
      <c r="H1840" s="2" t="s">
        <v>1384</v>
      </c>
    </row>
    <row r="1841" customFormat="false" ht="15" hidden="false" customHeight="false" outlineLevel="1" collapsed="false">
      <c r="A1841" s="7" t="s">
        <v>763</v>
      </c>
      <c r="B1841" s="8" t="s">
        <v>18</v>
      </c>
      <c r="C1841" s="77" t="str">
        <f aca="false">IF(C1757&gt;=0,C1558,"")</f>
        <v/>
      </c>
      <c r="D1841" s="77" t="str">
        <f aca="false">IF(D1757&gt;=0,D1558,"")</f>
        <v/>
      </c>
      <c r="E1841" s="77" t="str">
        <f aca="false">IF(E1757&gt;=0,E1558,"")</f>
        <v/>
      </c>
      <c r="F1841" s="77" t="str">
        <f aca="false">IF(F1757&gt;=0,F1558,"")</f>
        <v/>
      </c>
      <c r="G1841" s="77" t="str">
        <f aca="false">IF(G1757&gt;=0,G1558,"")</f>
        <v/>
      </c>
      <c r="H1841" s="2" t="s">
        <v>1385</v>
      </c>
    </row>
    <row r="1842" customFormat="false" ht="15" hidden="false" customHeight="false" outlineLevel="1" collapsed="false">
      <c r="A1842" s="7" t="s">
        <v>764</v>
      </c>
      <c r="B1842" s="8" t="s">
        <v>18</v>
      </c>
      <c r="C1842" s="71" t="str">
        <f aca="false">IF(COUNT($C$1841:$G$1841)=0,"não atinge até 2031",MIN($C$1841:$G$1841))</f>
        <v>não atinge até 2031</v>
      </c>
      <c r="H1842" s="2" t="s">
        <v>1386</v>
      </c>
    </row>
    <row r="1843" customFormat="false" ht="15" hidden="false" customHeight="false" outlineLevel="1" collapsed="false">
      <c r="A1843" s="7" t="s">
        <v>765</v>
      </c>
      <c r="B1843" s="8" t="s">
        <v>18</v>
      </c>
      <c r="C1843" s="77" t="str">
        <f aca="false">IF(C1775&gt;=0,C1558,"")</f>
        <v/>
      </c>
      <c r="D1843" s="77" t="str">
        <f aca="false">IF(D1775&gt;=0,D1558,"")</f>
        <v/>
      </c>
      <c r="E1843" s="77" t="str">
        <f aca="false">IF(E1775&gt;=0,E1558,"")</f>
        <v/>
      </c>
      <c r="F1843" s="77" t="str">
        <f aca="false">IF(F1775&gt;=0,F1558,"")</f>
        <v/>
      </c>
      <c r="G1843" s="77" t="str">
        <f aca="false">IF(G1775&gt;=0,G1558,"")</f>
        <v/>
      </c>
      <c r="H1843" s="2" t="s">
        <v>1387</v>
      </c>
    </row>
    <row r="1844" customFormat="false" ht="15" hidden="false" customHeight="false" outlineLevel="1" collapsed="false">
      <c r="A1844" s="7" t="s">
        <v>766</v>
      </c>
      <c r="B1844" s="8" t="s">
        <v>18</v>
      </c>
      <c r="C1844" s="71" t="str">
        <f aca="false">IF(COUNT($C$1843:$G$1843)=0,"não atinge até 2031",MIN($C$1843:$G$1843))</f>
        <v>não atinge até 2031</v>
      </c>
      <c r="H1844" s="2" t="s">
        <v>1388</v>
      </c>
    </row>
    <row r="1845" customFormat="false" ht="15" hidden="false" customHeight="false" outlineLevel="1" collapsed="false">
      <c r="A1845" s="7" t="s">
        <v>767</v>
      </c>
      <c r="B1845" s="8" t="s">
        <v>18</v>
      </c>
      <c r="C1845" s="77" t="str">
        <f aca="false">IF(C1800&gt;=0,C1558,"")</f>
        <v/>
      </c>
      <c r="D1845" s="77" t="str">
        <f aca="false">IF(D1800&gt;=0,D1558,"")</f>
        <v/>
      </c>
      <c r="E1845" s="77" t="str">
        <f aca="false">IF(E1800&gt;=0,E1558,"")</f>
        <v/>
      </c>
      <c r="F1845" s="77" t="str">
        <f aca="false">IF(F1800&gt;=0,F1558,"")</f>
        <v/>
      </c>
      <c r="G1845" s="77" t="str">
        <f aca="false">IF(G1800&gt;=0,G1558,"")</f>
        <v/>
      </c>
      <c r="H1845" s="2" t="s">
        <v>1389</v>
      </c>
    </row>
    <row r="1846" customFormat="false" ht="15" hidden="false" customHeight="false" outlineLevel="1" collapsed="false">
      <c r="A1846" s="7" t="s">
        <v>17</v>
      </c>
      <c r="B1846" s="8" t="s">
        <v>18</v>
      </c>
      <c r="C1846" s="71" t="str">
        <f aca="false">IF(COUNT($C$1845:$G$1845)=0,"não atinge até 2031",MIN($C$1845:$G$1845))</f>
        <v>não atinge até 2031</v>
      </c>
      <c r="H1846" s="2" t="s">
        <v>1390</v>
      </c>
    </row>
    <row r="1847" customFormat="false" ht="15" hidden="false" customHeight="false" outlineLevel="0" collapsed="false">
      <c r="A1847" s="3" t="s">
        <v>1391</v>
      </c>
      <c r="B1847" s="4"/>
      <c r="C1847" s="4"/>
      <c r="D1847" s="4"/>
      <c r="E1847" s="4"/>
      <c r="F1847" s="4"/>
      <c r="G1847" s="4"/>
      <c r="H1847" s="4"/>
    </row>
    <row r="1848" customFormat="false" ht="15" hidden="false" customHeight="false" outlineLevel="1" collapsed="false">
      <c r="A1848" s="7" t="s">
        <v>769</v>
      </c>
      <c r="B1848" s="8" t="s">
        <v>10</v>
      </c>
      <c r="C1848" s="58" t="n">
        <f aca="false">C1783</f>
        <v>0</v>
      </c>
      <c r="D1848" s="58" t="n">
        <f aca="false">D1783</f>
        <v>310034.916523973</v>
      </c>
      <c r="E1848" s="58" t="n">
        <f aca="false">E1783</f>
        <v>561027.193921233</v>
      </c>
      <c r="F1848" s="58" t="n">
        <f aca="false">F1783</f>
        <v>971041.881421233</v>
      </c>
      <c r="G1848" s="58" t="n">
        <f aca="false">G1783</f>
        <v>1483148.87414384</v>
      </c>
      <c r="H1848" s="2" t="s">
        <v>1392</v>
      </c>
    </row>
    <row r="1849" customFormat="false" ht="15" hidden="false" customHeight="false" outlineLevel="1" collapsed="false">
      <c r="A1849" s="7" t="s">
        <v>487</v>
      </c>
      <c r="B1849" s="8" t="s">
        <v>71</v>
      </c>
      <c r="C1849" s="78" t="n">
        <f aca="false">Pressupostos!$C$283</f>
        <v>0.08</v>
      </c>
      <c r="D1849" s="78" t="n">
        <f aca="false">Pressupostos!$D$283</f>
        <v>0.08</v>
      </c>
      <c r="E1849" s="78" t="n">
        <f aca="false">Pressupostos!$E$283</f>
        <v>0.075</v>
      </c>
      <c r="F1849" s="78" t="n">
        <f aca="false">Pressupostos!$F$283</f>
        <v>0.07</v>
      </c>
      <c r="G1849" s="78" t="n">
        <f aca="false">Pressupostos!$G$283</f>
        <v>0.07</v>
      </c>
      <c r="H1849" s="2" t="s">
        <v>1393</v>
      </c>
    </row>
    <row r="1850" customFormat="false" ht="15" hidden="false" customHeight="false" outlineLevel="1" collapsed="false">
      <c r="A1850" s="7" t="s">
        <v>770</v>
      </c>
      <c r="B1850" s="8" t="s">
        <v>71</v>
      </c>
      <c r="C1850" s="56" t="n">
        <f aca="false">Pressupostos!$C$283*(1-Pressupostos!$C$109)</f>
        <v>0.0576</v>
      </c>
      <c r="D1850" s="56" t="n">
        <f aca="false">Pressupostos!$D$283*(1-Pressupostos!$C$109)</f>
        <v>0.0576</v>
      </c>
      <c r="E1850" s="56" t="n">
        <f aca="false">Pressupostos!$E$283*(1-Pressupostos!$C$109)</f>
        <v>0.054</v>
      </c>
      <c r="F1850" s="56" t="n">
        <f aca="false">Pressupostos!$F$283*(1-Pressupostos!$C$109)</f>
        <v>0.0504</v>
      </c>
      <c r="G1850" s="56" t="n">
        <f aca="false">Pressupostos!$G$283*(1-Pressupostos!$C$109)</f>
        <v>0.0504</v>
      </c>
      <c r="H1850" s="2" t="s">
        <v>1394</v>
      </c>
    </row>
    <row r="1851" customFormat="false" ht="15" hidden="false" customHeight="false" outlineLevel="1" collapsed="false">
      <c r="A1851" s="7" t="s">
        <v>771</v>
      </c>
      <c r="B1851" s="8" t="s">
        <v>10</v>
      </c>
      <c r="C1851" s="58" t="n">
        <f aca="false">C1689</f>
        <v>0</v>
      </c>
      <c r="D1851" s="58" t="n">
        <f aca="false">D1689</f>
        <v>23317.0273972603</v>
      </c>
      <c r="E1851" s="58" t="n">
        <f aca="false">E1689</f>
        <v>38771.0637842466</v>
      </c>
      <c r="F1851" s="58" t="n">
        <f aca="false">F1689</f>
        <v>62547.834760274</v>
      </c>
      <c r="G1851" s="58" t="n">
        <f aca="false">G1689</f>
        <v>95536.1558219178</v>
      </c>
      <c r="H1851" s="2" t="s">
        <v>1395</v>
      </c>
    </row>
    <row r="1852" customFormat="false" ht="15" hidden="false" customHeight="false" outlineLevel="1" collapsed="false">
      <c r="A1852" s="7" t="s">
        <v>772</v>
      </c>
      <c r="B1852" s="8" t="s">
        <v>71</v>
      </c>
      <c r="C1852" s="55" t="n">
        <f aca="false">IF(C1783&gt;0,(C1786+C1788)/C1783,0)</f>
        <v>0</v>
      </c>
      <c r="D1852" s="55" t="n">
        <f aca="false">IF(D1783&gt;0,(D1786+D1788)/D1783,0)</f>
        <v>0.138888888888889</v>
      </c>
      <c r="E1852" s="55" t="n">
        <f aca="false">IF(E1783&gt;0,(E1786+E1788)/E1783,0)</f>
        <v>0.138888888888889</v>
      </c>
      <c r="F1852" s="55" t="n">
        <f aca="false">IF(F1783&gt;0,(F1786+F1788)/F1783,0)</f>
        <v>0.138888888888889</v>
      </c>
      <c r="G1852" s="55" t="n">
        <f aca="false">IF(G1783&gt;0,(G1786+G1788)/G1783,0)</f>
        <v>0.138888888888889</v>
      </c>
      <c r="H1852" s="2" t="s">
        <v>1396</v>
      </c>
    </row>
    <row r="1853" customFormat="false" ht="15" hidden="false" customHeight="false" outlineLevel="1" collapsed="false">
      <c r="A1853" s="7" t="s">
        <v>773</v>
      </c>
      <c r="B1853" s="8" t="s">
        <v>115</v>
      </c>
      <c r="C1853" s="58" t="n">
        <f aca="false">C1789</f>
        <v>0</v>
      </c>
      <c r="D1853" s="58" t="n">
        <f aca="false">D1789</f>
        <v>6.20069833047945</v>
      </c>
      <c r="E1853" s="58" t="n">
        <f aca="false">E1789</f>
        <v>11.2205438784247</v>
      </c>
      <c r="F1853" s="58" t="n">
        <f aca="false">F1789</f>
        <v>19.4208376284247</v>
      </c>
      <c r="G1853" s="58" t="n">
        <f aca="false">G1789</f>
        <v>29.6629774828767</v>
      </c>
      <c r="H1853" s="2" t="s">
        <v>1397</v>
      </c>
    </row>
    <row r="1854" customFormat="false" ht="15" hidden="false" customHeight="false" outlineLevel="0" collapsed="false">
      <c r="A1854" s="3" t="s">
        <v>1398</v>
      </c>
      <c r="B1854" s="4"/>
      <c r="C1854" s="4"/>
      <c r="D1854" s="4"/>
      <c r="E1854" s="4"/>
      <c r="F1854" s="4"/>
      <c r="G1854" s="4"/>
      <c r="H1854" s="4"/>
    </row>
    <row r="1855" customFormat="false" ht="15" hidden="false" customHeight="false" outlineLevel="1" collapsed="false">
      <c r="A1855" s="7" t="s">
        <v>775</v>
      </c>
      <c r="B1855" s="8" t="s">
        <v>10</v>
      </c>
      <c r="C1855" s="58" t="n">
        <f aca="false">MAX(0,-C1757)</f>
        <v>712560.671832192</v>
      </c>
      <c r="D1855" s="58" t="n">
        <f aca="false">MAX(0,-D1757)</f>
        <v>806587.465606654</v>
      </c>
      <c r="E1855" s="58" t="n">
        <f aca="false">MAX(0,-E1757)</f>
        <v>988508.377943249</v>
      </c>
      <c r="F1855" s="58" t="n">
        <f aca="false">MAX(0,-F1757)</f>
        <v>1131492.87276446</v>
      </c>
      <c r="G1855" s="58" t="n">
        <f aca="false">MAX(0,-G1757)</f>
        <v>1277309.27159631</v>
      </c>
      <c r="H1855" s="2" t="s">
        <v>1399</v>
      </c>
    </row>
    <row r="1856" customFormat="false" ht="15" hidden="false" customHeight="false" outlineLevel="1" collapsed="false">
      <c r="A1856" s="2" t="s">
        <v>776</v>
      </c>
      <c r="B1856" s="8"/>
      <c r="C1856" s="58" t="n">
        <f aca="false">IF(AND(C1558&gt;=Pressupostos!$C$118,Pressupostos!$C$116*(C1646+C1647)+Pressupostos!$C$117*C1648&gt;Pressupostos!$C$295),1,0)</f>
        <v>0</v>
      </c>
      <c r="D1856" s="58" t="n">
        <f aca="false">IF(AND(D1558&gt;=Pressupostos!$C$118,Pressupostos!$C$116*(D1646+D1647)+Pressupostos!$C$117*D1648&gt;Pressupostos!$D$295),1,0)</f>
        <v>1</v>
      </c>
      <c r="E1856" s="58" t="n">
        <f aca="false">IF(AND(E1558&gt;=Pressupostos!$C$118,Pressupostos!$C$116*(E1646+E1647)+Pressupostos!$C$117*E1648&gt;Pressupostos!$E$295),1,0)</f>
        <v>1</v>
      </c>
      <c r="F1856" s="58" t="n">
        <f aca="false">IF(AND(F1558&gt;=Pressupostos!$C$118,Pressupostos!$C$116*(F1646+F1647)+Pressupostos!$C$117*F1648&gt;Pressupostos!$F$295),1,0)</f>
        <v>1</v>
      </c>
      <c r="G1856" s="58" t="n">
        <f aca="false">IF(AND(G1558&gt;=Pressupostos!$C$118,Pressupostos!$C$116*(G1646+G1647)+Pressupostos!$C$117*G1648&gt;Pressupostos!$G$295),1,0)</f>
        <v>1</v>
      </c>
      <c r="H1856" s="2" t="s">
        <v>1400</v>
      </c>
    </row>
    <row r="1857" customFormat="false" ht="15" hidden="false" customHeight="false" outlineLevel="1" collapsed="false">
      <c r="A1857" s="7" t="s">
        <v>777</v>
      </c>
      <c r="B1857" s="8" t="s">
        <v>59</v>
      </c>
      <c r="C1857" s="60" t="n">
        <f aca="false">IF(C1562&gt;0,C1855/(C1562*1000*(1-Pressupostos!$D$22)*(1-Pressupostos!$D$25-C1856*Pressupostos!$C$116)),"n/a")</f>
        <v>13.7443228113608</v>
      </c>
      <c r="D1857" s="60" t="n">
        <f aca="false">IF(D1562&gt;0,D1855/(D1562*1000*(1-Pressupostos!$D$22)*(1-Pressupostos!$D$25-D1856*Pressupostos!$C$116)),"n/a")</f>
        <v>2.23766771146414</v>
      </c>
      <c r="E1857" s="60" t="n">
        <f aca="false">IF(E1562&gt;0,E1855/(E1562*1000*(1-Pressupostos!$D$22)*(1-Pressupostos!$D$25-E1856*Pressupostos!$C$116)),"n/a")</f>
        <v>1.38839151317697</v>
      </c>
      <c r="F1857" s="60" t="n">
        <f aca="false">IF(F1562&gt;0,F1855/(F1562*1000*(1-Pressupostos!$D$22)*(1-Pressupostos!$D$25-F1856*Pressupostos!$C$116)),"n/a")</f>
        <v>0.963203006646236</v>
      </c>
      <c r="G1857" s="60" t="n">
        <f aca="false">IF(G1562&gt;0,G1855/(G1562*1000*(1-Pressupostos!$D$22)*(1-Pressupostos!$D$25-G1856*Pressupostos!$C$116)),"n/a")</f>
        <v>0.718610874780619</v>
      </c>
      <c r="H1857" s="2" t="s">
        <v>1401</v>
      </c>
    </row>
    <row r="1858" customFormat="false" ht="15" hidden="false" customHeight="false" outlineLevel="1" collapsed="false">
      <c r="A1858" s="7" t="s">
        <v>778</v>
      </c>
      <c r="B1858" s="8" t="s">
        <v>59</v>
      </c>
      <c r="C1858" s="60" t="n">
        <f aca="false">IF(C1561&gt;0,Pressupostos!$D$15+C1855/(C1561*1000*(1-(Pressupostos!$C$190))*(1-Pressupostos!$D$18-C1856*Pressupostos!$C$116)),"n/a")</f>
        <v>108.058834698504</v>
      </c>
      <c r="D1858" s="60" t="n">
        <f aca="false">IF(D1561&gt;0,Pressupostos!$D$15+D1855/(D1561*1000*(1-(Pressupostos!$C$190))*(1-Pressupostos!$D$18-D1856*Pressupostos!$C$116)),"n/a")</f>
        <v>30.8155540924817</v>
      </c>
      <c r="E1858" s="60" t="n">
        <f aca="false">IF(E1561&gt;0,Pressupostos!$D$15+E1855/(E1561*1000*(1-(Pressupostos!$C$190))*(1-Pressupostos!$D$18-E1856*Pressupostos!$C$116)),"n/a")</f>
        <v>14.2299640047586</v>
      </c>
      <c r="F1858" s="60" t="n">
        <f aca="false">IF(F1561&gt;0,Pressupostos!$D$15+F1855/(F1561*1000*(1-(Pressupostos!$C$190))*(1-Pressupostos!$D$18-F1856*Pressupostos!$C$116)),"n/a")</f>
        <v>10.5421223914456</v>
      </c>
      <c r="G1858" s="60" t="n">
        <f aca="false">IF(G1561&gt;0,Pressupostos!$D$15+G1855/(G1561*1000*(1-(Pressupostos!$C$190))*(1-Pressupostos!$D$18-G1856*Pressupostos!$C$116)),"n/a")</f>
        <v>9.24640804306847</v>
      </c>
      <c r="H1858" s="2" t="s">
        <v>1402</v>
      </c>
    </row>
    <row r="1859" customFormat="false" ht="15" hidden="false" customHeight="false" outlineLevel="1" collapsed="false">
      <c r="A1859" s="7" t="s">
        <v>779</v>
      </c>
      <c r="B1859" s="8" t="s">
        <v>59</v>
      </c>
      <c r="C1859" s="60" t="n">
        <f aca="false">C1642-C1856*Pressupostos!$C$117*C1625</f>
        <v>0.058762328767124</v>
      </c>
      <c r="D1859" s="60" t="n">
        <f aca="false">D1642-D1856*Pressupostos!$C$117*D1625</f>
        <v>0.0255719178082197</v>
      </c>
      <c r="E1859" s="60" t="n">
        <f aca="false">E1642-E1856*Pressupostos!$C$117*E1625</f>
        <v>0.0271900684931515</v>
      </c>
      <c r="F1859" s="60" t="n">
        <f aca="false">F1642-F1856*Pressupostos!$C$117*F1625</f>
        <v>0.0288082191780828</v>
      </c>
      <c r="G1859" s="60" t="n">
        <f aca="false">G1642-G1856*Pressupostos!$C$117*G1625</f>
        <v>0.0288082191780828</v>
      </c>
      <c r="H1859" s="2" t="s">
        <v>1403</v>
      </c>
    </row>
    <row r="1860" customFormat="false" ht="15" hidden="false" customHeight="false" outlineLevel="1" collapsed="false">
      <c r="A1860" s="7" t="s">
        <v>780</v>
      </c>
      <c r="B1860" s="8" t="s">
        <v>112</v>
      </c>
      <c r="C1860" s="57" t="n">
        <f aca="false">IF(C1859&gt;0,C1563+C1855/(C1859*1000),"n/a")</f>
        <v>12126.1475979974</v>
      </c>
      <c r="D1860" s="57" t="n">
        <f aca="false">IF(D1859&gt;0,D1563+D1855/(D1859*1000),"n/a")</f>
        <v>31541.9231226915</v>
      </c>
      <c r="E1860" s="57" t="n">
        <f aca="false">IF(E1859&gt;0,E1563+E1855/(E1859*1000),"n/a")</f>
        <v>36355.494219966</v>
      </c>
      <c r="F1860" s="57" t="n">
        <f aca="false">IF(F1859&gt;0,F1563+F1855/(F1859*1000),"n/a")</f>
        <v>39276.7378563023</v>
      </c>
      <c r="G1860" s="57" t="n">
        <f aca="false">IF(G1859&gt;0,G1563+G1855/(G1859*1000),"n/a")</f>
        <v>44338.3627325385</v>
      </c>
      <c r="H1860" s="2" t="s">
        <v>1404</v>
      </c>
    </row>
    <row r="1861" customFormat="false" ht="15" hidden="false" customHeight="false" outlineLevel="1" collapsed="false">
      <c r="A1861" s="7" t="s">
        <v>781</v>
      </c>
      <c r="B1861" s="8" t="s">
        <v>71</v>
      </c>
      <c r="C1861" s="55" t="n">
        <f aca="false">C1855/(C1721+C1734+C1735)</f>
        <v>0.989687402106012</v>
      </c>
      <c r="D1861" s="55" t="n">
        <f aca="false">D1855/(D1721+D1734+D1735)</f>
        <v>0.979305777068586</v>
      </c>
      <c r="E1861" s="55" t="n">
        <f aca="false">E1855/(E1721+E1734+E1735)</f>
        <v>0.92025607229052</v>
      </c>
      <c r="F1861" s="55" t="n">
        <f aca="false">F1855/(F1721+F1734+F1735)</f>
        <v>0.866951266273989</v>
      </c>
      <c r="G1861" s="55" t="n">
        <f aca="false">G1855/(G1721+G1734+G1735)</f>
        <v>0.818183905513158</v>
      </c>
      <c r="H1861" s="2" t="s">
        <v>1405</v>
      </c>
    </row>
    <row r="1862" customFormat="false" ht="15" hidden="false" customHeight="false" outlineLevel="1" collapsed="false">
      <c r="A1862" s="2" t="s">
        <v>782</v>
      </c>
      <c r="B1862" s="8" t="s">
        <v>71</v>
      </c>
      <c r="C1862" s="56" t="n">
        <f aca="false">Pressupostos!$C$99*Pressupostos!$C$100+Pressupostos!$C$101-Pressupostos!$D$30*Pressupostos!$C$102*Pressupostos!$C$100/(Pressupostos!$C$103*Pressupostos!$C$104)</f>
        <v>0.00354285714285715</v>
      </c>
      <c r="D1862" s="56" t="n">
        <f aca="false">Pressupostos!$C$99*Pressupostos!$C$100+Pressupostos!$C$101-Pressupostos!$D$30*Pressupostos!$C$102*Pressupostos!$C$100/(Pressupostos!$C$103*Pressupostos!$C$104)</f>
        <v>0.00354285714285715</v>
      </c>
      <c r="E1862" s="56" t="n">
        <f aca="false">Pressupostos!$C$99*Pressupostos!$C$100+Pressupostos!$C$101-Pressupostos!$D$30*Pressupostos!$C$102*Pressupostos!$C$100/(Pressupostos!$C$103*Pressupostos!$C$104)</f>
        <v>0.00354285714285715</v>
      </c>
      <c r="F1862" s="56" t="n">
        <f aca="false">Pressupostos!$C$99*Pressupostos!$C$100+Pressupostos!$C$101-Pressupostos!$D$30*Pressupostos!$C$102*Pressupostos!$C$100/(Pressupostos!$C$103*Pressupostos!$C$104)</f>
        <v>0.00354285714285715</v>
      </c>
      <c r="G1862" s="56" t="n">
        <f aca="false">Pressupostos!$C$99*Pressupostos!$C$100+Pressupostos!$C$101-Pressupostos!$D$30*Pressupostos!$C$102*Pressupostos!$C$100/(Pressupostos!$C$103*Pressupostos!$C$104)</f>
        <v>0.00354285714285715</v>
      </c>
      <c r="H1862" s="2" t="s">
        <v>1406</v>
      </c>
    </row>
    <row r="1863" customFormat="false" ht="15" hidden="false" customHeight="false" outlineLevel="1" collapsed="false">
      <c r="A1863" s="7" t="s">
        <v>783</v>
      </c>
      <c r="B1863" s="8" t="s">
        <v>10</v>
      </c>
      <c r="C1863" s="58" t="n">
        <f aca="false">IF(C1862&gt;0,C1574+C1855/C1862,"n/a")</f>
        <v>201125996.081667</v>
      </c>
      <c r="D1863" s="58" t="n">
        <f aca="false">IF(D1862&gt;0,D1574+D1855/D1862,"n/a")</f>
        <v>228165816.905104</v>
      </c>
      <c r="E1863" s="58" t="n">
        <f aca="false">IF(E1862&gt;0,E1574+E1855/E1862,"n/a")</f>
        <v>280514461.516239</v>
      </c>
      <c r="F1863" s="58" t="n">
        <f aca="false">IF(F1862&gt;0,F1574+F1855/F1862,"n/a")</f>
        <v>322372988.280291</v>
      </c>
      <c r="G1863" s="58" t="n">
        <f aca="false">IF(G1862&gt;0,G1574+G1855/G1862,"n/a")</f>
        <v>365530842.78928</v>
      </c>
      <c r="H1863" s="2" t="s">
        <v>1407</v>
      </c>
    </row>
    <row r="1866" customFormat="false" ht="15" hidden="false" customHeight="false" outlineLevel="0" collapsed="false">
      <c r="A1866" s="104" t="s">
        <v>1413</v>
      </c>
      <c r="B1866" s="105"/>
      <c r="C1866" s="105"/>
      <c r="D1866" s="105"/>
      <c r="E1866" s="105"/>
      <c r="F1866" s="105"/>
      <c r="G1866" s="105"/>
      <c r="H1866" s="105"/>
    </row>
    <row r="1867" customFormat="false" ht="15" hidden="false" customHeight="false" outlineLevel="0" collapsed="false">
      <c r="A1867" s="3" t="s">
        <v>1102</v>
      </c>
      <c r="B1867" s="4"/>
      <c r="C1867" s="4"/>
      <c r="D1867" s="4"/>
      <c r="E1867" s="4"/>
      <c r="F1867" s="4"/>
      <c r="G1867" s="4"/>
      <c r="H1867" s="4"/>
    </row>
    <row r="1868" customFormat="false" ht="15" hidden="false" customHeight="false" outlineLevel="1" collapsed="false">
      <c r="A1868" s="7" t="s">
        <v>557</v>
      </c>
      <c r="B1868" s="8"/>
      <c r="C1868" s="49" t="n">
        <v>2027</v>
      </c>
      <c r="D1868" s="49" t="n">
        <v>2028</v>
      </c>
      <c r="E1868" s="49" t="n">
        <v>2029</v>
      </c>
      <c r="F1868" s="49" t="n">
        <v>2030</v>
      </c>
      <c r="G1868" s="49" t="n">
        <v>2031</v>
      </c>
      <c r="H1868" s="2" t="s">
        <v>18</v>
      </c>
    </row>
    <row r="1869" customFormat="false" ht="15" hidden="false" customHeight="false" outlineLevel="0" collapsed="false">
      <c r="A1869" s="3" t="s">
        <v>1103</v>
      </c>
      <c r="B1869" s="4"/>
      <c r="C1869" s="4"/>
      <c r="D1869" s="4"/>
      <c r="E1869" s="4"/>
      <c r="F1869" s="4"/>
      <c r="G1869" s="4"/>
      <c r="H1869" s="4"/>
    </row>
    <row r="1870" customFormat="false" ht="15" hidden="false" customHeight="false" outlineLevel="1" collapsed="false">
      <c r="A1870" s="7" t="s">
        <v>372</v>
      </c>
      <c r="B1870" s="8" t="s">
        <v>115</v>
      </c>
      <c r="C1870" s="50" t="n">
        <f aca="false">Pressupostos!$C$208</f>
        <v>40</v>
      </c>
      <c r="D1870" s="50" t="n">
        <f aca="false">Pressupostos!$D$208</f>
        <v>180</v>
      </c>
      <c r="E1870" s="50" t="n">
        <f aca="false">Pressupostos!$E$208</f>
        <v>650</v>
      </c>
      <c r="F1870" s="50" t="n">
        <f aca="false">Pressupostos!$F$208</f>
        <v>1300</v>
      </c>
      <c r="G1870" s="50" t="n">
        <f aca="false">Pressupostos!$G$208</f>
        <v>2000</v>
      </c>
      <c r="H1870" s="2" t="s">
        <v>1104</v>
      </c>
    </row>
    <row r="1871" customFormat="false" ht="15" hidden="false" customHeight="false" outlineLevel="1" collapsed="false">
      <c r="A1871" s="7" t="s">
        <v>559</v>
      </c>
      <c r="B1871" s="8" t="s">
        <v>112</v>
      </c>
      <c r="C1871" s="51" t="n">
        <f aca="false">Pressupostos!$C$214</f>
        <v>8</v>
      </c>
      <c r="D1871" s="51" t="n">
        <f aca="false">Pressupostos!$D$214</f>
        <v>37</v>
      </c>
      <c r="E1871" s="51" t="n">
        <f aca="false">Pressupostos!$E$214</f>
        <v>133</v>
      </c>
      <c r="F1871" s="51" t="n">
        <f aca="false">Pressupostos!$F$214</f>
        <v>267</v>
      </c>
      <c r="G1871" s="51" t="n">
        <f aca="false">Pressupostos!$G$214</f>
        <v>410</v>
      </c>
      <c r="H1871" s="2" t="s">
        <v>1105</v>
      </c>
    </row>
    <row r="1872" customFormat="false" ht="15" hidden="false" customHeight="false" outlineLevel="1" collapsed="false">
      <c r="A1872" s="7" t="s">
        <v>560</v>
      </c>
      <c r="B1872" s="8" t="s">
        <v>112</v>
      </c>
      <c r="C1872" s="51" t="n">
        <f aca="false">Pressupostos!$C$220</f>
        <v>52</v>
      </c>
      <c r="D1872" s="51" t="n">
        <f aca="false">Pressupostos!$D$220</f>
        <v>363</v>
      </c>
      <c r="E1872" s="51" t="n">
        <f aca="false">Pressupostos!$E$220</f>
        <v>717</v>
      </c>
      <c r="F1872" s="51" t="n">
        <f aca="false">Pressupostos!$F$220</f>
        <v>1183</v>
      </c>
      <c r="G1872" s="51" t="n">
        <f aca="false">Pressupostos!$G$220</f>
        <v>1790</v>
      </c>
      <c r="H1872" s="2" t="s">
        <v>1106</v>
      </c>
    </row>
    <row r="1873" customFormat="false" ht="15" hidden="false" customHeight="false" outlineLevel="1" collapsed="false">
      <c r="A1873" s="7" t="s">
        <v>383</v>
      </c>
      <c r="B1873" s="8" t="s">
        <v>112</v>
      </c>
      <c r="C1873" s="51" t="n">
        <f aca="false">Pressupostos!$C$226</f>
        <v>0</v>
      </c>
      <c r="D1873" s="51" t="n">
        <f aca="false">Pressupostos!$D$226</f>
        <v>0</v>
      </c>
      <c r="E1873" s="51" t="n">
        <f aca="false">Pressupostos!$E$226</f>
        <v>0</v>
      </c>
      <c r="F1873" s="51" t="n">
        <f aca="false">Pressupostos!$F$226</f>
        <v>0</v>
      </c>
      <c r="G1873" s="51" t="n">
        <f aca="false">Pressupostos!$G$226</f>
        <v>0</v>
      </c>
      <c r="H1873" s="2" t="s">
        <v>1107</v>
      </c>
    </row>
    <row r="1874" customFormat="false" ht="15" hidden="false" customHeight="false" outlineLevel="1" collapsed="false">
      <c r="A1874" s="52" t="s">
        <v>561</v>
      </c>
      <c r="B1874" s="53" t="s">
        <v>112</v>
      </c>
      <c r="C1874" s="54" t="n">
        <f aca="false">C1871+C1872+C1873</f>
        <v>60</v>
      </c>
      <c r="D1874" s="54" t="n">
        <f aca="false">D1871+D1872+D1873</f>
        <v>400</v>
      </c>
      <c r="E1874" s="54" t="n">
        <f aca="false">E1871+E1872+E1873</f>
        <v>850</v>
      </c>
      <c r="F1874" s="54" t="n">
        <f aca="false">F1871+F1872+F1873</f>
        <v>1450</v>
      </c>
      <c r="G1874" s="54" t="n">
        <f aca="false">G1871+G1872+G1873</f>
        <v>2200</v>
      </c>
      <c r="H1874" s="2" t="s">
        <v>1108</v>
      </c>
    </row>
    <row r="1875" customFormat="false" ht="15" hidden="false" customHeight="false" outlineLevel="1" collapsed="false">
      <c r="A1875" s="7" t="s">
        <v>562</v>
      </c>
      <c r="B1875" s="8" t="s">
        <v>71</v>
      </c>
      <c r="C1875" s="55" t="n">
        <f aca="false">IF(C1874&gt;0,C1871/C1874,0)</f>
        <v>0.133333333333333</v>
      </c>
      <c r="D1875" s="55" t="n">
        <f aca="false">IF(D1874&gt;0,D1871/D1874,0)</f>
        <v>0.0925</v>
      </c>
      <c r="E1875" s="55" t="n">
        <f aca="false">IF(E1874&gt;0,E1871/E1874,0)</f>
        <v>0.156470588235294</v>
      </c>
      <c r="F1875" s="55" t="n">
        <f aca="false">IF(F1874&gt;0,F1871/F1874,0)</f>
        <v>0.184137931034483</v>
      </c>
      <c r="G1875" s="55" t="n">
        <f aca="false">IF(G1874&gt;0,G1871/G1874,0)</f>
        <v>0.186363636363636</v>
      </c>
      <c r="H1875" s="2" t="s">
        <v>1109</v>
      </c>
    </row>
    <row r="1876" customFormat="false" ht="15" hidden="false" customHeight="false" outlineLevel="1" collapsed="false">
      <c r="A1876" s="7" t="s">
        <v>563</v>
      </c>
      <c r="B1876" s="8" t="s">
        <v>71</v>
      </c>
      <c r="C1876" s="56" t="n">
        <f aca="false">C1874/(Pressupostos!$C$74*1000)</f>
        <v>0.000342857142857143</v>
      </c>
      <c r="D1876" s="56" t="n">
        <f aca="false">D1874/(Pressupostos!$C$74*1000)</f>
        <v>0.00228571428571429</v>
      </c>
      <c r="E1876" s="56" t="n">
        <f aca="false">E1874/(Pressupostos!$C$74*1000)</f>
        <v>0.00485714285714286</v>
      </c>
      <c r="F1876" s="56" t="n">
        <f aca="false">F1874/(Pressupostos!$C$74*1000)</f>
        <v>0.00828571428571429</v>
      </c>
      <c r="G1876" s="56" t="n">
        <f aca="false">G1874/(Pressupostos!$C$74*1000)</f>
        <v>0.0125714285714286</v>
      </c>
      <c r="H1876" s="2" t="s">
        <v>1110</v>
      </c>
    </row>
    <row r="1877" customFormat="false" ht="15" hidden="false" customHeight="false" outlineLevel="1" collapsed="false">
      <c r="A1877" s="7" t="s">
        <v>564</v>
      </c>
      <c r="B1877" s="8" t="s">
        <v>115</v>
      </c>
      <c r="C1877" s="57" t="n">
        <f aca="false">C1871/Pressupostos!$C$39+C1872/Pressupostos!$C$46+C1873/Pressupostos!$C$58</f>
        <v>2.13333333333333</v>
      </c>
      <c r="D1877" s="57" t="n">
        <f aca="false">D1871/Pressupostos!$C$39+D1872/Pressupostos!$C$46+D1873/Pressupostos!$C$58</f>
        <v>13.95</v>
      </c>
      <c r="E1877" s="57" t="n">
        <f aca="false">E1871/Pressupostos!$C$39+E1872/Pressupostos!$C$46+E1873/Pressupostos!$C$58</f>
        <v>30.55</v>
      </c>
      <c r="F1877" s="57" t="n">
        <f aca="false">F1871/Pressupostos!$C$39+F1872/Pressupostos!$C$46+F1873/Pressupostos!$C$58</f>
        <v>52.7833333333333</v>
      </c>
      <c r="G1877" s="57" t="n">
        <f aca="false">G1871/Pressupostos!$C$39+G1872/Pressupostos!$C$46+G1873/Pressupostos!$C$58</f>
        <v>80.1666666666667</v>
      </c>
      <c r="H1877" s="2" t="s">
        <v>1111</v>
      </c>
    </row>
    <row r="1878" customFormat="false" ht="15" hidden="false" customHeight="false" outlineLevel="0" collapsed="false">
      <c r="A1878" s="3" t="s">
        <v>1112</v>
      </c>
      <c r="B1878" s="4"/>
      <c r="C1878" s="4"/>
      <c r="D1878" s="4"/>
      <c r="E1878" s="4"/>
      <c r="F1878" s="4"/>
      <c r="G1878" s="4"/>
      <c r="H1878" s="4"/>
    </row>
    <row r="1879" customFormat="false" ht="15" hidden="false" customHeight="false" outlineLevel="1" collapsed="false">
      <c r="A1879" s="7" t="s">
        <v>566</v>
      </c>
      <c r="B1879" s="8" t="s">
        <v>192</v>
      </c>
      <c r="C1879" s="50" t="n">
        <f aca="false">Pressupostos!$C$252</f>
        <v>150</v>
      </c>
      <c r="D1879" s="50" t="n">
        <f aca="false">Pressupostos!$D$252</f>
        <v>600</v>
      </c>
      <c r="E1879" s="50" t="n">
        <f aca="false">Pressupostos!$E$252</f>
        <v>1000</v>
      </c>
      <c r="F1879" s="50" t="n">
        <f aca="false">Pressupostos!$F$252</f>
        <v>1400</v>
      </c>
      <c r="G1879" s="50" t="n">
        <f aca="false">Pressupostos!$G$252</f>
        <v>1800</v>
      </c>
      <c r="H1879" s="2" t="s">
        <v>1113</v>
      </c>
    </row>
    <row r="1880" customFormat="false" ht="15" hidden="false" customHeight="false" outlineLevel="1" collapsed="false">
      <c r="A1880" s="7" t="s">
        <v>566</v>
      </c>
      <c r="B1880" s="8" t="s">
        <v>179</v>
      </c>
      <c r="C1880" s="58" t="n">
        <f aca="false">C1879*Pressupostos!$C$76</f>
        <v>112500</v>
      </c>
      <c r="D1880" s="58" t="n">
        <f aca="false">D1879*Pressupostos!$C$76</f>
        <v>450000</v>
      </c>
      <c r="E1880" s="58" t="n">
        <f aca="false">E1879*Pressupostos!$C$76</f>
        <v>750000</v>
      </c>
      <c r="F1880" s="58" t="n">
        <f aca="false">F1879*Pressupostos!$C$76</f>
        <v>1050000</v>
      </c>
      <c r="G1880" s="58" t="n">
        <f aca="false">G1879*Pressupostos!$C$76</f>
        <v>1350000</v>
      </c>
      <c r="H1880" s="2" t="s">
        <v>1114</v>
      </c>
    </row>
    <row r="1881" customFormat="false" ht="15" hidden="false" customHeight="false" outlineLevel="0" collapsed="false">
      <c r="A1881" s="3" t="s">
        <v>1115</v>
      </c>
      <c r="B1881" s="4"/>
      <c r="C1881" s="4"/>
      <c r="D1881" s="4"/>
      <c r="E1881" s="4"/>
      <c r="F1881" s="4"/>
      <c r="G1881" s="4"/>
      <c r="H1881" s="4"/>
    </row>
    <row r="1882" customFormat="false" ht="15" hidden="false" customHeight="false" outlineLevel="1" collapsed="false">
      <c r="A1882" s="7" t="s">
        <v>568</v>
      </c>
      <c r="B1882" s="8" t="s">
        <v>112</v>
      </c>
      <c r="C1882" s="57" t="n">
        <f aca="false">IF(C1868&lt;Pressupostos!$D$28,0,Pressupostos!$C$258)</f>
        <v>0</v>
      </c>
      <c r="D1882" s="57" t="n">
        <f aca="false">IF(D1868&lt;Pressupostos!$D$28,0,Pressupostos!$D$258)</f>
        <v>0</v>
      </c>
      <c r="E1882" s="57" t="n">
        <f aca="false">IF(E1868&lt;Pressupostos!$D$28,0,Pressupostos!$E$258)</f>
        <v>30</v>
      </c>
      <c r="F1882" s="57" t="n">
        <f aca="false">IF(F1868&lt;Pressupostos!$D$28,0,Pressupostos!$F$258)</f>
        <v>60</v>
      </c>
      <c r="G1882" s="57" t="n">
        <f aca="false">IF(G1868&lt;Pressupostos!$D$28,0,Pressupostos!$G$258)</f>
        <v>100</v>
      </c>
      <c r="H1882" s="2" t="s">
        <v>1116</v>
      </c>
    </row>
    <row r="1883" customFormat="false" ht="15" hidden="false" customHeight="false" outlineLevel="0" collapsed="false">
      <c r="A1883" s="3" t="s">
        <v>1117</v>
      </c>
      <c r="B1883" s="4"/>
      <c r="C1883" s="4"/>
      <c r="D1883" s="4"/>
      <c r="E1883" s="4"/>
      <c r="F1883" s="4"/>
      <c r="G1883" s="4"/>
      <c r="H1883" s="4"/>
    </row>
    <row r="1884" customFormat="false" ht="15" hidden="false" customHeight="false" outlineLevel="1" collapsed="false">
      <c r="A1884" s="7" t="s">
        <v>570</v>
      </c>
      <c r="B1884" s="8" t="s">
        <v>10</v>
      </c>
      <c r="C1884" s="50" t="n">
        <f aca="false">Pressupostos!$C$264</f>
        <v>0</v>
      </c>
      <c r="D1884" s="50" t="n">
        <f aca="false">Pressupostos!$D$264</f>
        <v>500000</v>
      </c>
      <c r="E1884" s="50" t="n">
        <f aca="false">Pressupostos!$E$264</f>
        <v>1500000</v>
      </c>
      <c r="F1884" s="50" t="n">
        <f aca="false">Pressupostos!$F$264</f>
        <v>3000000</v>
      </c>
      <c r="G1884" s="50" t="n">
        <f aca="false">Pressupostos!$G$264</f>
        <v>5000000</v>
      </c>
      <c r="H1884" s="2" t="s">
        <v>1118</v>
      </c>
    </row>
    <row r="1885" customFormat="false" ht="15" hidden="false" customHeight="false" outlineLevel="1" collapsed="false">
      <c r="A1885" s="7" t="s">
        <v>571</v>
      </c>
      <c r="B1885" s="8" t="s">
        <v>112</v>
      </c>
      <c r="C1885" s="57" t="n">
        <f aca="false">C1884/(Pressupostos!$C$103*Pressupostos!$C$104)*Pressupostos!$C$100/1000</f>
        <v>0</v>
      </c>
      <c r="D1885" s="57" t="n">
        <f aca="false">D1884/(Pressupostos!$C$103*Pressupostos!$C$104)*Pressupostos!$C$100/1000</f>
        <v>457.142857142857</v>
      </c>
      <c r="E1885" s="57" t="n">
        <f aca="false">E1884/(Pressupostos!$C$103*Pressupostos!$C$104)*Pressupostos!$C$100/1000</f>
        <v>1371.42857142857</v>
      </c>
      <c r="F1885" s="57" t="n">
        <f aca="false">F1884/(Pressupostos!$C$103*Pressupostos!$C$104)*Pressupostos!$C$100/1000</f>
        <v>2742.85714285714</v>
      </c>
      <c r="G1885" s="57" t="n">
        <f aca="false">G1884/(Pressupostos!$C$103*Pressupostos!$C$104)*Pressupostos!$C$100/1000</f>
        <v>4571.42857142857</v>
      </c>
      <c r="H1885" s="2" t="s">
        <v>1119</v>
      </c>
    </row>
    <row r="1886" customFormat="false" ht="15" hidden="false" customHeight="false" outlineLevel="0" collapsed="false">
      <c r="A1886" s="3" t="s">
        <v>1120</v>
      </c>
      <c r="B1886" s="4"/>
      <c r="C1886" s="4"/>
      <c r="D1886" s="4"/>
      <c r="E1886" s="4"/>
      <c r="F1886" s="4"/>
      <c r="G1886" s="4"/>
      <c r="H1886" s="4"/>
    </row>
    <row r="1887" customFormat="false" ht="15" hidden="false" customHeight="false" outlineLevel="1" collapsed="false">
      <c r="A1887" s="7" t="s">
        <v>633</v>
      </c>
      <c r="B1887" s="8" t="s">
        <v>59</v>
      </c>
      <c r="C1887" s="60" t="n">
        <f aca="false">Pressupostos!$D$10+Pressupostos!$D$11</f>
        <v>3.6</v>
      </c>
      <c r="D1887" s="60" t="n">
        <f aca="false">Pressupostos!$D$10+Pressupostos!$D$11</f>
        <v>3.6</v>
      </c>
      <c r="E1887" s="60" t="n">
        <f aca="false">Pressupostos!$D$10+Pressupostos!$D$11</f>
        <v>3.6</v>
      </c>
      <c r="F1887" s="60" t="n">
        <f aca="false">Pressupostos!$D$10+Pressupostos!$D$11</f>
        <v>3.6</v>
      </c>
      <c r="G1887" s="60" t="n">
        <f aca="false">Pressupostos!$D$10+Pressupostos!$D$11</f>
        <v>3.6</v>
      </c>
      <c r="H1887" s="2" t="s">
        <v>1121</v>
      </c>
    </row>
    <row r="1888" customFormat="false" ht="15" hidden="false" customHeight="false" outlineLevel="1" collapsed="false">
      <c r="A1888" s="7" t="s">
        <v>634</v>
      </c>
      <c r="B1888" s="8" t="s">
        <v>59</v>
      </c>
      <c r="C1888" s="63" t="n">
        <f aca="false">Pressupostos!$D$15</f>
        <v>5.65</v>
      </c>
      <c r="D1888" s="63" t="n">
        <f aca="false">Pressupostos!$D$15</f>
        <v>5.65</v>
      </c>
      <c r="E1888" s="63" t="n">
        <f aca="false">Pressupostos!$D$15</f>
        <v>5.65</v>
      </c>
      <c r="F1888" s="63" t="n">
        <f aca="false">Pressupostos!$D$15</f>
        <v>5.65</v>
      </c>
      <c r="G1888" s="63" t="n">
        <f aca="false">Pressupostos!$D$15</f>
        <v>5.65</v>
      </c>
      <c r="H1888" s="2" t="s">
        <v>1122</v>
      </c>
    </row>
    <row r="1889" customFormat="false" ht="15" hidden="false" customHeight="false" outlineLevel="1" collapsed="false">
      <c r="A1889" s="52" t="s">
        <v>635</v>
      </c>
      <c r="B1889" s="53" t="s">
        <v>59</v>
      </c>
      <c r="C1889" s="64" t="n">
        <f aca="false">C1888*(1-(Pressupostos!$C$191))</f>
        <v>4.8025</v>
      </c>
      <c r="D1889" s="64" t="n">
        <f aca="false">D1888*(1-(Pressupostos!$C$191))</f>
        <v>4.8025</v>
      </c>
      <c r="E1889" s="64" t="n">
        <f aca="false">E1888*(1-(Pressupostos!$C$191))</f>
        <v>4.8025</v>
      </c>
      <c r="F1889" s="64" t="n">
        <f aca="false">F1888*(1-(Pressupostos!$C$191))</f>
        <v>4.8025</v>
      </c>
      <c r="G1889" s="64" t="n">
        <f aca="false">G1888*(1-(Pressupostos!$C$191))</f>
        <v>4.8025</v>
      </c>
      <c r="H1889" s="2" t="s">
        <v>1123</v>
      </c>
    </row>
    <row r="1890" customFormat="false" ht="15" hidden="false" customHeight="false" outlineLevel="1" collapsed="false">
      <c r="A1890" s="7" t="s">
        <v>136</v>
      </c>
      <c r="B1890" s="8" t="s">
        <v>59</v>
      </c>
      <c r="C1890" s="63" t="n">
        <f aca="false">Pressupostos!$C$37</f>
        <v>0.55</v>
      </c>
      <c r="D1890" s="63" t="n">
        <f aca="false">Pressupostos!$C$37</f>
        <v>0.55</v>
      </c>
      <c r="E1890" s="63" t="n">
        <f aca="false">Pressupostos!$C$37</f>
        <v>0.55</v>
      </c>
      <c r="F1890" s="63" t="n">
        <f aca="false">Pressupostos!$C$37</f>
        <v>0.55</v>
      </c>
      <c r="G1890" s="63" t="n">
        <f aca="false">Pressupostos!$C$37</f>
        <v>0.55</v>
      </c>
      <c r="H1890" s="2" t="s">
        <v>1124</v>
      </c>
    </row>
    <row r="1891" customFormat="false" ht="15" hidden="false" customHeight="false" outlineLevel="1" collapsed="false">
      <c r="A1891" s="7" t="s">
        <v>205</v>
      </c>
      <c r="B1891" s="8" t="s">
        <v>59</v>
      </c>
      <c r="C1891" s="63" t="n">
        <f aca="false">Pressupostos!$C$233</f>
        <v>0.3</v>
      </c>
      <c r="D1891" s="63" t="n">
        <f aca="false">Pressupostos!$D$233</f>
        <v>0.3</v>
      </c>
      <c r="E1891" s="63" t="n">
        <f aca="false">Pressupostos!$E$233</f>
        <v>0.28</v>
      </c>
      <c r="F1891" s="63" t="n">
        <f aca="false">Pressupostos!$F$233</f>
        <v>0.27</v>
      </c>
      <c r="G1891" s="63" t="n">
        <f aca="false">Pressupostos!$G$233</f>
        <v>0.27</v>
      </c>
      <c r="H1891" s="2" t="s">
        <v>1125</v>
      </c>
    </row>
    <row r="1892" customFormat="false" ht="15" hidden="false" customHeight="false" outlineLevel="1" collapsed="false">
      <c r="A1892" s="7" t="s">
        <v>109</v>
      </c>
      <c r="B1892" s="8" t="s">
        <v>59</v>
      </c>
      <c r="C1892" s="63" t="n">
        <f aca="false">Pressupostos!$C$38</f>
        <v>0.06</v>
      </c>
      <c r="D1892" s="63" t="n">
        <f aca="false">Pressupostos!$C$38</f>
        <v>0.06</v>
      </c>
      <c r="E1892" s="63" t="n">
        <f aca="false">Pressupostos!$C$38</f>
        <v>0.06</v>
      </c>
      <c r="F1892" s="63" t="n">
        <f aca="false">Pressupostos!$C$38</f>
        <v>0.06</v>
      </c>
      <c r="G1892" s="63" t="n">
        <f aca="false">Pressupostos!$C$38</f>
        <v>0.06</v>
      </c>
      <c r="H1892" s="2" t="s">
        <v>1126</v>
      </c>
    </row>
    <row r="1893" customFormat="false" ht="15" hidden="false" customHeight="false" outlineLevel="1" collapsed="false">
      <c r="A1893" s="7" t="s">
        <v>86</v>
      </c>
      <c r="B1893" s="8" t="s">
        <v>74</v>
      </c>
      <c r="C1893" s="65" t="n">
        <f aca="false">Pressupostos!$C$239</f>
        <v>180</v>
      </c>
      <c r="D1893" s="65" t="n">
        <f aca="false">Pressupostos!$D$239</f>
        <v>180</v>
      </c>
      <c r="E1893" s="65" t="n">
        <f aca="false">Pressupostos!$E$239</f>
        <v>45</v>
      </c>
      <c r="F1893" s="65" t="n">
        <f aca="false">Pressupostos!$F$239</f>
        <v>45</v>
      </c>
      <c r="G1893" s="65" t="n">
        <f aca="false">Pressupostos!$G$239</f>
        <v>45</v>
      </c>
      <c r="H1893" s="2" t="s">
        <v>1127</v>
      </c>
    </row>
    <row r="1894" customFormat="false" ht="15" hidden="false" customHeight="false" outlineLevel="1" collapsed="false">
      <c r="A1894" s="7" t="s">
        <v>73</v>
      </c>
      <c r="B1894" s="8" t="s">
        <v>74</v>
      </c>
      <c r="C1894" s="65" t="n">
        <f aca="false">Pressupostos!$D$17</f>
        <v>35</v>
      </c>
      <c r="D1894" s="65" t="n">
        <f aca="false">Pressupostos!$D$17</f>
        <v>35</v>
      </c>
      <c r="E1894" s="65" t="n">
        <f aca="false">Pressupostos!$D$17</f>
        <v>35</v>
      </c>
      <c r="F1894" s="65" t="n">
        <f aca="false">Pressupostos!$D$17</f>
        <v>35</v>
      </c>
      <c r="G1894" s="65" t="n">
        <f aca="false">Pressupostos!$D$17</f>
        <v>35</v>
      </c>
      <c r="H1894" s="2" t="s">
        <v>1128</v>
      </c>
    </row>
    <row r="1895" customFormat="false" ht="15" hidden="false" customHeight="false" outlineLevel="1" collapsed="false">
      <c r="A1895" s="7" t="s">
        <v>471</v>
      </c>
      <c r="B1895" s="8" t="s">
        <v>59</v>
      </c>
      <c r="C1895" s="60" t="n">
        <f aca="false">Pressupostos!$C$64*C1893/30/1000</f>
        <v>0.024</v>
      </c>
      <c r="D1895" s="60" t="n">
        <f aca="false">Pressupostos!$C$64*D1893/30/1000</f>
        <v>0.024</v>
      </c>
      <c r="E1895" s="60" t="n">
        <f aca="false">Pressupostos!$C$64*E1893/30/1000</f>
        <v>0.006</v>
      </c>
      <c r="F1895" s="60" t="n">
        <f aca="false">Pressupostos!$C$64*F1893/30/1000</f>
        <v>0.006</v>
      </c>
      <c r="G1895" s="60" t="n">
        <f aca="false">Pressupostos!$C$64*G1893/30/1000</f>
        <v>0.006</v>
      </c>
      <c r="H1895" s="2" t="s">
        <v>1129</v>
      </c>
    </row>
    <row r="1896" customFormat="false" ht="15" hidden="false" customHeight="false" outlineLevel="1" collapsed="false">
      <c r="A1896" s="7" t="s">
        <v>154</v>
      </c>
      <c r="B1896" s="8" t="s">
        <v>59</v>
      </c>
      <c r="C1896" s="60" t="n">
        <f aca="false">C1887*Pressupostos!$C$65*C1893/365</f>
        <v>0.00355068493150685</v>
      </c>
      <c r="D1896" s="60" t="n">
        <f aca="false">D1887*Pressupostos!$C$65*D1893/365</f>
        <v>0.00355068493150685</v>
      </c>
      <c r="E1896" s="60" t="n">
        <f aca="false">E1887*Pressupostos!$C$65*E1893/365</f>
        <v>0.000887671232876712</v>
      </c>
      <c r="F1896" s="60" t="n">
        <f aca="false">F1887*Pressupostos!$C$65*F1893/365</f>
        <v>0.000887671232876712</v>
      </c>
      <c r="G1896" s="60" t="n">
        <f aca="false">G1887*Pressupostos!$C$65*G1893/365</f>
        <v>0.000887671232876712</v>
      </c>
      <c r="H1896" s="2" t="s">
        <v>1130</v>
      </c>
    </row>
    <row r="1897" customFormat="false" ht="15" hidden="false" customHeight="false" outlineLevel="1" collapsed="false">
      <c r="A1897" s="7" t="s">
        <v>636</v>
      </c>
      <c r="B1897" s="8" t="s">
        <v>59</v>
      </c>
      <c r="C1897" s="60" t="n">
        <f aca="false">Pressupostos!$C$40*Pressupostos!$C$66/(Pressupostos!$C$39*1000)</f>
        <v>0.03</v>
      </c>
      <c r="D1897" s="60" t="n">
        <f aca="false">Pressupostos!$C$40*Pressupostos!$C$66/(Pressupostos!$C$39*1000)</f>
        <v>0.03</v>
      </c>
      <c r="E1897" s="60" t="n">
        <f aca="false">Pressupostos!$C$40*Pressupostos!$C$66/(Pressupostos!$C$39*1000)</f>
        <v>0.03</v>
      </c>
      <c r="F1897" s="60" t="n">
        <f aca="false">Pressupostos!$C$40*Pressupostos!$C$66/(Pressupostos!$C$39*1000)</f>
        <v>0.03</v>
      </c>
      <c r="G1897" s="60" t="n">
        <f aca="false">Pressupostos!$C$40*Pressupostos!$C$66/(Pressupostos!$C$39*1000)</f>
        <v>0.03</v>
      </c>
      <c r="H1897" s="2" t="s">
        <v>1131</v>
      </c>
    </row>
    <row r="1898" customFormat="false" ht="15" hidden="false" customHeight="false" outlineLevel="1" collapsed="false">
      <c r="A1898" s="7" t="s">
        <v>473</v>
      </c>
      <c r="B1898" s="8" t="s">
        <v>59</v>
      </c>
      <c r="C1898" s="60" t="n">
        <f aca="false">Pressupostos!$C$67*C1887</f>
        <v>0.018</v>
      </c>
      <c r="D1898" s="60" t="n">
        <f aca="false">Pressupostos!$C$67*D1887</f>
        <v>0.018</v>
      </c>
      <c r="E1898" s="60" t="n">
        <f aca="false">Pressupostos!$C$67*E1887</f>
        <v>0.018</v>
      </c>
      <c r="F1898" s="60" t="n">
        <f aca="false">Pressupostos!$C$67*F1887</f>
        <v>0.018</v>
      </c>
      <c r="G1898" s="60" t="n">
        <f aca="false">Pressupostos!$C$67*G1887</f>
        <v>0.018</v>
      </c>
      <c r="H1898" s="2" t="s">
        <v>1132</v>
      </c>
    </row>
    <row r="1899" customFormat="false" ht="15" hidden="false" customHeight="false" outlineLevel="1" collapsed="false">
      <c r="A1899" s="7" t="s">
        <v>474</v>
      </c>
      <c r="B1899" s="8" t="s">
        <v>59</v>
      </c>
      <c r="C1899" s="60" t="n">
        <f aca="false">Pressupostos!$C$68*Pressupostos!$C$69*C1893/90</f>
        <v>0.018</v>
      </c>
      <c r="D1899" s="60" t="n">
        <f aca="false">Pressupostos!$C$68*Pressupostos!$C$69*D1893/90</f>
        <v>0.018</v>
      </c>
      <c r="E1899" s="60" t="n">
        <f aca="false">Pressupostos!$C$68*Pressupostos!$C$69*E1893/90</f>
        <v>0.0045</v>
      </c>
      <c r="F1899" s="60" t="n">
        <f aca="false">Pressupostos!$C$68*Pressupostos!$C$69*F1893/90</f>
        <v>0.0045</v>
      </c>
      <c r="G1899" s="60" t="n">
        <f aca="false">Pressupostos!$C$68*Pressupostos!$C$69*G1893/90</f>
        <v>0.0045</v>
      </c>
      <c r="H1899" s="2" t="s">
        <v>1133</v>
      </c>
    </row>
    <row r="1900" customFormat="false" ht="15" hidden="false" customHeight="false" outlineLevel="1" collapsed="false">
      <c r="A1900" s="7" t="s">
        <v>637</v>
      </c>
      <c r="B1900" s="8" t="s">
        <v>59</v>
      </c>
      <c r="C1900" s="60" t="n">
        <f aca="false">Pressupostos!$C$41/(Pressupostos!$C$39*1000)</f>
        <v>0.1</v>
      </c>
      <c r="D1900" s="60" t="n">
        <f aca="false">Pressupostos!$C$41/(Pressupostos!$C$39*1000)</f>
        <v>0.1</v>
      </c>
      <c r="E1900" s="60" t="n">
        <f aca="false">Pressupostos!$C$41/(Pressupostos!$C$39*1000)</f>
        <v>0.1</v>
      </c>
      <c r="F1900" s="60" t="n">
        <f aca="false">Pressupostos!$C$41/(Pressupostos!$C$39*1000)</f>
        <v>0.1</v>
      </c>
      <c r="G1900" s="60" t="n">
        <f aca="false">Pressupostos!$C$41/(Pressupostos!$C$39*1000)</f>
        <v>0.1</v>
      </c>
      <c r="H1900" s="2" t="s">
        <v>1134</v>
      </c>
    </row>
    <row r="1901" customFormat="false" ht="15" hidden="false" customHeight="false" outlineLevel="1" collapsed="false">
      <c r="A1901" s="7" t="s">
        <v>131</v>
      </c>
      <c r="B1901" s="8" t="s">
        <v>59</v>
      </c>
      <c r="C1901" s="63" t="n">
        <f aca="false">Pressupostos!$C$42</f>
        <v>0.01</v>
      </c>
      <c r="D1901" s="63" t="n">
        <f aca="false">Pressupostos!$C$42</f>
        <v>0.01</v>
      </c>
      <c r="E1901" s="63" t="n">
        <f aca="false">Pressupostos!$C$42</f>
        <v>0.01</v>
      </c>
      <c r="F1901" s="63" t="n">
        <f aca="false">Pressupostos!$C$42</f>
        <v>0.01</v>
      </c>
      <c r="G1901" s="63" t="n">
        <f aca="false">Pressupostos!$C$42</f>
        <v>0.01</v>
      </c>
      <c r="H1901" s="2" t="s">
        <v>1135</v>
      </c>
    </row>
    <row r="1902" customFormat="false" ht="15" hidden="false" customHeight="false" outlineLevel="1" collapsed="false">
      <c r="A1902" s="7" t="s">
        <v>76</v>
      </c>
      <c r="B1902" s="8" t="s">
        <v>59</v>
      </c>
      <c r="C1902" s="60" t="n">
        <f aca="false">Pressupostos!$D$18*C1889</f>
        <v>0.028815</v>
      </c>
      <c r="D1902" s="60" t="n">
        <f aca="false">Pressupostos!$D$18*D1889</f>
        <v>0.028815</v>
      </c>
      <c r="E1902" s="60" t="n">
        <f aca="false">Pressupostos!$D$18*E1889</f>
        <v>0.028815</v>
      </c>
      <c r="F1902" s="60" t="n">
        <f aca="false">Pressupostos!$D$18*F1889</f>
        <v>0.028815</v>
      </c>
      <c r="G1902" s="60" t="n">
        <f aca="false">Pressupostos!$D$18*G1889</f>
        <v>0.028815</v>
      </c>
      <c r="H1902" s="2" t="s">
        <v>1136</v>
      </c>
    </row>
    <row r="1903" customFormat="false" ht="15" hidden="false" customHeight="false" outlineLevel="1" collapsed="false">
      <c r="A1903" s="7" t="s">
        <v>638</v>
      </c>
      <c r="B1903" s="8" t="s">
        <v>59</v>
      </c>
      <c r="C1903" s="60" t="n">
        <f aca="false">Pressupostos!$C$71*C1889</f>
        <v>0</v>
      </c>
      <c r="D1903" s="60" t="n">
        <f aca="false">Pressupostos!$C$71*D1889</f>
        <v>0</v>
      </c>
      <c r="E1903" s="60" t="n">
        <f aca="false">Pressupostos!$C$71*E1889</f>
        <v>0</v>
      </c>
      <c r="F1903" s="60" t="n">
        <f aca="false">Pressupostos!$C$71*F1889</f>
        <v>0</v>
      </c>
      <c r="G1903" s="60" t="n">
        <f aca="false">Pressupostos!$C$71*G1889</f>
        <v>0</v>
      </c>
      <c r="H1903" s="2" t="s">
        <v>1137</v>
      </c>
    </row>
    <row r="1904" customFormat="false" ht="15" hidden="false" customHeight="false" outlineLevel="1" collapsed="false">
      <c r="A1904" s="7" t="s">
        <v>639</v>
      </c>
      <c r="B1904" s="8" t="s">
        <v>59</v>
      </c>
      <c r="C1904" s="60" t="n">
        <f aca="false">Pressupostos!$C$283*(C1887+C1890)*(C1893+C1894-Pressupostos!$C$70)/365*Pressupostos!$C$277/Pressupostos!$D$31</f>
        <v>0</v>
      </c>
      <c r="D1904" s="60" t="n">
        <f aca="false">Pressupostos!$D$283*(D1887+D1890)*(D1893+D1894-Pressupostos!$C$70)/365*Pressupostos!$D$277/Pressupostos!$D$31</f>
        <v>0.189308219178082</v>
      </c>
      <c r="E1904" s="60" t="n">
        <f aca="false">Pressupostos!$E$283*(E1887+E1890)*(E1893+E1894-Pressupostos!$C$70)/365*Pressupostos!$E$277/Pressupostos!$D$31</f>
        <v>0.0479666095890411</v>
      </c>
      <c r="F1904" s="60" t="n">
        <f aca="false">Pressupostos!$F$283*(F1887+F1890)*(F1893+F1894-Pressupostos!$C$70)/365*Pressupostos!$F$277/Pressupostos!$D$31</f>
        <v>0.0447688356164384</v>
      </c>
      <c r="G1904" s="60" t="n">
        <f aca="false">Pressupostos!$G$283*(G1887+G1890)*(G1893+G1894-Pressupostos!$C$70)/365*Pressupostos!$G$277/Pressupostos!$D$31</f>
        <v>0.0447688356164384</v>
      </c>
      <c r="H1904" s="2" t="s">
        <v>1138</v>
      </c>
    </row>
    <row r="1905" customFormat="false" ht="15" hidden="false" customHeight="false" outlineLevel="1" collapsed="false">
      <c r="A1905" s="7" t="s">
        <v>640</v>
      </c>
      <c r="B1905" s="8" t="s">
        <v>59</v>
      </c>
      <c r="C1905" s="60" t="n">
        <f aca="false">C1887+C1890+C1891+C1892+C1895+C1896+C1897+C1898+C1899+C1900+C1901+C1902+C1903+C1904</f>
        <v>4.74236568493151</v>
      </c>
      <c r="D1905" s="60" t="n">
        <f aca="false">D1887+D1890+D1891+D1892+D1895+D1896+D1897+D1898+D1899+D1900+D1901+D1902+D1903+D1904</f>
        <v>4.93167390410959</v>
      </c>
      <c r="E1905" s="60" t="n">
        <f aca="false">E1887+E1890+E1891+E1892+E1895+E1896+E1897+E1898+E1899+E1900+E1901+E1902+E1903+E1904</f>
        <v>4.73616928082192</v>
      </c>
      <c r="F1905" s="60" t="n">
        <f aca="false">F1887+F1890+F1891+F1892+F1895+F1896+F1897+F1898+F1899+F1900+F1901+F1902+F1903+F1904</f>
        <v>4.72297150684932</v>
      </c>
      <c r="G1905" s="60" t="n">
        <f aca="false">G1887+G1890+G1891+G1892+G1895+G1896+G1897+G1898+G1899+G1900+G1901+G1902+G1903+G1904</f>
        <v>4.72297150684932</v>
      </c>
      <c r="H1905" s="2" t="s">
        <v>1139</v>
      </c>
    </row>
    <row r="1906" customFormat="false" ht="15" hidden="false" customHeight="false" outlineLevel="1" collapsed="false">
      <c r="A1906" s="52" t="s">
        <v>641</v>
      </c>
      <c r="B1906" s="53" t="s">
        <v>59</v>
      </c>
      <c r="C1906" s="64" t="n">
        <f aca="false">C1889-C1905</f>
        <v>0.0601343150684945</v>
      </c>
      <c r="D1906" s="64" t="n">
        <f aca="false">D1889-D1905</f>
        <v>-0.129173904109588</v>
      </c>
      <c r="E1906" s="64" t="n">
        <f aca="false">E1889-E1905</f>
        <v>0.0663307191780822</v>
      </c>
      <c r="F1906" s="64" t="n">
        <f aca="false">F1889-F1905</f>
        <v>0.0795284931506854</v>
      </c>
      <c r="G1906" s="64" t="n">
        <f aca="false">G1889-G1905</f>
        <v>0.0795284931506854</v>
      </c>
      <c r="H1906" s="2" t="s">
        <v>1140</v>
      </c>
    </row>
    <row r="1907" customFormat="false" ht="15" hidden="false" customHeight="false" outlineLevel="1" collapsed="false">
      <c r="A1907" s="7" t="s">
        <v>642</v>
      </c>
      <c r="B1907" s="8" t="s">
        <v>71</v>
      </c>
      <c r="C1907" s="55" t="n">
        <f aca="false">IF(C1889&gt;0,C1906/C1889,0)</f>
        <v>0.0125214607118156</v>
      </c>
      <c r="D1907" s="55" t="n">
        <f aca="false">IF(D1889&gt;0,D1906/D1889,0)</f>
        <v>-0.0268972210535321</v>
      </c>
      <c r="E1907" s="55" t="n">
        <f aca="false">IF(E1889&gt;0,E1906/E1889,0)</f>
        <v>0.0138117062317714</v>
      </c>
      <c r="F1907" s="55" t="n">
        <f aca="false">IF(F1889&gt;0,F1906/F1889,0)</f>
        <v>0.0165598111714077</v>
      </c>
      <c r="G1907" s="55" t="n">
        <f aca="false">IF(G1889&gt;0,G1906/G1889,0)</f>
        <v>0.0165598111714077</v>
      </c>
      <c r="H1907" s="2" t="s">
        <v>1141</v>
      </c>
    </row>
    <row r="1908" customFormat="false" ht="15" hidden="false" customHeight="false" outlineLevel="1" collapsed="false">
      <c r="A1908" s="7" t="s">
        <v>643</v>
      </c>
      <c r="B1908" s="8" t="s">
        <v>59</v>
      </c>
      <c r="C1908" s="60" t="n">
        <f aca="false">(C1887+C1890)*(C1893-Pressupostos!$C$70)/365+C1889*C1894/365</f>
        <v>2.16599315068493</v>
      </c>
      <c r="D1908" s="60" t="n">
        <f aca="false">(D1887+D1890)*(D1893-Pressupostos!$C$70)/365+D1889*D1894/365</f>
        <v>2.16599315068493</v>
      </c>
      <c r="E1908" s="60" t="n">
        <f aca="false">(E1887+E1890)*(E1893-Pressupostos!$C$70)/365+E1889*E1894/365</f>
        <v>0.631061643835617</v>
      </c>
      <c r="F1908" s="60" t="n">
        <f aca="false">(F1887+F1890)*(F1893-Pressupostos!$C$70)/365+F1889*F1894/365</f>
        <v>0.631061643835617</v>
      </c>
      <c r="G1908" s="60" t="n">
        <f aca="false">(G1887+G1890)*(G1893-Pressupostos!$C$70)/365+G1889*G1894/365</f>
        <v>0.631061643835617</v>
      </c>
      <c r="H1908" s="2" t="s">
        <v>1142</v>
      </c>
    </row>
    <row r="1909" customFormat="false" ht="15" hidden="false" customHeight="false" outlineLevel="0" collapsed="false">
      <c r="A1909" s="3" t="s">
        <v>1143</v>
      </c>
      <c r="B1909" s="4"/>
      <c r="C1909" s="4"/>
      <c r="D1909" s="4"/>
      <c r="E1909" s="4"/>
      <c r="F1909" s="4"/>
      <c r="G1909" s="4"/>
      <c r="H1909" s="4"/>
    </row>
    <row r="1910" customFormat="false" ht="15" hidden="false" customHeight="false" outlineLevel="1" collapsed="false">
      <c r="A1910" s="7" t="s">
        <v>633</v>
      </c>
      <c r="B1910" s="8" t="s">
        <v>59</v>
      </c>
      <c r="C1910" s="60" t="n">
        <f aca="false">Pressupostos!$D$10+Pressupostos!$D$12</f>
        <v>3.6</v>
      </c>
      <c r="D1910" s="60" t="n">
        <f aca="false">Pressupostos!$D$10+Pressupostos!$D$12</f>
        <v>3.6</v>
      </c>
      <c r="E1910" s="60" t="n">
        <f aca="false">Pressupostos!$D$10+Pressupostos!$D$12</f>
        <v>3.6</v>
      </c>
      <c r="F1910" s="60" t="n">
        <f aca="false">Pressupostos!$D$10+Pressupostos!$D$12</f>
        <v>3.6</v>
      </c>
      <c r="G1910" s="60" t="n">
        <f aca="false">Pressupostos!$D$10+Pressupostos!$D$12</f>
        <v>3.6</v>
      </c>
      <c r="H1910" s="2" t="s">
        <v>1144</v>
      </c>
    </row>
    <row r="1911" customFormat="false" ht="15" hidden="false" customHeight="false" outlineLevel="1" collapsed="false">
      <c r="A1911" s="7" t="s">
        <v>634</v>
      </c>
      <c r="B1911" s="8" t="s">
        <v>59</v>
      </c>
      <c r="C1911" s="60" t="n">
        <f aca="false">Pressupostos!$D$20+Pressupostos!$D$21</f>
        <v>4.35</v>
      </c>
      <c r="D1911" s="60" t="n">
        <f aca="false">Pressupostos!$D$20+Pressupostos!$D$21</f>
        <v>4.35</v>
      </c>
      <c r="E1911" s="60" t="n">
        <f aca="false">Pressupostos!$D$20+Pressupostos!$D$21</f>
        <v>4.35</v>
      </c>
      <c r="F1911" s="60" t="n">
        <f aca="false">Pressupostos!$D$20+Pressupostos!$D$21</f>
        <v>4.35</v>
      </c>
      <c r="G1911" s="60" t="n">
        <f aca="false">Pressupostos!$D$20+Pressupostos!$D$21</f>
        <v>4.35</v>
      </c>
      <c r="H1911" s="2" t="s">
        <v>1145</v>
      </c>
    </row>
    <row r="1912" customFormat="false" ht="15" hidden="false" customHeight="false" outlineLevel="1" collapsed="false">
      <c r="A1912" s="52" t="s">
        <v>635</v>
      </c>
      <c r="B1912" s="53" t="s">
        <v>59</v>
      </c>
      <c r="C1912" s="64" t="n">
        <f aca="false">C1911*(1-Pressupostos!$D$22)</f>
        <v>4.35</v>
      </c>
      <c r="D1912" s="64" t="n">
        <f aca="false">D1911*(1-Pressupostos!$D$22)</f>
        <v>4.35</v>
      </c>
      <c r="E1912" s="64" t="n">
        <f aca="false">E1911*(1-Pressupostos!$D$22)</f>
        <v>4.35</v>
      </c>
      <c r="F1912" s="64" t="n">
        <f aca="false">F1911*(1-Pressupostos!$D$22)</f>
        <v>4.35</v>
      </c>
      <c r="G1912" s="64" t="n">
        <f aca="false">G1911*(1-Pressupostos!$D$22)</f>
        <v>4.35</v>
      </c>
      <c r="H1912" s="2" t="s">
        <v>1146</v>
      </c>
    </row>
    <row r="1913" customFormat="false" ht="15" hidden="false" customHeight="false" outlineLevel="1" collapsed="false">
      <c r="A1913" s="7" t="s">
        <v>136</v>
      </c>
      <c r="B1913" s="8" t="s">
        <v>59</v>
      </c>
      <c r="C1913" s="63" t="n">
        <f aca="false">Pressupostos!$C$44</f>
        <v>0.45</v>
      </c>
      <c r="D1913" s="63" t="n">
        <f aca="false">Pressupostos!$C$44</f>
        <v>0.45</v>
      </c>
      <c r="E1913" s="63" t="n">
        <f aca="false">Pressupostos!$C$44</f>
        <v>0.45</v>
      </c>
      <c r="F1913" s="63" t="n">
        <f aca="false">Pressupostos!$C$44</f>
        <v>0.45</v>
      </c>
      <c r="G1913" s="63" t="n">
        <f aca="false">Pressupostos!$C$44</f>
        <v>0.45</v>
      </c>
      <c r="H1913" s="2" t="s">
        <v>1147</v>
      </c>
    </row>
    <row r="1914" customFormat="false" ht="15" hidden="false" customHeight="false" outlineLevel="1" collapsed="false">
      <c r="A1914" s="7" t="s">
        <v>205</v>
      </c>
      <c r="B1914" s="8" t="s">
        <v>59</v>
      </c>
      <c r="C1914" s="63" t="n">
        <f aca="false">Pressupostos!$C$245</f>
        <v>0.1</v>
      </c>
      <c r="D1914" s="63" t="n">
        <f aca="false">Pressupostos!$D$245</f>
        <v>0.1</v>
      </c>
      <c r="E1914" s="63" t="n">
        <f aca="false">Pressupostos!$E$245</f>
        <v>0.09</v>
      </c>
      <c r="F1914" s="63" t="n">
        <f aca="false">Pressupostos!$F$245</f>
        <v>0.09</v>
      </c>
      <c r="G1914" s="63" t="n">
        <f aca="false">Pressupostos!$G$245</f>
        <v>0.09</v>
      </c>
      <c r="H1914" s="2" t="s">
        <v>1148</v>
      </c>
    </row>
    <row r="1915" customFormat="false" ht="15" hidden="false" customHeight="false" outlineLevel="1" collapsed="false">
      <c r="A1915" s="7" t="s">
        <v>109</v>
      </c>
      <c r="B1915" s="8" t="s">
        <v>59</v>
      </c>
      <c r="C1915" s="63" t="n">
        <f aca="false">Pressupostos!$C$45</f>
        <v>0</v>
      </c>
      <c r="D1915" s="63" t="n">
        <f aca="false">Pressupostos!$C$45</f>
        <v>0</v>
      </c>
      <c r="E1915" s="63" t="n">
        <f aca="false">Pressupostos!$C$45</f>
        <v>0</v>
      </c>
      <c r="F1915" s="63" t="n">
        <f aca="false">Pressupostos!$C$45</f>
        <v>0</v>
      </c>
      <c r="G1915" s="63" t="n">
        <f aca="false">Pressupostos!$C$45</f>
        <v>0</v>
      </c>
      <c r="H1915" s="2" t="s">
        <v>1149</v>
      </c>
    </row>
    <row r="1916" customFormat="false" ht="15" hidden="false" customHeight="false" outlineLevel="1" collapsed="false">
      <c r="A1916" s="7" t="s">
        <v>86</v>
      </c>
      <c r="B1916" s="8" t="s">
        <v>74</v>
      </c>
      <c r="C1916" s="65" t="n">
        <f aca="false">Pressupostos!$D$23</f>
        <v>30</v>
      </c>
      <c r="D1916" s="65" t="n">
        <f aca="false">Pressupostos!$D$23</f>
        <v>30</v>
      </c>
      <c r="E1916" s="65" t="n">
        <f aca="false">Pressupostos!$D$23</f>
        <v>30</v>
      </c>
      <c r="F1916" s="65" t="n">
        <f aca="false">Pressupostos!$D$23</f>
        <v>30</v>
      </c>
      <c r="G1916" s="65" t="n">
        <f aca="false">Pressupostos!$D$23</f>
        <v>30</v>
      </c>
      <c r="H1916" s="2" t="s">
        <v>1150</v>
      </c>
    </row>
    <row r="1917" customFormat="false" ht="15" hidden="false" customHeight="false" outlineLevel="1" collapsed="false">
      <c r="A1917" s="7" t="s">
        <v>73</v>
      </c>
      <c r="B1917" s="8" t="s">
        <v>74</v>
      </c>
      <c r="C1917" s="65" t="n">
        <f aca="false">Pressupostos!$D$24</f>
        <v>45</v>
      </c>
      <c r="D1917" s="65" t="n">
        <f aca="false">Pressupostos!$D$24</f>
        <v>45</v>
      </c>
      <c r="E1917" s="65" t="n">
        <f aca="false">Pressupostos!$D$24</f>
        <v>45</v>
      </c>
      <c r="F1917" s="65" t="n">
        <f aca="false">Pressupostos!$D$24</f>
        <v>45</v>
      </c>
      <c r="G1917" s="65" t="n">
        <f aca="false">Pressupostos!$D$24</f>
        <v>45</v>
      </c>
      <c r="H1917" s="2" t="s">
        <v>1151</v>
      </c>
    </row>
    <row r="1918" customFormat="false" ht="15" hidden="false" customHeight="false" outlineLevel="1" collapsed="false">
      <c r="A1918" s="7" t="s">
        <v>471</v>
      </c>
      <c r="B1918" s="8" t="s">
        <v>59</v>
      </c>
      <c r="C1918" s="60" t="n">
        <f aca="false">Pressupostos!$C$64*C1916/30/1000</f>
        <v>0.004</v>
      </c>
      <c r="D1918" s="60" t="n">
        <f aca="false">Pressupostos!$C$64*D1916/30/1000</f>
        <v>0.004</v>
      </c>
      <c r="E1918" s="60" t="n">
        <f aca="false">Pressupostos!$C$64*E1916/30/1000</f>
        <v>0.004</v>
      </c>
      <c r="F1918" s="60" t="n">
        <f aca="false">Pressupostos!$C$64*F1916/30/1000</f>
        <v>0.004</v>
      </c>
      <c r="G1918" s="60" t="n">
        <f aca="false">Pressupostos!$C$64*G1916/30/1000</f>
        <v>0.004</v>
      </c>
      <c r="H1918" s="2" t="s">
        <v>1152</v>
      </c>
    </row>
    <row r="1919" customFormat="false" ht="15" hidden="false" customHeight="false" outlineLevel="1" collapsed="false">
      <c r="A1919" s="7" t="s">
        <v>154</v>
      </c>
      <c r="B1919" s="8" t="s">
        <v>59</v>
      </c>
      <c r="C1919" s="60" t="n">
        <f aca="false">C1910*Pressupostos!$C$65*C1916/365</f>
        <v>0.000591780821917808</v>
      </c>
      <c r="D1919" s="60" t="n">
        <f aca="false">D1910*Pressupostos!$C$65*D1916/365</f>
        <v>0.000591780821917808</v>
      </c>
      <c r="E1919" s="60" t="n">
        <f aca="false">E1910*Pressupostos!$C$65*E1916/365</f>
        <v>0.000591780821917808</v>
      </c>
      <c r="F1919" s="60" t="n">
        <f aca="false">F1910*Pressupostos!$C$65*F1916/365</f>
        <v>0.000591780821917808</v>
      </c>
      <c r="G1919" s="60" t="n">
        <f aca="false">G1910*Pressupostos!$C$65*G1916/365</f>
        <v>0.000591780821917808</v>
      </c>
      <c r="H1919" s="2" t="s">
        <v>1153</v>
      </c>
    </row>
    <row r="1920" customFormat="false" ht="15" hidden="false" customHeight="false" outlineLevel="1" collapsed="false">
      <c r="A1920" s="7" t="s">
        <v>636</v>
      </c>
      <c r="B1920" s="8" t="s">
        <v>59</v>
      </c>
      <c r="C1920" s="60" t="n">
        <f aca="false">Pressupostos!$C$47*Pressupostos!$C$66/(Pressupostos!$C$46*1000)</f>
        <v>0.02</v>
      </c>
      <c r="D1920" s="60" t="n">
        <f aca="false">Pressupostos!$C$47*Pressupostos!$C$66/(Pressupostos!$C$46*1000)</f>
        <v>0.02</v>
      </c>
      <c r="E1920" s="60" t="n">
        <f aca="false">Pressupostos!$C$47*Pressupostos!$C$66/(Pressupostos!$C$46*1000)</f>
        <v>0.02</v>
      </c>
      <c r="F1920" s="60" t="n">
        <f aca="false">Pressupostos!$C$47*Pressupostos!$C$66/(Pressupostos!$C$46*1000)</f>
        <v>0.02</v>
      </c>
      <c r="G1920" s="60" t="n">
        <f aca="false">Pressupostos!$C$47*Pressupostos!$C$66/(Pressupostos!$C$46*1000)</f>
        <v>0.02</v>
      </c>
      <c r="H1920" s="2" t="s">
        <v>1154</v>
      </c>
    </row>
    <row r="1921" customFormat="false" ht="15" hidden="false" customHeight="false" outlineLevel="1" collapsed="false">
      <c r="A1921" s="7" t="s">
        <v>473</v>
      </c>
      <c r="B1921" s="8" t="s">
        <v>59</v>
      </c>
      <c r="C1921" s="60" t="n">
        <f aca="false">Pressupostos!$C$67*C1910</f>
        <v>0.018</v>
      </c>
      <c r="D1921" s="60" t="n">
        <f aca="false">Pressupostos!$C$67*D1910</f>
        <v>0.018</v>
      </c>
      <c r="E1921" s="60" t="n">
        <f aca="false">Pressupostos!$C$67*E1910</f>
        <v>0.018</v>
      </c>
      <c r="F1921" s="60" t="n">
        <f aca="false">Pressupostos!$C$67*F1910</f>
        <v>0.018</v>
      </c>
      <c r="G1921" s="60" t="n">
        <f aca="false">Pressupostos!$C$67*G1910</f>
        <v>0.018</v>
      </c>
      <c r="H1921" s="2" t="s">
        <v>1155</v>
      </c>
    </row>
    <row r="1922" customFormat="false" ht="15" hidden="false" customHeight="false" outlineLevel="1" collapsed="false">
      <c r="A1922" s="7" t="s">
        <v>474</v>
      </c>
      <c r="B1922" s="8" t="s">
        <v>59</v>
      </c>
      <c r="C1922" s="60" t="n">
        <f aca="false">Pressupostos!$C$68*Pressupostos!$C$69*C1916/90</f>
        <v>0.003</v>
      </c>
      <c r="D1922" s="60" t="n">
        <f aca="false">Pressupostos!$C$68*Pressupostos!$C$69*D1916/90</f>
        <v>0.003</v>
      </c>
      <c r="E1922" s="60" t="n">
        <f aca="false">Pressupostos!$C$68*Pressupostos!$C$69*E1916/90</f>
        <v>0.003</v>
      </c>
      <c r="F1922" s="60" t="n">
        <f aca="false">Pressupostos!$C$68*Pressupostos!$C$69*F1916/90</f>
        <v>0.003</v>
      </c>
      <c r="G1922" s="60" t="n">
        <f aca="false">Pressupostos!$C$68*Pressupostos!$C$69*G1916/90</f>
        <v>0.003</v>
      </c>
      <c r="H1922" s="2" t="s">
        <v>1156</v>
      </c>
    </row>
    <row r="1923" customFormat="false" ht="15" hidden="false" customHeight="false" outlineLevel="1" collapsed="false">
      <c r="A1923" s="7" t="s">
        <v>637</v>
      </c>
      <c r="B1923" s="8" t="s">
        <v>59</v>
      </c>
      <c r="C1923" s="60" t="n">
        <f aca="false">Pressupostos!$C$48/(Pressupostos!$C$46*1000)</f>
        <v>0.04</v>
      </c>
      <c r="D1923" s="60" t="n">
        <f aca="false">Pressupostos!$C$48/(Pressupostos!$C$46*1000)</f>
        <v>0.04</v>
      </c>
      <c r="E1923" s="60" t="n">
        <f aca="false">Pressupostos!$C$48/(Pressupostos!$C$46*1000)</f>
        <v>0.04</v>
      </c>
      <c r="F1923" s="60" t="n">
        <f aca="false">Pressupostos!$C$48/(Pressupostos!$C$46*1000)</f>
        <v>0.04</v>
      </c>
      <c r="G1923" s="60" t="n">
        <f aca="false">Pressupostos!$C$48/(Pressupostos!$C$46*1000)</f>
        <v>0.04</v>
      </c>
      <c r="H1923" s="2" t="s">
        <v>1157</v>
      </c>
    </row>
    <row r="1924" customFormat="false" ht="15" hidden="false" customHeight="false" outlineLevel="1" collapsed="false">
      <c r="A1924" s="7" t="s">
        <v>131</v>
      </c>
      <c r="B1924" s="8" t="s">
        <v>59</v>
      </c>
      <c r="C1924" s="63" t="n">
        <f aca="false">Pressupostos!$C$49</f>
        <v>0.005</v>
      </c>
      <c r="D1924" s="63" t="n">
        <f aca="false">Pressupostos!$C$49</f>
        <v>0.005</v>
      </c>
      <c r="E1924" s="63" t="n">
        <f aca="false">Pressupostos!$C$49</f>
        <v>0.005</v>
      </c>
      <c r="F1924" s="63" t="n">
        <f aca="false">Pressupostos!$C$49</f>
        <v>0.005</v>
      </c>
      <c r="G1924" s="63" t="n">
        <f aca="false">Pressupostos!$C$49</f>
        <v>0.005</v>
      </c>
      <c r="H1924" s="2" t="s">
        <v>1158</v>
      </c>
    </row>
    <row r="1925" customFormat="false" ht="15" hidden="false" customHeight="false" outlineLevel="1" collapsed="false">
      <c r="A1925" s="7" t="s">
        <v>76</v>
      </c>
      <c r="B1925" s="8" t="s">
        <v>59</v>
      </c>
      <c r="C1925" s="60" t="n">
        <f aca="false">Pressupostos!$D$25*C1912</f>
        <v>0.01305</v>
      </c>
      <c r="D1925" s="60" t="n">
        <f aca="false">Pressupostos!$D$25*D1912</f>
        <v>0.01305</v>
      </c>
      <c r="E1925" s="60" t="n">
        <f aca="false">Pressupostos!$D$25*E1912</f>
        <v>0.01305</v>
      </c>
      <c r="F1925" s="60" t="n">
        <f aca="false">Pressupostos!$D$25*F1912</f>
        <v>0.01305</v>
      </c>
      <c r="G1925" s="60" t="n">
        <f aca="false">Pressupostos!$D$25*G1912</f>
        <v>0.01305</v>
      </c>
      <c r="H1925" s="2" t="s">
        <v>1159</v>
      </c>
    </row>
    <row r="1926" customFormat="false" ht="15" hidden="false" customHeight="false" outlineLevel="1" collapsed="false">
      <c r="A1926" s="7" t="s">
        <v>638</v>
      </c>
      <c r="B1926" s="8" t="s">
        <v>59</v>
      </c>
      <c r="C1926" s="60" t="n">
        <f aca="false">Pressupostos!$C$71*C1912</f>
        <v>0</v>
      </c>
      <c r="D1926" s="60" t="n">
        <f aca="false">Pressupostos!$C$71*D1912</f>
        <v>0</v>
      </c>
      <c r="E1926" s="60" t="n">
        <f aca="false">Pressupostos!$C$71*E1912</f>
        <v>0</v>
      </c>
      <c r="F1926" s="60" t="n">
        <f aca="false">Pressupostos!$C$71*F1912</f>
        <v>0</v>
      </c>
      <c r="G1926" s="60" t="n">
        <f aca="false">Pressupostos!$C$71*G1912</f>
        <v>0</v>
      </c>
      <c r="H1926" s="2" t="s">
        <v>1160</v>
      </c>
    </row>
    <row r="1927" customFormat="false" ht="15" hidden="false" customHeight="false" outlineLevel="1" collapsed="false">
      <c r="A1927" s="7" t="s">
        <v>639</v>
      </c>
      <c r="B1927" s="8" t="s">
        <v>59</v>
      </c>
      <c r="C1927" s="60" t="n">
        <f aca="false">Pressupostos!$C$283*(C1910+C1913)*(C1916+C1917-Pressupostos!$C$70)/365*Pressupostos!$C$277/Pressupostos!$D$31</f>
        <v>0</v>
      </c>
      <c r="D1927" s="60" t="n">
        <f aca="false">Pressupostos!$D$283*(D1910+D1913)*(D1916+D1917-Pressupostos!$C$70)/365*Pressupostos!$D$277/Pressupostos!$D$31</f>
        <v>0.0449383561643836</v>
      </c>
      <c r="E1927" s="60" t="n">
        <f aca="false">Pressupostos!$E$283*(E1910+E1913)*(E1916+E1917-Pressupostos!$C$70)/365*Pressupostos!$E$277/Pressupostos!$D$31</f>
        <v>0.0421297089041096</v>
      </c>
      <c r="F1927" s="60" t="n">
        <f aca="false">Pressupostos!$F$283*(F1910+F1913)*(F1916+F1917-Pressupostos!$C$70)/365*Pressupostos!$F$277/Pressupostos!$D$31</f>
        <v>0.0393210616438356</v>
      </c>
      <c r="G1927" s="60" t="n">
        <f aca="false">Pressupostos!$G$283*(G1910+G1913)*(G1916+G1917-Pressupostos!$C$70)/365*Pressupostos!$G$277/Pressupostos!$D$31</f>
        <v>0.0393210616438356</v>
      </c>
      <c r="H1927" s="2" t="s">
        <v>1161</v>
      </c>
    </row>
    <row r="1928" customFormat="false" ht="15" hidden="false" customHeight="false" outlineLevel="1" collapsed="false">
      <c r="A1928" s="7" t="s">
        <v>640</v>
      </c>
      <c r="B1928" s="8" t="s">
        <v>59</v>
      </c>
      <c r="C1928" s="60" t="n">
        <f aca="false">C1910+C1913+C1914+C1915+C1918+C1919+C1920+C1921+C1922+C1923+C1924+C1925+C1926+C1927</f>
        <v>4.25364178082192</v>
      </c>
      <c r="D1928" s="60" t="n">
        <f aca="false">D1910+D1913+D1914+D1915+D1918+D1919+D1920+D1921+D1922+D1923+D1924+D1925+D1926+D1927</f>
        <v>4.2985801369863</v>
      </c>
      <c r="E1928" s="60" t="n">
        <f aca="false">E1910+E1913+E1914+E1915+E1918+E1919+E1920+E1921+E1922+E1923+E1924+E1925+E1926+E1927</f>
        <v>4.28577148972603</v>
      </c>
      <c r="F1928" s="60" t="n">
        <f aca="false">F1910+F1913+F1914+F1915+F1918+F1919+F1920+F1921+F1922+F1923+F1924+F1925+F1926+F1927</f>
        <v>4.28296284246575</v>
      </c>
      <c r="G1928" s="60" t="n">
        <f aca="false">G1910+G1913+G1914+G1915+G1918+G1919+G1920+G1921+G1922+G1923+G1924+G1925+G1926+G1927</f>
        <v>4.28296284246575</v>
      </c>
      <c r="H1928" s="2" t="s">
        <v>1162</v>
      </c>
    </row>
    <row r="1929" customFormat="false" ht="15" hidden="false" customHeight="false" outlineLevel="1" collapsed="false">
      <c r="A1929" s="52" t="s">
        <v>641</v>
      </c>
      <c r="B1929" s="53" t="s">
        <v>59</v>
      </c>
      <c r="C1929" s="64" t="n">
        <f aca="false">C1912-C1928</f>
        <v>0.0963582191780832</v>
      </c>
      <c r="D1929" s="64" t="n">
        <f aca="false">D1912-D1928</f>
        <v>0.0514198630136997</v>
      </c>
      <c r="E1929" s="64" t="n">
        <f aca="false">E1912-E1928</f>
        <v>0.0642285102739733</v>
      </c>
      <c r="F1929" s="64" t="n">
        <f aca="false">F1912-F1928</f>
        <v>0.067037157534247</v>
      </c>
      <c r="G1929" s="64" t="n">
        <f aca="false">G1912-G1928</f>
        <v>0.067037157534247</v>
      </c>
      <c r="H1929" s="2" t="s">
        <v>1163</v>
      </c>
    </row>
    <row r="1930" customFormat="false" ht="15" hidden="false" customHeight="false" outlineLevel="1" collapsed="false">
      <c r="A1930" s="7" t="s">
        <v>642</v>
      </c>
      <c r="B1930" s="8" t="s">
        <v>71</v>
      </c>
      <c r="C1930" s="55" t="n">
        <f aca="false">IF(C1912&gt;0,C1929/C1912,0)</f>
        <v>0.0221513147535823</v>
      </c>
      <c r="D1930" s="55" t="n">
        <f aca="false">IF(D1912&gt;0,D1929/D1912,0)</f>
        <v>0.0118206581640689</v>
      </c>
      <c r="E1930" s="55" t="n">
        <f aca="false">IF(E1912&gt;0,E1929/E1912,0)</f>
        <v>0.014765174775626</v>
      </c>
      <c r="F1930" s="55" t="n">
        <f aca="false">IF(F1912&gt;0,F1929/F1912,0)</f>
        <v>0.0154108408124706</v>
      </c>
      <c r="G1930" s="55" t="n">
        <f aca="false">IF(G1912&gt;0,G1929/G1912,0)</f>
        <v>0.0154108408124706</v>
      </c>
      <c r="H1930" s="2" t="s">
        <v>1164</v>
      </c>
    </row>
    <row r="1931" customFormat="false" ht="15" hidden="false" customHeight="false" outlineLevel="1" collapsed="false">
      <c r="A1931" s="7" t="s">
        <v>643</v>
      </c>
      <c r="B1931" s="8" t="s">
        <v>59</v>
      </c>
      <c r="C1931" s="60" t="n">
        <f aca="false">(C1910+C1913)*(C1916-Pressupostos!$C$70)/365+C1912*C1917/365</f>
        <v>0.536301369863014</v>
      </c>
      <c r="D1931" s="60" t="n">
        <f aca="false">(D1910+D1913)*(D1916-Pressupostos!$C$70)/365+D1912*D1917/365</f>
        <v>0.536301369863014</v>
      </c>
      <c r="E1931" s="60" t="n">
        <f aca="false">(E1910+E1913)*(E1916-Pressupostos!$C$70)/365+E1912*E1917/365</f>
        <v>0.536301369863014</v>
      </c>
      <c r="F1931" s="60" t="n">
        <f aca="false">(F1910+F1913)*(F1916-Pressupostos!$C$70)/365+F1912*F1917/365</f>
        <v>0.536301369863014</v>
      </c>
      <c r="G1931" s="60" t="n">
        <f aca="false">(G1910+G1913)*(G1916-Pressupostos!$C$70)/365+G1912*G1917/365</f>
        <v>0.536301369863014</v>
      </c>
      <c r="H1931" s="2" t="s">
        <v>1165</v>
      </c>
    </row>
    <row r="1932" customFormat="false" ht="15" hidden="false" customHeight="false" outlineLevel="0" collapsed="false">
      <c r="A1932" s="3" t="s">
        <v>1166</v>
      </c>
      <c r="B1932" s="4"/>
      <c r="C1932" s="4"/>
      <c r="D1932" s="4"/>
      <c r="E1932" s="4"/>
      <c r="F1932" s="4"/>
      <c r="G1932" s="4"/>
      <c r="H1932" s="4"/>
    </row>
    <row r="1933" customFormat="false" ht="15" hidden="false" customHeight="false" outlineLevel="1" collapsed="false">
      <c r="A1933" s="7" t="s">
        <v>633</v>
      </c>
      <c r="B1933" s="8" t="s">
        <v>59</v>
      </c>
      <c r="C1933" s="60" t="n">
        <f aca="false">Pressupostos!$D$10+Pressupostos!$D$13</f>
        <v>3.5</v>
      </c>
      <c r="D1933" s="60" t="n">
        <f aca="false">Pressupostos!$D$10+Pressupostos!$D$13</f>
        <v>3.5</v>
      </c>
      <c r="E1933" s="60" t="n">
        <f aca="false">Pressupostos!$D$10+Pressupostos!$D$13</f>
        <v>3.5</v>
      </c>
      <c r="F1933" s="60" t="n">
        <f aca="false">Pressupostos!$D$10+Pressupostos!$D$13</f>
        <v>3.5</v>
      </c>
      <c r="G1933" s="60" t="n">
        <f aca="false">Pressupostos!$D$10+Pressupostos!$D$13</f>
        <v>3.5</v>
      </c>
      <c r="H1933" s="2" t="s">
        <v>1167</v>
      </c>
    </row>
    <row r="1934" customFormat="false" ht="15" hidden="false" customHeight="false" outlineLevel="1" collapsed="false">
      <c r="A1934" s="7" t="s">
        <v>634</v>
      </c>
      <c r="B1934" s="8" t="s">
        <v>59</v>
      </c>
      <c r="C1934" s="60" t="n">
        <f aca="false">Pressupostos!$D$10+Pressupostos!$C$51</f>
        <v>3.65</v>
      </c>
      <c r="D1934" s="60" t="n">
        <f aca="false">Pressupostos!$D$10+Pressupostos!$C$51</f>
        <v>3.65</v>
      </c>
      <c r="E1934" s="60" t="n">
        <f aca="false">Pressupostos!$D$10+Pressupostos!$C$51</f>
        <v>3.65</v>
      </c>
      <c r="F1934" s="60" t="n">
        <f aca="false">Pressupostos!$D$10+Pressupostos!$C$51</f>
        <v>3.65</v>
      </c>
      <c r="G1934" s="60" t="n">
        <f aca="false">Pressupostos!$D$10+Pressupostos!$C$51</f>
        <v>3.65</v>
      </c>
      <c r="H1934" s="2" t="s">
        <v>1168</v>
      </c>
    </row>
    <row r="1935" customFormat="false" ht="15" hidden="false" customHeight="false" outlineLevel="1" collapsed="false">
      <c r="A1935" s="52" t="s">
        <v>635</v>
      </c>
      <c r="B1935" s="53" t="s">
        <v>59</v>
      </c>
      <c r="C1935" s="64" t="n">
        <f aca="false">C1934*(1-Pressupostos!$C$52)</f>
        <v>3.65</v>
      </c>
      <c r="D1935" s="64" t="n">
        <f aca="false">D1934*(1-Pressupostos!$C$52)</f>
        <v>3.65</v>
      </c>
      <c r="E1935" s="64" t="n">
        <f aca="false">E1934*(1-Pressupostos!$C$52)</f>
        <v>3.65</v>
      </c>
      <c r="F1935" s="64" t="n">
        <f aca="false">F1934*(1-Pressupostos!$C$52)</f>
        <v>3.65</v>
      </c>
      <c r="G1935" s="64" t="n">
        <f aca="false">G1934*(1-Pressupostos!$C$52)</f>
        <v>3.65</v>
      </c>
      <c r="H1935" s="2" t="s">
        <v>1169</v>
      </c>
    </row>
    <row r="1936" customFormat="false" ht="15" hidden="false" customHeight="false" outlineLevel="1" collapsed="false">
      <c r="A1936" s="7" t="s">
        <v>136</v>
      </c>
      <c r="B1936" s="8" t="s">
        <v>59</v>
      </c>
      <c r="C1936" s="63" t="n">
        <f aca="false">Pressupostos!$C$53</f>
        <v>0</v>
      </c>
      <c r="D1936" s="63" t="n">
        <f aca="false">Pressupostos!$C$53</f>
        <v>0</v>
      </c>
      <c r="E1936" s="63" t="n">
        <f aca="false">Pressupostos!$C$53</f>
        <v>0</v>
      </c>
      <c r="F1936" s="63" t="n">
        <f aca="false">Pressupostos!$C$53</f>
        <v>0</v>
      </c>
      <c r="G1936" s="63" t="n">
        <f aca="false">Pressupostos!$C$53</f>
        <v>0</v>
      </c>
      <c r="H1936" s="2" t="s">
        <v>1170</v>
      </c>
    </row>
    <row r="1937" customFormat="false" ht="15" hidden="false" customHeight="false" outlineLevel="1" collapsed="false">
      <c r="A1937" s="7" t="s">
        <v>205</v>
      </c>
      <c r="B1937" s="8" t="s">
        <v>59</v>
      </c>
      <c r="C1937" s="63" t="n">
        <f aca="false">Pressupostos!$C$54</f>
        <v>0.04</v>
      </c>
      <c r="D1937" s="63" t="n">
        <f aca="false">Pressupostos!$C$54</f>
        <v>0.04</v>
      </c>
      <c r="E1937" s="63" t="n">
        <f aca="false">Pressupostos!$C$54</f>
        <v>0.04</v>
      </c>
      <c r="F1937" s="63" t="n">
        <f aca="false">Pressupostos!$C$54</f>
        <v>0.04</v>
      </c>
      <c r="G1937" s="63" t="n">
        <f aca="false">Pressupostos!$C$54</f>
        <v>0.04</v>
      </c>
      <c r="H1937" s="2" t="s">
        <v>1171</v>
      </c>
    </row>
    <row r="1938" customFormat="false" ht="15" hidden="false" customHeight="false" outlineLevel="1" collapsed="false">
      <c r="A1938" s="7" t="s">
        <v>109</v>
      </c>
      <c r="B1938" s="8" t="s">
        <v>59</v>
      </c>
      <c r="C1938" s="63" t="n">
        <f aca="false">Pressupostos!$C$55</f>
        <v>0</v>
      </c>
      <c r="D1938" s="63" t="n">
        <f aca="false">Pressupostos!$C$55</f>
        <v>0</v>
      </c>
      <c r="E1938" s="63" t="n">
        <f aca="false">Pressupostos!$C$55</f>
        <v>0</v>
      </c>
      <c r="F1938" s="63" t="n">
        <f aca="false">Pressupostos!$C$55</f>
        <v>0</v>
      </c>
      <c r="G1938" s="63" t="n">
        <f aca="false">Pressupostos!$C$55</f>
        <v>0</v>
      </c>
      <c r="H1938" s="2" t="s">
        <v>1172</v>
      </c>
    </row>
    <row r="1939" customFormat="false" ht="15" hidden="false" customHeight="false" outlineLevel="1" collapsed="false">
      <c r="A1939" s="7" t="s">
        <v>86</v>
      </c>
      <c r="B1939" s="8" t="s">
        <v>74</v>
      </c>
      <c r="C1939" s="65" t="n">
        <f aca="false">Pressupostos!$C$56</f>
        <v>15</v>
      </c>
      <c r="D1939" s="65" t="n">
        <f aca="false">Pressupostos!$C$56</f>
        <v>15</v>
      </c>
      <c r="E1939" s="65" t="n">
        <f aca="false">Pressupostos!$C$56</f>
        <v>15</v>
      </c>
      <c r="F1939" s="65" t="n">
        <f aca="false">Pressupostos!$C$56</f>
        <v>15</v>
      </c>
      <c r="G1939" s="65" t="n">
        <f aca="false">Pressupostos!$C$56</f>
        <v>15</v>
      </c>
      <c r="H1939" s="2" t="s">
        <v>1173</v>
      </c>
    </row>
    <row r="1940" customFormat="false" ht="15" hidden="false" customHeight="false" outlineLevel="1" collapsed="false">
      <c r="A1940" s="7" t="s">
        <v>73</v>
      </c>
      <c r="B1940" s="8" t="s">
        <v>74</v>
      </c>
      <c r="C1940" s="65" t="n">
        <f aca="false">Pressupostos!$C$57</f>
        <v>45</v>
      </c>
      <c r="D1940" s="65" t="n">
        <f aca="false">Pressupostos!$C$57</f>
        <v>45</v>
      </c>
      <c r="E1940" s="65" t="n">
        <f aca="false">Pressupostos!$C$57</f>
        <v>45</v>
      </c>
      <c r="F1940" s="65" t="n">
        <f aca="false">Pressupostos!$C$57</f>
        <v>45</v>
      </c>
      <c r="G1940" s="65" t="n">
        <f aca="false">Pressupostos!$C$57</f>
        <v>45</v>
      </c>
      <c r="H1940" s="2" t="s">
        <v>1174</v>
      </c>
    </row>
    <row r="1941" customFormat="false" ht="15" hidden="false" customHeight="false" outlineLevel="1" collapsed="false">
      <c r="A1941" s="7" t="s">
        <v>471</v>
      </c>
      <c r="B1941" s="8" t="s">
        <v>59</v>
      </c>
      <c r="C1941" s="60" t="n">
        <f aca="false">Pressupostos!$C$64*C1939/30/1000</f>
        <v>0.002</v>
      </c>
      <c r="D1941" s="60" t="n">
        <f aca="false">Pressupostos!$C$64*D1939/30/1000</f>
        <v>0.002</v>
      </c>
      <c r="E1941" s="60" t="n">
        <f aca="false">Pressupostos!$C$64*E1939/30/1000</f>
        <v>0.002</v>
      </c>
      <c r="F1941" s="60" t="n">
        <f aca="false">Pressupostos!$C$64*F1939/30/1000</f>
        <v>0.002</v>
      </c>
      <c r="G1941" s="60" t="n">
        <f aca="false">Pressupostos!$C$64*G1939/30/1000</f>
        <v>0.002</v>
      </c>
      <c r="H1941" s="2" t="s">
        <v>1175</v>
      </c>
    </row>
    <row r="1942" customFormat="false" ht="15" hidden="false" customHeight="false" outlineLevel="1" collapsed="false">
      <c r="A1942" s="7" t="s">
        <v>154</v>
      </c>
      <c r="B1942" s="8" t="s">
        <v>59</v>
      </c>
      <c r="C1942" s="60" t="n">
        <f aca="false">C1933*Pressupostos!$C$65*C1939/365</f>
        <v>0.000287671232876712</v>
      </c>
      <c r="D1942" s="60" t="n">
        <f aca="false">D1933*Pressupostos!$C$65*D1939/365</f>
        <v>0.000287671232876712</v>
      </c>
      <c r="E1942" s="60" t="n">
        <f aca="false">E1933*Pressupostos!$C$65*E1939/365</f>
        <v>0.000287671232876712</v>
      </c>
      <c r="F1942" s="60" t="n">
        <f aca="false">F1933*Pressupostos!$C$65*F1939/365</f>
        <v>0.000287671232876712</v>
      </c>
      <c r="G1942" s="60" t="n">
        <f aca="false">G1933*Pressupostos!$C$65*G1939/365</f>
        <v>0.000287671232876712</v>
      </c>
      <c r="H1942" s="2" t="s">
        <v>1176</v>
      </c>
    </row>
    <row r="1943" customFormat="false" ht="15" hidden="false" customHeight="false" outlineLevel="1" collapsed="false">
      <c r="A1943" s="7" t="s">
        <v>636</v>
      </c>
      <c r="B1943" s="8" t="s">
        <v>59</v>
      </c>
      <c r="C1943" s="60" t="n">
        <f aca="false">Pressupostos!$C$59*Pressupostos!$C$66/(Pressupostos!$C$58*1000)</f>
        <v>0.006</v>
      </c>
      <c r="D1943" s="60" t="n">
        <f aca="false">Pressupostos!$C$59*Pressupostos!$C$66/(Pressupostos!$C$58*1000)</f>
        <v>0.006</v>
      </c>
      <c r="E1943" s="60" t="n">
        <f aca="false">Pressupostos!$C$59*Pressupostos!$C$66/(Pressupostos!$C$58*1000)</f>
        <v>0.006</v>
      </c>
      <c r="F1943" s="60" t="n">
        <f aca="false">Pressupostos!$C$59*Pressupostos!$C$66/(Pressupostos!$C$58*1000)</f>
        <v>0.006</v>
      </c>
      <c r="G1943" s="60" t="n">
        <f aca="false">Pressupostos!$C$59*Pressupostos!$C$66/(Pressupostos!$C$58*1000)</f>
        <v>0.006</v>
      </c>
      <c r="H1943" s="2" t="s">
        <v>1177</v>
      </c>
    </row>
    <row r="1944" customFormat="false" ht="15" hidden="false" customHeight="false" outlineLevel="1" collapsed="false">
      <c r="A1944" s="7" t="s">
        <v>473</v>
      </c>
      <c r="B1944" s="8" t="s">
        <v>59</v>
      </c>
      <c r="C1944" s="60" t="n">
        <f aca="false">Pressupostos!$C$67*C1933</f>
        <v>0.0175</v>
      </c>
      <c r="D1944" s="60" t="n">
        <f aca="false">Pressupostos!$C$67*D1933</f>
        <v>0.0175</v>
      </c>
      <c r="E1944" s="60" t="n">
        <f aca="false">Pressupostos!$C$67*E1933</f>
        <v>0.0175</v>
      </c>
      <c r="F1944" s="60" t="n">
        <f aca="false">Pressupostos!$C$67*F1933</f>
        <v>0.0175</v>
      </c>
      <c r="G1944" s="60" t="n">
        <f aca="false">Pressupostos!$C$67*G1933</f>
        <v>0.0175</v>
      </c>
      <c r="H1944" s="2" t="s">
        <v>1178</v>
      </c>
    </row>
    <row r="1945" customFormat="false" ht="15" hidden="false" customHeight="false" outlineLevel="1" collapsed="false">
      <c r="A1945" s="7" t="s">
        <v>474</v>
      </c>
      <c r="B1945" s="8" t="s">
        <v>59</v>
      </c>
      <c r="C1945" s="60" t="n">
        <f aca="false">Pressupostos!$C$68*Pressupostos!$C$69*C1939/90</f>
        <v>0.0015</v>
      </c>
      <c r="D1945" s="60" t="n">
        <f aca="false">Pressupostos!$C$68*Pressupostos!$C$69*D1939/90</f>
        <v>0.0015</v>
      </c>
      <c r="E1945" s="60" t="n">
        <f aca="false">Pressupostos!$C$68*Pressupostos!$C$69*E1939/90</f>
        <v>0.0015</v>
      </c>
      <c r="F1945" s="60" t="n">
        <f aca="false">Pressupostos!$C$68*Pressupostos!$C$69*F1939/90</f>
        <v>0.0015</v>
      </c>
      <c r="G1945" s="60" t="n">
        <f aca="false">Pressupostos!$C$68*Pressupostos!$C$69*G1939/90</f>
        <v>0.0015</v>
      </c>
      <c r="H1945" s="2" t="s">
        <v>1179</v>
      </c>
    </row>
    <row r="1946" customFormat="false" ht="15" hidden="false" customHeight="false" outlineLevel="1" collapsed="false">
      <c r="A1946" s="7" t="s">
        <v>637</v>
      </c>
      <c r="B1946" s="8" t="s">
        <v>59</v>
      </c>
      <c r="C1946" s="60" t="n">
        <f aca="false">Pressupostos!$C$60/(Pressupostos!$C$58*1000)</f>
        <v>0.012</v>
      </c>
      <c r="D1946" s="60" t="n">
        <f aca="false">Pressupostos!$C$60/(Pressupostos!$C$58*1000)</f>
        <v>0.012</v>
      </c>
      <c r="E1946" s="60" t="n">
        <f aca="false">Pressupostos!$C$60/(Pressupostos!$C$58*1000)</f>
        <v>0.012</v>
      </c>
      <c r="F1946" s="60" t="n">
        <f aca="false">Pressupostos!$C$60/(Pressupostos!$C$58*1000)</f>
        <v>0.012</v>
      </c>
      <c r="G1946" s="60" t="n">
        <f aca="false">Pressupostos!$C$60/(Pressupostos!$C$58*1000)</f>
        <v>0.012</v>
      </c>
      <c r="H1946" s="2" t="s">
        <v>1180</v>
      </c>
    </row>
    <row r="1947" customFormat="false" ht="15" hidden="false" customHeight="false" outlineLevel="1" collapsed="false">
      <c r="A1947" s="7" t="s">
        <v>131</v>
      </c>
      <c r="B1947" s="8" t="s">
        <v>59</v>
      </c>
      <c r="C1947" s="63" t="n">
        <f aca="false">Pressupostos!$C$61</f>
        <v>0.001</v>
      </c>
      <c r="D1947" s="63" t="n">
        <f aca="false">Pressupostos!$C$61</f>
        <v>0.001</v>
      </c>
      <c r="E1947" s="63" t="n">
        <f aca="false">Pressupostos!$C$61</f>
        <v>0.001</v>
      </c>
      <c r="F1947" s="63" t="n">
        <f aca="false">Pressupostos!$C$61</f>
        <v>0.001</v>
      </c>
      <c r="G1947" s="63" t="n">
        <f aca="false">Pressupostos!$C$61</f>
        <v>0.001</v>
      </c>
      <c r="H1947" s="2" t="s">
        <v>1181</v>
      </c>
    </row>
    <row r="1948" customFormat="false" ht="15" hidden="false" customHeight="false" outlineLevel="1" collapsed="false">
      <c r="A1948" s="7" t="s">
        <v>76</v>
      </c>
      <c r="B1948" s="8" t="s">
        <v>59</v>
      </c>
      <c r="C1948" s="60" t="n">
        <f aca="false">Pressupostos!$C$62*C1935</f>
        <v>0.01095</v>
      </c>
      <c r="D1948" s="60" t="n">
        <f aca="false">Pressupostos!$C$62*D1935</f>
        <v>0.01095</v>
      </c>
      <c r="E1948" s="60" t="n">
        <f aca="false">Pressupostos!$C$62*E1935</f>
        <v>0.01095</v>
      </c>
      <c r="F1948" s="60" t="n">
        <f aca="false">Pressupostos!$C$62*F1935</f>
        <v>0.01095</v>
      </c>
      <c r="G1948" s="60" t="n">
        <f aca="false">Pressupostos!$C$62*G1935</f>
        <v>0.01095</v>
      </c>
      <c r="H1948" s="2" t="s">
        <v>1182</v>
      </c>
    </row>
    <row r="1949" customFormat="false" ht="15" hidden="false" customHeight="false" outlineLevel="1" collapsed="false">
      <c r="A1949" s="7" t="s">
        <v>638</v>
      </c>
      <c r="B1949" s="8" t="s">
        <v>59</v>
      </c>
      <c r="C1949" s="60" t="n">
        <f aca="false">Pressupostos!$C$71*C1935</f>
        <v>0</v>
      </c>
      <c r="D1949" s="60" t="n">
        <f aca="false">Pressupostos!$C$71*D1935</f>
        <v>0</v>
      </c>
      <c r="E1949" s="60" t="n">
        <f aca="false">Pressupostos!$C$71*E1935</f>
        <v>0</v>
      </c>
      <c r="F1949" s="60" t="n">
        <f aca="false">Pressupostos!$C$71*F1935</f>
        <v>0</v>
      </c>
      <c r="G1949" s="60" t="n">
        <f aca="false">Pressupostos!$C$71*G1935</f>
        <v>0</v>
      </c>
      <c r="H1949" s="2" t="s">
        <v>1183</v>
      </c>
    </row>
    <row r="1950" customFormat="false" ht="15" hidden="false" customHeight="false" outlineLevel="1" collapsed="false">
      <c r="A1950" s="7" t="s">
        <v>639</v>
      </c>
      <c r="B1950" s="8" t="s">
        <v>59</v>
      </c>
      <c r="C1950" s="60" t="n">
        <f aca="false">Pressupostos!$C$283*(C1933+C1936)*(C1939+C1940-Pressupostos!$C$70)/365*Pressupostos!$C$277/Pressupostos!$D$31</f>
        <v>0</v>
      </c>
      <c r="D1950" s="60" t="n">
        <f aca="false">Pressupostos!$D$283*(D1933+D1936)*(D1939+D1940-Pressupostos!$C$70)/365*Pressupostos!$D$277/Pressupostos!$D$31</f>
        <v>0.0258904109589041</v>
      </c>
      <c r="E1950" s="60" t="n">
        <f aca="false">Pressupostos!$E$283*(E1933+E1936)*(E1939+E1940-Pressupostos!$C$70)/365*Pressupostos!$E$277/Pressupostos!$D$31</f>
        <v>0.0242722602739726</v>
      </c>
      <c r="F1950" s="60" t="n">
        <f aca="false">Pressupostos!$F$283*(F1933+F1936)*(F1939+F1940-Pressupostos!$C$70)/365*Pressupostos!$F$277/Pressupostos!$D$31</f>
        <v>0.0226541095890411</v>
      </c>
      <c r="G1950" s="60" t="n">
        <f aca="false">Pressupostos!$G$283*(G1933+G1936)*(G1939+G1940-Pressupostos!$C$70)/365*Pressupostos!$G$277/Pressupostos!$D$31</f>
        <v>0.0226541095890411</v>
      </c>
      <c r="H1950" s="2" t="s">
        <v>1184</v>
      </c>
    </row>
    <row r="1951" customFormat="false" ht="15" hidden="false" customHeight="false" outlineLevel="1" collapsed="false">
      <c r="A1951" s="7" t="s">
        <v>640</v>
      </c>
      <c r="B1951" s="8" t="s">
        <v>59</v>
      </c>
      <c r="C1951" s="60" t="n">
        <f aca="false">C1933+C1936+C1937+C1938+C1941+C1942+C1943+C1944+C1945+C1946+C1947+C1948+C1949+C1950</f>
        <v>3.59123767123288</v>
      </c>
      <c r="D1951" s="60" t="n">
        <f aca="false">D1933+D1936+D1937+D1938+D1941+D1942+D1943+D1944+D1945+D1946+D1947+D1948+D1949+D1950</f>
        <v>3.61712808219178</v>
      </c>
      <c r="E1951" s="60" t="n">
        <f aca="false">E1933+E1936+E1937+E1938+E1941+E1942+E1943+E1944+E1945+E1946+E1947+E1948+E1949+E1950</f>
        <v>3.61550993150685</v>
      </c>
      <c r="F1951" s="60" t="n">
        <f aca="false">F1933+F1936+F1937+F1938+F1941+F1942+F1943+F1944+F1945+F1946+F1947+F1948+F1949+F1950</f>
        <v>3.61389178082192</v>
      </c>
      <c r="G1951" s="60" t="n">
        <f aca="false">G1933+G1936+G1937+G1938+G1941+G1942+G1943+G1944+G1945+G1946+G1947+G1948+G1949+G1950</f>
        <v>3.61389178082192</v>
      </c>
      <c r="H1951" s="2" t="s">
        <v>1185</v>
      </c>
    </row>
    <row r="1952" customFormat="false" ht="15" hidden="false" customHeight="false" outlineLevel="1" collapsed="false">
      <c r="A1952" s="52" t="s">
        <v>641</v>
      </c>
      <c r="B1952" s="53" t="s">
        <v>59</v>
      </c>
      <c r="C1952" s="64" t="n">
        <f aca="false">C1935-C1951</f>
        <v>0.058762328767124</v>
      </c>
      <c r="D1952" s="64" t="n">
        <f aca="false">D1935-D1951</f>
        <v>0.0328719178082197</v>
      </c>
      <c r="E1952" s="64" t="n">
        <f aca="false">E1935-E1951</f>
        <v>0.0344900684931515</v>
      </c>
      <c r="F1952" s="64" t="n">
        <f aca="false">F1935-F1951</f>
        <v>0.0361082191780828</v>
      </c>
      <c r="G1952" s="64" t="n">
        <f aca="false">G1935-G1951</f>
        <v>0.0361082191780828</v>
      </c>
      <c r="H1952" s="2" t="s">
        <v>1186</v>
      </c>
    </row>
    <row r="1953" customFormat="false" ht="15" hidden="false" customHeight="false" outlineLevel="1" collapsed="false">
      <c r="A1953" s="7" t="s">
        <v>642</v>
      </c>
      <c r="B1953" s="8" t="s">
        <v>71</v>
      </c>
      <c r="C1953" s="55" t="n">
        <f aca="false">IF(C1935&gt;0,C1952/C1935,0)</f>
        <v>0.0160992681553764</v>
      </c>
      <c r="D1953" s="55" t="n">
        <f aca="false">IF(D1935&gt;0,D1952/D1935,0)</f>
        <v>0.00900600487896431</v>
      </c>
      <c r="E1953" s="55" t="n">
        <f aca="false">IF(E1935&gt;0,E1952/E1935,0)</f>
        <v>0.00944933383374014</v>
      </c>
      <c r="F1953" s="55" t="n">
        <f aca="false">IF(F1935&gt;0,F1952/F1935,0)</f>
        <v>0.00989266278851584</v>
      </c>
      <c r="G1953" s="55" t="n">
        <f aca="false">IF(G1935&gt;0,G1952/G1935,0)</f>
        <v>0.00989266278851584</v>
      </c>
      <c r="H1953" s="2" t="s">
        <v>1187</v>
      </c>
    </row>
    <row r="1954" customFormat="false" ht="15" hidden="false" customHeight="false" outlineLevel="1" collapsed="false">
      <c r="A1954" s="7" t="s">
        <v>643</v>
      </c>
      <c r="B1954" s="8" t="s">
        <v>59</v>
      </c>
      <c r="C1954" s="60" t="n">
        <f aca="false">(C1933+C1936)*(C1939-Pressupostos!$C$70)/365+C1935*C1940/365</f>
        <v>0.306164383561644</v>
      </c>
      <c r="D1954" s="60" t="n">
        <f aca="false">(D1933+D1936)*(D1939-Pressupostos!$C$70)/365+D1935*D1940/365</f>
        <v>0.306164383561644</v>
      </c>
      <c r="E1954" s="60" t="n">
        <f aca="false">(E1933+E1936)*(E1939-Pressupostos!$C$70)/365+E1935*E1940/365</f>
        <v>0.306164383561644</v>
      </c>
      <c r="F1954" s="60" t="n">
        <f aca="false">(F1933+F1936)*(F1939-Pressupostos!$C$70)/365+F1935*F1940/365</f>
        <v>0.306164383561644</v>
      </c>
      <c r="G1954" s="60" t="n">
        <f aca="false">(G1933+G1936)*(G1939-Pressupostos!$C$70)/365+G1935*G1940/365</f>
        <v>0.306164383561644</v>
      </c>
      <c r="H1954" s="2" t="s">
        <v>1188</v>
      </c>
    </row>
    <row r="1955" customFormat="false" ht="15" hidden="false" customHeight="false" outlineLevel="0" collapsed="false">
      <c r="A1955" s="3" t="s">
        <v>1189</v>
      </c>
      <c r="B1955" s="4"/>
      <c r="C1955" s="4"/>
      <c r="D1955" s="4"/>
      <c r="E1955" s="4"/>
      <c r="F1955" s="4"/>
      <c r="G1955" s="4"/>
      <c r="H1955" s="4"/>
    </row>
    <row r="1956" customFormat="false" ht="15" hidden="false" customHeight="false" outlineLevel="1" collapsed="false">
      <c r="A1956" s="7" t="s">
        <v>575</v>
      </c>
      <c r="B1956" s="8" t="s">
        <v>10</v>
      </c>
      <c r="C1956" s="58" t="n">
        <f aca="false">C1871*1000*C1889</f>
        <v>38420</v>
      </c>
      <c r="D1956" s="58" t="n">
        <f aca="false">D1871*1000*D1889</f>
        <v>177692.5</v>
      </c>
      <c r="E1956" s="58" t="n">
        <f aca="false">E1871*1000*E1889</f>
        <v>638732.5</v>
      </c>
      <c r="F1956" s="58" t="n">
        <f aca="false">F1871*1000*F1889</f>
        <v>1282267.5</v>
      </c>
      <c r="G1956" s="58" t="n">
        <f aca="false">G1871*1000*G1889</f>
        <v>1969025</v>
      </c>
      <c r="H1956" s="2" t="s">
        <v>1190</v>
      </c>
    </row>
    <row r="1957" customFormat="false" ht="15" hidden="false" customHeight="false" outlineLevel="1" collapsed="false">
      <c r="A1957" s="7" t="s">
        <v>576</v>
      </c>
      <c r="B1957" s="8" t="s">
        <v>10</v>
      </c>
      <c r="C1957" s="58" t="n">
        <f aca="false">C1872*1000*C1912</f>
        <v>226200</v>
      </c>
      <c r="D1957" s="58" t="n">
        <f aca="false">D1872*1000*D1912</f>
        <v>1579050</v>
      </c>
      <c r="E1957" s="58" t="n">
        <f aca="false">E1872*1000*E1912</f>
        <v>3118950</v>
      </c>
      <c r="F1957" s="58" t="n">
        <f aca="false">F1872*1000*F1912</f>
        <v>5146050</v>
      </c>
      <c r="G1957" s="58" t="n">
        <f aca="false">G1872*1000*G1912</f>
        <v>7786500</v>
      </c>
      <c r="H1957" s="2" t="s">
        <v>1191</v>
      </c>
    </row>
    <row r="1958" customFormat="false" ht="15" hidden="false" customHeight="false" outlineLevel="1" collapsed="false">
      <c r="A1958" s="7" t="s">
        <v>577</v>
      </c>
      <c r="B1958" s="8" t="s">
        <v>10</v>
      </c>
      <c r="C1958" s="58" t="n">
        <f aca="false">C1873*1000*C1935</f>
        <v>0</v>
      </c>
      <c r="D1958" s="58" t="n">
        <f aca="false">D1873*1000*D1935</f>
        <v>0</v>
      </c>
      <c r="E1958" s="58" t="n">
        <f aca="false">E1873*1000*E1935</f>
        <v>0</v>
      </c>
      <c r="F1958" s="58" t="n">
        <f aca="false">F1873*1000*F1935</f>
        <v>0</v>
      </c>
      <c r="G1958" s="58" t="n">
        <f aca="false">G1873*1000*G1935</f>
        <v>0</v>
      </c>
      <c r="H1958" s="2" t="s">
        <v>1192</v>
      </c>
    </row>
    <row r="1959" customFormat="false" ht="15" hidden="false" customHeight="false" outlineLevel="1" collapsed="false">
      <c r="A1959" s="7" t="s">
        <v>578</v>
      </c>
      <c r="B1959" s="8" t="s">
        <v>10</v>
      </c>
      <c r="C1959" s="58" t="n">
        <f aca="false">C1956+C1957+C1958</f>
        <v>264620</v>
      </c>
      <c r="D1959" s="58" t="n">
        <f aca="false">D1956+D1957+D1958</f>
        <v>1756742.5</v>
      </c>
      <c r="E1959" s="58" t="n">
        <f aca="false">E1956+E1957+E1958</f>
        <v>3757682.5</v>
      </c>
      <c r="F1959" s="58" t="n">
        <f aca="false">F1956+F1957+F1958</f>
        <v>6428317.5</v>
      </c>
      <c r="G1959" s="58" t="n">
        <f aca="false">G1956+G1957+G1958</f>
        <v>9755525</v>
      </c>
      <c r="H1959" s="2" t="s">
        <v>1193</v>
      </c>
    </row>
    <row r="1960" customFormat="false" ht="15" hidden="false" customHeight="false" outlineLevel="1" collapsed="false">
      <c r="A1960" s="7" t="s">
        <v>579</v>
      </c>
      <c r="B1960" s="8" t="s">
        <v>10</v>
      </c>
      <c r="C1960" s="58" t="n">
        <f aca="false">C1882*1000*Pressupostos!$C$91</f>
        <v>0</v>
      </c>
      <c r="D1960" s="58" t="n">
        <f aca="false">D1882*1000*Pressupostos!$C$91</f>
        <v>0</v>
      </c>
      <c r="E1960" s="58" t="n">
        <f aca="false">E1882*1000*Pressupostos!$C$91</f>
        <v>235500</v>
      </c>
      <c r="F1960" s="58" t="n">
        <f aca="false">F1882*1000*Pressupostos!$C$91</f>
        <v>471000</v>
      </c>
      <c r="G1960" s="58" t="n">
        <f aca="false">G1882*1000*Pressupostos!$C$91</f>
        <v>785000</v>
      </c>
      <c r="H1960" s="2" t="s">
        <v>1194</v>
      </c>
    </row>
    <row r="1961" customFormat="false" ht="15" hidden="false" customHeight="false" outlineLevel="1" collapsed="false">
      <c r="A1961" s="2" t="s">
        <v>580</v>
      </c>
      <c r="B1961" s="8" t="s">
        <v>10</v>
      </c>
      <c r="C1961" s="58" t="n">
        <f aca="false">C1880*Pressupostos!$C$78*(1-Pressupostos!$C$79)</f>
        <v>40500</v>
      </c>
      <c r="D1961" s="58" t="n">
        <f aca="false">D1880*Pressupostos!$C$78*(1-Pressupostos!$C$79)</f>
        <v>162000</v>
      </c>
      <c r="E1961" s="58" t="n">
        <f aca="false">E1880*Pressupostos!$C$78*(1-Pressupostos!$C$79)</f>
        <v>270000</v>
      </c>
      <c r="F1961" s="58" t="n">
        <f aca="false">F1880*Pressupostos!$C$78*(1-Pressupostos!$C$79)</f>
        <v>378000</v>
      </c>
      <c r="G1961" s="58" t="n">
        <f aca="false">G1880*Pressupostos!$C$78*(1-Pressupostos!$C$79)</f>
        <v>486000</v>
      </c>
      <c r="H1961" s="2" t="s">
        <v>1195</v>
      </c>
    </row>
    <row r="1962" customFormat="false" ht="15" hidden="false" customHeight="false" outlineLevel="1" collapsed="false">
      <c r="A1962" s="7" t="s">
        <v>581</v>
      </c>
      <c r="B1962" s="8" t="s">
        <v>10</v>
      </c>
      <c r="C1962" s="58" t="n">
        <f aca="false">C1961*Pressupostos!$D$27</f>
        <v>810</v>
      </c>
      <c r="D1962" s="58" t="n">
        <f aca="false">D1961*Pressupostos!$D$27</f>
        <v>3240</v>
      </c>
      <c r="E1962" s="58" t="n">
        <f aca="false">E1961*Pressupostos!$D$27</f>
        <v>5400</v>
      </c>
      <c r="F1962" s="58" t="n">
        <f aca="false">F1961*Pressupostos!$D$27</f>
        <v>7560</v>
      </c>
      <c r="G1962" s="58" t="n">
        <f aca="false">G1961*Pressupostos!$D$27</f>
        <v>9720</v>
      </c>
      <c r="H1962" s="2" t="s">
        <v>1196</v>
      </c>
    </row>
    <row r="1963" customFormat="false" ht="15" hidden="false" customHeight="false" outlineLevel="1" collapsed="false">
      <c r="A1963" s="7" t="s">
        <v>582</v>
      </c>
      <c r="B1963" s="8" t="s">
        <v>10</v>
      </c>
      <c r="C1963" s="58" t="n">
        <f aca="false">C1884*(Pressupostos!$C$99*Pressupostos!$C$100+Pressupostos!$C$101)</f>
        <v>0</v>
      </c>
      <c r="D1963" s="58" t="n">
        <f aca="false">D1884*(Pressupostos!$C$99*Pressupostos!$C$100+Pressupostos!$C$101)</f>
        <v>10000</v>
      </c>
      <c r="E1963" s="58" t="n">
        <f aca="false">E1884*(Pressupostos!$C$99*Pressupostos!$C$100+Pressupostos!$C$101)</f>
        <v>30000</v>
      </c>
      <c r="F1963" s="58" t="n">
        <f aca="false">F1884*(Pressupostos!$C$99*Pressupostos!$C$100+Pressupostos!$C$101)</f>
        <v>60000</v>
      </c>
      <c r="G1963" s="58" t="n">
        <f aca="false">G1884*(Pressupostos!$C$99*Pressupostos!$C$100+Pressupostos!$C$101)</f>
        <v>100000</v>
      </c>
      <c r="H1963" s="2" t="s">
        <v>1197</v>
      </c>
    </row>
    <row r="1964" customFormat="false" ht="15" hidden="false" customHeight="false" outlineLevel="1" collapsed="false">
      <c r="A1964" s="7" t="s">
        <v>583</v>
      </c>
      <c r="B1964" s="8" t="s">
        <v>10</v>
      </c>
      <c r="C1964" s="50" t="n">
        <f aca="false">Pressupostos!$C$270</f>
        <v>0</v>
      </c>
      <c r="D1964" s="50" t="n">
        <f aca="false">Pressupostos!$D$270</f>
        <v>0</v>
      </c>
      <c r="E1964" s="50" t="n">
        <f aca="false">Pressupostos!$E$270</f>
        <v>0</v>
      </c>
      <c r="F1964" s="50" t="n">
        <f aca="false">Pressupostos!$F$270</f>
        <v>10000</v>
      </c>
      <c r="G1964" s="50" t="n">
        <f aca="false">Pressupostos!$G$270</f>
        <v>30000</v>
      </c>
      <c r="H1964" s="2" t="s">
        <v>1198</v>
      </c>
    </row>
    <row r="1965" customFormat="false" ht="15" hidden="false" customHeight="false" outlineLevel="1" collapsed="false">
      <c r="A1965" s="52" t="s">
        <v>584</v>
      </c>
      <c r="B1965" s="53" t="s">
        <v>10</v>
      </c>
      <c r="C1965" s="59" t="n">
        <f aca="false">C1959+C1960+C1962+C1963+C1964</f>
        <v>265430</v>
      </c>
      <c r="D1965" s="59" t="n">
        <f aca="false">D1959+D1960+D1962+D1963+D1964</f>
        <v>1769982.5</v>
      </c>
      <c r="E1965" s="59" t="n">
        <f aca="false">E1959+E1960+E1962+E1963+E1964</f>
        <v>4028582.5</v>
      </c>
      <c r="F1965" s="59" t="n">
        <f aca="false">F1959+F1960+F1962+F1963+F1964</f>
        <v>6976877.5</v>
      </c>
      <c r="G1965" s="59" t="n">
        <f aca="false">G1959+G1960+G1962+G1963+G1964</f>
        <v>10680245</v>
      </c>
      <c r="H1965" s="2" t="s">
        <v>1199</v>
      </c>
    </row>
    <row r="1966" customFormat="false" ht="15" hidden="false" customHeight="false" outlineLevel="0" collapsed="false">
      <c r="A1966" s="3" t="s">
        <v>1200</v>
      </c>
      <c r="B1966" s="4"/>
      <c r="C1966" s="4"/>
      <c r="D1966" s="4"/>
      <c r="E1966" s="4"/>
      <c r="F1966" s="4"/>
      <c r="G1966" s="4"/>
      <c r="H1966" s="4"/>
    </row>
    <row r="1967" customFormat="false" ht="15" hidden="false" customHeight="false" outlineLevel="1" collapsed="false">
      <c r="A1967" s="52" t="s">
        <v>586</v>
      </c>
      <c r="B1967" s="53" t="s">
        <v>10</v>
      </c>
      <c r="C1967" s="59" t="n">
        <f aca="false">C1959+C1960+C1961</f>
        <v>305120</v>
      </c>
      <c r="D1967" s="59" t="n">
        <f aca="false">D1959+D1960+D1961</f>
        <v>1918742.5</v>
      </c>
      <c r="E1967" s="59" t="n">
        <f aca="false">E1959+E1960+E1961</f>
        <v>4263182.5</v>
      </c>
      <c r="F1967" s="59" t="n">
        <f aca="false">F1959+F1960+F1961</f>
        <v>7277317.5</v>
      </c>
      <c r="G1967" s="59" t="n">
        <f aca="false">G1959+G1960+G1961</f>
        <v>11026525</v>
      </c>
      <c r="H1967" s="2" t="s">
        <v>1201</v>
      </c>
    </row>
    <row r="1968" customFormat="false" ht="15" hidden="false" customHeight="false" outlineLevel="1" collapsed="false">
      <c r="A1968" s="7" t="s">
        <v>587</v>
      </c>
      <c r="B1968" s="8" t="s">
        <v>10</v>
      </c>
      <c r="C1968" s="58" t="n">
        <f aca="false">C1871*1000*(C1887+C1890)+C1872*1000*(C1910+C1913)+C1873*1000*(C1933+C1936)+C1882*1000*Pressupostos!$C$90</f>
        <v>243800</v>
      </c>
      <c r="D1968" s="58" t="n">
        <f aca="false">D1871*1000*(D1887+D1890)+D1872*1000*(D1910+D1913)+D1873*1000*(D1933+D1936)+D1882*1000*Pressupostos!$C$90</f>
        <v>1623700</v>
      </c>
      <c r="E1968" s="58" t="n">
        <f aca="false">E1871*1000*(E1887+E1890)+E1872*1000*(E1910+E1913)+E1873*1000*(E1933+E1936)+E1882*1000*Pressupostos!$C$90</f>
        <v>3665800</v>
      </c>
      <c r="F1968" s="58" t="n">
        <f aca="false">F1871*1000*(F1887+F1890)+F1872*1000*(F1910+F1913)+F1873*1000*(F1933+F1936)+F1882*1000*Pressupostos!$C$90</f>
        <v>6319200</v>
      </c>
      <c r="G1968" s="58" t="n">
        <f aca="false">G1871*1000*(G1887+G1890)+G1872*1000*(G1910+G1913)+G1873*1000*(G1933+G1936)+G1882*1000*Pressupostos!$C$90</f>
        <v>9651000</v>
      </c>
      <c r="H1968" s="2" t="s">
        <v>1202</v>
      </c>
    </row>
    <row r="1969" customFormat="false" ht="15" hidden="false" customHeight="false" outlineLevel="1" collapsed="false">
      <c r="A1969" s="7" t="s">
        <v>588</v>
      </c>
      <c r="B1969" s="8" t="s">
        <v>10</v>
      </c>
      <c r="C1969" s="58" t="n">
        <f aca="false">C1968*Pressupostos!$C$277</f>
        <v>0</v>
      </c>
      <c r="D1969" s="58" t="n">
        <f aca="false">D1968*Pressupostos!$D$277</f>
        <v>1461330</v>
      </c>
      <c r="E1969" s="58" t="n">
        <f aca="false">E1968*Pressupostos!$E$277</f>
        <v>3299220</v>
      </c>
      <c r="F1969" s="58" t="n">
        <f aca="false">F1968*Pressupostos!$F$277</f>
        <v>5687280</v>
      </c>
      <c r="G1969" s="58" t="n">
        <f aca="false">G1968*Pressupostos!$G$277</f>
        <v>8685900</v>
      </c>
      <c r="H1969" s="2" t="s">
        <v>1203</v>
      </c>
    </row>
    <row r="1970" customFormat="false" ht="15" hidden="false" customHeight="false" outlineLevel="0" collapsed="false">
      <c r="A1970" s="3" t="s">
        <v>1204</v>
      </c>
      <c r="B1970" s="4"/>
      <c r="C1970" s="4"/>
      <c r="D1970" s="4"/>
      <c r="E1970" s="4"/>
      <c r="F1970" s="4"/>
      <c r="G1970" s="4"/>
      <c r="H1970" s="4"/>
    </row>
    <row r="1971" customFormat="false" ht="15" hidden="false" customHeight="false" outlineLevel="1" collapsed="false">
      <c r="A1971" s="7" t="s">
        <v>590</v>
      </c>
      <c r="B1971" s="8" t="s">
        <v>10</v>
      </c>
      <c r="C1971" s="58" t="n">
        <f aca="false">C1871*1000*C1906</f>
        <v>481.074520547956</v>
      </c>
      <c r="D1971" s="58" t="n">
        <f aca="false">D1871*1000*D1906</f>
        <v>-4779.43445205475</v>
      </c>
      <c r="E1971" s="58" t="n">
        <f aca="false">E1871*1000*E1906</f>
        <v>8821.98565068493</v>
      </c>
      <c r="F1971" s="58" t="n">
        <f aca="false">F1871*1000*F1906</f>
        <v>21234.107671233</v>
      </c>
      <c r="G1971" s="58" t="n">
        <f aca="false">G1871*1000*G1906</f>
        <v>32606.682191781</v>
      </c>
      <c r="H1971" s="2" t="s">
        <v>1205</v>
      </c>
    </row>
    <row r="1972" customFormat="false" ht="15" hidden="false" customHeight="false" outlineLevel="1" collapsed="false">
      <c r="A1972" s="7" t="s">
        <v>591</v>
      </c>
      <c r="B1972" s="8" t="s">
        <v>10</v>
      </c>
      <c r="C1972" s="58" t="n">
        <f aca="false">C1872*1000*C1929</f>
        <v>5010.62739726033</v>
      </c>
      <c r="D1972" s="58" t="n">
        <f aca="false">D1872*1000*D1929</f>
        <v>18665.410273973</v>
      </c>
      <c r="E1972" s="58" t="n">
        <f aca="false">E1872*1000*E1929</f>
        <v>46051.8418664388</v>
      </c>
      <c r="F1972" s="58" t="n">
        <f aca="false">F1872*1000*F1929</f>
        <v>79304.9573630142</v>
      </c>
      <c r="G1972" s="58" t="n">
        <f aca="false">G1872*1000*G1929</f>
        <v>119996.511986302</v>
      </c>
      <c r="H1972" s="2" t="s">
        <v>1206</v>
      </c>
    </row>
    <row r="1973" customFormat="false" ht="15" hidden="false" customHeight="false" outlineLevel="1" collapsed="false">
      <c r="A1973" s="7" t="s">
        <v>592</v>
      </c>
      <c r="B1973" s="8" t="s">
        <v>10</v>
      </c>
      <c r="C1973" s="58" t="n">
        <f aca="false">C1873*1000*C1952</f>
        <v>0</v>
      </c>
      <c r="D1973" s="58" t="n">
        <f aca="false">D1873*1000*D1952</f>
        <v>0</v>
      </c>
      <c r="E1973" s="58" t="n">
        <f aca="false">E1873*1000*E1952</f>
        <v>0</v>
      </c>
      <c r="F1973" s="58" t="n">
        <f aca="false">F1873*1000*F1952</f>
        <v>0</v>
      </c>
      <c r="G1973" s="58" t="n">
        <f aca="false">G1873*1000*G1952</f>
        <v>0</v>
      </c>
      <c r="H1973" s="2" t="s">
        <v>1207</v>
      </c>
    </row>
    <row r="1974" customFormat="false" ht="15" hidden="false" customHeight="false" outlineLevel="1" collapsed="false">
      <c r="A1974" s="7" t="s">
        <v>593</v>
      </c>
      <c r="B1974" s="8" t="s">
        <v>10</v>
      </c>
      <c r="C1974" s="58" t="n">
        <f aca="false">C1971+C1972+C1973</f>
        <v>5491.70191780828</v>
      </c>
      <c r="D1974" s="58" t="n">
        <f aca="false">D1971+D1972+D1973</f>
        <v>13885.9758219182</v>
      </c>
      <c r="E1974" s="58" t="n">
        <f aca="false">E1971+E1972+E1973</f>
        <v>54873.8275171238</v>
      </c>
      <c r="F1974" s="58" t="n">
        <f aca="false">F1971+F1972+F1973</f>
        <v>100539.065034247</v>
      </c>
      <c r="G1974" s="58" t="n">
        <f aca="false">G1971+G1972+G1973</f>
        <v>152603.194178083</v>
      </c>
      <c r="H1974" s="2" t="s">
        <v>1208</v>
      </c>
    </row>
    <row r="1975" customFormat="false" ht="15" hidden="false" customHeight="false" outlineLevel="1" collapsed="false">
      <c r="A1975" s="7" t="s">
        <v>594</v>
      </c>
      <c r="B1975" s="8" t="s">
        <v>59</v>
      </c>
      <c r="C1975" s="60" t="n">
        <f aca="false">IF(C1874&gt;0,C1974/(C1874*1000),0)</f>
        <v>0.0915283652968047</v>
      </c>
      <c r="D1975" s="60" t="n">
        <f aca="false">IF(D1874&gt;0,D1974/(D1874*1000),0)</f>
        <v>0.0347149395547956</v>
      </c>
      <c r="E1975" s="60" t="n">
        <f aca="false">IF(E1874&gt;0,E1974/(E1874*1000),0)</f>
        <v>0.0645574441377927</v>
      </c>
      <c r="F1975" s="60" t="n">
        <f aca="false">IF(F1874&gt;0,F1974/(F1874*1000),0)</f>
        <v>0.0693372862305153</v>
      </c>
      <c r="G1975" s="60" t="n">
        <f aca="false">IF(G1874&gt;0,G1974/(G1874*1000),0)</f>
        <v>0.0693650882627651</v>
      </c>
      <c r="H1975" s="2" t="s">
        <v>1209</v>
      </c>
    </row>
    <row r="1976" customFormat="false" ht="15" hidden="false" customHeight="false" outlineLevel="1" collapsed="false">
      <c r="A1976" s="7" t="s">
        <v>595</v>
      </c>
      <c r="B1976" s="8" t="s">
        <v>71</v>
      </c>
      <c r="C1976" s="55" t="n">
        <f aca="false">IF(C1959&gt;0,C1974/C1959,0)</f>
        <v>0.0207531627156235</v>
      </c>
      <c r="D1976" s="55" t="n">
        <f aca="false">IF(D1959&gt;0,D1974/D1959,0)</f>
        <v>0.00790438884578602</v>
      </c>
      <c r="E1976" s="55" t="n">
        <f aca="false">IF(E1959&gt;0,E1974/E1959,0)</f>
        <v>0.0146031037792905</v>
      </c>
      <c r="F1976" s="55" t="n">
        <f aca="false">IF(F1959&gt;0,F1974/F1959,0)</f>
        <v>0.0156400278975404</v>
      </c>
      <c r="G1976" s="55" t="n">
        <f aca="false">IF(G1959&gt;0,G1974/G1959,0)</f>
        <v>0.0156427454368764</v>
      </c>
      <c r="H1976" s="2" t="s">
        <v>1210</v>
      </c>
    </row>
    <row r="1977" customFormat="false" ht="15" hidden="false" customHeight="false" outlineLevel="1" collapsed="false">
      <c r="A1977" s="2" t="s">
        <v>596</v>
      </c>
      <c r="B1977" s="8" t="s">
        <v>59</v>
      </c>
      <c r="C1977" s="60" t="n">
        <f aca="false">Pressupostos!$C$283*Pressupostos!$C$90*(Pressupostos!$C$93+Pressupostos!$C$94-Pressupostos!$C$95)/365*Pressupostos!$C$277/Pressupostos!$D$31</f>
        <v>0</v>
      </c>
      <c r="D1977" s="60" t="n">
        <f aca="false">Pressupostos!$D$283*Pressupostos!$C$90*(Pressupostos!$C$93+Pressupostos!$C$94-Pressupostos!$C$95)/365*Pressupostos!$D$277/Pressupostos!$D$31</f>
        <v>0.0776712328767123</v>
      </c>
      <c r="E1977" s="60" t="n">
        <f aca="false">Pressupostos!$E$283*Pressupostos!$C$90*(Pressupostos!$C$93+Pressupostos!$C$94-Pressupostos!$C$95)/365*Pressupostos!$E$277/Pressupostos!$D$31</f>
        <v>0.0728167808219178</v>
      </c>
      <c r="F1977" s="60" t="n">
        <f aca="false">Pressupostos!$F$283*Pressupostos!$C$90*(Pressupostos!$C$93+Pressupostos!$C$94-Pressupostos!$C$95)/365*Pressupostos!$F$277/Pressupostos!$D$31</f>
        <v>0.0679623287671233</v>
      </c>
      <c r="G1977" s="60" t="n">
        <f aca="false">Pressupostos!$G$283*Pressupostos!$C$90*(Pressupostos!$C$93+Pressupostos!$C$94-Pressupostos!$C$95)/365*Pressupostos!$G$277/Pressupostos!$D$31</f>
        <v>0.0679623287671233</v>
      </c>
      <c r="H1977" s="2" t="s">
        <v>1211</v>
      </c>
    </row>
    <row r="1978" customFormat="false" ht="15" hidden="false" customHeight="false" outlineLevel="1" collapsed="false">
      <c r="A1978" s="7" t="s">
        <v>567</v>
      </c>
      <c r="B1978" s="8" t="s">
        <v>10</v>
      </c>
      <c r="C1978" s="58" t="n">
        <f aca="false">C1882*1000*(Pressupostos!$C$91-Pressupostos!$C$90-Pressupostos!$C$92-C1977-Pressupostos!$C$96*Pressupostos!$C$91-Pressupostos!$C$97-Pressupostos!$D$29*Pressupostos!$C$90)</f>
        <v>0</v>
      </c>
      <c r="D1978" s="58" t="n">
        <f aca="false">D1882*1000*(Pressupostos!$C$91-Pressupostos!$C$90-Pressupostos!$C$92-D1977-Pressupostos!$C$96*Pressupostos!$C$91-Pressupostos!$C$97-Pressupostos!$D$29*Pressupostos!$C$90)</f>
        <v>0</v>
      </c>
      <c r="E1978" s="58" t="n">
        <f aca="false">E1882*1000*(Pressupostos!$C$91-Pressupostos!$C$90-Pressupostos!$C$92-E1977-Pressupostos!$C$96*Pressupostos!$C$91-Pressupostos!$C$97-Pressupostos!$D$29*Pressupostos!$C$90)</f>
        <v>16502.4965753425</v>
      </c>
      <c r="F1978" s="58" t="n">
        <f aca="false">F1882*1000*(Pressupostos!$C$91-Pressupostos!$C$90-Pressupostos!$C$92-F1977-Pressupostos!$C$96*Pressupostos!$C$91-Pressupostos!$C$97-Pressupostos!$D$29*Pressupostos!$C$90)</f>
        <v>33296.2602739726</v>
      </c>
      <c r="G1978" s="58" t="n">
        <f aca="false">G1882*1000*(Pressupostos!$C$91-Pressupostos!$C$90-Pressupostos!$C$92-G1977-Pressupostos!$C$96*Pressupostos!$C$91-Pressupostos!$C$97-Pressupostos!$D$29*Pressupostos!$C$90)</f>
        <v>55493.7671232876</v>
      </c>
      <c r="H1978" s="2" t="s">
        <v>1212</v>
      </c>
    </row>
    <row r="1979" customFormat="false" ht="15" hidden="false" customHeight="false" outlineLevel="1" collapsed="false">
      <c r="A1979" s="7" t="s">
        <v>597</v>
      </c>
      <c r="B1979" s="8" t="s">
        <v>10</v>
      </c>
      <c r="C1979" s="58" t="n">
        <f aca="false">C1962</f>
        <v>810</v>
      </c>
      <c r="D1979" s="58" t="n">
        <f aca="false">D1962</f>
        <v>3240</v>
      </c>
      <c r="E1979" s="58" t="n">
        <f aca="false">E1962</f>
        <v>5400</v>
      </c>
      <c r="F1979" s="58" t="n">
        <f aca="false">F1962</f>
        <v>7560</v>
      </c>
      <c r="G1979" s="58" t="n">
        <f aca="false">G1962</f>
        <v>9720</v>
      </c>
      <c r="H1979" s="2" t="s">
        <v>1213</v>
      </c>
    </row>
    <row r="1980" customFormat="false" ht="15" hidden="false" customHeight="false" outlineLevel="1" collapsed="false">
      <c r="A1980" s="7" t="s">
        <v>598</v>
      </c>
      <c r="B1980" s="8" t="s">
        <v>10</v>
      </c>
      <c r="C1980" s="58" t="n">
        <f aca="false">C1963-C1995</f>
        <v>0</v>
      </c>
      <c r="D1980" s="58" t="n">
        <f aca="false">D1963-D1995</f>
        <v>1771.42857142857</v>
      </c>
      <c r="E1980" s="58" t="n">
        <f aca="false">E1963-E1995</f>
        <v>5314.28571428572</v>
      </c>
      <c r="F1980" s="58" t="n">
        <f aca="false">F1963-F1995</f>
        <v>10628.5714285714</v>
      </c>
      <c r="G1980" s="58" t="n">
        <f aca="false">G1963-G1995</f>
        <v>17714.2857142857</v>
      </c>
      <c r="H1980" s="2" t="s">
        <v>1214</v>
      </c>
    </row>
    <row r="1981" customFormat="false" ht="15" hidden="false" customHeight="false" outlineLevel="1" collapsed="false">
      <c r="A1981" s="7" t="s">
        <v>583</v>
      </c>
      <c r="B1981" s="8" t="s">
        <v>10</v>
      </c>
      <c r="C1981" s="58" t="n">
        <f aca="false">C1964</f>
        <v>0</v>
      </c>
      <c r="D1981" s="58" t="n">
        <f aca="false">D1964</f>
        <v>0</v>
      </c>
      <c r="E1981" s="58" t="n">
        <f aca="false">E1964</f>
        <v>0</v>
      </c>
      <c r="F1981" s="58" t="n">
        <f aca="false">F1964</f>
        <v>10000</v>
      </c>
      <c r="G1981" s="58" t="n">
        <f aca="false">G1964</f>
        <v>30000</v>
      </c>
      <c r="H1981" s="2" t="s">
        <v>1215</v>
      </c>
    </row>
    <row r="1982" customFormat="false" ht="15" hidden="false" customHeight="false" outlineLevel="1" collapsed="false">
      <c r="A1982" s="52" t="s">
        <v>599</v>
      </c>
      <c r="B1982" s="53" t="s">
        <v>10</v>
      </c>
      <c r="C1982" s="59" t="n">
        <f aca="false">C1974+C1978+C1979+C1980+C1981</f>
        <v>6301.70191780828</v>
      </c>
      <c r="D1982" s="59" t="n">
        <f aca="false">D1974+D1978+D1979+D1980+D1981</f>
        <v>18897.4043933468</v>
      </c>
      <c r="E1982" s="59" t="n">
        <f aca="false">E1974+E1978+E1979+E1980+E1981</f>
        <v>82090.6098067519</v>
      </c>
      <c r="F1982" s="59" t="n">
        <f aca="false">F1974+F1978+F1979+F1980+F1981</f>
        <v>162023.896736791</v>
      </c>
      <c r="G1982" s="59" t="n">
        <f aca="false">G1974+G1978+G1979+G1980+G1981</f>
        <v>265531.247015657</v>
      </c>
      <c r="H1982" s="2" t="s">
        <v>1216</v>
      </c>
    </row>
    <row r="1983" customFormat="false" ht="15" hidden="false" customHeight="false" outlineLevel="0" collapsed="false">
      <c r="A1983" s="3" t="s">
        <v>1217</v>
      </c>
      <c r="B1983" s="4"/>
      <c r="C1983" s="4"/>
      <c r="D1983" s="4"/>
      <c r="E1983" s="4"/>
      <c r="F1983" s="4"/>
      <c r="G1983" s="4"/>
      <c r="H1983" s="4"/>
    </row>
    <row r="1984" customFormat="false" ht="15" hidden="false" customHeight="false" outlineLevel="1" collapsed="false">
      <c r="A1984" s="7" t="s">
        <v>647</v>
      </c>
      <c r="B1984" s="8" t="s">
        <v>10</v>
      </c>
      <c r="C1984" s="58" t="n">
        <f aca="false">C1871*1000*(C1887+C1890)+C1872*1000*(C1910+C1913)+C1873*1000*(C1933+C1936)</f>
        <v>243800</v>
      </c>
      <c r="D1984" s="58" t="n">
        <f aca="false">D1871*1000*(D1887+D1890)+D1872*1000*(D1910+D1913)+D1873*1000*(D1933+D1936)</f>
        <v>1623700</v>
      </c>
      <c r="E1984" s="58" t="n">
        <f aca="false">E1871*1000*(E1887+E1890)+E1872*1000*(E1910+E1913)+E1873*1000*(E1933+E1936)</f>
        <v>3455800</v>
      </c>
      <c r="F1984" s="58" t="n">
        <f aca="false">F1871*1000*(F1887+F1890)+F1872*1000*(F1910+F1913)+F1873*1000*(F1933+F1936)</f>
        <v>5899200</v>
      </c>
      <c r="G1984" s="58" t="n">
        <f aca="false">G1871*1000*(G1887+G1890)+G1872*1000*(G1910+G1913)+G1873*1000*(G1933+G1936)</f>
        <v>8951000</v>
      </c>
      <c r="H1984" s="2" t="s">
        <v>1218</v>
      </c>
    </row>
    <row r="1985" customFormat="false" ht="15" hidden="false" customHeight="false" outlineLevel="1" collapsed="false">
      <c r="A1985" s="7" t="s">
        <v>648</v>
      </c>
      <c r="B1985" s="8" t="s">
        <v>10</v>
      </c>
      <c r="C1985" s="58" t="n">
        <f aca="false">C1882*1000*Pressupostos!$C$90</f>
        <v>0</v>
      </c>
      <c r="D1985" s="58" t="n">
        <f aca="false">D1882*1000*Pressupostos!$C$90</f>
        <v>0</v>
      </c>
      <c r="E1985" s="58" t="n">
        <f aca="false">E1882*1000*Pressupostos!$C$90</f>
        <v>210000</v>
      </c>
      <c r="F1985" s="58" t="n">
        <f aca="false">F1882*1000*Pressupostos!$C$90</f>
        <v>420000</v>
      </c>
      <c r="G1985" s="58" t="n">
        <f aca="false">G1882*1000*Pressupostos!$C$90</f>
        <v>700000</v>
      </c>
      <c r="H1985" s="2" t="s">
        <v>1219</v>
      </c>
    </row>
    <row r="1986" customFormat="false" ht="15" hidden="false" customHeight="false" outlineLevel="1" collapsed="false">
      <c r="A1986" s="7" t="s">
        <v>649</v>
      </c>
      <c r="B1986" s="8" t="s">
        <v>10</v>
      </c>
      <c r="C1986" s="58" t="n">
        <f aca="false">C1984+C1985</f>
        <v>243800</v>
      </c>
      <c r="D1986" s="58" t="n">
        <f aca="false">D1984+D1985</f>
        <v>1623700</v>
      </c>
      <c r="E1986" s="58" t="n">
        <f aca="false">E1984+E1985</f>
        <v>3665800</v>
      </c>
      <c r="F1986" s="58" t="n">
        <f aca="false">F1984+F1985</f>
        <v>6319200</v>
      </c>
      <c r="G1986" s="58" t="n">
        <f aca="false">G1984+G1985</f>
        <v>9651000</v>
      </c>
      <c r="H1986" s="2" t="s">
        <v>1220</v>
      </c>
    </row>
    <row r="1987" customFormat="false" ht="15" hidden="false" customHeight="false" outlineLevel="1" collapsed="false">
      <c r="A1987" s="7" t="s">
        <v>205</v>
      </c>
      <c r="B1987" s="8" t="s">
        <v>10</v>
      </c>
      <c r="C1987" s="58" t="n">
        <f aca="false">C1871*1000*(C1891)+C1872*1000*(C1914)+C1873*1000*(C1937)+C1882*1000*Pressupostos!$C$92</f>
        <v>7600</v>
      </c>
      <c r="D1987" s="58" t="n">
        <f aca="false">D1871*1000*(D1891)+D1872*1000*(D1914)+D1873*1000*(D1937)+D1882*1000*Pressupostos!$C$92</f>
        <v>47400</v>
      </c>
      <c r="E1987" s="58" t="n">
        <f aca="false">E1871*1000*(E1891)+E1872*1000*(E1914)+E1873*1000*(E1937)+E1882*1000*Pressupostos!$C$92</f>
        <v>106270</v>
      </c>
      <c r="F1987" s="58" t="n">
        <f aca="false">F1871*1000*(F1891)+F1872*1000*(F1914)+F1873*1000*(F1937)+F1882*1000*Pressupostos!$C$92</f>
        <v>187560</v>
      </c>
      <c r="G1987" s="58" t="n">
        <f aca="false">G1871*1000*(G1891)+G1872*1000*(G1914)+G1873*1000*(G1937)+G1882*1000*Pressupostos!$C$92</f>
        <v>286800</v>
      </c>
      <c r="H1987" s="2" t="s">
        <v>1221</v>
      </c>
    </row>
    <row r="1988" customFormat="false" ht="15" hidden="false" customHeight="false" outlineLevel="1" collapsed="false">
      <c r="A1988" s="7" t="s">
        <v>109</v>
      </c>
      <c r="B1988" s="8" t="s">
        <v>10</v>
      </c>
      <c r="C1988" s="58" t="n">
        <f aca="false">C1871*1000*(C1892)+C1872*1000*(C1915)+C1873*1000*(C1938)</f>
        <v>480</v>
      </c>
      <c r="D1988" s="58" t="n">
        <f aca="false">D1871*1000*(D1892)+D1872*1000*(D1915)+D1873*1000*(D1938)</f>
        <v>2220</v>
      </c>
      <c r="E1988" s="58" t="n">
        <f aca="false">E1871*1000*(E1892)+E1872*1000*(E1915)+E1873*1000*(E1938)</f>
        <v>7980</v>
      </c>
      <c r="F1988" s="58" t="n">
        <f aca="false">F1871*1000*(F1892)+F1872*1000*(F1915)+F1873*1000*(F1938)</f>
        <v>16020</v>
      </c>
      <c r="G1988" s="58" t="n">
        <f aca="false">G1871*1000*(G1892)+G1872*1000*(G1915)+G1873*1000*(G1938)</f>
        <v>24600</v>
      </c>
      <c r="H1988" s="2" t="s">
        <v>1222</v>
      </c>
    </row>
    <row r="1989" customFormat="false" ht="15" hidden="false" customHeight="false" outlineLevel="1" collapsed="false">
      <c r="A1989" s="7" t="s">
        <v>650</v>
      </c>
      <c r="B1989" s="8" t="s">
        <v>10</v>
      </c>
      <c r="C1989" s="58" t="n">
        <f aca="false">C1871*1000*(C1895+C1896)+C1872*1000*(C1918+C1919)+C1873*1000*(C1941+C1942)</f>
        <v>459.178082191781</v>
      </c>
      <c r="D1989" s="58" t="n">
        <f aca="false">D1871*1000*(D1895+D1896)+D1872*1000*(D1918+D1919)+D1873*1000*(D1941+D1942)</f>
        <v>2686.19178082192</v>
      </c>
      <c r="E1989" s="58" t="n">
        <f aca="false">E1871*1000*(E1895+E1896)+E1872*1000*(E1918+E1919)+E1873*1000*(E1941+E1942)</f>
        <v>4208.36712328767</v>
      </c>
      <c r="F1989" s="58" t="n">
        <f aca="false">F1871*1000*(F1895+F1896)+F1872*1000*(F1918+F1919)+F1873*1000*(F1941+F1942)</f>
        <v>7271.08493150685</v>
      </c>
      <c r="G1989" s="58" t="n">
        <f aca="false">G1871*1000*(G1895+G1896)+G1872*1000*(G1918+G1919)+G1873*1000*(G1941+G1942)</f>
        <v>11043.2328767123</v>
      </c>
      <c r="H1989" s="2" t="s">
        <v>1223</v>
      </c>
    </row>
    <row r="1990" customFormat="false" ht="15" hidden="false" customHeight="false" outlineLevel="1" collapsed="false">
      <c r="A1990" s="7" t="s">
        <v>651</v>
      </c>
      <c r="B1990" s="8" t="s">
        <v>10</v>
      </c>
      <c r="C1990" s="58" t="n">
        <f aca="false">C1871*1000*(C1897+C1898+C1899)+C1872*1000*(C1920+C1921+C1922)+C1873*1000*(C1943+C1944+C1945)</f>
        <v>2660</v>
      </c>
      <c r="D1990" s="58" t="n">
        <f aca="false">D1871*1000*(D1897+D1898+D1899)+D1872*1000*(D1920+D1921+D1922)+D1873*1000*(D1943+D1944+D1945)</f>
        <v>17325</v>
      </c>
      <c r="E1990" s="58" t="n">
        <f aca="false">E1871*1000*(E1897+E1898+E1899)+E1872*1000*(E1920+E1921+E1922)+E1873*1000*(E1943+E1944+E1945)</f>
        <v>36379.5</v>
      </c>
      <c r="F1990" s="58" t="n">
        <f aca="false">F1871*1000*(F1897+F1898+F1899)+F1872*1000*(F1920+F1921+F1922)+F1873*1000*(F1943+F1944+F1945)</f>
        <v>62520.5</v>
      </c>
      <c r="G1990" s="58" t="n">
        <f aca="false">G1871*1000*(G1897+G1898+G1899)+G1872*1000*(G1920+G1921+G1922)+G1873*1000*(G1943+G1944+G1945)</f>
        <v>94915</v>
      </c>
      <c r="H1990" s="2" t="s">
        <v>1224</v>
      </c>
    </row>
    <row r="1991" customFormat="false" ht="15" hidden="false" customHeight="false" outlineLevel="1" collapsed="false">
      <c r="A1991" s="7" t="s">
        <v>637</v>
      </c>
      <c r="B1991" s="8" t="s">
        <v>10</v>
      </c>
      <c r="C1991" s="58" t="n">
        <f aca="false">C1871*1000*(C1900)+C1872*1000*(C1923)+C1873*1000*(C1946)</f>
        <v>2880</v>
      </c>
      <c r="D1991" s="58" t="n">
        <f aca="false">D1871*1000*(D1900)+D1872*1000*(D1923)+D1873*1000*(D1946)</f>
        <v>18220</v>
      </c>
      <c r="E1991" s="58" t="n">
        <f aca="false">E1871*1000*(E1900)+E1872*1000*(E1923)+E1873*1000*(E1946)</f>
        <v>41980</v>
      </c>
      <c r="F1991" s="58" t="n">
        <f aca="false">F1871*1000*(F1900)+F1872*1000*(F1923)+F1873*1000*(F1946)</f>
        <v>74020</v>
      </c>
      <c r="G1991" s="58" t="n">
        <f aca="false">G1871*1000*(G1900)+G1872*1000*(G1923)+G1873*1000*(G1946)</f>
        <v>112600</v>
      </c>
      <c r="H1991" s="2" t="s">
        <v>1225</v>
      </c>
    </row>
    <row r="1992" customFormat="false" ht="15" hidden="false" customHeight="false" outlineLevel="1" collapsed="false">
      <c r="A1992" s="7" t="s">
        <v>652</v>
      </c>
      <c r="B1992" s="8" t="s">
        <v>10</v>
      </c>
      <c r="C1992" s="58" t="n">
        <f aca="false">C1871*1000*(C1901)+C1872*1000*(C1924)+C1873*1000*(C1947)+C1882*1000*Pressupostos!$C$97</f>
        <v>340</v>
      </c>
      <c r="D1992" s="58" t="n">
        <f aca="false">D1871*1000*(D1901)+D1872*1000*(D1924)+D1873*1000*(D1947)+D1882*1000*Pressupostos!$C$97</f>
        <v>2185</v>
      </c>
      <c r="E1992" s="58" t="n">
        <f aca="false">E1871*1000*(E1901)+E1872*1000*(E1924)+E1873*1000*(E1947)+E1882*1000*Pressupostos!$C$97</f>
        <v>5815</v>
      </c>
      <c r="F1992" s="58" t="n">
        <f aca="false">F1871*1000*(F1901)+F1872*1000*(F1924)+F1873*1000*(F1947)+F1882*1000*Pressupostos!$C$97</f>
        <v>10385</v>
      </c>
      <c r="G1992" s="58" t="n">
        <f aca="false">G1871*1000*(G1901)+G1872*1000*(G1924)+G1873*1000*(G1947)+G1882*1000*Pressupostos!$C$97</f>
        <v>16050</v>
      </c>
      <c r="H1992" s="2" t="s">
        <v>1226</v>
      </c>
    </row>
    <row r="1993" customFormat="false" ht="15" hidden="false" customHeight="false" outlineLevel="1" collapsed="false">
      <c r="A1993" s="7" t="s">
        <v>76</v>
      </c>
      <c r="B1993" s="8" t="s">
        <v>10</v>
      </c>
      <c r="C1993" s="58" t="n">
        <f aca="false">C1871*1000*(C1902)+C1872*1000*(C1925)+C1873*1000*(C1948)+C1882*1000*Pressupostos!$C$96*Pressupostos!$C$91</f>
        <v>909.12</v>
      </c>
      <c r="D1993" s="58" t="n">
        <f aca="false">D1871*1000*(D1902)+D1872*1000*(D1925)+D1873*1000*(D1948)+D1882*1000*Pressupostos!$C$96*Pressupostos!$C$91</f>
        <v>5803.305</v>
      </c>
      <c r="E1993" s="58" t="n">
        <f aca="false">E1871*1000*(E1902)+E1872*1000*(E1925)+E1873*1000*(E1948)+E1882*1000*Pressupostos!$C$96*Pressupostos!$C$91</f>
        <v>14602.245</v>
      </c>
      <c r="F1993" s="58" t="n">
        <f aca="false">F1871*1000*(F1902)+F1872*1000*(F1925)+F1873*1000*(F1948)+F1882*1000*Pressupostos!$C$96*Pressupostos!$C$91</f>
        <v>25957.755</v>
      </c>
      <c r="G1993" s="58" t="n">
        <f aca="false">G1871*1000*(G1902)+G1872*1000*(G1925)+G1873*1000*(G1948)+G1882*1000*Pressupostos!$C$96*Pressupostos!$C$91</f>
        <v>39883.65</v>
      </c>
      <c r="H1993" s="2" t="s">
        <v>1227</v>
      </c>
    </row>
    <row r="1994" customFormat="false" ht="15" hidden="false" customHeight="false" outlineLevel="1" collapsed="false">
      <c r="A1994" s="7" t="s">
        <v>653</v>
      </c>
      <c r="B1994" s="8" t="s">
        <v>10</v>
      </c>
      <c r="C1994" s="58" t="n">
        <f aca="false">C1871*1000*(C1903)+C1872*1000*(C1926)+C1873*1000*(C1949)+C1882*1000*Pressupostos!$D$29*Pressupostos!$C$90</f>
        <v>0</v>
      </c>
      <c r="D1994" s="58" t="n">
        <f aca="false">D1871*1000*(D1903)+D1872*1000*(D1926)+D1873*1000*(D1949)+D1882*1000*Pressupostos!$D$29*Pressupostos!$C$90</f>
        <v>0</v>
      </c>
      <c r="E1994" s="58" t="n">
        <f aca="false">E1871*1000*(E1903)+E1872*1000*(E1926)+E1873*1000*(E1949)+E1882*1000*Pressupostos!$D$29*Pressupostos!$C$90</f>
        <v>0</v>
      </c>
      <c r="F1994" s="58" t="n">
        <f aca="false">F1871*1000*(F1903)+F1872*1000*(F1926)+F1873*1000*(F1949)+F1882*1000*Pressupostos!$D$29*Pressupostos!$C$90</f>
        <v>0</v>
      </c>
      <c r="G1994" s="58" t="n">
        <f aca="false">G1871*1000*(G1903)+G1872*1000*(G1926)+G1873*1000*(G1949)+G1882*1000*Pressupostos!$D$29*Pressupostos!$C$90</f>
        <v>0</v>
      </c>
      <c r="H1994" s="2" t="s">
        <v>1228</v>
      </c>
    </row>
    <row r="1995" customFormat="false" ht="15" hidden="false" customHeight="false" outlineLevel="1" collapsed="false">
      <c r="A1995" s="7" t="s">
        <v>654</v>
      </c>
      <c r="B1995" s="8" t="s">
        <v>10</v>
      </c>
      <c r="C1995" s="58" t="n">
        <f aca="false">C1885*1000*Pressupostos!$C$102*Pressupostos!$D$30</f>
        <v>0</v>
      </c>
      <c r="D1995" s="58" t="n">
        <f aca="false">D1885*1000*Pressupostos!$C$102*Pressupostos!$D$30</f>
        <v>8228.57142857143</v>
      </c>
      <c r="E1995" s="58" t="n">
        <f aca="false">E1885*1000*Pressupostos!$C$102*Pressupostos!$D$30</f>
        <v>24685.7142857143</v>
      </c>
      <c r="F1995" s="58" t="n">
        <f aca="false">F1885*1000*Pressupostos!$C$102*Pressupostos!$D$30</f>
        <v>49371.4285714286</v>
      </c>
      <c r="G1995" s="58" t="n">
        <f aca="false">G1885*1000*Pressupostos!$C$102*Pressupostos!$D$30</f>
        <v>82285.7142857143</v>
      </c>
      <c r="H1995" s="2" t="s">
        <v>1229</v>
      </c>
    </row>
    <row r="1996" customFormat="false" ht="15" hidden="false" customHeight="false" outlineLevel="1" collapsed="false">
      <c r="A1996" s="7" t="s">
        <v>655</v>
      </c>
      <c r="B1996" s="8" t="s">
        <v>10</v>
      </c>
      <c r="C1996" s="58" t="n">
        <f aca="false">C1987+C1988+C1989+C1990+C1991+C1992+C1993+C1994+C1995</f>
        <v>15328.2980821918</v>
      </c>
      <c r="D1996" s="58" t="n">
        <f aca="false">D1987+D1988+D1989+D1990+D1991+D1992+D1993+D1994+D1995</f>
        <v>104068.068209393</v>
      </c>
      <c r="E1996" s="58" t="n">
        <f aca="false">E1987+E1988+E1989+E1990+E1991+E1992+E1993+E1994+E1995</f>
        <v>241920.826409002</v>
      </c>
      <c r="F1996" s="58" t="n">
        <f aca="false">F1987+F1988+F1989+F1990+F1991+F1992+F1993+F1994+F1995</f>
        <v>433105.768502936</v>
      </c>
      <c r="G1996" s="58" t="n">
        <f aca="false">G1987+G1988+G1989+G1990+G1991+G1992+G1993+G1994+G1995</f>
        <v>668177.597162427</v>
      </c>
      <c r="H1996" s="2" t="s">
        <v>1230</v>
      </c>
    </row>
    <row r="1997" customFormat="false" ht="15" hidden="false" customHeight="false" outlineLevel="1" collapsed="false">
      <c r="A1997" s="7" t="s">
        <v>656</v>
      </c>
      <c r="B1997" s="8" t="s">
        <v>10</v>
      </c>
      <c r="C1997" s="58" t="n">
        <f aca="false">C1871*1000*(C1904)+C1872*1000*(C1927)+C1873*1000*(C1950)</f>
        <v>0</v>
      </c>
      <c r="D1997" s="58" t="n">
        <f aca="false">D1871*1000*(D1904)+D1872*1000*(D1927)+D1873*1000*(D1950)</f>
        <v>23317.0273972603</v>
      </c>
      <c r="E1997" s="58" t="n">
        <f aca="false">E1871*1000*(E1904)+E1872*1000*(E1927)+E1873*1000*(E1950)</f>
        <v>36586.560359589</v>
      </c>
      <c r="F1997" s="58" t="n">
        <f aca="false">F1871*1000*(F1904)+F1872*1000*(F1927)+F1873*1000*(F1950)</f>
        <v>58470.0950342466</v>
      </c>
      <c r="G1997" s="58" t="n">
        <f aca="false">G1871*1000*(G1904)+G1872*1000*(G1927)+G1873*1000*(G1950)</f>
        <v>88739.9229452055</v>
      </c>
      <c r="H1997" s="2" t="s">
        <v>1231</v>
      </c>
    </row>
    <row r="1998" customFormat="false" ht="15" hidden="false" customHeight="false" outlineLevel="1" collapsed="false">
      <c r="A1998" s="7" t="s">
        <v>657</v>
      </c>
      <c r="B1998" s="8" t="s">
        <v>10</v>
      </c>
      <c r="C1998" s="58" t="n">
        <f aca="false">C1882*1000*C1977</f>
        <v>0</v>
      </c>
      <c r="D1998" s="58" t="n">
        <f aca="false">D1882*1000*D1977</f>
        <v>0</v>
      </c>
      <c r="E1998" s="58" t="n">
        <f aca="false">E1882*1000*E1977</f>
        <v>2184.50342465753</v>
      </c>
      <c r="F1998" s="58" t="n">
        <f aca="false">F1882*1000*F1977</f>
        <v>4077.7397260274</v>
      </c>
      <c r="G1998" s="58" t="n">
        <f aca="false">G1882*1000*G1977</f>
        <v>6796.23287671233</v>
      </c>
      <c r="H1998" s="2" t="s">
        <v>1232</v>
      </c>
    </row>
    <row r="1999" customFormat="false" ht="15" hidden="false" customHeight="false" outlineLevel="1" collapsed="false">
      <c r="A1999" s="7" t="s">
        <v>658</v>
      </c>
      <c r="B1999" s="8" t="s">
        <v>10</v>
      </c>
      <c r="C1999" s="58" t="n">
        <f aca="false">C1997+C1998</f>
        <v>0</v>
      </c>
      <c r="D1999" s="58" t="n">
        <f aca="false">D1997+D1998</f>
        <v>23317.0273972603</v>
      </c>
      <c r="E1999" s="58" t="n">
        <f aca="false">E1997+E1998</f>
        <v>38771.0637842466</v>
      </c>
      <c r="F1999" s="58" t="n">
        <f aca="false">F1997+F1998</f>
        <v>62547.834760274</v>
      </c>
      <c r="G1999" s="58" t="n">
        <f aca="false">G1997+G1998</f>
        <v>95536.1558219178</v>
      </c>
      <c r="H1999" s="2" t="s">
        <v>1233</v>
      </c>
    </row>
    <row r="2000" customFormat="false" ht="15" hidden="false" customHeight="false" outlineLevel="1" collapsed="false">
      <c r="A2000" s="8" t="s">
        <v>659</v>
      </c>
      <c r="B2000" s="8" t="s">
        <v>10</v>
      </c>
      <c r="C2000" s="66" t="n">
        <f aca="false">ROUND(C1965-C1986-C1996-C1999-C1982,6)</f>
        <v>-0</v>
      </c>
      <c r="D2000" s="66" t="n">
        <f aca="false">ROUND(D1965-D1986-D1996-D1999-D1982,6)</f>
        <v>-0</v>
      </c>
      <c r="E2000" s="66" t="n">
        <f aca="false">ROUND(E1965-E1986-E1996-E1999-E1982,6)</f>
        <v>-0</v>
      </c>
      <c r="F2000" s="66" t="n">
        <f aca="false">ROUND(F1965-F1986-F1996-F1999-F1982,6)</f>
        <v>-0</v>
      </c>
      <c r="G2000" s="66" t="n">
        <f aca="false">ROUND(G1965-G1986-G1996-G1999-G1982,6)</f>
        <v>-0</v>
      </c>
      <c r="H2000" s="2" t="s">
        <v>1234</v>
      </c>
    </row>
    <row r="2001" customFormat="false" ht="15" hidden="false" customHeight="false" outlineLevel="0" collapsed="false">
      <c r="A2001" s="3" t="s">
        <v>1235</v>
      </c>
      <c r="B2001" s="4"/>
      <c r="C2001" s="4"/>
      <c r="D2001" s="4"/>
      <c r="E2001" s="4"/>
      <c r="F2001" s="4"/>
      <c r="G2001" s="4"/>
      <c r="H2001" s="4"/>
    </row>
    <row r="2002" customFormat="false" ht="15" hidden="false" customHeight="false" outlineLevel="1" collapsed="false">
      <c r="A2002" s="7" t="s">
        <v>602</v>
      </c>
      <c r="B2002" s="8" t="s">
        <v>413</v>
      </c>
      <c r="C2002" s="61" t="n">
        <f aca="false">Pressupostos!$C$315</f>
        <v>1</v>
      </c>
      <c r="D2002" s="61" t="n">
        <f aca="false">Pressupostos!$D$315</f>
        <v>1</v>
      </c>
      <c r="E2002" s="61" t="n">
        <f aca="false">Pressupostos!$E$315</f>
        <v>1</v>
      </c>
      <c r="F2002" s="61" t="n">
        <f aca="false">Pressupostos!$F$315</f>
        <v>1</v>
      </c>
      <c r="G2002" s="61" t="n">
        <f aca="false">Pressupostos!$G$315</f>
        <v>1</v>
      </c>
      <c r="H2002" s="2" t="s">
        <v>1236</v>
      </c>
    </row>
    <row r="2003" customFormat="false" ht="15" hidden="false" customHeight="false" outlineLevel="1" collapsed="false">
      <c r="A2003" s="7" t="s">
        <v>603</v>
      </c>
      <c r="B2003" s="8" t="s">
        <v>413</v>
      </c>
      <c r="C2003" s="61" t="n">
        <f aca="false">Pressupostos!$C$321</f>
        <v>1</v>
      </c>
      <c r="D2003" s="61" t="n">
        <f aca="false">Pressupostos!$D$321</f>
        <v>1</v>
      </c>
      <c r="E2003" s="61" t="n">
        <f aca="false">Pressupostos!$E$321</f>
        <v>1</v>
      </c>
      <c r="F2003" s="61" t="n">
        <f aca="false">Pressupostos!$F$321</f>
        <v>1</v>
      </c>
      <c r="G2003" s="61" t="n">
        <f aca="false">Pressupostos!$G$321</f>
        <v>1</v>
      </c>
      <c r="H2003" s="2" t="s">
        <v>1237</v>
      </c>
    </row>
    <row r="2004" customFormat="false" ht="15" hidden="false" customHeight="false" outlineLevel="1" collapsed="false">
      <c r="A2004" s="7" t="s">
        <v>604</v>
      </c>
      <c r="B2004" s="8" t="s">
        <v>413</v>
      </c>
      <c r="C2004" s="61" t="n">
        <f aca="false">Pressupostos!$C$327</f>
        <v>1</v>
      </c>
      <c r="D2004" s="61" t="n">
        <f aca="false">Pressupostos!$D$327</f>
        <v>1</v>
      </c>
      <c r="E2004" s="61" t="n">
        <f aca="false">Pressupostos!$E$327</f>
        <v>2</v>
      </c>
      <c r="F2004" s="61" t="n">
        <f aca="false">Pressupostos!$F$327</f>
        <v>2</v>
      </c>
      <c r="G2004" s="61" t="n">
        <f aca="false">Pressupostos!$G$327</f>
        <v>2</v>
      </c>
      <c r="H2004" s="2" t="s">
        <v>1238</v>
      </c>
    </row>
    <row r="2005" customFormat="false" ht="15" hidden="false" customHeight="false" outlineLevel="1" collapsed="false">
      <c r="A2005" s="7" t="s">
        <v>605</v>
      </c>
      <c r="B2005" s="8" t="s">
        <v>413</v>
      </c>
      <c r="C2005" s="61" t="n">
        <f aca="false">Pressupostos!$C$333</f>
        <v>1</v>
      </c>
      <c r="D2005" s="61" t="n">
        <f aca="false">Pressupostos!$D$333</f>
        <v>1</v>
      </c>
      <c r="E2005" s="61" t="n">
        <f aca="false">Pressupostos!$E$333</f>
        <v>1</v>
      </c>
      <c r="F2005" s="61" t="n">
        <f aca="false">Pressupostos!$F$333</f>
        <v>1</v>
      </c>
      <c r="G2005" s="61" t="n">
        <f aca="false">Pressupostos!$G$333</f>
        <v>1</v>
      </c>
      <c r="H2005" s="2" t="s">
        <v>1239</v>
      </c>
    </row>
    <row r="2006" customFormat="false" ht="15" hidden="false" customHeight="false" outlineLevel="1" collapsed="false">
      <c r="A2006" s="7" t="s">
        <v>606</v>
      </c>
      <c r="B2006" s="8" t="s">
        <v>413</v>
      </c>
      <c r="C2006" s="61" t="n">
        <f aca="false">Pressupostos!$C$339</f>
        <v>0.5</v>
      </c>
      <c r="D2006" s="61" t="n">
        <f aca="false">Pressupostos!$D$339</f>
        <v>1</v>
      </c>
      <c r="E2006" s="61" t="n">
        <f aca="false">Pressupostos!$E$339</f>
        <v>1</v>
      </c>
      <c r="F2006" s="61" t="n">
        <f aca="false">Pressupostos!$F$339</f>
        <v>1</v>
      </c>
      <c r="G2006" s="61" t="n">
        <f aca="false">Pressupostos!$G$339</f>
        <v>1</v>
      </c>
      <c r="H2006" s="2" t="s">
        <v>1240</v>
      </c>
    </row>
    <row r="2007" customFormat="false" ht="15" hidden="false" customHeight="false" outlineLevel="1" collapsed="false">
      <c r="A2007" s="7" t="s">
        <v>607</v>
      </c>
      <c r="B2007" s="8" t="s">
        <v>413</v>
      </c>
      <c r="C2007" s="61" t="n">
        <f aca="false">Pressupostos!$C$345</f>
        <v>1</v>
      </c>
      <c r="D2007" s="61" t="n">
        <f aca="false">Pressupostos!$D$345</f>
        <v>1</v>
      </c>
      <c r="E2007" s="61" t="n">
        <f aca="false">Pressupostos!$E$345</f>
        <v>1</v>
      </c>
      <c r="F2007" s="61" t="n">
        <f aca="false">Pressupostos!$F$345</f>
        <v>2</v>
      </c>
      <c r="G2007" s="61" t="n">
        <f aca="false">Pressupostos!$G$345</f>
        <v>2</v>
      </c>
      <c r="H2007" s="2" t="s">
        <v>1241</v>
      </c>
    </row>
    <row r="2008" customFormat="false" ht="15" hidden="false" customHeight="false" outlineLevel="1" collapsed="false">
      <c r="A2008" s="7" t="s">
        <v>608</v>
      </c>
      <c r="B2008" s="8" t="s">
        <v>413</v>
      </c>
      <c r="C2008" s="61" t="n">
        <f aca="false">Pressupostos!$C$351</f>
        <v>0.5</v>
      </c>
      <c r="D2008" s="61" t="n">
        <f aca="false">Pressupostos!$D$351</f>
        <v>1</v>
      </c>
      <c r="E2008" s="61" t="n">
        <f aca="false">Pressupostos!$E$351</f>
        <v>1</v>
      </c>
      <c r="F2008" s="61" t="n">
        <f aca="false">Pressupostos!$F$351</f>
        <v>1</v>
      </c>
      <c r="G2008" s="61" t="n">
        <f aca="false">Pressupostos!$G$351</f>
        <v>1</v>
      </c>
      <c r="H2008" s="2" t="s">
        <v>1242</v>
      </c>
    </row>
    <row r="2009" customFormat="false" ht="15" hidden="false" customHeight="false" outlineLevel="1" collapsed="false">
      <c r="A2009" s="7" t="s">
        <v>609</v>
      </c>
      <c r="B2009" s="8" t="s">
        <v>413</v>
      </c>
      <c r="C2009" s="61" t="n">
        <f aca="false">Pressupostos!$C$357</f>
        <v>1</v>
      </c>
      <c r="D2009" s="61" t="n">
        <f aca="false">Pressupostos!$D$357</f>
        <v>1</v>
      </c>
      <c r="E2009" s="61" t="n">
        <f aca="false">Pressupostos!$E$357</f>
        <v>2</v>
      </c>
      <c r="F2009" s="61" t="n">
        <f aca="false">Pressupostos!$F$357</f>
        <v>3</v>
      </c>
      <c r="G2009" s="61" t="n">
        <f aca="false">Pressupostos!$G$357</f>
        <v>5</v>
      </c>
      <c r="H2009" s="2" t="s">
        <v>1243</v>
      </c>
    </row>
    <row r="2010" customFormat="false" ht="15" hidden="false" customHeight="false" outlineLevel="1" collapsed="false">
      <c r="A2010" s="7" t="s">
        <v>610</v>
      </c>
      <c r="B2010" s="8" t="s">
        <v>413</v>
      </c>
      <c r="C2010" s="61" t="n">
        <f aca="false">Pressupostos!$C$363</f>
        <v>0</v>
      </c>
      <c r="D2010" s="61" t="n">
        <f aca="false">Pressupostos!$D$363</f>
        <v>0</v>
      </c>
      <c r="E2010" s="61" t="n">
        <f aca="false">Pressupostos!$E$363</f>
        <v>0</v>
      </c>
      <c r="F2010" s="61" t="n">
        <f aca="false">Pressupostos!$F$363</f>
        <v>1</v>
      </c>
      <c r="G2010" s="61" t="n">
        <f aca="false">Pressupostos!$G$363</f>
        <v>1</v>
      </c>
      <c r="H2010" s="2" t="s">
        <v>1244</v>
      </c>
    </row>
    <row r="2011" customFormat="false" ht="15" hidden="false" customHeight="false" outlineLevel="1" collapsed="false">
      <c r="A2011" s="7" t="s">
        <v>611</v>
      </c>
      <c r="B2011" s="8" t="s">
        <v>413</v>
      </c>
      <c r="C2011" s="61" t="n">
        <f aca="false">Pressupostos!$C$369</f>
        <v>0</v>
      </c>
      <c r="D2011" s="61" t="n">
        <f aca="false">Pressupostos!$D$369</f>
        <v>0</v>
      </c>
      <c r="E2011" s="61" t="n">
        <f aca="false">Pressupostos!$E$369</f>
        <v>0</v>
      </c>
      <c r="F2011" s="61" t="n">
        <f aca="false">Pressupostos!$F$369</f>
        <v>0</v>
      </c>
      <c r="G2011" s="61" t="n">
        <f aca="false">Pressupostos!$G$369</f>
        <v>1</v>
      </c>
      <c r="H2011" s="2" t="s">
        <v>1245</v>
      </c>
    </row>
    <row r="2012" customFormat="false" ht="15" hidden="false" customHeight="false" outlineLevel="1" collapsed="false">
      <c r="A2012" s="7" t="s">
        <v>612</v>
      </c>
      <c r="B2012" s="8" t="s">
        <v>413</v>
      </c>
      <c r="C2012" s="61" t="n">
        <f aca="false">Pressupostos!$C$375</f>
        <v>0</v>
      </c>
      <c r="D2012" s="61" t="n">
        <f aca="false">Pressupostos!$D$375</f>
        <v>0</v>
      </c>
      <c r="E2012" s="61" t="n">
        <f aca="false">Pressupostos!$E$375</f>
        <v>1</v>
      </c>
      <c r="F2012" s="61" t="n">
        <f aca="false">Pressupostos!$F$375</f>
        <v>1</v>
      </c>
      <c r="G2012" s="61" t="n">
        <f aca="false">Pressupostos!$G$375</f>
        <v>1</v>
      </c>
      <c r="H2012" s="2" t="s">
        <v>1246</v>
      </c>
    </row>
    <row r="2013" customFormat="false" ht="15" hidden="false" customHeight="false" outlineLevel="1" collapsed="false">
      <c r="A2013" s="7" t="s">
        <v>613</v>
      </c>
      <c r="B2013" s="8" t="s">
        <v>413</v>
      </c>
      <c r="C2013" s="61" t="n">
        <f aca="false">Pressupostos!$C$381</f>
        <v>0</v>
      </c>
      <c r="D2013" s="61" t="n">
        <f aca="false">Pressupostos!$D$381</f>
        <v>0</v>
      </c>
      <c r="E2013" s="61" t="n">
        <f aca="false">Pressupostos!$E$381</f>
        <v>0</v>
      </c>
      <c r="F2013" s="61" t="n">
        <f aca="false">Pressupostos!$F$381</f>
        <v>0</v>
      </c>
      <c r="G2013" s="61" t="n">
        <f aca="false">Pressupostos!$G$381</f>
        <v>0</v>
      </c>
      <c r="H2013" s="2" t="s">
        <v>1247</v>
      </c>
    </row>
    <row r="2014" customFormat="false" ht="15" hidden="false" customHeight="false" outlineLevel="1" collapsed="false">
      <c r="A2014" s="52" t="s">
        <v>614</v>
      </c>
      <c r="B2014" s="53" t="s">
        <v>413</v>
      </c>
      <c r="C2014" s="62" t="n">
        <f aca="false">C2002+C2003+C2004+C2005+C2006+C2007+C2008+C2009+C2010+C2011+C2012+C2013</f>
        <v>7</v>
      </c>
      <c r="D2014" s="62" t="n">
        <f aca="false">D2002+D2003+D2004+D2005+D2006+D2007+D2008+D2009+D2010+D2011+D2012+D2013</f>
        <v>8</v>
      </c>
      <c r="E2014" s="62" t="n">
        <f aca="false">E2002+E2003+E2004+E2005+E2006+E2007+E2008+E2009+E2010+E2011+E2012+E2013</f>
        <v>11</v>
      </c>
      <c r="F2014" s="62" t="n">
        <f aca="false">F2002+F2003+F2004+F2005+F2006+F2007+F2008+F2009+F2010+F2011+F2012+F2013</f>
        <v>14</v>
      </c>
      <c r="G2014" s="62" t="n">
        <f aca="false">G2002+G2003+G2004+G2005+G2006+G2007+G2008+G2009+G2010+G2011+G2012+G2013</f>
        <v>17</v>
      </c>
      <c r="H2014" s="2" t="s">
        <v>1248</v>
      </c>
    </row>
    <row r="2015" customFormat="false" ht="15" hidden="false" customHeight="false" outlineLevel="0" collapsed="false">
      <c r="A2015" s="3" t="s">
        <v>1249</v>
      </c>
      <c r="B2015" s="4"/>
      <c r="C2015" s="4"/>
      <c r="D2015" s="4"/>
      <c r="E2015" s="4"/>
      <c r="F2015" s="4"/>
      <c r="G2015" s="4"/>
      <c r="H2015" s="4"/>
    </row>
    <row r="2016" customFormat="false" ht="15" hidden="false" customHeight="false" outlineLevel="1" collapsed="false">
      <c r="A2016" s="7" t="s">
        <v>602</v>
      </c>
      <c r="B2016" s="8" t="s">
        <v>10</v>
      </c>
      <c r="C2016" s="58" t="n">
        <f aca="false">C2002*Pressupostos!$C$129*(1+Pressupostos!$C$125)^0*(1+Pressupostos!$C$130)*Pressupostos!$C$126</f>
        <v>43998</v>
      </c>
      <c r="D2016" s="58" t="n">
        <f aca="false">D2002*Pressupostos!$C$129*(1+Pressupostos!$C$125)^1*(1+Pressupostos!$C$130)</f>
        <v>61800</v>
      </c>
      <c r="E2016" s="58" t="n">
        <f aca="false">E2002*Pressupostos!$C$129*(1+Pressupostos!$C$125)^2*(1+Pressupostos!$C$130)</f>
        <v>63654</v>
      </c>
      <c r="F2016" s="58" t="n">
        <f aca="false">F2002*Pressupostos!$C$129*(1+Pressupostos!$C$125)^3*(1+Pressupostos!$C$130)</f>
        <v>65563.62</v>
      </c>
      <c r="G2016" s="58" t="n">
        <f aca="false">G2002*Pressupostos!$C$129*(1+Pressupostos!$C$125)^4*(1+Pressupostos!$C$130)</f>
        <v>67530.5286</v>
      </c>
      <c r="H2016" s="2" t="s">
        <v>1250</v>
      </c>
    </row>
    <row r="2017" customFormat="false" ht="15" hidden="false" customHeight="false" outlineLevel="1" collapsed="false">
      <c r="A2017" s="7" t="s">
        <v>603</v>
      </c>
      <c r="B2017" s="8" t="s">
        <v>10</v>
      </c>
      <c r="C2017" s="58" t="n">
        <f aca="false">C2003*Pressupostos!$C$131*(1+Pressupostos!$C$125)^0*(1+Pressupostos!$C$132)*Pressupostos!$C$126</f>
        <v>47664.5</v>
      </c>
      <c r="D2017" s="58" t="n">
        <f aca="false">D2003*Pressupostos!$C$131*(1+Pressupostos!$C$125)^1*(1+Pressupostos!$C$132)</f>
        <v>66950</v>
      </c>
      <c r="E2017" s="58" t="n">
        <f aca="false">E2003*Pressupostos!$C$131*(1+Pressupostos!$C$125)^2*(1+Pressupostos!$C$132)</f>
        <v>68958.5</v>
      </c>
      <c r="F2017" s="58" t="n">
        <f aca="false">F2003*Pressupostos!$C$131*(1+Pressupostos!$C$125)^3*(1+Pressupostos!$C$132)</f>
        <v>71027.255</v>
      </c>
      <c r="G2017" s="58" t="n">
        <f aca="false">G2003*Pressupostos!$C$131*(1+Pressupostos!$C$125)^4*(1+Pressupostos!$C$132)</f>
        <v>73158.07265</v>
      </c>
      <c r="H2017" s="2" t="s">
        <v>1251</v>
      </c>
    </row>
    <row r="2018" customFormat="false" ht="15" hidden="false" customHeight="false" outlineLevel="1" collapsed="false">
      <c r="A2018" s="7" t="s">
        <v>604</v>
      </c>
      <c r="B2018" s="8" t="s">
        <v>10</v>
      </c>
      <c r="C2018" s="58" t="n">
        <f aca="false">C2004*Pressupostos!$C$133*(1+Pressupostos!$C$125)^0*(1+Pressupostos!$C$134)</f>
        <v>45000</v>
      </c>
      <c r="D2018" s="58" t="n">
        <f aca="false">D2004*Pressupostos!$C$133*(1+Pressupostos!$C$125)^1*(1+Pressupostos!$C$134)</f>
        <v>46350</v>
      </c>
      <c r="E2018" s="58" t="n">
        <f aca="false">E2004*Pressupostos!$C$133*(1+Pressupostos!$C$125)^2*(1+Pressupostos!$C$134)</f>
        <v>95481</v>
      </c>
      <c r="F2018" s="58" t="n">
        <f aca="false">F2004*Pressupostos!$C$133*(1+Pressupostos!$C$125)^3*(1+Pressupostos!$C$134)</f>
        <v>98345.43</v>
      </c>
      <c r="G2018" s="58" t="n">
        <f aca="false">G2004*Pressupostos!$C$133*(1+Pressupostos!$C$125)^4*(1+Pressupostos!$C$134)</f>
        <v>101295.7929</v>
      </c>
      <c r="H2018" s="2" t="s">
        <v>1252</v>
      </c>
    </row>
    <row r="2019" customFormat="false" ht="15" hidden="false" customHeight="false" outlineLevel="1" collapsed="false">
      <c r="A2019" s="7" t="s">
        <v>605</v>
      </c>
      <c r="B2019" s="8" t="s">
        <v>10</v>
      </c>
      <c r="C2019" s="58" t="n">
        <f aca="false">C2005*Pressupostos!$C$135*(1+Pressupostos!$C$125)^0*(1+Pressupostos!$C$136)</f>
        <v>60000</v>
      </c>
      <c r="D2019" s="58" t="n">
        <f aca="false">D2005*Pressupostos!$C$135*(1+Pressupostos!$C$125)^1*(1+Pressupostos!$C$136)</f>
        <v>61800</v>
      </c>
      <c r="E2019" s="58" t="n">
        <f aca="false">E2005*Pressupostos!$C$135*(1+Pressupostos!$C$125)^2*(1+Pressupostos!$C$136)</f>
        <v>63654</v>
      </c>
      <c r="F2019" s="58" t="n">
        <f aca="false">F2005*Pressupostos!$C$135*(1+Pressupostos!$C$125)^3*(1+Pressupostos!$C$136)</f>
        <v>65563.62</v>
      </c>
      <c r="G2019" s="58" t="n">
        <f aca="false">G2005*Pressupostos!$C$135*(1+Pressupostos!$C$125)^4*(1+Pressupostos!$C$136)</f>
        <v>67530.5286</v>
      </c>
      <c r="H2019" s="2" t="s">
        <v>1253</v>
      </c>
    </row>
    <row r="2020" customFormat="false" ht="15" hidden="false" customHeight="false" outlineLevel="1" collapsed="false">
      <c r="A2020" s="7" t="s">
        <v>606</v>
      </c>
      <c r="B2020" s="8" t="s">
        <v>10</v>
      </c>
      <c r="C2020" s="58" t="n">
        <f aca="false">C2006*Pressupostos!$C$137*(1+Pressupostos!$C$125)^0*(1+Pressupostos!$C$138)</f>
        <v>22500</v>
      </c>
      <c r="D2020" s="58" t="n">
        <f aca="false">D2006*Pressupostos!$C$137*(1+Pressupostos!$C$125)^1*(1+Pressupostos!$C$138)</f>
        <v>46350</v>
      </c>
      <c r="E2020" s="58" t="n">
        <f aca="false">E2006*Pressupostos!$C$137*(1+Pressupostos!$C$125)^2*(1+Pressupostos!$C$138)</f>
        <v>47740.5</v>
      </c>
      <c r="F2020" s="58" t="n">
        <f aca="false">F2006*Pressupostos!$C$137*(1+Pressupostos!$C$125)^3*(1+Pressupostos!$C$138)</f>
        <v>49172.715</v>
      </c>
      <c r="G2020" s="58" t="n">
        <f aca="false">G2006*Pressupostos!$C$137*(1+Pressupostos!$C$125)^4*(1+Pressupostos!$C$138)</f>
        <v>50647.89645</v>
      </c>
      <c r="H2020" s="2" t="s">
        <v>1254</v>
      </c>
    </row>
    <row r="2021" customFormat="false" ht="15" hidden="false" customHeight="false" outlineLevel="1" collapsed="false">
      <c r="A2021" s="7" t="s">
        <v>607</v>
      </c>
      <c r="B2021" s="8" t="s">
        <v>10</v>
      </c>
      <c r="C2021" s="58" t="n">
        <f aca="false">C2007*Pressupostos!$C$139*(1+Pressupostos!$C$125)^0*(1+Pressupostos!$C$140)</f>
        <v>38000</v>
      </c>
      <c r="D2021" s="58" t="n">
        <f aca="false">D2007*Pressupostos!$C$139*(1+Pressupostos!$C$125)^1*(1+Pressupostos!$C$140)</f>
        <v>39140</v>
      </c>
      <c r="E2021" s="58" t="n">
        <f aca="false">E2007*Pressupostos!$C$139*(1+Pressupostos!$C$125)^2*(1+Pressupostos!$C$140)</f>
        <v>40314.2</v>
      </c>
      <c r="F2021" s="58" t="n">
        <f aca="false">F2007*Pressupostos!$C$139*(1+Pressupostos!$C$125)^3*(1+Pressupostos!$C$140)</f>
        <v>83047.252</v>
      </c>
      <c r="G2021" s="58" t="n">
        <f aca="false">G2007*Pressupostos!$C$139*(1+Pressupostos!$C$125)^4*(1+Pressupostos!$C$140)</f>
        <v>85538.66956</v>
      </c>
      <c r="H2021" s="2" t="s">
        <v>1255</v>
      </c>
    </row>
    <row r="2022" customFormat="false" ht="15" hidden="false" customHeight="false" outlineLevel="1" collapsed="false">
      <c r="A2022" s="7" t="s">
        <v>608</v>
      </c>
      <c r="B2022" s="8" t="s">
        <v>10</v>
      </c>
      <c r="C2022" s="58" t="n">
        <f aca="false">C2008*Pressupostos!$C$141*(1+Pressupostos!$C$125)^0*(1+Pressupostos!$C$142)</f>
        <v>16000</v>
      </c>
      <c r="D2022" s="58" t="n">
        <f aca="false">D2008*Pressupostos!$C$141*(1+Pressupostos!$C$125)^1*(1+Pressupostos!$C$142)</f>
        <v>32960</v>
      </c>
      <c r="E2022" s="58" t="n">
        <f aca="false">E2008*Pressupostos!$C$141*(1+Pressupostos!$C$125)^2*(1+Pressupostos!$C$142)</f>
        <v>33948.8</v>
      </c>
      <c r="F2022" s="58" t="n">
        <f aca="false">F2008*Pressupostos!$C$141*(1+Pressupostos!$C$125)^3*(1+Pressupostos!$C$142)</f>
        <v>34967.264</v>
      </c>
      <c r="G2022" s="58" t="n">
        <f aca="false">G2008*Pressupostos!$C$141*(1+Pressupostos!$C$125)^4*(1+Pressupostos!$C$142)</f>
        <v>36016.28192</v>
      </c>
      <c r="H2022" s="2" t="s">
        <v>1256</v>
      </c>
    </row>
    <row r="2023" customFormat="false" ht="15" hidden="false" customHeight="false" outlineLevel="1" collapsed="false">
      <c r="A2023" s="7" t="s">
        <v>609</v>
      </c>
      <c r="B2023" s="8" t="s">
        <v>10</v>
      </c>
      <c r="C2023" s="58" t="n">
        <f aca="false">C2009*Pressupostos!$C$143*(1+Pressupostos!$C$125)^0*(1+Pressupostos!$C$144)</f>
        <v>34500</v>
      </c>
      <c r="D2023" s="58" t="n">
        <f aca="false">D2009*Pressupostos!$C$143*(1+Pressupostos!$C$125)^1*(1+Pressupostos!$C$144)</f>
        <v>35535</v>
      </c>
      <c r="E2023" s="58" t="n">
        <f aca="false">E2009*Pressupostos!$C$143*(1+Pressupostos!$C$125)^2*(1+Pressupostos!$C$144)</f>
        <v>73202.1</v>
      </c>
      <c r="F2023" s="58" t="n">
        <f aca="false">F2009*Pressupostos!$C$143*(1+Pressupostos!$C$125)^3*(1+Pressupostos!$C$144)</f>
        <v>113097.2445</v>
      </c>
      <c r="G2023" s="58" t="n">
        <f aca="false">G2009*Pressupostos!$C$143*(1+Pressupostos!$C$125)^4*(1+Pressupostos!$C$144)</f>
        <v>194150.269725</v>
      </c>
      <c r="H2023" s="2" t="s">
        <v>1257</v>
      </c>
    </row>
    <row r="2024" customFormat="false" ht="15" hidden="false" customHeight="false" outlineLevel="1" collapsed="false">
      <c r="A2024" s="7" t="s">
        <v>610</v>
      </c>
      <c r="B2024" s="8" t="s">
        <v>10</v>
      </c>
      <c r="C2024" s="58" t="n">
        <f aca="false">C2010*Pressupostos!$C$145*(1+Pressupostos!$C$125)^0*(1+Pressupostos!$C$146)</f>
        <v>0</v>
      </c>
      <c r="D2024" s="58" t="n">
        <f aca="false">D2010*Pressupostos!$C$145*(1+Pressupostos!$C$125)^1*(1+Pressupostos!$C$146)</f>
        <v>0</v>
      </c>
      <c r="E2024" s="58" t="n">
        <f aca="false">E2010*Pressupostos!$C$145*(1+Pressupostos!$C$125)^2*(1+Pressupostos!$C$146)</f>
        <v>0</v>
      </c>
      <c r="F2024" s="58" t="n">
        <f aca="false">F2010*Pressupostos!$C$145*(1+Pressupostos!$C$125)^3*(1+Pressupostos!$C$146)</f>
        <v>49172.715</v>
      </c>
      <c r="G2024" s="58" t="n">
        <f aca="false">G2010*Pressupostos!$C$145*(1+Pressupostos!$C$125)^4*(1+Pressupostos!$C$146)</f>
        <v>50647.89645</v>
      </c>
      <c r="H2024" s="2" t="s">
        <v>1258</v>
      </c>
    </row>
    <row r="2025" customFormat="false" ht="15" hidden="false" customHeight="false" outlineLevel="1" collapsed="false">
      <c r="A2025" s="7" t="s">
        <v>611</v>
      </c>
      <c r="B2025" s="8" t="s">
        <v>10</v>
      </c>
      <c r="C2025" s="58" t="n">
        <f aca="false">C2011*Pressupostos!$C$147*(1+Pressupostos!$C$125)^0*(1+Pressupostos!$C$148)</f>
        <v>0</v>
      </c>
      <c r="D2025" s="58" t="n">
        <f aca="false">D2011*Pressupostos!$C$147*(1+Pressupostos!$C$125)^1*(1+Pressupostos!$C$148)</f>
        <v>0</v>
      </c>
      <c r="E2025" s="58" t="n">
        <f aca="false">E2011*Pressupostos!$C$147*(1+Pressupostos!$C$125)^2*(1+Pressupostos!$C$148)</f>
        <v>0</v>
      </c>
      <c r="F2025" s="58" t="n">
        <f aca="false">F2011*Pressupostos!$C$147*(1+Pressupostos!$C$125)^3*(1+Pressupostos!$C$148)</f>
        <v>0</v>
      </c>
      <c r="G2025" s="58" t="n">
        <f aca="false">G2011*Pressupostos!$C$147*(1+Pressupostos!$C$125)^4*(1+Pressupostos!$C$148)</f>
        <v>45020.3524</v>
      </c>
      <c r="H2025" s="2" t="s">
        <v>1259</v>
      </c>
    </row>
    <row r="2026" customFormat="false" ht="15" hidden="false" customHeight="false" outlineLevel="1" collapsed="false">
      <c r="A2026" s="7" t="s">
        <v>612</v>
      </c>
      <c r="B2026" s="8" t="s">
        <v>10</v>
      </c>
      <c r="C2026" s="58" t="n">
        <f aca="false">C2012*Pressupostos!$C$149*(1+Pressupostos!$C$125)^0*(1+Pressupostos!$C$150)</f>
        <v>0</v>
      </c>
      <c r="D2026" s="58" t="n">
        <f aca="false">D2012*Pressupostos!$C$149*(1+Pressupostos!$C$125)^1*(1+Pressupostos!$C$150)</f>
        <v>0</v>
      </c>
      <c r="E2026" s="58" t="n">
        <f aca="false">E2012*Pressupostos!$C$149*(1+Pressupostos!$C$125)^2*(1+Pressupostos!$C$150)</f>
        <v>25461.6</v>
      </c>
      <c r="F2026" s="58" t="n">
        <f aca="false">F2012*Pressupostos!$C$149*(1+Pressupostos!$C$125)^3*(1+Pressupostos!$C$150)</f>
        <v>26225.448</v>
      </c>
      <c r="G2026" s="58" t="n">
        <f aca="false">G2012*Pressupostos!$C$149*(1+Pressupostos!$C$125)^4*(1+Pressupostos!$C$150)</f>
        <v>27012.21144</v>
      </c>
      <c r="H2026" s="2" t="s">
        <v>1260</v>
      </c>
    </row>
    <row r="2027" customFormat="false" ht="15" hidden="false" customHeight="false" outlineLevel="1" collapsed="false">
      <c r="A2027" s="7" t="s">
        <v>613</v>
      </c>
      <c r="B2027" s="8" t="s">
        <v>10</v>
      </c>
      <c r="C2027" s="58" t="n">
        <f aca="false">C2013*Pressupostos!$C$151*(1+Pressupostos!$C$125)^0*(1+Pressupostos!$C$152)</f>
        <v>0</v>
      </c>
      <c r="D2027" s="58" t="n">
        <f aca="false">D2013*Pressupostos!$C$151*(1+Pressupostos!$C$125)^1*(1+Pressupostos!$C$152)</f>
        <v>0</v>
      </c>
      <c r="E2027" s="58" t="n">
        <f aca="false">E2013*Pressupostos!$C$151*(1+Pressupostos!$C$125)^2*(1+Pressupostos!$C$152)</f>
        <v>0</v>
      </c>
      <c r="F2027" s="58" t="n">
        <f aca="false">F2013*Pressupostos!$C$151*(1+Pressupostos!$C$125)^3*(1+Pressupostos!$C$152)</f>
        <v>0</v>
      </c>
      <c r="G2027" s="58" t="n">
        <f aca="false">G2013*Pressupostos!$C$151*(1+Pressupostos!$C$125)^4*(1+Pressupostos!$C$152)</f>
        <v>0</v>
      </c>
      <c r="H2027" s="2" t="s">
        <v>1261</v>
      </c>
    </row>
    <row r="2028" customFormat="false" ht="15" hidden="false" customHeight="false" outlineLevel="1" collapsed="false">
      <c r="A2028" s="7" t="s">
        <v>616</v>
      </c>
      <c r="B2028" s="8" t="s">
        <v>10</v>
      </c>
      <c r="C2028" s="58" t="n">
        <f aca="false">C2016+C2017+C2018+C2019+C2020+C2021+C2022+C2023+C2024+C2025+C2026+C2027</f>
        <v>307662.5</v>
      </c>
      <c r="D2028" s="58" t="n">
        <f aca="false">D2016+D2017+D2018+D2019+D2020+D2021+D2022+D2023+D2024+D2025+D2026+D2027</f>
        <v>390885</v>
      </c>
      <c r="E2028" s="58" t="n">
        <f aca="false">E2016+E2017+E2018+E2019+E2020+E2021+E2022+E2023+E2024+E2025+E2026+E2027</f>
        <v>512414.7</v>
      </c>
      <c r="F2028" s="58" t="n">
        <f aca="false">F2016+F2017+F2018+F2019+F2020+F2021+F2022+F2023+F2024+F2025+F2026+F2027</f>
        <v>656182.5635</v>
      </c>
      <c r="G2028" s="58" t="n">
        <f aca="false">G2016+G2017+G2018+G2019+G2020+G2021+G2022+G2023+G2024+G2025+G2026+G2027</f>
        <v>798548.500695</v>
      </c>
      <c r="H2028" s="2" t="s">
        <v>1262</v>
      </c>
    </row>
    <row r="2029" customFormat="false" ht="15" hidden="false" customHeight="false" outlineLevel="1" collapsed="false">
      <c r="A2029" s="7" t="s">
        <v>617</v>
      </c>
      <c r="B2029" s="8" t="s">
        <v>10</v>
      </c>
      <c r="C2029" s="58" t="n">
        <f aca="false">C2028*(Pressupostos!$C$122+Pressupostos!$C$123)</f>
        <v>79223.09375</v>
      </c>
      <c r="D2029" s="58" t="n">
        <f aca="false">D2028*(Pressupostos!$C$122+Pressupostos!$C$123)</f>
        <v>100652.8875</v>
      </c>
      <c r="E2029" s="58" t="n">
        <f aca="false">E2028*(Pressupostos!$C$122+Pressupostos!$C$123)</f>
        <v>131946.78525</v>
      </c>
      <c r="F2029" s="58" t="n">
        <f aca="false">F2028*(Pressupostos!$C$122+Pressupostos!$C$123)</f>
        <v>168967.01010125</v>
      </c>
      <c r="G2029" s="58" t="n">
        <f aca="false">G2028*(Pressupostos!$C$122+Pressupostos!$C$123)</f>
        <v>205626.238928963</v>
      </c>
      <c r="H2029" s="2" t="s">
        <v>1263</v>
      </c>
    </row>
    <row r="2030" customFormat="false" ht="15" hidden="false" customHeight="false" outlineLevel="1" collapsed="false">
      <c r="A2030" s="7" t="s">
        <v>618</v>
      </c>
      <c r="B2030" s="8" t="s">
        <v>10</v>
      </c>
      <c r="C2030" s="58" t="n">
        <f aca="false">C2014*Pressupostos!$C$124*(1+Pressupostos!$C$125)^0</f>
        <v>14000</v>
      </c>
      <c r="D2030" s="58" t="n">
        <f aca="false">D2014*Pressupostos!$C$124*(1+Pressupostos!$C$125)^1</f>
        <v>16480</v>
      </c>
      <c r="E2030" s="58" t="n">
        <f aca="false">E2014*Pressupostos!$C$124*(1+Pressupostos!$C$125)^2</f>
        <v>23339.8</v>
      </c>
      <c r="F2030" s="58" t="n">
        <f aca="false">F2014*Pressupostos!$C$124*(1+Pressupostos!$C$125)^3</f>
        <v>30596.356</v>
      </c>
      <c r="G2030" s="58" t="n">
        <f aca="false">G2014*Pressupostos!$C$124*(1+Pressupostos!$C$125)^4</f>
        <v>38267.29954</v>
      </c>
      <c r="H2030" s="2" t="s">
        <v>1264</v>
      </c>
    </row>
    <row r="2031" customFormat="false" ht="15" hidden="false" customHeight="false" outlineLevel="1" collapsed="false">
      <c r="A2031" s="52" t="s">
        <v>619</v>
      </c>
      <c r="B2031" s="53" t="s">
        <v>10</v>
      </c>
      <c r="C2031" s="59" t="n">
        <f aca="false">C2028+C2029+C2030</f>
        <v>400885.59375</v>
      </c>
      <c r="D2031" s="59" t="n">
        <f aca="false">D2028+D2029+D2030</f>
        <v>508017.8875</v>
      </c>
      <c r="E2031" s="59" t="n">
        <f aca="false">E2028+E2029+E2030</f>
        <v>667701.28525</v>
      </c>
      <c r="F2031" s="59" t="n">
        <f aca="false">F2028+F2029+F2030</f>
        <v>855745.92960125</v>
      </c>
      <c r="G2031" s="59" t="n">
        <f aca="false">G2028+G2029+G2030</f>
        <v>1042442.03916396</v>
      </c>
      <c r="H2031" s="2" t="s">
        <v>1265</v>
      </c>
    </row>
    <row r="2032" customFormat="false" ht="15" hidden="false" customHeight="false" outlineLevel="1" collapsed="false">
      <c r="A2032" s="2" t="s">
        <v>620</v>
      </c>
      <c r="B2032" s="8" t="s">
        <v>10</v>
      </c>
      <c r="C2032" s="58" t="n">
        <f aca="false">IF(C2014&gt;0,C2031/C2014,0)</f>
        <v>57269.3705357143</v>
      </c>
      <c r="D2032" s="58" t="n">
        <f aca="false">IF(D2014&gt;0,D2031/D2014,0)</f>
        <v>63502.2359375</v>
      </c>
      <c r="E2032" s="58" t="n">
        <f aca="false">IF(E2014&gt;0,E2031/E2014,0)</f>
        <v>60700.1168409091</v>
      </c>
      <c r="F2032" s="58" t="n">
        <f aca="false">IF(F2014&gt;0,F2031/F2014,0)</f>
        <v>61124.7092572321</v>
      </c>
      <c r="G2032" s="58" t="n">
        <f aca="false">IF(G2014&gt;0,G2031/G2014,0)</f>
        <v>61320.1199508213</v>
      </c>
      <c r="H2032" s="2" t="s">
        <v>1266</v>
      </c>
    </row>
    <row r="2033" customFormat="false" ht="15" hidden="false" customHeight="false" outlineLevel="0" collapsed="false">
      <c r="A2033" s="3" t="s">
        <v>1267</v>
      </c>
      <c r="B2033" s="4"/>
      <c r="C2033" s="4"/>
      <c r="D2033" s="4"/>
      <c r="E2033" s="4"/>
      <c r="F2033" s="4"/>
      <c r="G2033" s="4"/>
      <c r="H2033" s="4"/>
    </row>
    <row r="2034" customFormat="false" ht="15" hidden="false" customHeight="false" outlineLevel="1" collapsed="false">
      <c r="A2034" s="7" t="s">
        <v>430</v>
      </c>
      <c r="B2034" s="8" t="s">
        <v>10</v>
      </c>
      <c r="C2034" s="58" t="n">
        <f aca="false">Pressupostos!$C$388*(1+Pressupostos!$C$154)*(1+Pressupostos!$C$155)^0</f>
        <v>94500</v>
      </c>
      <c r="D2034" s="58" t="n">
        <f aca="false">Pressupostos!$D$388*(1+Pressupostos!$C$154)*(1+Pressupostos!$C$155)^1</f>
        <v>53550</v>
      </c>
      <c r="E2034" s="58" t="n">
        <f aca="false">Pressupostos!$E$388*(1+Pressupostos!$C$154)*(1+Pressupostos!$C$155)^2</f>
        <v>49158.9</v>
      </c>
      <c r="F2034" s="58" t="n">
        <f aca="false">Pressupostos!$F$388*(1+Pressupostos!$C$154)*(1+Pressupostos!$C$155)^3</f>
        <v>50142.078</v>
      </c>
      <c r="G2034" s="58" t="n">
        <f aca="false">Pressupostos!$G$388*(1+Pressupostos!$C$154)*(1+Pressupostos!$C$155)^4</f>
        <v>51144.91956</v>
      </c>
      <c r="H2034" s="2" t="s">
        <v>1268</v>
      </c>
    </row>
    <row r="2035" customFormat="false" ht="15" hidden="false" customHeight="false" outlineLevel="1" collapsed="false">
      <c r="A2035" s="7" t="s">
        <v>432</v>
      </c>
      <c r="B2035" s="8" t="s">
        <v>10</v>
      </c>
      <c r="C2035" s="58" t="n">
        <f aca="false">Pressupostos!$C$394*(1+Pressupostos!$C$154)*(1+Pressupostos!$C$155)^0</f>
        <v>10500</v>
      </c>
      <c r="D2035" s="58" t="n">
        <f aca="false">Pressupostos!$D$394*(1+Pressupostos!$C$154)*(1+Pressupostos!$C$155)^1</f>
        <v>10710</v>
      </c>
      <c r="E2035" s="58" t="n">
        <f aca="false">Pressupostos!$E$394*(1+Pressupostos!$C$154)*(1+Pressupostos!$C$155)^2</f>
        <v>10924.2</v>
      </c>
      <c r="F2035" s="58" t="n">
        <f aca="false">Pressupostos!$F$394*(1+Pressupostos!$C$154)*(1+Pressupostos!$C$155)^3</f>
        <v>11142.684</v>
      </c>
      <c r="G2035" s="58" t="n">
        <f aca="false">Pressupostos!$G$394*(1+Pressupostos!$C$154)*(1+Pressupostos!$C$155)^4</f>
        <v>11365.53768</v>
      </c>
      <c r="H2035" s="2" t="s">
        <v>1269</v>
      </c>
    </row>
    <row r="2036" customFormat="false" ht="15" hidden="false" customHeight="false" outlineLevel="1" collapsed="false">
      <c r="A2036" s="7" t="s">
        <v>433</v>
      </c>
      <c r="B2036" s="8" t="s">
        <v>10</v>
      </c>
      <c r="C2036" s="58" t="n">
        <f aca="false">Pressupostos!$C$400*(1+Pressupostos!$C$154)*(1+Pressupostos!$C$155)^0</f>
        <v>12600</v>
      </c>
      <c r="D2036" s="58" t="n">
        <f aca="false">Pressupostos!$D$400*(1+Pressupostos!$C$154)*(1+Pressupostos!$C$155)^1</f>
        <v>12852</v>
      </c>
      <c r="E2036" s="58" t="n">
        <f aca="false">Pressupostos!$E$400*(1+Pressupostos!$C$154)*(1+Pressupostos!$C$155)^2</f>
        <v>13109.04</v>
      </c>
      <c r="F2036" s="58" t="n">
        <f aca="false">Pressupostos!$F$400*(1+Pressupostos!$C$154)*(1+Pressupostos!$C$155)^3</f>
        <v>0</v>
      </c>
      <c r="G2036" s="58" t="n">
        <f aca="false">Pressupostos!$G$400*(1+Pressupostos!$C$154)*(1+Pressupostos!$C$155)^4</f>
        <v>0</v>
      </c>
      <c r="H2036" s="2" t="s">
        <v>1270</v>
      </c>
    </row>
    <row r="2037" customFormat="false" ht="15" hidden="false" customHeight="false" outlineLevel="1" collapsed="false">
      <c r="A2037" s="7" t="s">
        <v>435</v>
      </c>
      <c r="B2037" s="8" t="s">
        <v>10</v>
      </c>
      <c r="C2037" s="58" t="n">
        <f aca="false">Pressupostos!$C$406*(1+Pressupostos!$C$154)*(1+Pressupostos!$C$155)^0</f>
        <v>31500</v>
      </c>
      <c r="D2037" s="58" t="n">
        <f aca="false">Pressupostos!$D$406*(1+Pressupostos!$C$154)*(1+Pressupostos!$C$155)^1</f>
        <v>42840</v>
      </c>
      <c r="E2037" s="58" t="n">
        <f aca="false">Pressupostos!$E$406*(1+Pressupostos!$C$154)*(1+Pressupostos!$C$155)^2</f>
        <v>60083.1</v>
      </c>
      <c r="F2037" s="58" t="n">
        <f aca="false">Pressupostos!$F$406*(1+Pressupostos!$C$154)*(1+Pressupostos!$C$155)^3</f>
        <v>77998.788</v>
      </c>
      <c r="G2037" s="58" t="n">
        <f aca="false">Pressupostos!$G$406*(1+Pressupostos!$C$154)*(1+Pressupostos!$C$155)^4</f>
        <v>96607.07028</v>
      </c>
      <c r="H2037" s="2" t="s">
        <v>1271</v>
      </c>
    </row>
    <row r="2038" customFormat="false" ht="15" hidden="false" customHeight="false" outlineLevel="1" collapsed="false">
      <c r="A2038" s="7" t="s">
        <v>437</v>
      </c>
      <c r="B2038" s="8" t="s">
        <v>10</v>
      </c>
      <c r="C2038" s="58" t="n">
        <f aca="false">Pressupostos!$C$412*(1+Pressupostos!$C$154)*(1+Pressupostos!$C$155)^0</f>
        <v>15750</v>
      </c>
      <c r="D2038" s="58" t="n">
        <f aca="false">Pressupostos!$D$412*(1+Pressupostos!$C$154)*(1+Pressupostos!$C$155)^1</f>
        <v>16065</v>
      </c>
      <c r="E2038" s="58" t="n">
        <f aca="false">Pressupostos!$E$412*(1+Pressupostos!$C$154)*(1+Pressupostos!$C$155)^2</f>
        <v>38234.7</v>
      </c>
      <c r="F2038" s="58" t="n">
        <f aca="false">Pressupostos!$F$412*(1+Pressupostos!$C$154)*(1+Pressupostos!$C$155)^3</f>
        <v>22285.368</v>
      </c>
      <c r="G2038" s="58" t="n">
        <f aca="false">Pressupostos!$G$412*(1+Pressupostos!$C$154)*(1+Pressupostos!$C$155)^4</f>
        <v>22731.07536</v>
      </c>
      <c r="H2038" s="2" t="s">
        <v>1272</v>
      </c>
    </row>
    <row r="2039" customFormat="false" ht="15" hidden="false" customHeight="false" outlineLevel="1" collapsed="false">
      <c r="A2039" s="7" t="s">
        <v>439</v>
      </c>
      <c r="B2039" s="8" t="s">
        <v>10</v>
      </c>
      <c r="C2039" s="58" t="n">
        <f aca="false">Pressupostos!$C$418*(1+Pressupostos!$C$154)*(1+Pressupostos!$C$155)^0</f>
        <v>10500</v>
      </c>
      <c r="D2039" s="58" t="n">
        <f aca="false">Pressupostos!$D$418*(1+Pressupostos!$C$154)*(1+Pressupostos!$C$155)^1</f>
        <v>12852</v>
      </c>
      <c r="E2039" s="58" t="n">
        <f aca="false">Pressupostos!$E$418*(1+Pressupostos!$C$154)*(1+Pressupostos!$C$155)^2</f>
        <v>16386.3</v>
      </c>
      <c r="F2039" s="58" t="n">
        <f aca="false">Pressupostos!$F$418*(1+Pressupostos!$C$154)*(1+Pressupostos!$C$155)^3</f>
        <v>20056.8312</v>
      </c>
      <c r="G2039" s="58" t="n">
        <f aca="false">Pressupostos!$G$418*(1+Pressupostos!$C$154)*(1+Pressupostos!$C$155)^4</f>
        <v>22731.07536</v>
      </c>
      <c r="H2039" s="2" t="s">
        <v>1273</v>
      </c>
    </row>
    <row r="2040" customFormat="false" ht="15" hidden="false" customHeight="false" outlineLevel="1" collapsed="false">
      <c r="A2040" s="7" t="s">
        <v>440</v>
      </c>
      <c r="B2040" s="8" t="s">
        <v>10</v>
      </c>
      <c r="C2040" s="58" t="n">
        <f aca="false">Pressupostos!$C$424*(1+Pressupostos!$C$154)*(1+Pressupostos!$C$155)^0</f>
        <v>42000</v>
      </c>
      <c r="D2040" s="58" t="n">
        <f aca="false">Pressupostos!$D$424*(1+Pressupostos!$C$154)*(1+Pressupostos!$C$155)^1</f>
        <v>53550</v>
      </c>
      <c r="E2040" s="58" t="n">
        <f aca="false">Pressupostos!$E$424*(1+Pressupostos!$C$154)*(1+Pressupostos!$C$155)^2</f>
        <v>76469.4</v>
      </c>
      <c r="F2040" s="58" t="n">
        <f aca="false">Pressupostos!$F$424*(1+Pressupostos!$C$154)*(1+Pressupostos!$C$155)^3</f>
        <v>100284.156</v>
      </c>
      <c r="G2040" s="58" t="n">
        <f aca="false">Pressupostos!$G$424*(1+Pressupostos!$C$154)*(1+Pressupostos!$C$155)^4</f>
        <v>125020.91448</v>
      </c>
      <c r="H2040" s="2" t="s">
        <v>1274</v>
      </c>
    </row>
    <row r="2041" customFormat="false" ht="15" hidden="false" customHeight="false" outlineLevel="1" collapsed="false">
      <c r="A2041" s="7" t="s">
        <v>442</v>
      </c>
      <c r="B2041" s="8" t="s">
        <v>10</v>
      </c>
      <c r="C2041" s="58" t="n">
        <f aca="false">Pressupostos!$C$430*(1+Pressupostos!$C$154)*(1+Pressupostos!$C$155)^0</f>
        <v>12600</v>
      </c>
      <c r="D2041" s="58" t="n">
        <f aca="false">Pressupostos!$D$430*(1+Pressupostos!$C$154)*(1+Pressupostos!$C$155)^1</f>
        <v>16065</v>
      </c>
      <c r="E2041" s="58" t="n">
        <f aca="false">Pressupostos!$E$430*(1+Pressupostos!$C$154)*(1+Pressupostos!$C$155)^2</f>
        <v>26218.08</v>
      </c>
      <c r="F2041" s="58" t="n">
        <f aca="false">Pressupostos!$F$430*(1+Pressupostos!$C$154)*(1+Pressupostos!$C$155)^3</f>
        <v>33428.052</v>
      </c>
      <c r="G2041" s="58" t="n">
        <f aca="false">Pressupostos!$G$430*(1+Pressupostos!$C$154)*(1+Pressupostos!$C$155)^4</f>
        <v>40915.935648</v>
      </c>
      <c r="H2041" s="2" t="s">
        <v>1275</v>
      </c>
    </row>
    <row r="2042" customFormat="false" ht="15" hidden="false" customHeight="false" outlineLevel="1" collapsed="false">
      <c r="A2042" s="7" t="s">
        <v>444</v>
      </c>
      <c r="B2042" s="8" t="s">
        <v>10</v>
      </c>
      <c r="C2042" s="58" t="n">
        <f aca="false">Pressupostos!$C$436*(1+Pressupostos!$C$154)*(1+Pressupostos!$C$155)^0</f>
        <v>18900</v>
      </c>
      <c r="D2042" s="58" t="n">
        <f aca="false">Pressupostos!$D$436*(1+Pressupostos!$C$154)*(1+Pressupostos!$C$155)^1</f>
        <v>23562</v>
      </c>
      <c r="E2042" s="58" t="n">
        <f aca="false">Pressupostos!$E$436*(1+Pressupostos!$C$154)*(1+Pressupostos!$C$155)^2</f>
        <v>32772.6</v>
      </c>
      <c r="F2042" s="58" t="n">
        <f aca="false">Pressupostos!$F$436*(1+Pressupostos!$C$154)*(1+Pressupostos!$C$155)^3</f>
        <v>42342.1992</v>
      </c>
      <c r="G2042" s="58" t="n">
        <f aca="false">Pressupostos!$G$436*(1+Pressupostos!$C$154)*(1+Pressupostos!$C$155)^4</f>
        <v>51144.91956</v>
      </c>
      <c r="H2042" s="2" t="s">
        <v>1276</v>
      </c>
    </row>
    <row r="2043" customFormat="false" ht="15" hidden="false" customHeight="false" outlineLevel="1" collapsed="false">
      <c r="A2043" s="7" t="s">
        <v>445</v>
      </c>
      <c r="B2043" s="8" t="s">
        <v>10</v>
      </c>
      <c r="C2043" s="58" t="n">
        <f aca="false">Pressupostos!$C$442*(1+Pressupostos!$C$154)*(1+Pressupostos!$C$155)^0</f>
        <v>5250</v>
      </c>
      <c r="D2043" s="58" t="n">
        <f aca="false">Pressupostos!$D$442*(1+Pressupostos!$C$154)*(1+Pressupostos!$C$155)^1</f>
        <v>8568</v>
      </c>
      <c r="E2043" s="58" t="n">
        <f aca="false">Pressupostos!$E$442*(1+Pressupostos!$C$154)*(1+Pressupostos!$C$155)^2</f>
        <v>13109.04</v>
      </c>
      <c r="F2043" s="58" t="n">
        <f aca="false">Pressupostos!$F$442*(1+Pressupostos!$C$154)*(1+Pressupostos!$C$155)^3</f>
        <v>16714.026</v>
      </c>
      <c r="G2043" s="58" t="n">
        <f aca="false">Pressupostos!$G$442*(1+Pressupostos!$C$154)*(1+Pressupostos!$C$155)^4</f>
        <v>17048.30652</v>
      </c>
      <c r="H2043" s="2" t="s">
        <v>1277</v>
      </c>
    </row>
    <row r="2044" customFormat="false" ht="15" hidden="false" customHeight="false" outlineLevel="1" collapsed="false">
      <c r="A2044" s="7" t="s">
        <v>661</v>
      </c>
      <c r="B2044" s="8" t="s">
        <v>10</v>
      </c>
      <c r="C2044" s="58" t="n">
        <f aca="false">C2034+C2035+C2036+C2037+C2038+C2039+C2040+C2041+C2042+C2043</f>
        <v>254100</v>
      </c>
      <c r="D2044" s="58" t="n">
        <f aca="false">D2034+D2035+D2036+D2037+D2038+D2039+D2040+D2041+D2042+D2043</f>
        <v>250614</v>
      </c>
      <c r="E2044" s="58" t="n">
        <f aca="false">E2034+E2035+E2036+E2037+E2038+E2039+E2040+E2041+E2042+E2043</f>
        <v>336465.36</v>
      </c>
      <c r="F2044" s="58" t="n">
        <f aca="false">F2034+F2035+F2036+F2037+F2038+F2039+F2040+F2041+F2042+F2043</f>
        <v>374394.1824</v>
      </c>
      <c r="G2044" s="58" t="n">
        <f aca="false">G2034+G2035+G2036+G2037+G2038+G2039+G2040+G2041+G2042+G2043</f>
        <v>438709.754448</v>
      </c>
      <c r="H2044" s="2" t="s">
        <v>1278</v>
      </c>
    </row>
    <row r="2045" customFormat="false" ht="15" hidden="false" customHeight="false" outlineLevel="1" collapsed="false">
      <c r="A2045" s="7" t="s">
        <v>662</v>
      </c>
      <c r="B2045" s="8" t="s">
        <v>10</v>
      </c>
      <c r="C2045" s="58" t="n">
        <f aca="false">Pressupostos!$C$112+Pressupostos!$C$113+Pressupostos!$C$114*Pressupostos!$C$289+Pressupostos!$C$449</f>
        <v>65000</v>
      </c>
      <c r="D2045" s="58" t="n">
        <f aca="false">Pressupostos!$C$113+Pressupostos!$C$114*Pressupostos!$D$289+Pressupostos!$D$449</f>
        <v>65000</v>
      </c>
      <c r="E2045" s="58" t="n">
        <f aca="false">Pressupostos!$C$113+Pressupostos!$C$114*Pressupostos!$E$289+Pressupostos!$E$449</f>
        <v>70000</v>
      </c>
      <c r="F2045" s="58" t="n">
        <f aca="false">Pressupostos!$C$113+Pressupostos!$C$114*Pressupostos!$F$289+Pressupostos!$F$449</f>
        <v>75000</v>
      </c>
      <c r="G2045" s="58" t="n">
        <f aca="false">Pressupostos!$C$113+Pressupostos!$C$114*Pressupostos!$G$289+Pressupostos!$G$449</f>
        <v>80000</v>
      </c>
      <c r="H2045" s="2" t="s">
        <v>1279</v>
      </c>
    </row>
    <row r="2046" customFormat="false" ht="15" hidden="false" customHeight="false" outlineLevel="1" collapsed="false">
      <c r="A2046" s="7" t="s">
        <v>663</v>
      </c>
      <c r="B2046" s="8" t="s">
        <v>10</v>
      </c>
      <c r="C2046" s="58" t="n">
        <f aca="false">IF(C1868&lt;Pressupostos!$C$118,0,MAX(Pressupostos!$C$295,Pressupostos!$C$116*(C1956+C1957)+Pressupostos!$C$117*C1958))</f>
        <v>0</v>
      </c>
      <c r="D2046" s="58" t="n">
        <f aca="false">IF(D1868&lt;Pressupostos!$C$118,0,MAX(Pressupostos!$D$295,Pressupostos!$C$116*(D1956+D1957)+Pressupostos!$C$117*D1958))</f>
        <v>7026.97</v>
      </c>
      <c r="E2046" s="58" t="n">
        <f aca="false">IF(E1868&lt;Pressupostos!$C$118,0,MAX(Pressupostos!$E$295,Pressupostos!$C$116*(E1956+E1957)+Pressupostos!$C$117*E1958))</f>
        <v>15030.73</v>
      </c>
      <c r="F2046" s="58" t="n">
        <f aca="false">IF(F1868&lt;Pressupostos!$C$118,0,MAX(Pressupostos!$F$295,Pressupostos!$C$116*(F1956+F1957)+Pressupostos!$C$117*F1958))</f>
        <v>25713.27</v>
      </c>
      <c r="G2046" s="58" t="n">
        <f aca="false">IF(G1868&lt;Pressupostos!$C$118,0,MAX(Pressupostos!$G$295,Pressupostos!$C$116*(G1956+G1957)+Pressupostos!$C$117*G1958))</f>
        <v>39022.1</v>
      </c>
      <c r="H2046" s="2" t="s">
        <v>1280</v>
      </c>
    </row>
    <row r="2047" customFormat="false" ht="15" hidden="false" customHeight="false" outlineLevel="1" collapsed="false">
      <c r="A2047" s="52" t="s">
        <v>664</v>
      </c>
      <c r="B2047" s="53" t="s">
        <v>10</v>
      </c>
      <c r="C2047" s="59" t="n">
        <f aca="false">C2044+C2045+C2046</f>
        <v>319100</v>
      </c>
      <c r="D2047" s="59" t="n">
        <f aca="false">D2044+D2045+D2046</f>
        <v>322640.97</v>
      </c>
      <c r="E2047" s="59" t="n">
        <f aca="false">E2044+E2045+E2046</f>
        <v>421496.09</v>
      </c>
      <c r="F2047" s="59" t="n">
        <f aca="false">F2044+F2045+F2046</f>
        <v>475107.4524</v>
      </c>
      <c r="G2047" s="59" t="n">
        <f aca="false">G2044+G2045+G2046</f>
        <v>557731.854448</v>
      </c>
      <c r="H2047" s="2" t="s">
        <v>1281</v>
      </c>
    </row>
    <row r="2048" customFormat="false" ht="15" hidden="false" customHeight="false" outlineLevel="0" collapsed="false">
      <c r="A2048" s="3" t="s">
        <v>1282</v>
      </c>
      <c r="B2048" s="4"/>
      <c r="C2048" s="4"/>
      <c r="D2048" s="4"/>
      <c r="E2048" s="4"/>
      <c r="F2048" s="4"/>
      <c r="G2048" s="4"/>
      <c r="H2048" s="4"/>
    </row>
    <row r="2049" customFormat="false" ht="15" hidden="false" customHeight="false" outlineLevel="1" collapsed="false">
      <c r="A2049" s="7" t="s">
        <v>666</v>
      </c>
      <c r="B2049" s="8" t="s">
        <v>10</v>
      </c>
      <c r="C2049" s="58" t="n">
        <f aca="false">Pressupostos!$C$163*Pressupostos!$C$302</f>
        <v>18000</v>
      </c>
      <c r="D2049" s="58" t="n">
        <f aca="false">Pressupostos!$C$163*Pressupostos!$D$302</f>
        <v>12000</v>
      </c>
      <c r="E2049" s="58" t="n">
        <f aca="false">Pressupostos!$C$163*Pressupostos!$E$302</f>
        <v>12000</v>
      </c>
      <c r="F2049" s="58" t="n">
        <f aca="false">Pressupostos!$C$163*Pressupostos!$F$302</f>
        <v>12000</v>
      </c>
      <c r="G2049" s="58" t="n">
        <f aca="false">Pressupostos!$C$163*Pressupostos!$G$302</f>
        <v>12000</v>
      </c>
      <c r="H2049" s="2" t="s">
        <v>1283</v>
      </c>
    </row>
    <row r="2050" customFormat="false" ht="15" hidden="false" customHeight="false" outlineLevel="1" collapsed="false">
      <c r="A2050" s="7" t="s">
        <v>667</v>
      </c>
      <c r="B2050" s="8" t="s">
        <v>10</v>
      </c>
      <c r="C2050" s="50" t="n">
        <f aca="false">Pressupostos!$C$308</f>
        <v>60000</v>
      </c>
      <c r="D2050" s="50" t="n">
        <f aca="false">Pressupostos!$D$308</f>
        <v>30000</v>
      </c>
      <c r="E2050" s="50" t="n">
        <f aca="false">Pressupostos!$E$308</f>
        <v>30000</v>
      </c>
      <c r="F2050" s="50" t="n">
        <f aca="false">Pressupostos!$F$308</f>
        <v>20000</v>
      </c>
      <c r="G2050" s="50" t="n">
        <f aca="false">Pressupostos!$G$308</f>
        <v>20000</v>
      </c>
      <c r="H2050" s="2" t="s">
        <v>1284</v>
      </c>
    </row>
    <row r="2051" customFormat="false" ht="15" hidden="false" customHeight="false" outlineLevel="1" collapsed="false">
      <c r="A2051" s="7" t="s">
        <v>668</v>
      </c>
      <c r="B2051" s="8" t="s">
        <v>10</v>
      </c>
      <c r="C2051" s="58" t="n">
        <f aca="false">Pressupostos!$C$164*MAX(0,C2014)</f>
        <v>14000</v>
      </c>
      <c r="D2051" s="58" t="n">
        <f aca="false">Pressupostos!$C$164*MAX(0,D2014-C2014)</f>
        <v>2000</v>
      </c>
      <c r="E2051" s="58" t="n">
        <f aca="false">Pressupostos!$C$164*MAX(0,E2014-D2014)</f>
        <v>6000</v>
      </c>
      <c r="F2051" s="58" t="n">
        <f aca="false">Pressupostos!$C$164*MAX(0,F2014-E2014)</f>
        <v>6000</v>
      </c>
      <c r="G2051" s="58" t="n">
        <f aca="false">Pressupostos!$C$164*MAX(0,G2014-F2014)</f>
        <v>6000</v>
      </c>
      <c r="H2051" s="2" t="s">
        <v>1285</v>
      </c>
    </row>
    <row r="2052" customFormat="false" ht="15" hidden="false" customHeight="false" outlineLevel="1" collapsed="false">
      <c r="A2052" s="7" t="s">
        <v>407</v>
      </c>
      <c r="B2052" s="8" t="s">
        <v>10</v>
      </c>
      <c r="C2052" s="58" t="n">
        <f aca="false">C2049+C2050+C2051</f>
        <v>92000</v>
      </c>
      <c r="D2052" s="58" t="n">
        <f aca="false">D2049+D2050+D2051</f>
        <v>44000</v>
      </c>
      <c r="E2052" s="58" t="n">
        <f aca="false">E2049+E2050+E2051</f>
        <v>48000</v>
      </c>
      <c r="F2052" s="58" t="n">
        <f aca="false">F2049+F2050+F2051</f>
        <v>38000</v>
      </c>
      <c r="G2052" s="58" t="n">
        <f aca="false">G2049+G2050+G2051</f>
        <v>38000</v>
      </c>
      <c r="H2052" s="2" t="s">
        <v>1286</v>
      </c>
    </row>
    <row r="2053" customFormat="false" ht="15" hidden="false" customHeight="false" outlineLevel="1" collapsed="false">
      <c r="A2053" s="7" t="s">
        <v>669</v>
      </c>
      <c r="B2053" s="8" t="s">
        <v>10</v>
      </c>
      <c r="C2053" s="58" t="n">
        <f aca="false">(C2050*((0)&lt;Pressupostos!$C$165))/Pressupostos!$C$165</f>
        <v>20000</v>
      </c>
      <c r="D2053" s="58" t="n">
        <f aca="false">(C2050*((1)&lt;Pressupostos!$C$165)+D2050*((0)&lt;Pressupostos!$C$165))/Pressupostos!$C$165</f>
        <v>30000</v>
      </c>
      <c r="E2053" s="58" t="n">
        <f aca="false">(C2050*((2)&lt;Pressupostos!$C$165)+D2050*((1)&lt;Pressupostos!$C$165)+E2050*((0)&lt;Pressupostos!$C$165))/Pressupostos!$C$165</f>
        <v>40000</v>
      </c>
      <c r="F2053" s="58" t="n">
        <f aca="false">(C2050*((3)&lt;Pressupostos!$C$165)+D2050*((2)&lt;Pressupostos!$C$165)+E2050*((1)&lt;Pressupostos!$C$165)+F2050*((0)&lt;Pressupostos!$C$165))/Pressupostos!$C$165</f>
        <v>26666.6666666667</v>
      </c>
      <c r="G2053" s="58" t="n">
        <f aca="false">(C2050*((4)&lt;Pressupostos!$C$165)+D2050*((3)&lt;Pressupostos!$C$165)+E2050*((2)&lt;Pressupostos!$C$165)+F2050*((1)&lt;Pressupostos!$C$165)+G2050*((0)&lt;Pressupostos!$C$165))/Pressupostos!$C$165</f>
        <v>23333.3333333333</v>
      </c>
      <c r="H2053" s="2" t="s">
        <v>1287</v>
      </c>
    </row>
    <row r="2054" customFormat="false" ht="15" hidden="false" customHeight="false" outlineLevel="1" collapsed="false">
      <c r="A2054" s="7" t="s">
        <v>670</v>
      </c>
      <c r="B2054" s="8" t="s">
        <v>10</v>
      </c>
      <c r="C2054" s="58" t="n">
        <f aca="false">(C2049*((0)&lt;Pressupostos!$C$167))/Pressupostos!$C$167</f>
        <v>3600</v>
      </c>
      <c r="D2054" s="58" t="n">
        <f aca="false">(C2049*((1)&lt;Pressupostos!$C$167)+D2049*((0)&lt;Pressupostos!$C$167))/Pressupostos!$C$167</f>
        <v>6000</v>
      </c>
      <c r="E2054" s="58" t="n">
        <f aca="false">(C2049*((2)&lt;Pressupostos!$C$167)+D2049*((1)&lt;Pressupostos!$C$167)+E2049*((0)&lt;Pressupostos!$C$167))/Pressupostos!$C$167</f>
        <v>8400</v>
      </c>
      <c r="F2054" s="58" t="n">
        <f aca="false">(C2049*((3)&lt;Pressupostos!$C$167)+D2049*((2)&lt;Pressupostos!$C$167)+E2049*((1)&lt;Pressupostos!$C$167)+F2049*((0)&lt;Pressupostos!$C$167))/Pressupostos!$C$167</f>
        <v>10800</v>
      </c>
      <c r="G2054" s="58" t="n">
        <f aca="false">(C2049*((4)&lt;Pressupostos!$C$167)+D2049*((3)&lt;Pressupostos!$C$167)+E2049*((2)&lt;Pressupostos!$C$167)+F2049*((1)&lt;Pressupostos!$C$167)+G2049*((0)&lt;Pressupostos!$C$167))/Pressupostos!$C$167</f>
        <v>13200</v>
      </c>
      <c r="H2054" s="2" t="s">
        <v>1288</v>
      </c>
    </row>
    <row r="2055" customFormat="false" ht="15" hidden="false" customHeight="false" outlineLevel="1" collapsed="false">
      <c r="A2055" s="7" t="s">
        <v>671</v>
      </c>
      <c r="B2055" s="8" t="s">
        <v>10</v>
      </c>
      <c r="C2055" s="58" t="n">
        <f aca="false">(C2051*((0)&lt;Pressupostos!$C$166))/Pressupostos!$C$166</f>
        <v>3500</v>
      </c>
      <c r="D2055" s="58" t="n">
        <f aca="false">(C2051*((1)&lt;Pressupostos!$C$166)+D2051*((0)&lt;Pressupostos!$C$166))/Pressupostos!$C$166</f>
        <v>4000</v>
      </c>
      <c r="E2055" s="58" t="n">
        <f aca="false">(C2051*((2)&lt;Pressupostos!$C$166)+D2051*((1)&lt;Pressupostos!$C$166)+E2051*((0)&lt;Pressupostos!$C$166))/Pressupostos!$C$166</f>
        <v>5500</v>
      </c>
      <c r="F2055" s="58" t="n">
        <f aca="false">(C2051*((3)&lt;Pressupostos!$C$166)+D2051*((2)&lt;Pressupostos!$C$166)+E2051*((1)&lt;Pressupostos!$C$166)+F2051*((0)&lt;Pressupostos!$C$166))/Pressupostos!$C$166</f>
        <v>7000</v>
      </c>
      <c r="G2055" s="58" t="n">
        <f aca="false">(C2051*((4)&lt;Pressupostos!$C$166)+D2051*((3)&lt;Pressupostos!$C$166)+E2051*((2)&lt;Pressupostos!$C$166)+F2051*((1)&lt;Pressupostos!$C$166)+G2051*((0)&lt;Pressupostos!$C$166))/Pressupostos!$C$166</f>
        <v>5000</v>
      </c>
      <c r="H2055" s="2" t="s">
        <v>1289</v>
      </c>
    </row>
    <row r="2056" customFormat="false" ht="15" hidden="false" customHeight="false" outlineLevel="1" collapsed="false">
      <c r="A2056" s="7" t="s">
        <v>672</v>
      </c>
      <c r="B2056" s="8" t="s">
        <v>10</v>
      </c>
      <c r="C2056" s="58" t="n">
        <f aca="false">C2053+C2054+C2055</f>
        <v>27100</v>
      </c>
      <c r="D2056" s="58" t="n">
        <f aca="false">D2053+D2054+D2055</f>
        <v>40000</v>
      </c>
      <c r="E2056" s="58" t="n">
        <f aca="false">E2053+E2054+E2055</f>
        <v>53900</v>
      </c>
      <c r="F2056" s="58" t="n">
        <f aca="false">F2053+F2054+F2055</f>
        <v>44466.6666666667</v>
      </c>
      <c r="G2056" s="58" t="n">
        <f aca="false">G2053+G2054+G2055</f>
        <v>41533.3333333333</v>
      </c>
      <c r="H2056" s="2" t="s">
        <v>1290</v>
      </c>
    </row>
    <row r="2057" customFormat="false" ht="15" hidden="false" customHeight="false" outlineLevel="0" collapsed="false">
      <c r="A2057" s="3" t="s">
        <v>1291</v>
      </c>
      <c r="B2057" s="4"/>
      <c r="C2057" s="4"/>
      <c r="D2057" s="4"/>
      <c r="E2057" s="4"/>
      <c r="F2057" s="4"/>
      <c r="G2057" s="4"/>
      <c r="H2057" s="4"/>
    </row>
    <row r="2058" customFormat="false" ht="15" hidden="false" customHeight="false" outlineLevel="1" collapsed="false">
      <c r="A2058" s="52" t="s">
        <v>676</v>
      </c>
      <c r="B2058" s="53" t="s">
        <v>10</v>
      </c>
      <c r="C2058" s="59" t="n">
        <f aca="false">C1965</f>
        <v>265430</v>
      </c>
      <c r="D2058" s="59" t="n">
        <f aca="false">D1965</f>
        <v>1769982.5</v>
      </c>
      <c r="E2058" s="59" t="n">
        <f aca="false">E1965</f>
        <v>4028582.5</v>
      </c>
      <c r="F2058" s="59" t="n">
        <f aca="false">F1965</f>
        <v>6976877.5</v>
      </c>
      <c r="G2058" s="59" t="n">
        <f aca="false">G1965</f>
        <v>10680245</v>
      </c>
      <c r="H2058" s="2" t="s">
        <v>1292</v>
      </c>
    </row>
    <row r="2059" customFormat="false" ht="15" hidden="false" customHeight="false" outlineLevel="1" collapsed="false">
      <c r="A2059" s="7" t="s">
        <v>649</v>
      </c>
      <c r="B2059" s="8" t="s">
        <v>10</v>
      </c>
      <c r="C2059" s="58" t="n">
        <f aca="false">-C1986</f>
        <v>-243800</v>
      </c>
      <c r="D2059" s="58" t="n">
        <f aca="false">-D1986</f>
        <v>-1623700</v>
      </c>
      <c r="E2059" s="58" t="n">
        <f aca="false">-E1986</f>
        <v>-3665800</v>
      </c>
      <c r="F2059" s="58" t="n">
        <f aca="false">-F1986</f>
        <v>-6319200</v>
      </c>
      <c r="G2059" s="58" t="n">
        <f aca="false">-G1986</f>
        <v>-9651000</v>
      </c>
      <c r="H2059" s="2" t="s">
        <v>1293</v>
      </c>
    </row>
    <row r="2060" customFormat="false" ht="15" hidden="false" customHeight="false" outlineLevel="1" collapsed="false">
      <c r="A2060" s="52" t="s">
        <v>677</v>
      </c>
      <c r="B2060" s="53" t="s">
        <v>10</v>
      </c>
      <c r="C2060" s="59" t="n">
        <f aca="false">C2058+C2059</f>
        <v>21630</v>
      </c>
      <c r="D2060" s="59" t="n">
        <f aca="false">D2058+D2059</f>
        <v>146282.5</v>
      </c>
      <c r="E2060" s="59" t="n">
        <f aca="false">E2058+E2059</f>
        <v>362782.5</v>
      </c>
      <c r="F2060" s="59" t="n">
        <f aca="false">F2058+F2059</f>
        <v>657677.5</v>
      </c>
      <c r="G2060" s="59" t="n">
        <f aca="false">G2058+G2059</f>
        <v>1029245</v>
      </c>
      <c r="H2060" s="2" t="s">
        <v>1294</v>
      </c>
    </row>
    <row r="2061" customFormat="false" ht="15" hidden="false" customHeight="false" outlineLevel="1" collapsed="false">
      <c r="A2061" s="2" t="s">
        <v>678</v>
      </c>
      <c r="B2061" s="8" t="s">
        <v>71</v>
      </c>
      <c r="C2061" s="55" t="n">
        <f aca="false">IF(C2058&gt;0,C2060/C2058,0)</f>
        <v>0.0814904117846513</v>
      </c>
      <c r="D2061" s="55" t="n">
        <f aca="false">IF(D2058&gt;0,D2060/D2058,0)</f>
        <v>0.0826462973503974</v>
      </c>
      <c r="E2061" s="55" t="n">
        <f aca="false">IF(E2058&gt;0,E2060/E2058,0)</f>
        <v>0.0900521461332862</v>
      </c>
      <c r="F2061" s="55" t="n">
        <f aca="false">IF(F2058&gt;0,F2060/F2058,0)</f>
        <v>0.0942653070804239</v>
      </c>
      <c r="G2061" s="55" t="n">
        <f aca="false">IF(G2058&gt;0,G2060/G2058,0)</f>
        <v>0.0963690439685607</v>
      </c>
      <c r="H2061" s="2" t="s">
        <v>1295</v>
      </c>
    </row>
    <row r="2062" customFormat="false" ht="15" hidden="false" customHeight="false" outlineLevel="1" collapsed="false">
      <c r="A2062" s="7" t="s">
        <v>679</v>
      </c>
      <c r="B2062" s="8" t="s">
        <v>10</v>
      </c>
      <c r="C2062" s="58" t="n">
        <f aca="false">-C1996</f>
        <v>-15328.2980821918</v>
      </c>
      <c r="D2062" s="58" t="n">
        <f aca="false">-D1996</f>
        <v>-104068.068209393</v>
      </c>
      <c r="E2062" s="58" t="n">
        <f aca="false">-E1996</f>
        <v>-241920.826409002</v>
      </c>
      <c r="F2062" s="58" t="n">
        <f aca="false">-F1996</f>
        <v>-433105.768502936</v>
      </c>
      <c r="G2062" s="58" t="n">
        <f aca="false">-G1996</f>
        <v>-668177.597162427</v>
      </c>
      <c r="H2062" s="2" t="s">
        <v>1296</v>
      </c>
    </row>
    <row r="2063" customFormat="false" ht="15" hidden="false" customHeight="false" outlineLevel="1" collapsed="false">
      <c r="A2063" s="7" t="s">
        <v>658</v>
      </c>
      <c r="B2063" s="8" t="s">
        <v>10</v>
      </c>
      <c r="C2063" s="58" t="n">
        <f aca="false">-C1999</f>
        <v>-0</v>
      </c>
      <c r="D2063" s="58" t="n">
        <f aca="false">-D1999</f>
        <v>-23317.0273972603</v>
      </c>
      <c r="E2063" s="58" t="n">
        <f aca="false">-E1999</f>
        <v>-38771.0637842466</v>
      </c>
      <c r="F2063" s="58" t="n">
        <f aca="false">-F1999</f>
        <v>-62547.834760274</v>
      </c>
      <c r="G2063" s="58" t="n">
        <f aca="false">-G1999</f>
        <v>-95536.1558219178</v>
      </c>
      <c r="H2063" s="2" t="s">
        <v>1297</v>
      </c>
    </row>
    <row r="2064" customFormat="false" ht="15" hidden="false" customHeight="false" outlineLevel="1" collapsed="false">
      <c r="A2064" s="52" t="s">
        <v>641</v>
      </c>
      <c r="B2064" s="53" t="s">
        <v>10</v>
      </c>
      <c r="C2064" s="59" t="n">
        <f aca="false">C2060+C2062+C2063</f>
        <v>6301.70191780822</v>
      </c>
      <c r="D2064" s="59" t="n">
        <f aca="false">D2060+D2062+D2063</f>
        <v>18897.4043933462</v>
      </c>
      <c r="E2064" s="59" t="n">
        <f aca="false">E2060+E2062+E2063</f>
        <v>82090.609806751</v>
      </c>
      <c r="F2064" s="59" t="n">
        <f aca="false">F2060+F2062+F2063</f>
        <v>162023.896736791</v>
      </c>
      <c r="G2064" s="59" t="n">
        <f aca="false">G2060+G2062+G2063</f>
        <v>265531.247015656</v>
      </c>
      <c r="H2064" s="2" t="s">
        <v>1298</v>
      </c>
    </row>
    <row r="2065" customFormat="false" ht="15" hidden="false" customHeight="false" outlineLevel="1" collapsed="false">
      <c r="A2065" s="7" t="s">
        <v>251</v>
      </c>
      <c r="B2065" s="8" t="s">
        <v>10</v>
      </c>
      <c r="C2065" s="58" t="n">
        <f aca="false">-C2031</f>
        <v>-400885.59375</v>
      </c>
      <c r="D2065" s="58" t="n">
        <f aca="false">-D2031</f>
        <v>-508017.8875</v>
      </c>
      <c r="E2065" s="58" t="n">
        <f aca="false">-E2031</f>
        <v>-667701.28525</v>
      </c>
      <c r="F2065" s="58" t="n">
        <f aca="false">-F2031</f>
        <v>-855745.92960125</v>
      </c>
      <c r="G2065" s="58" t="n">
        <f aca="false">-G2031</f>
        <v>-1042442.03916396</v>
      </c>
      <c r="H2065" s="2" t="s">
        <v>1299</v>
      </c>
    </row>
    <row r="2066" customFormat="false" ht="15" hidden="false" customHeight="false" outlineLevel="1" collapsed="false">
      <c r="A2066" s="7" t="s">
        <v>680</v>
      </c>
      <c r="B2066" s="8" t="s">
        <v>10</v>
      </c>
      <c r="C2066" s="58" t="n">
        <f aca="false">-C2047</f>
        <v>-319100</v>
      </c>
      <c r="D2066" s="58" t="n">
        <f aca="false">-D2047</f>
        <v>-322640.97</v>
      </c>
      <c r="E2066" s="58" t="n">
        <f aca="false">-E2047</f>
        <v>-421496.09</v>
      </c>
      <c r="F2066" s="58" t="n">
        <f aca="false">-F2047</f>
        <v>-475107.4524</v>
      </c>
      <c r="G2066" s="58" t="n">
        <f aca="false">-G2047</f>
        <v>-557731.854448</v>
      </c>
      <c r="H2066" s="2" t="s">
        <v>1300</v>
      </c>
    </row>
    <row r="2067" customFormat="false" ht="15" hidden="false" customHeight="false" outlineLevel="1" collapsed="false">
      <c r="A2067" s="52" t="s">
        <v>681</v>
      </c>
      <c r="B2067" s="53" t="s">
        <v>10</v>
      </c>
      <c r="C2067" s="59" t="n">
        <f aca="false">C2064+C2065+C2066</f>
        <v>-713683.891832192</v>
      </c>
      <c r="D2067" s="59" t="n">
        <f aca="false">D2064+D2065+D2066</f>
        <v>-811761.453106654</v>
      </c>
      <c r="E2067" s="59" t="n">
        <f aca="false">E2064+E2065+E2066</f>
        <v>-1007106.76544325</v>
      </c>
      <c r="F2067" s="59" t="n">
        <f aca="false">F2064+F2065+F2066</f>
        <v>-1168829.48526446</v>
      </c>
      <c r="G2067" s="59" t="n">
        <f aca="false">G2064+G2065+G2066</f>
        <v>-1334642.64659631</v>
      </c>
      <c r="H2067" s="2" t="s">
        <v>1301</v>
      </c>
    </row>
    <row r="2068" customFormat="false" ht="15" hidden="false" customHeight="false" outlineLevel="1" collapsed="false">
      <c r="A2068" s="2" t="s">
        <v>683</v>
      </c>
      <c r="B2068" s="8" t="s">
        <v>71</v>
      </c>
      <c r="C2068" s="55" t="n">
        <f aca="false">IF(C2058&gt;0,C2067/C2058,0)</f>
        <v>-2.68878382937947</v>
      </c>
      <c r="D2068" s="55" t="n">
        <f aca="false">IF(D2058&gt;0,D2067/D2058,0)</f>
        <v>-0.458626824336768</v>
      </c>
      <c r="E2068" s="55" t="n">
        <f aca="false">IF(E2058&gt;0,E2067/E2058,0)</f>
        <v>-0.249990354037245</v>
      </c>
      <c r="F2068" s="55" t="n">
        <f aca="false">IF(F2058&gt;0,F2067/F2058,0)</f>
        <v>-0.167529025020786</v>
      </c>
      <c r="G2068" s="55" t="n">
        <f aca="false">IF(G2058&gt;0,G2067/G2058,0)</f>
        <v>-0.124963673267449</v>
      </c>
      <c r="H2068" s="2" t="s">
        <v>1302</v>
      </c>
    </row>
    <row r="2069" customFormat="false" ht="15" hidden="false" customHeight="false" outlineLevel="1" collapsed="false">
      <c r="A2069" s="2" t="s">
        <v>684</v>
      </c>
      <c r="B2069" s="8" t="s">
        <v>10</v>
      </c>
      <c r="C2069" s="58" t="n">
        <f aca="false">C2067+C1999</f>
        <v>-713683.891832192</v>
      </c>
      <c r="D2069" s="58" t="n">
        <f aca="false">D2067+D1999</f>
        <v>-788444.425709394</v>
      </c>
      <c r="E2069" s="58" t="n">
        <f aca="false">E2067+E1999</f>
        <v>-968335.701659002</v>
      </c>
      <c r="F2069" s="58" t="n">
        <f aca="false">F2067+F1999</f>
        <v>-1106281.65050419</v>
      </c>
      <c r="G2069" s="58" t="n">
        <f aca="false">G2067+G1999</f>
        <v>-1239106.49077439</v>
      </c>
      <c r="H2069" s="2" t="s">
        <v>1303</v>
      </c>
    </row>
    <row r="2070" customFormat="false" ht="15" hidden="false" customHeight="false" outlineLevel="1" collapsed="false">
      <c r="A2070" s="7" t="s">
        <v>672</v>
      </c>
      <c r="B2070" s="8" t="s">
        <v>10</v>
      </c>
      <c r="C2070" s="58" t="n">
        <f aca="false">-C2056</f>
        <v>-27100</v>
      </c>
      <c r="D2070" s="58" t="n">
        <f aca="false">-D2056</f>
        <v>-40000</v>
      </c>
      <c r="E2070" s="58" t="n">
        <f aca="false">-E2056</f>
        <v>-53900</v>
      </c>
      <c r="F2070" s="58" t="n">
        <f aca="false">-F2056</f>
        <v>-44466.6666666667</v>
      </c>
      <c r="G2070" s="58" t="n">
        <f aca="false">-G2056</f>
        <v>-41533.3333333333</v>
      </c>
      <c r="H2070" s="2" t="s">
        <v>1304</v>
      </c>
    </row>
    <row r="2071" customFormat="false" ht="15" hidden="false" customHeight="false" outlineLevel="1" collapsed="false">
      <c r="A2071" s="52" t="s">
        <v>685</v>
      </c>
      <c r="B2071" s="53" t="s">
        <v>10</v>
      </c>
      <c r="C2071" s="59" t="n">
        <f aca="false">C2067+C2070</f>
        <v>-740783.891832192</v>
      </c>
      <c r="D2071" s="59" t="n">
        <f aca="false">D2067+D2070</f>
        <v>-851761.453106654</v>
      </c>
      <c r="E2071" s="59" t="n">
        <f aca="false">E2067+E2070</f>
        <v>-1061006.76544325</v>
      </c>
      <c r="F2071" s="59" t="n">
        <f aca="false">F2067+F2070</f>
        <v>-1213296.15193113</v>
      </c>
      <c r="G2071" s="59" t="n">
        <f aca="false">G2067+G2070</f>
        <v>-1376175.97992964</v>
      </c>
      <c r="H2071" s="2" t="s">
        <v>1305</v>
      </c>
    </row>
    <row r="2072" customFormat="false" ht="15" hidden="false" customHeight="false" outlineLevel="0" collapsed="false">
      <c r="A2072" s="3" t="s">
        <v>1306</v>
      </c>
      <c r="B2072" s="4"/>
      <c r="C2072" s="4"/>
      <c r="D2072" s="4"/>
      <c r="E2072" s="4"/>
      <c r="F2072" s="4"/>
      <c r="G2072" s="4"/>
      <c r="H2072" s="4"/>
    </row>
    <row r="2073" customFormat="false" ht="15" hidden="false" customHeight="false" outlineLevel="1" collapsed="false">
      <c r="A2073" s="7" t="s">
        <v>687</v>
      </c>
      <c r="B2073" s="8" t="s">
        <v>10</v>
      </c>
      <c r="C2073" s="58" t="n">
        <f aca="false">C2071</f>
        <v>-740783.891832192</v>
      </c>
      <c r="D2073" s="58" t="n">
        <f aca="false">D2071</f>
        <v>-851761.453106654</v>
      </c>
      <c r="E2073" s="58" t="n">
        <f aca="false">E2071</f>
        <v>-1061006.76544325</v>
      </c>
      <c r="F2073" s="58" t="n">
        <f aca="false">F2071</f>
        <v>-1213296.15193113</v>
      </c>
      <c r="G2073" s="58" t="n">
        <f aca="false">G2071</f>
        <v>-1376175.97992964</v>
      </c>
      <c r="H2073" s="2" t="s">
        <v>1307</v>
      </c>
    </row>
    <row r="2074" customFormat="false" ht="15" hidden="false" customHeight="false" outlineLevel="1" collapsed="false">
      <c r="A2074" s="7" t="s">
        <v>688</v>
      </c>
      <c r="B2074" s="8" t="s">
        <v>10</v>
      </c>
      <c r="C2074" s="58" t="n">
        <f aca="false">0</f>
        <v>0</v>
      </c>
      <c r="D2074" s="58" t="n">
        <f aca="false">C2077</f>
        <v>740783.891832192</v>
      </c>
      <c r="E2074" s="58" t="n">
        <f aca="false">D2077</f>
        <v>1592545.34493885</v>
      </c>
      <c r="F2074" s="58" t="n">
        <f aca="false">E2077</f>
        <v>2653552.11038209</v>
      </c>
      <c r="G2074" s="58" t="n">
        <f aca="false">F2077</f>
        <v>3866848.26231322</v>
      </c>
      <c r="H2074" s="2" t="s">
        <v>1308</v>
      </c>
    </row>
    <row r="2075" customFormat="false" ht="15" hidden="false" customHeight="false" outlineLevel="1" collapsed="false">
      <c r="A2075" s="7" t="s">
        <v>689</v>
      </c>
      <c r="B2075" s="8" t="s">
        <v>10</v>
      </c>
      <c r="C2075" s="58" t="n">
        <f aca="false">MAX(0,-C2073)</f>
        <v>740783.891832192</v>
      </c>
      <c r="D2075" s="58" t="n">
        <f aca="false">MAX(0,-D2073)</f>
        <v>851761.453106654</v>
      </c>
      <c r="E2075" s="58" t="n">
        <f aca="false">MAX(0,-E2073)</f>
        <v>1061006.76544325</v>
      </c>
      <c r="F2075" s="58" t="n">
        <f aca="false">MAX(0,-F2073)</f>
        <v>1213296.15193113</v>
      </c>
      <c r="G2075" s="58" t="n">
        <f aca="false">MAX(0,-G2073)</f>
        <v>1376175.97992964</v>
      </c>
      <c r="H2075" s="2" t="s">
        <v>1309</v>
      </c>
    </row>
    <row r="2076" customFormat="false" ht="15" hidden="false" customHeight="false" outlineLevel="1" collapsed="false">
      <c r="A2076" s="7" t="s">
        <v>690</v>
      </c>
      <c r="B2076" s="8" t="s">
        <v>10</v>
      </c>
      <c r="C2076" s="58" t="n">
        <f aca="false">MIN(C2074,Pressupostos!$C$179*MAX(0,C2073))</f>
        <v>0</v>
      </c>
      <c r="D2076" s="58" t="n">
        <f aca="false">MIN(D2074,Pressupostos!$C$179*MAX(0,D2073))</f>
        <v>0</v>
      </c>
      <c r="E2076" s="58" t="n">
        <f aca="false">MIN(E2074,Pressupostos!$C$179*MAX(0,E2073))</f>
        <v>0</v>
      </c>
      <c r="F2076" s="58" t="n">
        <f aca="false">MIN(F2074,Pressupostos!$C$179*MAX(0,F2073))</f>
        <v>0</v>
      </c>
      <c r="G2076" s="58" t="n">
        <f aca="false">MIN(G2074,Pressupostos!$C$179*MAX(0,G2073))</f>
        <v>0</v>
      </c>
      <c r="H2076" s="2" t="s">
        <v>1310</v>
      </c>
    </row>
    <row r="2077" customFormat="false" ht="15" hidden="false" customHeight="false" outlineLevel="1" collapsed="false">
      <c r="A2077" s="7" t="s">
        <v>691</v>
      </c>
      <c r="B2077" s="8" t="s">
        <v>10</v>
      </c>
      <c r="C2077" s="58" t="n">
        <f aca="false">C2074+C2075-C2076</f>
        <v>740783.891832192</v>
      </c>
      <c r="D2077" s="58" t="n">
        <f aca="false">D2074+D2075-D2076</f>
        <v>1592545.34493885</v>
      </c>
      <c r="E2077" s="58" t="n">
        <f aca="false">E2074+E2075-E2076</f>
        <v>2653552.11038209</v>
      </c>
      <c r="F2077" s="58" t="n">
        <f aca="false">F2074+F2075-F2076</f>
        <v>3866848.26231322</v>
      </c>
      <c r="G2077" s="58" t="n">
        <f aca="false">G2074+G2075-G2076</f>
        <v>5243024.24224286</v>
      </c>
      <c r="H2077" s="2" t="s">
        <v>1311</v>
      </c>
    </row>
    <row r="2078" customFormat="false" ht="15" hidden="false" customHeight="false" outlineLevel="1" collapsed="false">
      <c r="A2078" s="7" t="s">
        <v>692</v>
      </c>
      <c r="B2078" s="8" t="s">
        <v>10</v>
      </c>
      <c r="C2078" s="58" t="n">
        <f aca="false">MAX(0,C2073)-C2076</f>
        <v>0</v>
      </c>
      <c r="D2078" s="58" t="n">
        <f aca="false">MAX(0,D2073)-D2076</f>
        <v>0</v>
      </c>
      <c r="E2078" s="58" t="n">
        <f aca="false">MAX(0,E2073)-E2076</f>
        <v>0</v>
      </c>
      <c r="F2078" s="58" t="n">
        <f aca="false">MAX(0,F2073)-F2076</f>
        <v>0</v>
      </c>
      <c r="G2078" s="58" t="n">
        <f aca="false">MAX(0,G2073)-G2076</f>
        <v>0</v>
      </c>
      <c r="H2078" s="2" t="s">
        <v>1312</v>
      </c>
    </row>
    <row r="2079" customFormat="false" ht="15" hidden="false" customHeight="false" outlineLevel="1" collapsed="false">
      <c r="A2079" s="7" t="s">
        <v>693</v>
      </c>
      <c r="B2079" s="8" t="s">
        <v>10</v>
      </c>
      <c r="C2079" s="58" t="n">
        <f aca="false">Pressupostos!$C$170*MIN(C2078,Pressupostos!$C$171)+Pressupostos!$C$450*MAX(0,C2078-Pressupostos!$C$171)</f>
        <v>0</v>
      </c>
      <c r="D2079" s="58" t="n">
        <f aca="false">Pressupostos!$C$170*MIN(D2078,Pressupostos!$C$171)+Pressupostos!$D$450*MAX(0,D2078-Pressupostos!$C$171)</f>
        <v>0</v>
      </c>
      <c r="E2079" s="58" t="n">
        <f aca="false">Pressupostos!$C$170*MIN(E2078,Pressupostos!$C$171)+Pressupostos!$E$450*MAX(0,E2078-Pressupostos!$C$171)</f>
        <v>0</v>
      </c>
      <c r="F2079" s="58" t="n">
        <f aca="false">Pressupostos!$C$170*MIN(F2078,Pressupostos!$C$171)+Pressupostos!$F$450*MAX(0,F2078-Pressupostos!$C$171)</f>
        <v>0</v>
      </c>
      <c r="G2079" s="58" t="n">
        <f aca="false">Pressupostos!$C$170*MIN(G2078,Pressupostos!$C$171)+Pressupostos!$G$450*MAX(0,G2078-Pressupostos!$C$171)</f>
        <v>0</v>
      </c>
      <c r="H2079" s="2" t="s">
        <v>1313</v>
      </c>
    </row>
    <row r="2080" customFormat="false" ht="15" hidden="false" customHeight="false" outlineLevel="1" collapsed="false">
      <c r="A2080" s="7" t="s">
        <v>694</v>
      </c>
      <c r="B2080" s="8" t="s">
        <v>10</v>
      </c>
      <c r="C2080" s="58" t="n">
        <f aca="false">Pressupostos!$C$172*MAX(0,C2073)</f>
        <v>0</v>
      </c>
      <c r="D2080" s="58" t="n">
        <f aca="false">Pressupostos!$C$172*MAX(0,D2073)</f>
        <v>0</v>
      </c>
      <c r="E2080" s="58" t="n">
        <f aca="false">Pressupostos!$C$172*MAX(0,E2073)</f>
        <v>0</v>
      </c>
      <c r="F2080" s="58" t="n">
        <f aca="false">Pressupostos!$C$172*MAX(0,F2073)</f>
        <v>0</v>
      </c>
      <c r="G2080" s="58" t="n">
        <f aca="false">Pressupostos!$C$172*MAX(0,G2073)</f>
        <v>0</v>
      </c>
      <c r="H2080" s="2" t="s">
        <v>1314</v>
      </c>
    </row>
    <row r="2081" customFormat="false" ht="15" hidden="false" customHeight="false" outlineLevel="1" collapsed="false">
      <c r="A2081" s="7" t="s">
        <v>695</v>
      </c>
      <c r="B2081" s="8" t="s">
        <v>10</v>
      </c>
      <c r="C2081" s="58" t="n">
        <f aca="false">Pressupostos!$C$174*MAX(0,MIN(C2073,Pressupostos!$C$175)-Pressupostos!$C$173)+Pressupostos!$C$176*MAX(0,MIN(C2073,Pressupostos!$C$177)-Pressupostos!$C$175)+Pressupostos!$C$178*MAX(0,C2073-Pressupostos!$C$177)</f>
        <v>0</v>
      </c>
      <c r="D2081" s="58" t="n">
        <f aca="false">Pressupostos!$C$174*MAX(0,MIN(D2073,Pressupostos!$C$175)-Pressupostos!$C$173)+Pressupostos!$C$176*MAX(0,MIN(D2073,Pressupostos!$C$177)-Pressupostos!$C$175)+Pressupostos!$C$178*MAX(0,D2073-Pressupostos!$C$177)</f>
        <v>0</v>
      </c>
      <c r="E2081" s="58" t="n">
        <f aca="false">Pressupostos!$C$174*MAX(0,MIN(E2073,Pressupostos!$C$175)-Pressupostos!$C$173)+Pressupostos!$C$176*MAX(0,MIN(E2073,Pressupostos!$C$177)-Pressupostos!$C$175)+Pressupostos!$C$178*MAX(0,E2073-Pressupostos!$C$177)</f>
        <v>0</v>
      </c>
      <c r="F2081" s="58" t="n">
        <f aca="false">Pressupostos!$C$174*MAX(0,MIN(F2073,Pressupostos!$C$175)-Pressupostos!$C$173)+Pressupostos!$C$176*MAX(0,MIN(F2073,Pressupostos!$C$177)-Pressupostos!$C$175)+Pressupostos!$C$178*MAX(0,F2073-Pressupostos!$C$177)</f>
        <v>0</v>
      </c>
      <c r="G2081" s="58" t="n">
        <f aca="false">Pressupostos!$C$174*MAX(0,MIN(G2073,Pressupostos!$C$175)-Pressupostos!$C$173)+Pressupostos!$C$176*MAX(0,MIN(G2073,Pressupostos!$C$177)-Pressupostos!$C$175)+Pressupostos!$C$178*MAX(0,G2073-Pressupostos!$C$177)</f>
        <v>0</v>
      </c>
      <c r="H2081" s="2" t="s">
        <v>1315</v>
      </c>
    </row>
    <row r="2082" customFormat="false" ht="15" hidden="false" customHeight="false" outlineLevel="1" collapsed="false">
      <c r="A2082" s="7" t="s">
        <v>696</v>
      </c>
      <c r="B2082" s="8" t="s">
        <v>10</v>
      </c>
      <c r="C2082" s="58" t="n">
        <f aca="false">C2079+C2080+C2081</f>
        <v>0</v>
      </c>
      <c r="D2082" s="58" t="n">
        <f aca="false">D2079+D2080+D2081</f>
        <v>0</v>
      </c>
      <c r="E2082" s="58" t="n">
        <f aca="false">E2079+E2080+E2081</f>
        <v>0</v>
      </c>
      <c r="F2082" s="58" t="n">
        <f aca="false">F2079+F2080+F2081</f>
        <v>0</v>
      </c>
      <c r="G2082" s="58" t="n">
        <f aca="false">G2079+G2080+G2081</f>
        <v>0</v>
      </c>
      <c r="H2082" s="2" t="s">
        <v>1316</v>
      </c>
    </row>
    <row r="2083" customFormat="false" ht="15" hidden="false" customHeight="false" outlineLevel="0" collapsed="false">
      <c r="A2083" s="3" t="s">
        <v>1317</v>
      </c>
      <c r="B2083" s="4"/>
      <c r="C2083" s="4"/>
      <c r="D2083" s="4"/>
      <c r="E2083" s="4"/>
      <c r="F2083" s="4"/>
      <c r="G2083" s="4"/>
      <c r="H2083" s="4"/>
    </row>
    <row r="2084" customFormat="false" ht="15" hidden="false" customHeight="false" outlineLevel="1" collapsed="false">
      <c r="A2084" s="7" t="s">
        <v>696</v>
      </c>
      <c r="B2084" s="8" t="s">
        <v>10</v>
      </c>
      <c r="C2084" s="58" t="n">
        <f aca="false">-C2082</f>
        <v>-0</v>
      </c>
      <c r="D2084" s="58" t="n">
        <f aca="false">-D2082</f>
        <v>-0</v>
      </c>
      <c r="E2084" s="58" t="n">
        <f aca="false">-E2082</f>
        <v>-0</v>
      </c>
      <c r="F2084" s="58" t="n">
        <f aca="false">-F2082</f>
        <v>-0</v>
      </c>
      <c r="G2084" s="58" t="n">
        <f aca="false">-G2082</f>
        <v>-0</v>
      </c>
      <c r="H2084" s="2" t="s">
        <v>1318</v>
      </c>
    </row>
    <row r="2085" customFormat="false" ht="15" hidden="false" customHeight="false" outlineLevel="1" collapsed="false">
      <c r="A2085" s="52" t="s">
        <v>698</v>
      </c>
      <c r="B2085" s="53" t="s">
        <v>10</v>
      </c>
      <c r="C2085" s="59" t="n">
        <f aca="false">C2071+C2084</f>
        <v>-740783.891832192</v>
      </c>
      <c r="D2085" s="59" t="n">
        <f aca="false">D2071+D2084</f>
        <v>-851761.453106654</v>
      </c>
      <c r="E2085" s="59" t="n">
        <f aca="false">E2071+E2084</f>
        <v>-1061006.76544325</v>
      </c>
      <c r="F2085" s="59" t="n">
        <f aca="false">F2071+F2084</f>
        <v>-1213296.15193113</v>
      </c>
      <c r="G2085" s="59" t="n">
        <f aca="false">G2071+G2084</f>
        <v>-1376175.97992964</v>
      </c>
      <c r="H2085" s="2" t="s">
        <v>1319</v>
      </c>
    </row>
    <row r="2086" customFormat="false" ht="15" hidden="false" customHeight="false" outlineLevel="0" collapsed="false">
      <c r="A2086" s="3" t="s">
        <v>1320</v>
      </c>
      <c r="B2086" s="4"/>
      <c r="C2086" s="4"/>
      <c r="D2086" s="4"/>
      <c r="E2086" s="4"/>
      <c r="F2086" s="4"/>
      <c r="G2086" s="4"/>
      <c r="H2086" s="4"/>
    </row>
    <row r="2087" customFormat="false" ht="15" hidden="false" customHeight="false" outlineLevel="1" collapsed="false">
      <c r="A2087" s="7" t="s">
        <v>702</v>
      </c>
      <c r="B2087" s="8" t="s">
        <v>10</v>
      </c>
      <c r="C2087" s="58" t="n">
        <f aca="false">C1871*1000*((C1887+C1890)*C1893/365)+C1872*1000*((C1910+C1913)*C1916/365)+C1873*1000*((C1933+C1936)*C1939/365)</f>
        <v>33682.1917808219</v>
      </c>
      <c r="D2087" s="58" t="n">
        <f aca="false">D1871*1000*((D1887+D1890)*D1893/365)+D1872*1000*((D1910+D1913)*D1916/365)+D1873*1000*((D1933+D1936)*D1939/365)</f>
        <v>196557.534246575</v>
      </c>
      <c r="E2087" s="58" t="n">
        <f aca="false">E1871*1000*((E1887+E1890)*E1893/365)+E1872*1000*((E1910+E1913)*E1916/365)+E1873*1000*((E1933+E1936)*E1939/365)</f>
        <v>306721.232876712</v>
      </c>
      <c r="F2087" s="58" t="n">
        <f aca="false">F1871*1000*((F1887+F1890)*F1893/365)+F1872*1000*((F1910+F1913)*F1916/365)+F1873*1000*((F1933+F1936)*F1939/365)</f>
        <v>530402.054794521</v>
      </c>
      <c r="G2087" s="58" t="n">
        <f aca="false">G1871*1000*((G1887+G1890)*G1893/365)+G1872*1000*((G1910+G1913)*G1916/365)+G1873*1000*((G1933+G1936)*G1939/365)</f>
        <v>805623.287671233</v>
      </c>
      <c r="H2087" s="2" t="s">
        <v>1321</v>
      </c>
    </row>
    <row r="2088" customFormat="false" ht="15" hidden="false" customHeight="false" outlineLevel="1" collapsed="false">
      <c r="A2088" s="7" t="s">
        <v>703</v>
      </c>
      <c r="B2088" s="8" t="s">
        <v>10</v>
      </c>
      <c r="C2088" s="58" t="n">
        <f aca="false">C2087+C1882*1000*Pressupostos!$C$90*Pressupostos!$C$93/365</f>
        <v>33682.1917808219</v>
      </c>
      <c r="D2088" s="58" t="n">
        <f aca="false">D2087+D1882*1000*Pressupostos!$C$90*Pressupostos!$C$93/365</f>
        <v>196557.534246575</v>
      </c>
      <c r="E2088" s="58" t="n">
        <f aca="false">E2087+E1882*1000*Pressupostos!$C$90*Pressupostos!$C$93/365</f>
        <v>332611.643835617</v>
      </c>
      <c r="F2088" s="58" t="n">
        <f aca="false">F2087+F1882*1000*Pressupostos!$C$90*Pressupostos!$C$93/365</f>
        <v>582182.876712329</v>
      </c>
      <c r="G2088" s="58" t="n">
        <f aca="false">G2087+G1882*1000*Pressupostos!$C$90*Pressupostos!$C$93/365</f>
        <v>891924.657534247</v>
      </c>
      <c r="H2088" s="2" t="s">
        <v>1322</v>
      </c>
    </row>
    <row r="2089" customFormat="false" ht="15" hidden="false" customHeight="false" outlineLevel="1" collapsed="false">
      <c r="A2089" s="7" t="s">
        <v>704</v>
      </c>
      <c r="B2089" s="8" t="s">
        <v>10</v>
      </c>
      <c r="C2089" s="58" t="n">
        <f aca="false">C1871*1000*(C1889*C1894/365)+C1872*1000*(C1912*C1917/365)+C1873*1000*(C1935*C1940/365)+C1960*Pressupostos!$C$94/365+C1962*Pressupostos!$C$80/365</f>
        <v>31638.3561643836</v>
      </c>
      <c r="D2089" s="58" t="n">
        <f aca="false">D1871*1000*(D1889*D1894/365)+D1872*1000*(D1912*D1917/365)+D1873*1000*(D1935*D1940/365)+D1960*Pressupostos!$C$94/365+D1962*Pressupostos!$C$80/365</f>
        <v>211982.705479452</v>
      </c>
      <c r="E2089" s="58" t="n">
        <f aca="false">E1871*1000*(E1889*E1894/365)+E1872*1000*(E1912*E1917/365)+E1873*1000*(E1935*E1940/365)+E1960*Pressupostos!$C$94/365+E1962*Pressupostos!$C$80/365</f>
        <v>465576.404109589</v>
      </c>
      <c r="F2089" s="58" t="n">
        <f aca="false">F1871*1000*(F1889*F1894/365)+F1872*1000*(F1912*F1917/365)+F1873*1000*(F1935*F1940/365)+F1960*Pressupostos!$C$94/365+F1962*Pressupostos!$C$80/365</f>
        <v>796735.376712329</v>
      </c>
      <c r="G2089" s="58" t="n">
        <f aca="false">G1871*1000*(G1889*G1894/365)+G1872*1000*(G1912*G1917/365)+G1873*1000*(G1935*G1940/365)+G1960*Pressupostos!$C$94/365+G1962*Pressupostos!$C$80/365</f>
        <v>1214109.52054795</v>
      </c>
      <c r="H2089" s="2" t="s">
        <v>1323</v>
      </c>
    </row>
    <row r="2090" customFormat="false" ht="15" hidden="false" customHeight="false" outlineLevel="1" collapsed="false">
      <c r="A2090" s="7" t="s">
        <v>705</v>
      </c>
      <c r="B2090" s="8" t="s">
        <v>10</v>
      </c>
      <c r="C2090" s="58" t="n">
        <f aca="false">C1871*1000*((C1887+C1890)*Pressupostos!$C$70/365)+C1872*1000*((C1910+C1913)*Pressupostos!$C$70/365)+C1873*1000*((C1933+C1936)*Pressupostos!$C$70/365)+C1882*1000*Pressupostos!$C$90*Pressupostos!$C$95/365</f>
        <v>20038.3561643836</v>
      </c>
      <c r="D2090" s="58" t="n">
        <f aca="false">D1871*1000*((D1887+D1890)*Pressupostos!$C$70/365)+D1872*1000*((D1910+D1913)*Pressupostos!$C$70/365)+D1873*1000*((D1933+D1936)*Pressupostos!$C$70/365)+D1882*1000*Pressupostos!$C$90*Pressupostos!$C$95/365</f>
        <v>133454.794520548</v>
      </c>
      <c r="E2090" s="58" t="n">
        <f aca="false">E1871*1000*((E1887+E1890)*Pressupostos!$C$70/365)+E1872*1000*((E1910+E1913)*Pressupostos!$C$70/365)+E1873*1000*((E1933+E1936)*Pressupostos!$C$70/365)+E1882*1000*Pressupostos!$C$90*Pressupostos!$C$95/365</f>
        <v>301298.630136986</v>
      </c>
      <c r="F2090" s="58" t="n">
        <f aca="false">F1871*1000*((F1887+F1890)*Pressupostos!$C$70/365)+F1872*1000*((F1910+F1913)*Pressupostos!$C$70/365)+F1873*1000*((F1933+F1936)*Pressupostos!$C$70/365)+F1882*1000*Pressupostos!$C$90*Pressupostos!$C$95/365</f>
        <v>519386.301369863</v>
      </c>
      <c r="G2090" s="58" t="n">
        <f aca="false">G1871*1000*((G1887+G1890)*Pressupostos!$C$70/365)+G1872*1000*((G1910+G1913)*Pressupostos!$C$70/365)+G1873*1000*((G1933+G1936)*Pressupostos!$C$70/365)+G1882*1000*Pressupostos!$C$90*Pressupostos!$C$95/365</f>
        <v>793232.876712329</v>
      </c>
      <c r="H2090" s="2" t="s">
        <v>1324</v>
      </c>
    </row>
    <row r="2091" customFormat="false" ht="15" hidden="false" customHeight="false" outlineLevel="1" collapsed="false">
      <c r="A2091" s="52" t="s">
        <v>706</v>
      </c>
      <c r="B2091" s="53" t="s">
        <v>10</v>
      </c>
      <c r="C2091" s="59" t="n">
        <f aca="false">C2088+C2089-C2090</f>
        <v>45282.1917808219</v>
      </c>
      <c r="D2091" s="59" t="n">
        <f aca="false">D2088+D2089-D2090</f>
        <v>275085.445205479</v>
      </c>
      <c r="E2091" s="59" t="n">
        <f aca="false">E2088+E2089-E2090</f>
        <v>496889.417808219</v>
      </c>
      <c r="F2091" s="59" t="n">
        <f aca="false">F2088+F2089-F2090</f>
        <v>859531.952054794</v>
      </c>
      <c r="G2091" s="59" t="n">
        <f aca="false">G2088+G2089-G2090</f>
        <v>1312801.30136986</v>
      </c>
      <c r="H2091" s="2" t="s">
        <v>1325</v>
      </c>
    </row>
    <row r="2092" customFormat="false" ht="15" hidden="false" customHeight="false" outlineLevel="0" collapsed="false">
      <c r="A2092" s="3" t="s">
        <v>1326</v>
      </c>
      <c r="B2092" s="4"/>
      <c r="C2092" s="4"/>
      <c r="D2092" s="4"/>
      <c r="E2092" s="4"/>
      <c r="F2092" s="4"/>
      <c r="G2092" s="4"/>
      <c r="H2092" s="4"/>
    </row>
    <row r="2093" customFormat="false" ht="15" hidden="false" customHeight="false" outlineLevel="1" collapsed="false">
      <c r="A2093" s="52" t="s">
        <v>708</v>
      </c>
      <c r="B2093" s="53" t="s">
        <v>10</v>
      </c>
      <c r="C2093" s="59" t="n">
        <f aca="false">Pressupostos!$C$277*C2091/Pressupostos!$D$31</f>
        <v>0</v>
      </c>
      <c r="D2093" s="59" t="n">
        <f aca="false">Pressupostos!$D$277*D2091/Pressupostos!$D$31</f>
        <v>309471.125856164</v>
      </c>
      <c r="E2093" s="59" t="n">
        <f aca="false">Pressupostos!$E$277*E2091/Pressupostos!$D$31</f>
        <v>559000.595034246</v>
      </c>
      <c r="F2093" s="59" t="n">
        <f aca="false">Pressupostos!$F$277*F2091/Pressupostos!$D$31</f>
        <v>966973.446061644</v>
      </c>
      <c r="G2093" s="59" t="n">
        <f aca="false">Pressupostos!$G$277*G2091/Pressupostos!$D$31</f>
        <v>1476901.4640411</v>
      </c>
      <c r="H2093" s="2" t="s">
        <v>1327</v>
      </c>
    </row>
    <row r="2094" customFormat="false" ht="15" hidden="false" customHeight="false" outlineLevel="1" collapsed="false">
      <c r="A2094" s="7" t="s">
        <v>709</v>
      </c>
      <c r="B2094" s="8" t="s">
        <v>10</v>
      </c>
      <c r="C2094" s="58" t="n">
        <f aca="false">Pressupostos!$C$277*C2091</f>
        <v>0</v>
      </c>
      <c r="D2094" s="58" t="n">
        <f aca="false">Pressupostos!$D$277*D2091</f>
        <v>247576.900684931</v>
      </c>
      <c r="E2094" s="58" t="n">
        <f aca="false">Pressupostos!$E$277*E2091</f>
        <v>447200.476027397</v>
      </c>
      <c r="F2094" s="58" t="n">
        <f aca="false">Pressupostos!$F$277*F2091</f>
        <v>773578.756849315</v>
      </c>
      <c r="G2094" s="58" t="n">
        <f aca="false">Pressupostos!$G$277*G2091</f>
        <v>1181521.17123288</v>
      </c>
      <c r="H2094" s="2" t="s">
        <v>1328</v>
      </c>
    </row>
    <row r="2095" customFormat="false" ht="15" hidden="false" customHeight="false" outlineLevel="1" collapsed="false">
      <c r="A2095" s="7" t="s">
        <v>710</v>
      </c>
      <c r="B2095" s="8" t="s">
        <v>10</v>
      </c>
      <c r="C2095" s="58" t="n">
        <f aca="false">C2093-C2094</f>
        <v>0</v>
      </c>
      <c r="D2095" s="58" t="n">
        <f aca="false">D2093-D2094</f>
        <v>61894.2251712329</v>
      </c>
      <c r="E2095" s="58" t="n">
        <f aca="false">E2093-E2094</f>
        <v>111800.119006849</v>
      </c>
      <c r="F2095" s="58" t="n">
        <f aca="false">F2093-F2094</f>
        <v>193394.689212329</v>
      </c>
      <c r="G2095" s="58" t="n">
        <f aca="false">G2093-G2094</f>
        <v>295380.292808219</v>
      </c>
      <c r="H2095" s="2" t="s">
        <v>1329</v>
      </c>
    </row>
    <row r="2096" customFormat="false" ht="15" hidden="false" customHeight="false" outlineLevel="1" collapsed="false">
      <c r="A2096" s="7" t="s">
        <v>711</v>
      </c>
      <c r="B2096" s="8" t="s">
        <v>10</v>
      </c>
      <c r="C2096" s="58" t="n">
        <f aca="false">C2091-C2094</f>
        <v>45282.1917808219</v>
      </c>
      <c r="D2096" s="58" t="n">
        <f aca="false">D2091-D2094</f>
        <v>27508.5445205479</v>
      </c>
      <c r="E2096" s="58" t="n">
        <f aca="false">E2091-E2094</f>
        <v>49688.9417808219</v>
      </c>
      <c r="F2096" s="58" t="n">
        <f aca="false">F2091-F2094</f>
        <v>85953.1952054794</v>
      </c>
      <c r="G2096" s="58" t="n">
        <f aca="false">G2091-G2094</f>
        <v>131280.130136986</v>
      </c>
      <c r="H2096" s="2" t="s">
        <v>1330</v>
      </c>
    </row>
    <row r="2097" customFormat="false" ht="15" hidden="false" customHeight="false" outlineLevel="1" collapsed="false">
      <c r="A2097" s="7" t="s">
        <v>712</v>
      </c>
      <c r="B2097" s="8" t="s">
        <v>10</v>
      </c>
      <c r="C2097" s="58" t="n">
        <f aca="false">MAX(0,Pressupostos!$C$106-C2096)</f>
        <v>4717.80821917809</v>
      </c>
      <c r="D2097" s="58" t="n">
        <f aca="false">MAX(0,Pressupostos!$C$106-D2096)</f>
        <v>22491.4554794521</v>
      </c>
      <c r="E2097" s="58" t="n">
        <f aca="false">MAX(0,Pressupostos!$C$106-E2096)</f>
        <v>311.058219178114</v>
      </c>
      <c r="F2097" s="58" t="n">
        <f aca="false">MAX(0,Pressupostos!$C$106-F2096)</f>
        <v>0</v>
      </c>
      <c r="G2097" s="58" t="n">
        <f aca="false">MAX(0,Pressupostos!$C$106-G2096)</f>
        <v>0</v>
      </c>
      <c r="H2097" s="2" t="s">
        <v>1331</v>
      </c>
    </row>
    <row r="2098" customFormat="false" ht="15" hidden="false" customHeight="false" outlineLevel="1" collapsed="false">
      <c r="A2098" s="7" t="s">
        <v>713</v>
      </c>
      <c r="B2098" s="8" t="s">
        <v>10</v>
      </c>
      <c r="C2098" s="58" t="n">
        <f aca="false">Pressupostos!$C$107*C2093</f>
        <v>0</v>
      </c>
      <c r="D2098" s="58" t="n">
        <f aca="false">Pressupostos!$C$107*D2093</f>
        <v>15473.5562928082</v>
      </c>
      <c r="E2098" s="58" t="n">
        <f aca="false">Pressupostos!$C$107*E2093</f>
        <v>27950.0297517123</v>
      </c>
      <c r="F2098" s="58" t="n">
        <f aca="false">Pressupostos!$C$107*F2093</f>
        <v>48348.6723030822</v>
      </c>
      <c r="G2098" s="58" t="n">
        <f aca="false">Pressupostos!$C$107*G2093</f>
        <v>73845.0732020548</v>
      </c>
      <c r="H2098" s="2" t="s">
        <v>1332</v>
      </c>
    </row>
    <row r="2099" customFormat="false" ht="15" hidden="false" customHeight="false" outlineLevel="1" collapsed="false">
      <c r="A2099" s="2" t="s">
        <v>714</v>
      </c>
      <c r="B2099" s="8" t="s">
        <v>115</v>
      </c>
      <c r="C2099" s="58" t="n">
        <f aca="false">C2093/Pressupostos!$C$110</f>
        <v>0</v>
      </c>
      <c r="D2099" s="58" t="n">
        <f aca="false">D2093/Pressupostos!$C$110</f>
        <v>6.18942251712329</v>
      </c>
      <c r="E2099" s="58" t="n">
        <f aca="false">E2093/Pressupostos!$C$110</f>
        <v>11.1800119006849</v>
      </c>
      <c r="F2099" s="58" t="n">
        <f aca="false">F2093/Pressupostos!$C$110</f>
        <v>19.3394689212329</v>
      </c>
      <c r="G2099" s="58" t="n">
        <f aca="false">G2093/Pressupostos!$C$110</f>
        <v>29.5380292808219</v>
      </c>
      <c r="H2099" s="2" t="s">
        <v>1333</v>
      </c>
    </row>
    <row r="2100" customFormat="false" ht="15" hidden="false" customHeight="false" outlineLevel="0" collapsed="false">
      <c r="A2100" s="3" t="s">
        <v>1334</v>
      </c>
      <c r="B2100" s="4"/>
      <c r="C2100" s="4"/>
      <c r="D2100" s="4"/>
      <c r="E2100" s="4"/>
      <c r="F2100" s="4"/>
      <c r="G2100" s="4"/>
      <c r="H2100" s="4"/>
    </row>
    <row r="2101" customFormat="false" ht="15" hidden="false" customHeight="false" outlineLevel="1" collapsed="false">
      <c r="A2101" s="7" t="s">
        <v>681</v>
      </c>
      <c r="B2101" s="8" t="s">
        <v>10</v>
      </c>
      <c r="C2101" s="58" t="n">
        <f aca="false">C2067</f>
        <v>-713683.891832192</v>
      </c>
      <c r="D2101" s="58" t="n">
        <f aca="false">D2067</f>
        <v>-811761.453106654</v>
      </c>
      <c r="E2101" s="58" t="n">
        <f aca="false">E2067</f>
        <v>-1007106.76544325</v>
      </c>
      <c r="F2101" s="58" t="n">
        <f aca="false">F2067</f>
        <v>-1168829.48526446</v>
      </c>
      <c r="G2101" s="58" t="n">
        <f aca="false">G2067</f>
        <v>-1334642.64659631</v>
      </c>
      <c r="H2101" s="2" t="s">
        <v>1335</v>
      </c>
    </row>
    <row r="2102" customFormat="false" ht="15" hidden="false" customHeight="false" outlineLevel="1" collapsed="false">
      <c r="A2102" s="7" t="s">
        <v>716</v>
      </c>
      <c r="B2102" s="8" t="s">
        <v>10</v>
      </c>
      <c r="C2102" s="58" t="n">
        <f aca="false">-C2082</f>
        <v>-0</v>
      </c>
      <c r="D2102" s="58" t="n">
        <f aca="false">-D2082</f>
        <v>-0</v>
      </c>
      <c r="E2102" s="58" t="n">
        <f aca="false">-E2082</f>
        <v>-0</v>
      </c>
      <c r="F2102" s="58" t="n">
        <f aca="false">-F2082</f>
        <v>-0</v>
      </c>
      <c r="G2102" s="58" t="n">
        <f aca="false">-G2082</f>
        <v>-0</v>
      </c>
      <c r="H2102" s="2" t="s">
        <v>1336</v>
      </c>
    </row>
    <row r="2103" customFormat="false" ht="15" hidden="false" customHeight="false" outlineLevel="1" collapsed="false">
      <c r="A2103" s="7" t="s">
        <v>717</v>
      </c>
      <c r="B2103" s="8" t="s">
        <v>10</v>
      </c>
      <c r="C2103" s="58" t="n">
        <f aca="false">-C2091</f>
        <v>-45282.1917808219</v>
      </c>
      <c r="D2103" s="58" t="n">
        <f aca="false">-(D2091-C2091)</f>
        <v>-229803.253424657</v>
      </c>
      <c r="E2103" s="58" t="n">
        <f aca="false">-(E2091-D2091)</f>
        <v>-221803.97260274</v>
      </c>
      <c r="F2103" s="58" t="n">
        <f aca="false">-(F2091-E2091)</f>
        <v>-362642.534246575</v>
      </c>
      <c r="G2103" s="58" t="n">
        <f aca="false">-(G2091-F2091)</f>
        <v>-453269.349315068</v>
      </c>
      <c r="H2103" s="2" t="s">
        <v>1337</v>
      </c>
    </row>
    <row r="2104" customFormat="false" ht="15" hidden="false" customHeight="false" outlineLevel="1" collapsed="false">
      <c r="A2104" s="7" t="s">
        <v>407</v>
      </c>
      <c r="B2104" s="8" t="s">
        <v>10</v>
      </c>
      <c r="C2104" s="58" t="n">
        <f aca="false">-C2052</f>
        <v>-92000</v>
      </c>
      <c r="D2104" s="58" t="n">
        <f aca="false">-D2052</f>
        <v>-44000</v>
      </c>
      <c r="E2104" s="58" t="n">
        <f aca="false">-E2052</f>
        <v>-48000</v>
      </c>
      <c r="F2104" s="58" t="n">
        <f aca="false">-F2052</f>
        <v>-38000</v>
      </c>
      <c r="G2104" s="58" t="n">
        <f aca="false">-G2052</f>
        <v>-38000</v>
      </c>
      <c r="H2104" s="2" t="s">
        <v>1338</v>
      </c>
    </row>
    <row r="2105" customFormat="false" ht="15" hidden="false" customHeight="false" outlineLevel="1" collapsed="false">
      <c r="A2105" s="7" t="s">
        <v>718</v>
      </c>
      <c r="B2105" s="8" t="s">
        <v>10</v>
      </c>
      <c r="C2105" s="58" t="n">
        <f aca="false">C2101+C2102+C2103+C2104</f>
        <v>-850966.083613014</v>
      </c>
      <c r="D2105" s="58" t="n">
        <f aca="false">D2101+D2102+D2103+D2104</f>
        <v>-1085564.70653131</v>
      </c>
      <c r="E2105" s="58" t="n">
        <f aca="false">E2101+E2102+E2103+E2104</f>
        <v>-1276910.73804599</v>
      </c>
      <c r="F2105" s="58" t="n">
        <f aca="false">F2101+F2102+F2103+F2104</f>
        <v>-1569472.01951104</v>
      </c>
      <c r="G2105" s="58" t="n">
        <f aca="false">G2101+G2102+G2103+G2104</f>
        <v>-1825911.99591138</v>
      </c>
      <c r="H2105" s="2" t="s">
        <v>1339</v>
      </c>
    </row>
    <row r="2106" customFormat="false" ht="15" hidden="false" customHeight="false" outlineLevel="1" collapsed="false">
      <c r="A2106" s="7" t="s">
        <v>719</v>
      </c>
      <c r="B2106" s="8" t="s">
        <v>10</v>
      </c>
      <c r="C2106" s="58" t="n">
        <f aca="false">C2093</f>
        <v>0</v>
      </c>
      <c r="D2106" s="58" t="n">
        <f aca="false">D2093-C2093</f>
        <v>309471.125856164</v>
      </c>
      <c r="E2106" s="58" t="n">
        <f aca="false">E2093-D2093</f>
        <v>249529.469178082</v>
      </c>
      <c r="F2106" s="58" t="n">
        <f aca="false">F2093-E2093</f>
        <v>407972.851027397</v>
      </c>
      <c r="G2106" s="58" t="n">
        <f aca="false">G2093-F2093</f>
        <v>509928.017979452</v>
      </c>
      <c r="H2106" s="2" t="s">
        <v>1340</v>
      </c>
    </row>
    <row r="2107" customFormat="false" ht="15" hidden="false" customHeight="false" outlineLevel="1" collapsed="false">
      <c r="A2107" s="7" t="s">
        <v>720</v>
      </c>
      <c r="B2107" s="8" t="s">
        <v>10</v>
      </c>
      <c r="C2107" s="58" t="n">
        <f aca="false">-C2095</f>
        <v>-0</v>
      </c>
      <c r="D2107" s="58" t="n">
        <f aca="false">-(D2095-C2095)</f>
        <v>-61894.2251712329</v>
      </c>
      <c r="E2107" s="58" t="n">
        <f aca="false">-(E2095-D2095)</f>
        <v>-49905.8938356164</v>
      </c>
      <c r="F2107" s="58" t="n">
        <f aca="false">-(F2095-E2095)</f>
        <v>-81594.5702054795</v>
      </c>
      <c r="G2107" s="58" t="n">
        <f aca="false">-(G2095-F2095)</f>
        <v>-101985.60359589</v>
      </c>
      <c r="H2107" s="2" t="s">
        <v>1341</v>
      </c>
    </row>
    <row r="2108" customFormat="false" ht="15" hidden="false" customHeight="false" outlineLevel="1" collapsed="false">
      <c r="A2108" s="7" t="s">
        <v>721</v>
      </c>
      <c r="B2108" s="8" t="s">
        <v>10</v>
      </c>
      <c r="C2108" s="58" t="n">
        <f aca="false">-C2098</f>
        <v>-0</v>
      </c>
      <c r="D2108" s="58" t="n">
        <f aca="false">-(D2098-C2098)</f>
        <v>-15473.5562928082</v>
      </c>
      <c r="E2108" s="58" t="n">
        <f aca="false">-(E2098-D2098)</f>
        <v>-12476.4734589041</v>
      </c>
      <c r="F2108" s="58" t="n">
        <f aca="false">-(F2098-E2098)</f>
        <v>-20398.6425513699</v>
      </c>
      <c r="G2108" s="58" t="n">
        <f aca="false">-(G2098-F2098)</f>
        <v>-25496.4008989726</v>
      </c>
      <c r="H2108" s="2" t="s">
        <v>1342</v>
      </c>
    </row>
    <row r="2109" customFormat="false" ht="15" hidden="false" customHeight="false" outlineLevel="1" collapsed="false">
      <c r="A2109" s="7" t="s">
        <v>722</v>
      </c>
      <c r="B2109" s="8" t="s">
        <v>10</v>
      </c>
      <c r="C2109" s="58" t="n">
        <f aca="false">-(C2097-Pressupostos!$C$106)</f>
        <v>45282.1917808219</v>
      </c>
      <c r="D2109" s="58" t="n">
        <f aca="false">-(D2097-C2097)</f>
        <v>-17773.647260274</v>
      </c>
      <c r="E2109" s="58" t="n">
        <f aca="false">-(E2097-D2097)</f>
        <v>22180.397260274</v>
      </c>
      <c r="F2109" s="58" t="n">
        <f aca="false">-(F2097-E2097)</f>
        <v>311.058219178114</v>
      </c>
      <c r="G2109" s="58" t="n">
        <f aca="false">-(G2097-F2097)</f>
        <v>-0</v>
      </c>
      <c r="H2109" s="2" t="s">
        <v>1343</v>
      </c>
    </row>
    <row r="2110" customFormat="false" ht="15" hidden="false" customHeight="false" outlineLevel="1" collapsed="false">
      <c r="A2110" s="52" t="s">
        <v>723</v>
      </c>
      <c r="B2110" s="53" t="s">
        <v>10</v>
      </c>
      <c r="C2110" s="59" t="n">
        <f aca="false">C2105+C2106+C2107+C2108+C2109</f>
        <v>-805683.891832192</v>
      </c>
      <c r="D2110" s="59" t="n">
        <f aca="false">D2105+D2106+D2107+D2108+D2109</f>
        <v>-871235.009399462</v>
      </c>
      <c r="E2110" s="59" t="n">
        <f aca="false">E2105+E2106+E2107+E2108+E2109</f>
        <v>-1067583.23890215</v>
      </c>
      <c r="F2110" s="59" t="n">
        <f aca="false">F2105+F2106+F2107+F2108+F2109</f>
        <v>-1263181.32302131</v>
      </c>
      <c r="G2110" s="59" t="n">
        <f aca="false">G2105+G2106+G2107+G2108+G2109</f>
        <v>-1443465.98242679</v>
      </c>
      <c r="H2110" s="2" t="s">
        <v>1344</v>
      </c>
    </row>
    <row r="2111" customFormat="false" ht="15" hidden="false" customHeight="false" outlineLevel="1" collapsed="false">
      <c r="A2111" s="52" t="s">
        <v>724</v>
      </c>
      <c r="B2111" s="53" t="s">
        <v>10</v>
      </c>
      <c r="C2111" s="59" t="n">
        <f aca="false">C2110</f>
        <v>-805683.891832192</v>
      </c>
      <c r="D2111" s="59" t="n">
        <f aca="false">C2111+D2110</f>
        <v>-1676918.90123165</v>
      </c>
      <c r="E2111" s="59" t="n">
        <f aca="false">D2111+E2110</f>
        <v>-2744502.14013381</v>
      </c>
      <c r="F2111" s="59" t="n">
        <f aca="false">E2111+F2110</f>
        <v>-4007683.46315512</v>
      </c>
      <c r="G2111" s="59" t="n">
        <f aca="false">F2111+G2110</f>
        <v>-5451149.4455819</v>
      </c>
      <c r="H2111" s="2" t="s">
        <v>1345</v>
      </c>
    </row>
    <row r="2112" customFormat="false" ht="15" hidden="false" customHeight="false" outlineLevel="1" collapsed="false">
      <c r="A2112" s="8" t="s">
        <v>725</v>
      </c>
      <c r="B2112" s="8" t="s">
        <v>10</v>
      </c>
      <c r="C2112" s="66" t="n">
        <f aca="false">ROUND(C2067-C2052-C2082-(MAX(C2096,Pressupostos!$C$106)-Pressupostos!$C$106)-(C2098)-C2110,6)</f>
        <v>0</v>
      </c>
      <c r="D2112" s="66" t="n">
        <f aca="false">ROUND(D2067-D2052-D2082-(MAX(D2096,Pressupostos!$C$106)-MAX(C2096,Pressupostos!$C$106))-(D2098-C2098)-D2110,6)</f>
        <v>0</v>
      </c>
      <c r="E2112" s="66" t="n">
        <f aca="false">ROUND(E2067-E2052-E2082-(MAX(E2096,Pressupostos!$C$106)-MAX(D2096,Pressupostos!$C$106))-(E2098-D2098)-E2110,6)</f>
        <v>0</v>
      </c>
      <c r="F2112" s="66" t="n">
        <f aca="false">ROUND(F2067-F2052-F2082-(MAX(F2096,Pressupostos!$C$106)-MAX(E2096,Pressupostos!$C$106))-(F2098-E2098)-F2110,6)</f>
        <v>0</v>
      </c>
      <c r="G2112" s="66" t="n">
        <f aca="false">ROUND(G2067-G2052-G2082-(MAX(G2096,Pressupostos!$C$106)-MAX(F2096,Pressupostos!$C$106))-(G2098-F2098)-G2110,6)</f>
        <v>0</v>
      </c>
      <c r="H2112" s="2" t="s">
        <v>1346</v>
      </c>
    </row>
    <row r="2113" customFormat="false" ht="15" hidden="false" customHeight="false" outlineLevel="0" collapsed="false">
      <c r="A2113" s="3" t="s">
        <v>1347</v>
      </c>
      <c r="B2113" s="4"/>
      <c r="C2113" s="4"/>
      <c r="D2113" s="4"/>
      <c r="E2113" s="4"/>
      <c r="F2113" s="4"/>
      <c r="G2113" s="4"/>
      <c r="H2113" s="4"/>
    </row>
    <row r="2114" customFormat="false" ht="15" hidden="false" customHeight="false" outlineLevel="1" collapsed="false">
      <c r="A2114" s="7" t="s">
        <v>727</v>
      </c>
      <c r="B2114" s="8" t="s">
        <v>10</v>
      </c>
      <c r="C2114" s="58" t="n">
        <f aca="false">0</f>
        <v>0</v>
      </c>
      <c r="D2114" s="58" t="n">
        <f aca="false">C2119</f>
        <v>150000</v>
      </c>
      <c r="E2114" s="58" t="n">
        <f aca="false">D2119</f>
        <v>150000</v>
      </c>
      <c r="F2114" s="58" t="n">
        <f aca="false">E2119</f>
        <v>150000</v>
      </c>
      <c r="G2114" s="58" t="n">
        <f aca="false">F2119</f>
        <v>150000</v>
      </c>
      <c r="H2114" s="2" t="s">
        <v>1348</v>
      </c>
    </row>
    <row r="2115" customFormat="false" ht="15" hidden="false" customHeight="false" outlineLevel="1" collapsed="false">
      <c r="A2115" s="7" t="s">
        <v>728</v>
      </c>
      <c r="B2115" s="8" t="s">
        <v>10</v>
      </c>
      <c r="C2115" s="58" t="n">
        <f aca="false">-(Pressupostos!$C$157+Pressupostos!$C$158+Pressupostos!$C$159+Pressupostos!$C$160+Pressupostos!$C$161+Pressupostos!$C$106)</f>
        <v>-145000</v>
      </c>
      <c r="D2115" s="58" t="n">
        <f aca="false">0</f>
        <v>0</v>
      </c>
      <c r="E2115" s="58" t="n">
        <f aca="false">0</f>
        <v>0</v>
      </c>
      <c r="F2115" s="58" t="n">
        <f aca="false">0</f>
        <v>0</v>
      </c>
      <c r="G2115" s="58" t="n">
        <f aca="false">0</f>
        <v>0</v>
      </c>
      <c r="H2115" s="2" t="s">
        <v>1349</v>
      </c>
    </row>
    <row r="2116" customFormat="false" ht="15" hidden="false" customHeight="false" outlineLevel="1" collapsed="false">
      <c r="A2116" s="7" t="s">
        <v>729</v>
      </c>
      <c r="B2116" s="8" t="s">
        <v>10</v>
      </c>
      <c r="C2116" s="50" t="n">
        <f aca="false">Pressupostos!$D$32</f>
        <v>1100000</v>
      </c>
      <c r="D2116" s="58" t="n">
        <f aca="false">0</f>
        <v>0</v>
      </c>
      <c r="E2116" s="58" t="n">
        <f aca="false">0</f>
        <v>0</v>
      </c>
      <c r="F2116" s="58" t="n">
        <f aca="false">0</f>
        <v>0</v>
      </c>
      <c r="G2116" s="58" t="n">
        <f aca="false">0</f>
        <v>0</v>
      </c>
      <c r="H2116" s="2" t="s">
        <v>1350</v>
      </c>
    </row>
    <row r="2117" customFormat="false" ht="15" hidden="false" customHeight="false" outlineLevel="1" collapsed="false">
      <c r="A2117" s="7" t="s">
        <v>730</v>
      </c>
      <c r="B2117" s="8" t="s">
        <v>10</v>
      </c>
      <c r="C2117" s="58" t="n">
        <f aca="false">C2114+C2115+C2116+C2110</f>
        <v>149316.108167808</v>
      </c>
      <c r="D2117" s="58" t="n">
        <f aca="false">D2114+D2115+D2116+D2110</f>
        <v>-721235.009399462</v>
      </c>
      <c r="E2117" s="58" t="n">
        <f aca="false">E2114+E2115+E2116+E2110</f>
        <v>-917583.238902153</v>
      </c>
      <c r="F2117" s="58" t="n">
        <f aca="false">F2114+F2115+F2116+F2110</f>
        <v>-1113181.32302131</v>
      </c>
      <c r="G2117" s="58" t="n">
        <f aca="false">G2114+G2115+G2116+G2110</f>
        <v>-1293465.98242679</v>
      </c>
      <c r="H2117" s="2" t="s">
        <v>1351</v>
      </c>
    </row>
    <row r="2118" customFormat="false" ht="15" hidden="false" customHeight="false" outlineLevel="1" collapsed="false">
      <c r="A2118" s="52" t="s">
        <v>731</v>
      </c>
      <c r="B2118" s="53" t="s">
        <v>10</v>
      </c>
      <c r="C2118" s="59" t="n">
        <f aca="false">MAX(0,Pressupostos!$C$168-C2117)</f>
        <v>683.89183219173</v>
      </c>
      <c r="D2118" s="59" t="n">
        <f aca="false">MAX(0,Pressupostos!$C$168-D2117)</f>
        <v>871235.009399462</v>
      </c>
      <c r="E2118" s="59" t="n">
        <f aca="false">MAX(0,Pressupostos!$C$168-E2117)</f>
        <v>1067583.23890215</v>
      </c>
      <c r="F2118" s="59" t="n">
        <f aca="false">MAX(0,Pressupostos!$C$168-F2117)</f>
        <v>1263181.32302131</v>
      </c>
      <c r="G2118" s="59" t="n">
        <f aca="false">MAX(0,Pressupostos!$C$168-G2117)</f>
        <v>1443465.98242679</v>
      </c>
      <c r="H2118" s="2" t="s">
        <v>1352</v>
      </c>
    </row>
    <row r="2119" customFormat="false" ht="15" hidden="false" customHeight="false" outlineLevel="1" collapsed="false">
      <c r="A2119" s="52" t="s">
        <v>732</v>
      </c>
      <c r="B2119" s="53" t="s">
        <v>10</v>
      </c>
      <c r="C2119" s="59" t="n">
        <f aca="false">C2117+C2118</f>
        <v>150000</v>
      </c>
      <c r="D2119" s="59" t="n">
        <f aca="false">D2117+D2118</f>
        <v>150000</v>
      </c>
      <c r="E2119" s="59" t="n">
        <f aca="false">E2117+E2118</f>
        <v>150000</v>
      </c>
      <c r="F2119" s="59" t="n">
        <f aca="false">F2117+F2118</f>
        <v>150000</v>
      </c>
      <c r="G2119" s="59" t="n">
        <f aca="false">G2117+G2118</f>
        <v>150000</v>
      </c>
      <c r="H2119" s="2" t="s">
        <v>1353</v>
      </c>
    </row>
    <row r="2120" customFormat="false" ht="15" hidden="false" customHeight="false" outlineLevel="1" collapsed="false">
      <c r="A2120" s="7" t="s">
        <v>733</v>
      </c>
      <c r="B2120" s="8" t="s">
        <v>10</v>
      </c>
      <c r="C2120" s="58" t="n">
        <f aca="false">C2095+C2098+C2097</f>
        <v>4717.80821917809</v>
      </c>
      <c r="D2120" s="58" t="n">
        <f aca="false">D2095+D2098+D2097</f>
        <v>99859.2369434932</v>
      </c>
      <c r="E2120" s="58" t="n">
        <f aca="false">E2095+E2098+E2097</f>
        <v>140061.20697774</v>
      </c>
      <c r="F2120" s="58" t="n">
        <f aca="false">F2095+F2098+F2097</f>
        <v>241743.361515411</v>
      </c>
      <c r="G2120" s="58" t="n">
        <f aca="false">G2095+G2098+G2097</f>
        <v>369225.366010274</v>
      </c>
      <c r="H2120" s="2" t="s">
        <v>1354</v>
      </c>
    </row>
    <row r="2121" customFormat="false" ht="15" hidden="false" customHeight="false" outlineLevel="1" collapsed="false">
      <c r="A2121" s="7" t="s">
        <v>734</v>
      </c>
      <c r="B2121" s="8" t="s">
        <v>10</v>
      </c>
      <c r="C2121" s="58" t="n">
        <f aca="false">C2119+C2120</f>
        <v>154717.808219178</v>
      </c>
      <c r="D2121" s="58" t="n">
        <f aca="false">D2119+D2120</f>
        <v>249859.236943493</v>
      </c>
      <c r="E2121" s="58" t="n">
        <f aca="false">E2119+E2120</f>
        <v>290061.20697774</v>
      </c>
      <c r="F2121" s="58" t="n">
        <f aca="false">F2119+F2120</f>
        <v>391743.361515411</v>
      </c>
      <c r="G2121" s="58" t="n">
        <f aca="false">G2119+G2120</f>
        <v>519225.366010274</v>
      </c>
      <c r="H2121" s="2" t="s">
        <v>1355</v>
      </c>
    </row>
    <row r="2122" customFormat="false" ht="15" hidden="false" customHeight="false" outlineLevel="1" collapsed="false">
      <c r="A2122" s="7" t="s">
        <v>735</v>
      </c>
      <c r="B2122" s="8" t="s">
        <v>10</v>
      </c>
      <c r="C2122" s="58" t="n">
        <f aca="false">C2116+C2118</f>
        <v>1100683.89183219</v>
      </c>
      <c r="D2122" s="58" t="n">
        <f aca="false">C2122+D2116+D2118</f>
        <v>1971918.90123165</v>
      </c>
      <c r="E2122" s="58" t="n">
        <f aca="false">D2122+E2116+E2118</f>
        <v>3039502.14013381</v>
      </c>
      <c r="F2122" s="58" t="n">
        <f aca="false">E2122+F2116+F2118</f>
        <v>4302683.46315512</v>
      </c>
      <c r="G2122" s="58" t="n">
        <f aca="false">F2122+G2116+G2118</f>
        <v>5746149.4455819</v>
      </c>
      <c r="H2122" s="2" t="s">
        <v>1356</v>
      </c>
    </row>
    <row r="2123" customFormat="false" ht="15" hidden="false" customHeight="false" outlineLevel="0" collapsed="false">
      <c r="A2123" s="3" t="s">
        <v>1357</v>
      </c>
      <c r="B2123" s="4"/>
      <c r="C2123" s="4"/>
      <c r="D2123" s="4"/>
      <c r="E2123" s="4"/>
      <c r="F2123" s="4"/>
      <c r="G2123" s="4"/>
      <c r="H2123" s="4"/>
    </row>
    <row r="2124" customFormat="false" ht="15" hidden="false" customHeight="false" outlineLevel="1" collapsed="false">
      <c r="A2124" s="7" t="s">
        <v>739</v>
      </c>
      <c r="B2124" s="8" t="s">
        <v>10</v>
      </c>
      <c r="C2124" s="68" t="n">
        <f aca="false">Pressupostos!$C$157+Pressupostos!$C$158+Pressupostos!$C$159+Pressupostos!$C$160+Pressupostos!$C$161</f>
        <v>95000</v>
      </c>
      <c r="H2124" s="2" t="s">
        <v>1358</v>
      </c>
    </row>
    <row r="2125" customFormat="false" ht="15" hidden="false" customHeight="false" outlineLevel="1" collapsed="false">
      <c r="A2125" s="7" t="s">
        <v>740</v>
      </c>
      <c r="B2125" s="8" t="s">
        <v>10</v>
      </c>
      <c r="C2125" s="69" t="n">
        <f aca="false">Pressupostos!$C$106</f>
        <v>50000</v>
      </c>
      <c r="H2125" s="2" t="s">
        <v>1359</v>
      </c>
    </row>
    <row r="2126" customFormat="false" ht="15" hidden="false" customHeight="false" outlineLevel="1" collapsed="false">
      <c r="A2126" s="7" t="s">
        <v>312</v>
      </c>
      <c r="B2126" s="8" t="s">
        <v>10</v>
      </c>
      <c r="C2126" s="69" t="n">
        <f aca="false">Pressupostos!$C$168</f>
        <v>150000</v>
      </c>
      <c r="H2126" s="2" t="s">
        <v>1360</v>
      </c>
    </row>
    <row r="2127" customFormat="false" ht="15" hidden="false" customHeight="false" outlineLevel="1" collapsed="false">
      <c r="A2127" s="7" t="s">
        <v>741</v>
      </c>
      <c r="B2127" s="8" t="s">
        <v>10</v>
      </c>
      <c r="C2127" s="68" t="n">
        <f aca="false">MAX(0,-MIN($C$2111:$G$2111))</f>
        <v>5451149.4455819</v>
      </c>
      <c r="H2127" s="2" t="s">
        <v>1361</v>
      </c>
    </row>
    <row r="2128" customFormat="false" ht="15" hidden="false" customHeight="false" outlineLevel="1" collapsed="false">
      <c r="A2128" s="52" t="s">
        <v>14</v>
      </c>
      <c r="B2128" s="53" t="s">
        <v>10</v>
      </c>
      <c r="C2128" s="70" t="n">
        <f aca="false">C2124+C2125+C2126+C2127</f>
        <v>5746149.4455819</v>
      </c>
      <c r="H2128" s="2" t="s">
        <v>1362</v>
      </c>
    </row>
    <row r="2129" customFormat="false" ht="15" hidden="false" customHeight="false" outlineLevel="1" collapsed="false">
      <c r="A2129" s="7" t="s">
        <v>742</v>
      </c>
      <c r="B2129" s="8" t="s">
        <v>18</v>
      </c>
      <c r="C2129" s="71" t="n">
        <f aca="false">INDEX($C$1868:$G$1868,1,MATCH(MIN($C$2111:$G$2111),$C$2111:$G$2111,0))</f>
        <v>2031</v>
      </c>
      <c r="H2129" s="2" t="s">
        <v>1363</v>
      </c>
    </row>
    <row r="2130" customFormat="false" ht="15" hidden="false" customHeight="false" outlineLevel="1" collapsed="false">
      <c r="A2130" s="7" t="s">
        <v>743</v>
      </c>
      <c r="B2130" s="8"/>
      <c r="C2130" s="72" t="str">
        <f aca="false">IF(G2110&lt;0,"sim","não")</f>
        <v>sim</v>
      </c>
      <c r="H2130" s="2" t="s">
        <v>1364</v>
      </c>
    </row>
    <row r="2131" customFormat="false" ht="15" hidden="false" customHeight="false" outlineLevel="1" collapsed="false">
      <c r="A2131" s="7" t="s">
        <v>744</v>
      </c>
      <c r="B2131" s="8" t="s">
        <v>10</v>
      </c>
      <c r="C2131" s="68" t="n">
        <f aca="false">G2122</f>
        <v>5746149.4455819</v>
      </c>
      <c r="H2131" s="2" t="s">
        <v>1365</v>
      </c>
    </row>
    <row r="2132" customFormat="false" ht="15" hidden="false" customHeight="false" outlineLevel="0" collapsed="false">
      <c r="A2132" s="3" t="s">
        <v>1366</v>
      </c>
      <c r="B2132" s="4"/>
      <c r="C2132" s="4"/>
      <c r="D2132" s="4"/>
      <c r="E2132" s="4"/>
      <c r="F2132" s="4"/>
      <c r="G2132" s="4"/>
      <c r="H2132" s="4"/>
    </row>
    <row r="2133" customFormat="false" ht="15" hidden="false" customHeight="false" outlineLevel="1" collapsed="false">
      <c r="A2133" s="7" t="s">
        <v>746</v>
      </c>
      <c r="B2133" s="8" t="s">
        <v>10</v>
      </c>
      <c r="C2133" s="68" t="n">
        <f aca="false">C2124+C2125</f>
        <v>145000</v>
      </c>
      <c r="H2133" s="2" t="s">
        <v>1367</v>
      </c>
    </row>
    <row r="2134" customFormat="false" ht="15" hidden="false" customHeight="false" outlineLevel="1" collapsed="false">
      <c r="A2134" s="7" t="s">
        <v>747</v>
      </c>
      <c r="B2134" s="8" t="s">
        <v>10</v>
      </c>
      <c r="C2134" s="68" t="n">
        <f aca="false">-SUMPRODUCT(($C$1868:$G$1868&lt;=C2129)*$C$2067:$G$2067)</f>
        <v>5036024.24224286</v>
      </c>
      <c r="H2134" s="2" t="s">
        <v>1368</v>
      </c>
    </row>
    <row r="2135" customFormat="false" ht="15" hidden="false" customHeight="false" outlineLevel="1" collapsed="false">
      <c r="A2135" s="7" t="s">
        <v>407</v>
      </c>
      <c r="B2135" s="8" t="s">
        <v>10</v>
      </c>
      <c r="C2135" s="68" t="n">
        <f aca="false">SUMPRODUCT(($C$1868:$G$1868&lt;=C2129)*$C$2052:$G$2052)</f>
        <v>260000</v>
      </c>
      <c r="H2135" s="2" t="s">
        <v>1369</v>
      </c>
    </row>
    <row r="2136" customFormat="false" ht="15" hidden="false" customHeight="false" outlineLevel="1" collapsed="false">
      <c r="A2136" s="7" t="s">
        <v>748</v>
      </c>
      <c r="B2136" s="8" t="s">
        <v>10</v>
      </c>
      <c r="C2136" s="68" t="n">
        <f aca="false">SUMPRODUCT(($C$1868:$G$1868&lt;=C2129)*$C$2082:$G$2082)</f>
        <v>0</v>
      </c>
      <c r="H2136" s="2" t="s">
        <v>1370</v>
      </c>
    </row>
    <row r="2137" customFormat="false" ht="15" hidden="false" customHeight="false" outlineLevel="1" collapsed="false">
      <c r="A2137" s="7" t="s">
        <v>749</v>
      </c>
      <c r="B2137" s="8" t="s">
        <v>10</v>
      </c>
      <c r="C2137" s="68" t="n">
        <f aca="false">C2127-C2134-C2135-C2136</f>
        <v>155125.20333904</v>
      </c>
      <c r="H2137" s="2" t="s">
        <v>1371</v>
      </c>
    </row>
    <row r="2138" customFormat="false" ht="15" hidden="false" customHeight="false" outlineLevel="1" collapsed="false">
      <c r="A2138" s="7" t="s">
        <v>312</v>
      </c>
      <c r="B2138" s="8" t="s">
        <v>10</v>
      </c>
      <c r="C2138" s="68" t="n">
        <f aca="false">C2126</f>
        <v>150000</v>
      </c>
      <c r="H2138" s="2" t="s">
        <v>1372</v>
      </c>
    </row>
    <row r="2139" customFormat="false" ht="15" hidden="false" customHeight="false" outlineLevel="1" collapsed="false">
      <c r="A2139" s="52" t="s">
        <v>750</v>
      </c>
      <c r="B2139" s="53" t="s">
        <v>10</v>
      </c>
      <c r="C2139" s="70" t="n">
        <f aca="false">C2133+C2134+C2135+C2136+C2137+C2138</f>
        <v>5746149.4455819</v>
      </c>
      <c r="H2139" s="2" t="s">
        <v>1373</v>
      </c>
    </row>
    <row r="2140" customFormat="false" ht="15" hidden="false" customHeight="false" outlineLevel="0" collapsed="false">
      <c r="A2140" s="3" t="s">
        <v>1374</v>
      </c>
      <c r="B2140" s="4"/>
      <c r="C2140" s="4"/>
      <c r="D2140" s="4"/>
      <c r="E2140" s="4"/>
      <c r="F2140" s="4"/>
      <c r="G2140" s="4"/>
      <c r="H2140" s="4"/>
    </row>
    <row r="2141" customFormat="false" ht="15" hidden="false" customHeight="false" outlineLevel="1" collapsed="false">
      <c r="A2141" s="7" t="s">
        <v>729</v>
      </c>
      <c r="B2141" s="8" t="s">
        <v>10</v>
      </c>
      <c r="C2141" s="69" t="n">
        <f aca="false">Pressupostos!$D$32</f>
        <v>1100000</v>
      </c>
      <c r="H2141" s="2" t="s">
        <v>1375</v>
      </c>
    </row>
    <row r="2142" customFormat="false" ht="15" hidden="false" customHeight="false" outlineLevel="1" collapsed="false">
      <c r="A2142" s="7" t="s">
        <v>752</v>
      </c>
      <c r="B2142" s="8" t="s">
        <v>10</v>
      </c>
      <c r="C2142" s="68" t="n">
        <f aca="false">C2124+Pressupostos!$C$106+Pressupostos!$C$128/12*((C2028-C2016-C2017+(C2016+C2017)/Pressupostos!$C$126*Pressupostos!$C$127)*(1+Pressupostos!$C$122+Pressupostos!$C$123)+C2014*Pressupostos!$C$124+C2047)+C2052+MAX(0,Pressupostos!$C$181*1000*(C1887+C1890)+Pressupostos!$C$182*1000*(C1910+C1913)-Pressupostos!$C$106)</f>
        <v>734421.666666667</v>
      </c>
      <c r="H2142" s="2" t="s">
        <v>1376</v>
      </c>
    </row>
    <row r="2143" customFormat="false" ht="15" hidden="false" customHeight="false" outlineLevel="1" collapsed="false">
      <c r="A2143" s="7" t="s">
        <v>754</v>
      </c>
      <c r="B2143" s="8" t="s">
        <v>10</v>
      </c>
      <c r="C2143" s="68" t="n">
        <f aca="false">C2124+Pressupostos!$C$106-C2110</f>
        <v>950683.891832192</v>
      </c>
      <c r="H2143" s="2" t="s">
        <v>1377</v>
      </c>
    </row>
    <row r="2144" customFormat="false" ht="15" hidden="false" customHeight="false" outlineLevel="1" collapsed="false">
      <c r="A2144" s="7" t="s">
        <v>755</v>
      </c>
      <c r="B2144" s="8" t="s">
        <v>10</v>
      </c>
      <c r="C2144" s="58" t="n">
        <f aca="false">Pressupostos!$D$32-C2124-Pressupostos!$C$106+C2111</f>
        <v>149316.108167808</v>
      </c>
      <c r="D2144" s="58" t="n">
        <f aca="false">Pressupostos!$D$32-C2124-Pressupostos!$C$106+D2111</f>
        <v>-721918.901231654</v>
      </c>
      <c r="E2144" s="58" t="n">
        <f aca="false">Pressupostos!$D$32-C2124-Pressupostos!$C$106+E2111</f>
        <v>-1789502.14013381</v>
      </c>
      <c r="F2144" s="58" t="n">
        <f aca="false">Pressupostos!$D$32-C2124-Pressupostos!$C$106+F2111</f>
        <v>-3052683.46315512</v>
      </c>
      <c r="G2144" s="58" t="n">
        <f aca="false">Pressupostos!$D$32-C2124-Pressupostos!$C$106+G2111</f>
        <v>-4496149.4455819</v>
      </c>
      <c r="H2144" s="2" t="s">
        <v>1378</v>
      </c>
    </row>
    <row r="2145" customFormat="false" ht="15" hidden="false" customHeight="false" outlineLevel="1" collapsed="false">
      <c r="A2145" s="7" t="s">
        <v>756</v>
      </c>
      <c r="B2145" s="8" t="s">
        <v>16</v>
      </c>
      <c r="C2145" s="73" t="str">
        <f aca="false">IF(AND(Pressupostos!$D$32-C2124-Pressupostos!$C$106&gt;0,C2144&lt;=0),12*(Pressupostos!$D$32-C2124-Pressupostos!$C$106)/(Pressupostos!$D$32-C2124-Pressupostos!$C$106-C2144),"")</f>
        <v/>
      </c>
      <c r="D2145" s="73" t="n">
        <f aca="false">IF(AND(C2144&gt;0,D2144&lt;=0),12+12*C2144/(C2144-D2144),"")</f>
        <v>14.056613059258</v>
      </c>
      <c r="E2145" s="73" t="str">
        <f aca="false">IF(AND(D2144&gt;0,E2144&lt;=0),24+12*D2144/(D2144-E2144),"")</f>
        <v/>
      </c>
      <c r="F2145" s="73" t="str">
        <f aca="false">IF(AND(E2144&gt;0,F2144&lt;=0),36+12*E2144/(E2144-F2144),"")</f>
        <v/>
      </c>
      <c r="G2145" s="73" t="str">
        <f aca="false">IF(AND(F2144&gt;0,G2144&lt;=0),48+12*F2144/(F2144-G2144),"")</f>
        <v/>
      </c>
      <c r="H2145" s="2" t="s">
        <v>1379</v>
      </c>
    </row>
    <row r="2146" customFormat="false" ht="15" hidden="false" customHeight="false" outlineLevel="1" collapsed="false">
      <c r="A2146" s="52" t="s">
        <v>757</v>
      </c>
      <c r="B2146" s="53" t="s">
        <v>264</v>
      </c>
      <c r="C2146" s="74" t="n">
        <f aca="false">IF(COUNT($C$2145:$G$2145)=0,"&gt; 60",MIN($C$2145:$G$2145))</f>
        <v>14.056613059258</v>
      </c>
      <c r="H2146" s="2" t="s">
        <v>1380</v>
      </c>
    </row>
    <row r="2147" customFormat="false" ht="15" hidden="false" customHeight="false" outlineLevel="0" collapsed="false">
      <c r="A2147" s="3" t="s">
        <v>1381</v>
      </c>
      <c r="B2147" s="4"/>
      <c r="C2147" s="4"/>
      <c r="D2147" s="4"/>
      <c r="E2147" s="4"/>
      <c r="F2147" s="4"/>
      <c r="G2147" s="4"/>
      <c r="H2147" s="4"/>
    </row>
    <row r="2148" customFormat="false" ht="15" hidden="false" customHeight="false" outlineLevel="1" collapsed="false">
      <c r="A2148" s="7" t="s">
        <v>759</v>
      </c>
      <c r="B2148" s="8" t="s">
        <v>16</v>
      </c>
      <c r="C2148" s="73" t="str">
        <f aca="false">IF(C2067&gt;=0,1,"")</f>
        <v/>
      </c>
      <c r="D2148" s="73" t="str">
        <f aca="false">IF(AND(C2067&lt;0,D2067&gt;=0),6.5+12*(-C2067)/(D2067-C2067),"")</f>
        <v/>
      </c>
      <c r="E2148" s="73" t="str">
        <f aca="false">IF(AND(D2067&lt;0,E2067&gt;=0),18.5+12*(-D2067)/(E2067-D2067),"")</f>
        <v/>
      </c>
      <c r="F2148" s="73" t="str">
        <f aca="false">IF(AND(E2067&lt;0,F2067&gt;=0),30.5+12*(-E2067)/(F2067-E2067),"")</f>
        <v/>
      </c>
      <c r="G2148" s="73" t="str">
        <f aca="false">IF(AND(F2067&lt;0,G2067&gt;=0),42.5+12*(-F2067)/(G2067-F2067),"")</f>
        <v/>
      </c>
      <c r="H2148" s="2" t="s">
        <v>1382</v>
      </c>
    </row>
    <row r="2149" customFormat="false" ht="15" hidden="false" customHeight="false" outlineLevel="1" collapsed="false">
      <c r="A2149" s="7" t="s">
        <v>760</v>
      </c>
      <c r="B2149" s="8" t="s">
        <v>16</v>
      </c>
      <c r="C2149" s="75" t="str">
        <f aca="false">IF(COUNT($C$2148:$G$2148)=0,"não atinge até 2031",ROUNDUP(MIN($C$2148:$G$2148),0))</f>
        <v>não atinge até 2031</v>
      </c>
      <c r="H2149" s="2" t="s">
        <v>1383</v>
      </c>
    </row>
    <row r="2150" customFormat="false" ht="15" hidden="false" customHeight="false" outlineLevel="1" collapsed="false">
      <c r="A2150" s="52" t="s">
        <v>761</v>
      </c>
      <c r="B2150" s="53" t="s">
        <v>762</v>
      </c>
      <c r="C2150" s="76" t="str">
        <f aca="false">IF(ISNUMBER(C2149),DATE(2027,C2149,1),"não atinge até 2031")</f>
        <v>não atinge até 2031</v>
      </c>
      <c r="H2150" s="2" t="s">
        <v>1384</v>
      </c>
    </row>
    <row r="2151" customFormat="false" ht="15" hidden="false" customHeight="false" outlineLevel="1" collapsed="false">
      <c r="A2151" s="7" t="s">
        <v>763</v>
      </c>
      <c r="B2151" s="8" t="s">
        <v>18</v>
      </c>
      <c r="C2151" s="77" t="str">
        <f aca="false">IF(C2067&gt;=0,C1868,"")</f>
        <v/>
      </c>
      <c r="D2151" s="77" t="str">
        <f aca="false">IF(D2067&gt;=0,D1868,"")</f>
        <v/>
      </c>
      <c r="E2151" s="77" t="str">
        <f aca="false">IF(E2067&gt;=0,E1868,"")</f>
        <v/>
      </c>
      <c r="F2151" s="77" t="str">
        <f aca="false">IF(F2067&gt;=0,F1868,"")</f>
        <v/>
      </c>
      <c r="G2151" s="77" t="str">
        <f aca="false">IF(G2067&gt;=0,G1868,"")</f>
        <v/>
      </c>
      <c r="H2151" s="2" t="s">
        <v>1385</v>
      </c>
    </row>
    <row r="2152" customFormat="false" ht="15" hidden="false" customHeight="false" outlineLevel="1" collapsed="false">
      <c r="A2152" s="7" t="s">
        <v>764</v>
      </c>
      <c r="B2152" s="8" t="s">
        <v>18</v>
      </c>
      <c r="C2152" s="71" t="str">
        <f aca="false">IF(COUNT($C$2151:$G$2151)=0,"não atinge até 2031",MIN($C$2151:$G$2151))</f>
        <v>não atinge até 2031</v>
      </c>
      <c r="H2152" s="2" t="s">
        <v>1386</v>
      </c>
    </row>
    <row r="2153" customFormat="false" ht="15" hidden="false" customHeight="false" outlineLevel="1" collapsed="false">
      <c r="A2153" s="7" t="s">
        <v>765</v>
      </c>
      <c r="B2153" s="8" t="s">
        <v>18</v>
      </c>
      <c r="C2153" s="77" t="str">
        <f aca="false">IF(C2085&gt;=0,C1868,"")</f>
        <v/>
      </c>
      <c r="D2153" s="77" t="str">
        <f aca="false">IF(D2085&gt;=0,D1868,"")</f>
        <v/>
      </c>
      <c r="E2153" s="77" t="str">
        <f aca="false">IF(E2085&gt;=0,E1868,"")</f>
        <v/>
      </c>
      <c r="F2153" s="77" t="str">
        <f aca="false">IF(F2085&gt;=0,F1868,"")</f>
        <v/>
      </c>
      <c r="G2153" s="77" t="str">
        <f aca="false">IF(G2085&gt;=0,G1868,"")</f>
        <v/>
      </c>
      <c r="H2153" s="2" t="s">
        <v>1387</v>
      </c>
    </row>
    <row r="2154" customFormat="false" ht="15" hidden="false" customHeight="false" outlineLevel="1" collapsed="false">
      <c r="A2154" s="7" t="s">
        <v>766</v>
      </c>
      <c r="B2154" s="8" t="s">
        <v>18</v>
      </c>
      <c r="C2154" s="71" t="str">
        <f aca="false">IF(COUNT($C$2153:$G$2153)=0,"não atinge até 2031",MIN($C$2153:$G$2153))</f>
        <v>não atinge até 2031</v>
      </c>
      <c r="H2154" s="2" t="s">
        <v>1388</v>
      </c>
    </row>
    <row r="2155" customFormat="false" ht="15" hidden="false" customHeight="false" outlineLevel="1" collapsed="false">
      <c r="A2155" s="7" t="s">
        <v>767</v>
      </c>
      <c r="B2155" s="8" t="s">
        <v>18</v>
      </c>
      <c r="C2155" s="77" t="str">
        <f aca="false">IF(C2110&gt;=0,C1868,"")</f>
        <v/>
      </c>
      <c r="D2155" s="77" t="str">
        <f aca="false">IF(D2110&gt;=0,D1868,"")</f>
        <v/>
      </c>
      <c r="E2155" s="77" t="str">
        <f aca="false">IF(E2110&gt;=0,E1868,"")</f>
        <v/>
      </c>
      <c r="F2155" s="77" t="str">
        <f aca="false">IF(F2110&gt;=0,F1868,"")</f>
        <v/>
      </c>
      <c r="G2155" s="77" t="str">
        <f aca="false">IF(G2110&gt;=0,G1868,"")</f>
        <v/>
      </c>
      <c r="H2155" s="2" t="s">
        <v>1389</v>
      </c>
    </row>
    <row r="2156" customFormat="false" ht="15" hidden="false" customHeight="false" outlineLevel="1" collapsed="false">
      <c r="A2156" s="7" t="s">
        <v>17</v>
      </c>
      <c r="B2156" s="8" t="s">
        <v>18</v>
      </c>
      <c r="C2156" s="71" t="str">
        <f aca="false">IF(COUNT($C$2155:$G$2155)=0,"não atinge até 2031",MIN($C$2155:$G$2155))</f>
        <v>não atinge até 2031</v>
      </c>
      <c r="H2156" s="2" t="s">
        <v>1390</v>
      </c>
    </row>
    <row r="2157" customFormat="false" ht="15" hidden="false" customHeight="false" outlineLevel="0" collapsed="false">
      <c r="A2157" s="3" t="s">
        <v>1391</v>
      </c>
      <c r="B2157" s="4"/>
      <c r="C2157" s="4"/>
      <c r="D2157" s="4"/>
      <c r="E2157" s="4"/>
      <c r="F2157" s="4"/>
      <c r="G2157" s="4"/>
      <c r="H2157" s="4"/>
    </row>
    <row r="2158" customFormat="false" ht="15" hidden="false" customHeight="false" outlineLevel="1" collapsed="false">
      <c r="A2158" s="7" t="s">
        <v>769</v>
      </c>
      <c r="B2158" s="8" t="s">
        <v>10</v>
      </c>
      <c r="C2158" s="58" t="n">
        <f aca="false">C2093</f>
        <v>0</v>
      </c>
      <c r="D2158" s="58" t="n">
        <f aca="false">D2093</f>
        <v>309471.125856164</v>
      </c>
      <c r="E2158" s="58" t="n">
        <f aca="false">E2093</f>
        <v>559000.595034246</v>
      </c>
      <c r="F2158" s="58" t="n">
        <f aca="false">F2093</f>
        <v>966973.446061644</v>
      </c>
      <c r="G2158" s="58" t="n">
        <f aca="false">G2093</f>
        <v>1476901.4640411</v>
      </c>
      <c r="H2158" s="2" t="s">
        <v>1392</v>
      </c>
    </row>
    <row r="2159" customFormat="false" ht="15" hidden="false" customHeight="false" outlineLevel="1" collapsed="false">
      <c r="A2159" s="7" t="s">
        <v>487</v>
      </c>
      <c r="B2159" s="8" t="s">
        <v>71</v>
      </c>
      <c r="C2159" s="78" t="n">
        <f aca="false">Pressupostos!$C$283</f>
        <v>0.08</v>
      </c>
      <c r="D2159" s="78" t="n">
        <f aca="false">Pressupostos!$D$283</f>
        <v>0.08</v>
      </c>
      <c r="E2159" s="78" t="n">
        <f aca="false">Pressupostos!$E$283</f>
        <v>0.075</v>
      </c>
      <c r="F2159" s="78" t="n">
        <f aca="false">Pressupostos!$F$283</f>
        <v>0.07</v>
      </c>
      <c r="G2159" s="78" t="n">
        <f aca="false">Pressupostos!$G$283</f>
        <v>0.07</v>
      </c>
      <c r="H2159" s="2" t="s">
        <v>1393</v>
      </c>
    </row>
    <row r="2160" customFormat="false" ht="15" hidden="false" customHeight="false" outlineLevel="1" collapsed="false">
      <c r="A2160" s="7" t="s">
        <v>770</v>
      </c>
      <c r="B2160" s="8" t="s">
        <v>71</v>
      </c>
      <c r="C2160" s="56" t="n">
        <f aca="false">Pressupostos!$C$283*(1-Pressupostos!$C$109)</f>
        <v>0.0576</v>
      </c>
      <c r="D2160" s="56" t="n">
        <f aca="false">Pressupostos!$D$283*(1-Pressupostos!$C$109)</f>
        <v>0.0576</v>
      </c>
      <c r="E2160" s="56" t="n">
        <f aca="false">Pressupostos!$E$283*(1-Pressupostos!$C$109)</f>
        <v>0.054</v>
      </c>
      <c r="F2160" s="56" t="n">
        <f aca="false">Pressupostos!$F$283*(1-Pressupostos!$C$109)</f>
        <v>0.0504</v>
      </c>
      <c r="G2160" s="56" t="n">
        <f aca="false">Pressupostos!$G$283*(1-Pressupostos!$C$109)</f>
        <v>0.0504</v>
      </c>
      <c r="H2160" s="2" t="s">
        <v>1394</v>
      </c>
    </row>
    <row r="2161" customFormat="false" ht="15" hidden="false" customHeight="false" outlineLevel="1" collapsed="false">
      <c r="A2161" s="7" t="s">
        <v>771</v>
      </c>
      <c r="B2161" s="8" t="s">
        <v>10</v>
      </c>
      <c r="C2161" s="58" t="n">
        <f aca="false">C1999</f>
        <v>0</v>
      </c>
      <c r="D2161" s="58" t="n">
        <f aca="false">D1999</f>
        <v>23317.0273972603</v>
      </c>
      <c r="E2161" s="58" t="n">
        <f aca="false">E1999</f>
        <v>38771.0637842466</v>
      </c>
      <c r="F2161" s="58" t="n">
        <f aca="false">F1999</f>
        <v>62547.834760274</v>
      </c>
      <c r="G2161" s="58" t="n">
        <f aca="false">G1999</f>
        <v>95536.1558219178</v>
      </c>
      <c r="H2161" s="2" t="s">
        <v>1395</v>
      </c>
    </row>
    <row r="2162" customFormat="false" ht="15" hidden="false" customHeight="false" outlineLevel="1" collapsed="false">
      <c r="A2162" s="7" t="s">
        <v>772</v>
      </c>
      <c r="B2162" s="8" t="s">
        <v>71</v>
      </c>
      <c r="C2162" s="55" t="n">
        <f aca="false">IF(C2093&gt;0,(C2096+C2098)/C2093,0)</f>
        <v>0</v>
      </c>
      <c r="D2162" s="55" t="n">
        <f aca="false">IF(D2093&gt;0,(D2096+D2098)/D2093,0)</f>
        <v>0.138888888888889</v>
      </c>
      <c r="E2162" s="55" t="n">
        <f aca="false">IF(E2093&gt;0,(E2096+E2098)/E2093,0)</f>
        <v>0.138888888888889</v>
      </c>
      <c r="F2162" s="55" t="n">
        <f aca="false">IF(F2093&gt;0,(F2096+F2098)/F2093,0)</f>
        <v>0.138888888888889</v>
      </c>
      <c r="G2162" s="55" t="n">
        <f aca="false">IF(G2093&gt;0,(G2096+G2098)/G2093,0)</f>
        <v>0.138888888888889</v>
      </c>
      <c r="H2162" s="2" t="s">
        <v>1396</v>
      </c>
    </row>
    <row r="2163" customFormat="false" ht="15" hidden="false" customHeight="false" outlineLevel="1" collapsed="false">
      <c r="A2163" s="7" t="s">
        <v>773</v>
      </c>
      <c r="B2163" s="8" t="s">
        <v>115</v>
      </c>
      <c r="C2163" s="58" t="n">
        <f aca="false">C2099</f>
        <v>0</v>
      </c>
      <c r="D2163" s="58" t="n">
        <f aca="false">D2099</f>
        <v>6.18942251712329</v>
      </c>
      <c r="E2163" s="58" t="n">
        <f aca="false">E2099</f>
        <v>11.1800119006849</v>
      </c>
      <c r="F2163" s="58" t="n">
        <f aca="false">F2099</f>
        <v>19.3394689212329</v>
      </c>
      <c r="G2163" s="58" t="n">
        <f aca="false">G2099</f>
        <v>29.5380292808219</v>
      </c>
      <c r="H2163" s="2" t="s">
        <v>1397</v>
      </c>
    </row>
    <row r="2164" customFormat="false" ht="15" hidden="false" customHeight="false" outlineLevel="0" collapsed="false">
      <c r="A2164" s="3" t="s">
        <v>1398</v>
      </c>
      <c r="B2164" s="4"/>
      <c r="C2164" s="4"/>
      <c r="D2164" s="4"/>
      <c r="E2164" s="4"/>
      <c r="F2164" s="4"/>
      <c r="G2164" s="4"/>
      <c r="H2164" s="4"/>
    </row>
    <row r="2165" customFormat="false" ht="15" hidden="false" customHeight="false" outlineLevel="1" collapsed="false">
      <c r="A2165" s="7" t="s">
        <v>775</v>
      </c>
      <c r="B2165" s="8" t="s">
        <v>10</v>
      </c>
      <c r="C2165" s="58" t="n">
        <f aca="false">MAX(0,-C2067)</f>
        <v>713683.891832192</v>
      </c>
      <c r="D2165" s="58" t="n">
        <f aca="false">MAX(0,-D2067)</f>
        <v>811761.453106654</v>
      </c>
      <c r="E2165" s="58" t="n">
        <f aca="false">MAX(0,-E2067)</f>
        <v>1007106.76544325</v>
      </c>
      <c r="F2165" s="58" t="n">
        <f aca="false">MAX(0,-F2067)</f>
        <v>1168829.48526446</v>
      </c>
      <c r="G2165" s="58" t="n">
        <f aca="false">MAX(0,-G2067)</f>
        <v>1334642.64659631</v>
      </c>
      <c r="H2165" s="2" t="s">
        <v>1399</v>
      </c>
    </row>
    <row r="2166" customFormat="false" ht="15" hidden="false" customHeight="false" outlineLevel="1" collapsed="false">
      <c r="A2166" s="2" t="s">
        <v>776</v>
      </c>
      <c r="B2166" s="8"/>
      <c r="C2166" s="58" t="n">
        <f aca="false">IF(AND(C1868&gt;=Pressupostos!$C$118,Pressupostos!$C$116*(C1956+C1957)+Pressupostos!$C$117*C1958&gt;Pressupostos!$C$295),1,0)</f>
        <v>0</v>
      </c>
      <c r="D2166" s="58" t="n">
        <f aca="false">IF(AND(D1868&gt;=Pressupostos!$C$118,Pressupostos!$C$116*(D1956+D1957)+Pressupostos!$C$117*D1958&gt;Pressupostos!$D$295),1,0)</f>
        <v>1</v>
      </c>
      <c r="E2166" s="58" t="n">
        <f aca="false">IF(AND(E1868&gt;=Pressupostos!$C$118,Pressupostos!$C$116*(E1956+E1957)+Pressupostos!$C$117*E1958&gt;Pressupostos!$E$295),1,0)</f>
        <v>1</v>
      </c>
      <c r="F2166" s="58" t="n">
        <f aca="false">IF(AND(F1868&gt;=Pressupostos!$C$118,Pressupostos!$C$116*(F1956+F1957)+Pressupostos!$C$117*F1958&gt;Pressupostos!$F$295),1,0)</f>
        <v>1</v>
      </c>
      <c r="G2166" s="58" t="n">
        <f aca="false">IF(AND(G1868&gt;=Pressupostos!$C$118,Pressupostos!$C$116*(G1956+G1957)+Pressupostos!$C$117*G1958&gt;Pressupostos!$G$295),1,0)</f>
        <v>1</v>
      </c>
      <c r="H2166" s="2" t="s">
        <v>1400</v>
      </c>
    </row>
    <row r="2167" customFormat="false" ht="15" hidden="false" customHeight="false" outlineLevel="1" collapsed="false">
      <c r="A2167" s="7" t="s">
        <v>777</v>
      </c>
      <c r="B2167" s="8" t="s">
        <v>59</v>
      </c>
      <c r="C2167" s="60" t="n">
        <f aca="false">IF(C1872&gt;0,C2165/(C1872*1000*(1-Pressupostos!$D$22)*(1-Pressupostos!$D$25-C2166*Pressupostos!$C$116)),"n/a")</f>
        <v>13.7659881921185</v>
      </c>
      <c r="D2167" s="60" t="n">
        <f aca="false">IF(D1872&gt;0,D2165/(D1872*1000*(1-Pressupostos!$D$22)*(1-Pressupostos!$D$25-D2166*Pressupostos!$C$116)),"n/a")</f>
        <v>2.25202159775912</v>
      </c>
      <c r="E2167" s="60" t="n">
        <f aca="false">IF(E1872&gt;0,E2165/(E1872*1000*(1-Pressupostos!$D$22)*(1-Pressupostos!$D$25-E2166*Pressupostos!$C$116)),"n/a")</f>
        <v>1.41451354101198</v>
      </c>
      <c r="F2167" s="60" t="n">
        <f aca="false">IF(F1872&gt;0,F2165/(F1872*1000*(1-Pressupostos!$D$22)*(1-Pressupostos!$D$25-F2166*Pressupostos!$C$116)),"n/a")</f>
        <v>0.994986448047967</v>
      </c>
      <c r="G2167" s="60" t="n">
        <f aca="false">IF(G1872&gt;0,G2165/(G1872*1000*(1-Pressupostos!$D$22)*(1-Pressupostos!$D$25-G2166*Pressupostos!$C$116)),"n/a")</f>
        <v>0.7508664824702</v>
      </c>
      <c r="H2167" s="2" t="s">
        <v>1401</v>
      </c>
    </row>
    <row r="2168" customFormat="false" ht="15" hidden="false" customHeight="false" outlineLevel="1" collapsed="false">
      <c r="A2168" s="7" t="s">
        <v>778</v>
      </c>
      <c r="B2168" s="8" t="s">
        <v>59</v>
      </c>
      <c r="C2168" s="60" t="n">
        <f aca="false">IF(C1871&gt;0,Pressupostos!$D$15+C2165/(C1871*1000*(1-(Pressupostos!$C$191))*(1-Pressupostos!$D$18-C2166*Pressupostos!$C$116)),"n/a")</f>
        <v>111.237035719048</v>
      </c>
      <c r="D2168" s="60" t="n">
        <f aca="false">IF(D1871&gt;0,Pressupostos!$D$15+D2165/(D1871*1000*(1-(Pressupostos!$C$191))*(1-Pressupostos!$D$18-D2166*Pressupostos!$C$116)),"n/a")</f>
        <v>31.7218939187312</v>
      </c>
      <c r="E2168" s="60" t="n">
        <f aca="false">IF(E1871&gt;0,Pressupostos!$D$15+E2165/(E1871*1000*(1-(Pressupostos!$C$191))*(1-Pressupostos!$D$18-E2166*Pressupostos!$C$116)),"n/a")</f>
        <v>14.6484923578398</v>
      </c>
      <c r="F2168" s="60" t="n">
        <f aca="false">IF(F1871&gt;0,Pressupostos!$D$15+F2165/(F1871*1000*(1-(Pressupostos!$C$191))*(1-Pressupostos!$D$18-F2166*Pressupostos!$C$116)),"n/a")</f>
        <v>10.8521848147234</v>
      </c>
      <c r="G2168" s="60" t="n">
        <f aca="false">IF(G1871&gt;0,Pressupostos!$D$15+G2165/(G1871*1000*(1-(Pressupostos!$C$191))*(1-Pressupostos!$D$18-G2166*Pressupostos!$C$116)),"n/a")</f>
        <v>9.51836122080578</v>
      </c>
      <c r="H2168" s="2" t="s">
        <v>1402</v>
      </c>
    </row>
    <row r="2169" customFormat="false" ht="15" hidden="false" customHeight="false" outlineLevel="1" collapsed="false">
      <c r="A2169" s="7" t="s">
        <v>779</v>
      </c>
      <c r="B2169" s="8" t="s">
        <v>59</v>
      </c>
      <c r="C2169" s="60" t="n">
        <f aca="false">C1952-C2166*Pressupostos!$C$117*C1935</f>
        <v>0.058762328767124</v>
      </c>
      <c r="D2169" s="60" t="n">
        <f aca="false">D1952-D2166*Pressupostos!$C$117*D1935</f>
        <v>0.0255719178082197</v>
      </c>
      <c r="E2169" s="60" t="n">
        <f aca="false">E1952-E2166*Pressupostos!$C$117*E1935</f>
        <v>0.0271900684931515</v>
      </c>
      <c r="F2169" s="60" t="n">
        <f aca="false">F1952-F2166*Pressupostos!$C$117*F1935</f>
        <v>0.0288082191780828</v>
      </c>
      <c r="G2169" s="60" t="n">
        <f aca="false">G1952-G2166*Pressupostos!$C$117*G1935</f>
        <v>0.0288082191780828</v>
      </c>
      <c r="H2169" s="2" t="s">
        <v>1403</v>
      </c>
    </row>
    <row r="2170" customFormat="false" ht="15" hidden="false" customHeight="false" outlineLevel="1" collapsed="false">
      <c r="A2170" s="7" t="s">
        <v>780</v>
      </c>
      <c r="B2170" s="8" t="s">
        <v>112</v>
      </c>
      <c r="C2170" s="57" t="n">
        <f aca="false">IF(C2169&gt;0,C1873+C2165/(C2169*1000),"n/a")</f>
        <v>12145.2622250648</v>
      </c>
      <c r="D2170" s="57" t="n">
        <f aca="false">IF(D2169&gt;0,D1873+D2165/(D2169*1000),"n/a")</f>
        <v>31744.2539583685</v>
      </c>
      <c r="E2170" s="57" t="n">
        <f aca="false">IF(E2169&gt;0,E1873+E2165/(E2169*1000),"n/a")</f>
        <v>37039.5082195881</v>
      </c>
      <c r="F2170" s="57" t="n">
        <f aca="false">IF(F2169&gt;0,F1873+F2165/(F2169*1000),"n/a")</f>
        <v>40572.7781380426</v>
      </c>
      <c r="G2170" s="57" t="n">
        <f aca="false">IF(G2169&gt;0,G1873+G2165/(G2169*1000),"n/a")</f>
        <v>46328.536947945</v>
      </c>
      <c r="H2170" s="2" t="s">
        <v>1404</v>
      </c>
    </row>
    <row r="2171" customFormat="false" ht="15" hidden="false" customHeight="false" outlineLevel="1" collapsed="false">
      <c r="A2171" s="7" t="s">
        <v>781</v>
      </c>
      <c r="B2171" s="8" t="s">
        <v>71</v>
      </c>
      <c r="C2171" s="55" t="n">
        <f aca="false">C2165/(C2031+C2044+C2045)</f>
        <v>0.991247461098511</v>
      </c>
      <c r="D2171" s="55" t="n">
        <f aca="false">D2165/(D2031+D2044+D2045)</f>
        <v>0.985587694486457</v>
      </c>
      <c r="E2171" s="55" t="n">
        <f aca="false">E2165/(E2031+E2044+E2045)</f>
        <v>0.937570320114396</v>
      </c>
      <c r="F2171" s="55" t="n">
        <f aca="false">F2165/(F2031+F2044+F2045)</f>
        <v>0.895558625864485</v>
      </c>
      <c r="G2171" s="55" t="n">
        <f aca="false">G2165/(G2031+G2044+G2045)</f>
        <v>0.854908953797765</v>
      </c>
      <c r="H2171" s="2" t="s">
        <v>1405</v>
      </c>
    </row>
    <row r="2172" customFormat="false" ht="15" hidden="false" customHeight="false" outlineLevel="1" collapsed="false">
      <c r="A2172" s="2" t="s">
        <v>782</v>
      </c>
      <c r="B2172" s="8" t="s">
        <v>71</v>
      </c>
      <c r="C2172" s="56" t="n">
        <f aca="false">Pressupostos!$C$99*Pressupostos!$C$100+Pressupostos!$C$101-Pressupostos!$D$30*Pressupostos!$C$102*Pressupostos!$C$100/(Pressupostos!$C$103*Pressupostos!$C$104)</f>
        <v>0.00354285714285715</v>
      </c>
      <c r="D2172" s="56" t="n">
        <f aca="false">Pressupostos!$C$99*Pressupostos!$C$100+Pressupostos!$C$101-Pressupostos!$D$30*Pressupostos!$C$102*Pressupostos!$C$100/(Pressupostos!$C$103*Pressupostos!$C$104)</f>
        <v>0.00354285714285715</v>
      </c>
      <c r="E2172" s="56" t="n">
        <f aca="false">Pressupostos!$C$99*Pressupostos!$C$100+Pressupostos!$C$101-Pressupostos!$D$30*Pressupostos!$C$102*Pressupostos!$C$100/(Pressupostos!$C$103*Pressupostos!$C$104)</f>
        <v>0.00354285714285715</v>
      </c>
      <c r="F2172" s="56" t="n">
        <f aca="false">Pressupostos!$C$99*Pressupostos!$C$100+Pressupostos!$C$101-Pressupostos!$D$30*Pressupostos!$C$102*Pressupostos!$C$100/(Pressupostos!$C$103*Pressupostos!$C$104)</f>
        <v>0.00354285714285715</v>
      </c>
      <c r="G2172" s="56" t="n">
        <f aca="false">Pressupostos!$C$99*Pressupostos!$C$100+Pressupostos!$C$101-Pressupostos!$D$30*Pressupostos!$C$102*Pressupostos!$C$100/(Pressupostos!$C$103*Pressupostos!$C$104)</f>
        <v>0.00354285714285715</v>
      </c>
      <c r="H2172" s="2" t="s">
        <v>1406</v>
      </c>
    </row>
    <row r="2173" customFormat="false" ht="15" hidden="false" customHeight="false" outlineLevel="1" collapsed="false">
      <c r="A2173" s="7" t="s">
        <v>783</v>
      </c>
      <c r="B2173" s="8" t="s">
        <v>10</v>
      </c>
      <c r="C2173" s="58" t="n">
        <f aca="false">IF(C2172&gt;0,C1884+C2165/C2172,"n/a")</f>
        <v>201443033.984893</v>
      </c>
      <c r="D2173" s="58" t="n">
        <f aca="false">IF(D2172&gt;0,D1884+D2165/D2172,"n/a")</f>
        <v>229626216.602684</v>
      </c>
      <c r="E2173" s="58" t="n">
        <f aca="false">IF(E2172&gt;0,E1884+E2165/E2172,"n/a")</f>
        <v>285764006.37511</v>
      </c>
      <c r="F2173" s="58" t="n">
        <f aca="false">IF(F2172&gt;0,F1884+F2165/F2172,"n/a")</f>
        <v>332911548.260129</v>
      </c>
      <c r="G2173" s="58" t="n">
        <f aca="false">IF(G2172&gt;0,G1884+G2165/G2172,"n/a")</f>
        <v>381713650.248957</v>
      </c>
      <c r="H2173" s="2" t="s">
        <v>1407</v>
      </c>
    </row>
    <row r="2176" customFormat="false" ht="15" hidden="false" customHeight="false" outlineLevel="0" collapsed="false">
      <c r="A2176" s="104" t="s">
        <v>1414</v>
      </c>
      <c r="B2176" s="105"/>
      <c r="C2176" s="105"/>
      <c r="D2176" s="105"/>
      <c r="E2176" s="105"/>
      <c r="F2176" s="105"/>
      <c r="G2176" s="105"/>
      <c r="H2176" s="105"/>
    </row>
    <row r="2177" customFormat="false" ht="15" hidden="false" customHeight="false" outlineLevel="0" collapsed="false">
      <c r="A2177" s="3" t="s">
        <v>1102</v>
      </c>
      <c r="B2177" s="4"/>
      <c r="C2177" s="4"/>
      <c r="D2177" s="4"/>
      <c r="E2177" s="4"/>
      <c r="F2177" s="4"/>
      <c r="G2177" s="4"/>
      <c r="H2177" s="4"/>
    </row>
    <row r="2178" customFormat="false" ht="15" hidden="false" customHeight="false" outlineLevel="1" collapsed="false">
      <c r="A2178" s="7" t="s">
        <v>557</v>
      </c>
      <c r="B2178" s="8"/>
      <c r="C2178" s="49" t="n">
        <v>2027</v>
      </c>
      <c r="D2178" s="49" t="n">
        <v>2028</v>
      </c>
      <c r="E2178" s="49" t="n">
        <v>2029</v>
      </c>
      <c r="F2178" s="49" t="n">
        <v>2030</v>
      </c>
      <c r="G2178" s="49" t="n">
        <v>2031</v>
      </c>
      <c r="H2178" s="2" t="s">
        <v>18</v>
      </c>
    </row>
    <row r="2179" customFormat="false" ht="15" hidden="false" customHeight="false" outlineLevel="0" collapsed="false">
      <c r="A2179" s="3" t="s">
        <v>1103</v>
      </c>
      <c r="B2179" s="4"/>
      <c r="C2179" s="4"/>
      <c r="D2179" s="4"/>
      <c r="E2179" s="4"/>
      <c r="F2179" s="4"/>
      <c r="G2179" s="4"/>
      <c r="H2179" s="4"/>
    </row>
    <row r="2180" customFormat="false" ht="15" hidden="false" customHeight="false" outlineLevel="1" collapsed="false">
      <c r="A2180" s="7" t="s">
        <v>372</v>
      </c>
      <c r="B2180" s="8" t="s">
        <v>115</v>
      </c>
      <c r="C2180" s="58" t="n">
        <f aca="false">(Pressupostos!$C$208*(1+Pressupostos!$C$192))</f>
        <v>28</v>
      </c>
      <c r="D2180" s="58" t="n">
        <f aca="false">(Pressupostos!$D$208*(1+Pressupostos!$C$192))</f>
        <v>126</v>
      </c>
      <c r="E2180" s="58" t="n">
        <f aca="false">(Pressupostos!$E$208*(1+Pressupostos!$C$192))</f>
        <v>455</v>
      </c>
      <c r="F2180" s="58" t="n">
        <f aca="false">(Pressupostos!$F$208*(1+Pressupostos!$C$192))</f>
        <v>910</v>
      </c>
      <c r="G2180" s="58" t="n">
        <f aca="false">(Pressupostos!$G$208*(1+Pressupostos!$C$192))</f>
        <v>1400</v>
      </c>
      <c r="H2180" s="2" t="s">
        <v>1104</v>
      </c>
    </row>
    <row r="2181" customFormat="false" ht="15" hidden="false" customHeight="false" outlineLevel="1" collapsed="false">
      <c r="A2181" s="7" t="s">
        <v>559</v>
      </c>
      <c r="B2181" s="8" t="s">
        <v>112</v>
      </c>
      <c r="C2181" s="57" t="n">
        <f aca="false">(Pressupostos!$C$214*(1+Pressupostos!$C$192))</f>
        <v>5.6</v>
      </c>
      <c r="D2181" s="57" t="n">
        <f aca="false">(Pressupostos!$D$214*(1+Pressupostos!$C$192))</f>
        <v>25.9</v>
      </c>
      <c r="E2181" s="57" t="n">
        <f aca="false">(Pressupostos!$E$214*(1+Pressupostos!$C$192))</f>
        <v>93.1</v>
      </c>
      <c r="F2181" s="57" t="n">
        <f aca="false">(Pressupostos!$F$214*(1+Pressupostos!$C$192))</f>
        <v>186.9</v>
      </c>
      <c r="G2181" s="57" t="n">
        <f aca="false">(Pressupostos!$G$214*(1+Pressupostos!$C$192))</f>
        <v>287</v>
      </c>
      <c r="H2181" s="2" t="s">
        <v>1105</v>
      </c>
    </row>
    <row r="2182" customFormat="false" ht="15" hidden="false" customHeight="false" outlineLevel="1" collapsed="false">
      <c r="A2182" s="7" t="s">
        <v>560</v>
      </c>
      <c r="B2182" s="8" t="s">
        <v>112</v>
      </c>
      <c r="C2182" s="57" t="n">
        <f aca="false">(Pressupostos!$C$220*(1+Pressupostos!$C$192))</f>
        <v>36.4</v>
      </c>
      <c r="D2182" s="57" t="n">
        <f aca="false">(Pressupostos!$D$220*(1+Pressupostos!$C$192))</f>
        <v>254.1</v>
      </c>
      <c r="E2182" s="57" t="n">
        <f aca="false">(Pressupostos!$E$220*(1+Pressupostos!$C$192))</f>
        <v>501.9</v>
      </c>
      <c r="F2182" s="57" t="n">
        <f aca="false">(Pressupostos!$F$220*(1+Pressupostos!$C$192))</f>
        <v>828.1</v>
      </c>
      <c r="G2182" s="57" t="n">
        <f aca="false">(Pressupostos!$G$220*(1+Pressupostos!$C$192))</f>
        <v>1253</v>
      </c>
      <c r="H2182" s="2" t="s">
        <v>1106</v>
      </c>
    </row>
    <row r="2183" customFormat="false" ht="15" hidden="false" customHeight="false" outlineLevel="1" collapsed="false">
      <c r="A2183" s="7" t="s">
        <v>383</v>
      </c>
      <c r="B2183" s="8" t="s">
        <v>112</v>
      </c>
      <c r="C2183" s="57" t="n">
        <f aca="false">(Pressupostos!$C$226*(1+Pressupostos!$C$192))</f>
        <v>0</v>
      </c>
      <c r="D2183" s="57" t="n">
        <f aca="false">(Pressupostos!$D$226*(1+Pressupostos!$C$192))</f>
        <v>0</v>
      </c>
      <c r="E2183" s="57" t="n">
        <f aca="false">(Pressupostos!$E$226*(1+Pressupostos!$C$192))</f>
        <v>0</v>
      </c>
      <c r="F2183" s="57" t="n">
        <f aca="false">(Pressupostos!$F$226*(1+Pressupostos!$C$192))</f>
        <v>0</v>
      </c>
      <c r="G2183" s="57" t="n">
        <f aca="false">(Pressupostos!$G$226*(1+Pressupostos!$C$192))</f>
        <v>0</v>
      </c>
      <c r="H2183" s="2" t="s">
        <v>1107</v>
      </c>
    </row>
    <row r="2184" customFormat="false" ht="15" hidden="false" customHeight="false" outlineLevel="1" collapsed="false">
      <c r="A2184" s="52" t="s">
        <v>561</v>
      </c>
      <c r="B2184" s="53" t="s">
        <v>112</v>
      </c>
      <c r="C2184" s="54" t="n">
        <f aca="false">C2181+C2182+C2183</f>
        <v>42</v>
      </c>
      <c r="D2184" s="54" t="n">
        <f aca="false">D2181+D2182+D2183</f>
        <v>280</v>
      </c>
      <c r="E2184" s="54" t="n">
        <f aca="false">E2181+E2182+E2183</f>
        <v>595</v>
      </c>
      <c r="F2184" s="54" t="n">
        <f aca="false">F2181+F2182+F2183</f>
        <v>1015</v>
      </c>
      <c r="G2184" s="54" t="n">
        <f aca="false">G2181+G2182+G2183</f>
        <v>1540</v>
      </c>
      <c r="H2184" s="2" t="s">
        <v>1108</v>
      </c>
    </row>
    <row r="2185" customFormat="false" ht="15" hidden="false" customHeight="false" outlineLevel="1" collapsed="false">
      <c r="A2185" s="7" t="s">
        <v>562</v>
      </c>
      <c r="B2185" s="8" t="s">
        <v>71</v>
      </c>
      <c r="C2185" s="55" t="n">
        <f aca="false">IF(C2184&gt;0,C2181/C2184,0)</f>
        <v>0.133333333333333</v>
      </c>
      <c r="D2185" s="55" t="n">
        <f aca="false">IF(D2184&gt;0,D2181/D2184,0)</f>
        <v>0.0925</v>
      </c>
      <c r="E2185" s="55" t="n">
        <f aca="false">IF(E2184&gt;0,E2181/E2184,0)</f>
        <v>0.156470588235294</v>
      </c>
      <c r="F2185" s="55" t="n">
        <f aca="false">IF(F2184&gt;0,F2181/F2184,0)</f>
        <v>0.184137931034483</v>
      </c>
      <c r="G2185" s="55" t="n">
        <f aca="false">IF(G2184&gt;0,G2181/G2184,0)</f>
        <v>0.186363636363636</v>
      </c>
      <c r="H2185" s="2" t="s">
        <v>1109</v>
      </c>
    </row>
    <row r="2186" customFormat="false" ht="15" hidden="false" customHeight="false" outlineLevel="1" collapsed="false">
      <c r="A2186" s="7" t="s">
        <v>563</v>
      </c>
      <c r="B2186" s="8" t="s">
        <v>71</v>
      </c>
      <c r="C2186" s="56" t="n">
        <f aca="false">C2184/(Pressupostos!$C$74*1000)</f>
        <v>0.00024</v>
      </c>
      <c r="D2186" s="56" t="n">
        <f aca="false">D2184/(Pressupostos!$C$74*1000)</f>
        <v>0.0016</v>
      </c>
      <c r="E2186" s="56" t="n">
        <f aca="false">E2184/(Pressupostos!$C$74*1000)</f>
        <v>0.0034</v>
      </c>
      <c r="F2186" s="56" t="n">
        <f aca="false">F2184/(Pressupostos!$C$74*1000)</f>
        <v>0.0058</v>
      </c>
      <c r="G2186" s="56" t="n">
        <f aca="false">G2184/(Pressupostos!$C$74*1000)</f>
        <v>0.0088</v>
      </c>
      <c r="H2186" s="2" t="s">
        <v>1110</v>
      </c>
    </row>
    <row r="2187" customFormat="false" ht="15" hidden="false" customHeight="false" outlineLevel="1" collapsed="false">
      <c r="A2187" s="7" t="s">
        <v>564</v>
      </c>
      <c r="B2187" s="8" t="s">
        <v>115</v>
      </c>
      <c r="C2187" s="57" t="n">
        <f aca="false">C2181/Pressupostos!$C$39+C2182/Pressupostos!$C$46+C2183/Pressupostos!$C$58</f>
        <v>1.49333333333333</v>
      </c>
      <c r="D2187" s="57" t="n">
        <f aca="false">D2181/Pressupostos!$C$39+D2182/Pressupostos!$C$46+D2183/Pressupostos!$C$58</f>
        <v>9.765</v>
      </c>
      <c r="E2187" s="57" t="n">
        <f aca="false">E2181/Pressupostos!$C$39+E2182/Pressupostos!$C$46+E2183/Pressupostos!$C$58</f>
        <v>21.385</v>
      </c>
      <c r="F2187" s="57" t="n">
        <f aca="false">F2181/Pressupostos!$C$39+F2182/Pressupostos!$C$46+F2183/Pressupostos!$C$58</f>
        <v>36.9483333333333</v>
      </c>
      <c r="G2187" s="57" t="n">
        <f aca="false">G2181/Pressupostos!$C$39+G2182/Pressupostos!$C$46+G2183/Pressupostos!$C$58</f>
        <v>56.1166666666667</v>
      </c>
      <c r="H2187" s="2" t="s">
        <v>1111</v>
      </c>
    </row>
    <row r="2188" customFormat="false" ht="15" hidden="false" customHeight="false" outlineLevel="0" collapsed="false">
      <c r="A2188" s="3" t="s">
        <v>1112</v>
      </c>
      <c r="B2188" s="4"/>
      <c r="C2188" s="4"/>
      <c r="D2188" s="4"/>
      <c r="E2188" s="4"/>
      <c r="F2188" s="4"/>
      <c r="G2188" s="4"/>
      <c r="H2188" s="4"/>
    </row>
    <row r="2189" customFormat="false" ht="15" hidden="false" customHeight="false" outlineLevel="1" collapsed="false">
      <c r="A2189" s="7" t="s">
        <v>566</v>
      </c>
      <c r="B2189" s="8" t="s">
        <v>192</v>
      </c>
      <c r="C2189" s="58" t="n">
        <f aca="false">(Pressupostos!$C$252*(1+Pressupostos!$C$192))</f>
        <v>105</v>
      </c>
      <c r="D2189" s="58" t="n">
        <f aca="false">(Pressupostos!$D$252*(1+Pressupostos!$C$192))</f>
        <v>420</v>
      </c>
      <c r="E2189" s="58" t="n">
        <f aca="false">(Pressupostos!$E$252*(1+Pressupostos!$C$192))</f>
        <v>700</v>
      </c>
      <c r="F2189" s="58" t="n">
        <f aca="false">(Pressupostos!$F$252*(1+Pressupostos!$C$192))</f>
        <v>980</v>
      </c>
      <c r="G2189" s="58" t="n">
        <f aca="false">(Pressupostos!$G$252*(1+Pressupostos!$C$192))</f>
        <v>1260</v>
      </c>
      <c r="H2189" s="2" t="s">
        <v>1113</v>
      </c>
    </row>
    <row r="2190" customFormat="false" ht="15" hidden="false" customHeight="false" outlineLevel="1" collapsed="false">
      <c r="A2190" s="7" t="s">
        <v>566</v>
      </c>
      <c r="B2190" s="8" t="s">
        <v>179</v>
      </c>
      <c r="C2190" s="58" t="n">
        <f aca="false">C2189*Pressupostos!$C$76</f>
        <v>78750</v>
      </c>
      <c r="D2190" s="58" t="n">
        <f aca="false">D2189*Pressupostos!$C$76</f>
        <v>315000</v>
      </c>
      <c r="E2190" s="58" t="n">
        <f aca="false">E2189*Pressupostos!$C$76</f>
        <v>525000</v>
      </c>
      <c r="F2190" s="58" t="n">
        <f aca="false">F2189*Pressupostos!$C$76</f>
        <v>735000</v>
      </c>
      <c r="G2190" s="58" t="n">
        <f aca="false">G2189*Pressupostos!$C$76</f>
        <v>945000</v>
      </c>
      <c r="H2190" s="2" t="s">
        <v>1114</v>
      </c>
    </row>
    <row r="2191" customFormat="false" ht="15" hidden="false" customHeight="false" outlineLevel="0" collapsed="false">
      <c r="A2191" s="3" t="s">
        <v>1115</v>
      </c>
      <c r="B2191" s="4"/>
      <c r="C2191" s="4"/>
      <c r="D2191" s="4"/>
      <c r="E2191" s="4"/>
      <c r="F2191" s="4"/>
      <c r="G2191" s="4"/>
      <c r="H2191" s="4"/>
    </row>
    <row r="2192" customFormat="false" ht="15" hidden="false" customHeight="false" outlineLevel="1" collapsed="false">
      <c r="A2192" s="7" t="s">
        <v>568</v>
      </c>
      <c r="B2192" s="8" t="s">
        <v>112</v>
      </c>
      <c r="C2192" s="57" t="n">
        <f aca="false">IF(C2178&lt;Pressupostos!$D$28,0,(Pressupostos!$C$258*(1+Pressupostos!$C$192)))</f>
        <v>0</v>
      </c>
      <c r="D2192" s="57" t="n">
        <f aca="false">IF(D2178&lt;Pressupostos!$D$28,0,(Pressupostos!$D$258*(1+Pressupostos!$C$192)))</f>
        <v>0</v>
      </c>
      <c r="E2192" s="57" t="n">
        <f aca="false">IF(E2178&lt;Pressupostos!$D$28,0,(Pressupostos!$E$258*(1+Pressupostos!$C$192)))</f>
        <v>21</v>
      </c>
      <c r="F2192" s="57" t="n">
        <f aca="false">IF(F2178&lt;Pressupostos!$D$28,0,(Pressupostos!$F$258*(1+Pressupostos!$C$192)))</f>
        <v>42</v>
      </c>
      <c r="G2192" s="57" t="n">
        <f aca="false">IF(G2178&lt;Pressupostos!$D$28,0,(Pressupostos!$G$258*(1+Pressupostos!$C$192)))</f>
        <v>70</v>
      </c>
      <c r="H2192" s="2" t="s">
        <v>1116</v>
      </c>
    </row>
    <row r="2193" customFormat="false" ht="15" hidden="false" customHeight="false" outlineLevel="0" collapsed="false">
      <c r="A2193" s="3" t="s">
        <v>1117</v>
      </c>
      <c r="B2193" s="4"/>
      <c r="C2193" s="4"/>
      <c r="D2193" s="4"/>
      <c r="E2193" s="4"/>
      <c r="F2193" s="4"/>
      <c r="G2193" s="4"/>
      <c r="H2193" s="4"/>
    </row>
    <row r="2194" customFormat="false" ht="15" hidden="false" customHeight="false" outlineLevel="1" collapsed="false">
      <c r="A2194" s="7" t="s">
        <v>570</v>
      </c>
      <c r="B2194" s="8" t="s">
        <v>10</v>
      </c>
      <c r="C2194" s="50" t="n">
        <f aca="false">Pressupostos!$C$264</f>
        <v>0</v>
      </c>
      <c r="D2194" s="50" t="n">
        <f aca="false">Pressupostos!$D$264</f>
        <v>500000</v>
      </c>
      <c r="E2194" s="50" t="n">
        <f aca="false">Pressupostos!$E$264</f>
        <v>1500000</v>
      </c>
      <c r="F2194" s="50" t="n">
        <f aca="false">Pressupostos!$F$264</f>
        <v>3000000</v>
      </c>
      <c r="G2194" s="50" t="n">
        <f aca="false">Pressupostos!$G$264</f>
        <v>5000000</v>
      </c>
      <c r="H2194" s="2" t="s">
        <v>1118</v>
      </c>
    </row>
    <row r="2195" customFormat="false" ht="15" hidden="false" customHeight="false" outlineLevel="1" collapsed="false">
      <c r="A2195" s="7" t="s">
        <v>571</v>
      </c>
      <c r="B2195" s="8" t="s">
        <v>112</v>
      </c>
      <c r="C2195" s="57" t="n">
        <f aca="false">C2194/(Pressupostos!$C$103*Pressupostos!$C$104)*Pressupostos!$C$100/1000</f>
        <v>0</v>
      </c>
      <c r="D2195" s="57" t="n">
        <f aca="false">D2194/(Pressupostos!$C$103*Pressupostos!$C$104)*Pressupostos!$C$100/1000</f>
        <v>457.142857142857</v>
      </c>
      <c r="E2195" s="57" t="n">
        <f aca="false">E2194/(Pressupostos!$C$103*Pressupostos!$C$104)*Pressupostos!$C$100/1000</f>
        <v>1371.42857142857</v>
      </c>
      <c r="F2195" s="57" t="n">
        <f aca="false">F2194/(Pressupostos!$C$103*Pressupostos!$C$104)*Pressupostos!$C$100/1000</f>
        <v>2742.85714285714</v>
      </c>
      <c r="G2195" s="57" t="n">
        <f aca="false">G2194/(Pressupostos!$C$103*Pressupostos!$C$104)*Pressupostos!$C$100/1000</f>
        <v>4571.42857142857</v>
      </c>
      <c r="H2195" s="2" t="s">
        <v>1119</v>
      </c>
    </row>
    <row r="2196" customFormat="false" ht="15" hidden="false" customHeight="false" outlineLevel="0" collapsed="false">
      <c r="A2196" s="3" t="s">
        <v>1120</v>
      </c>
      <c r="B2196" s="4"/>
      <c r="C2196" s="4"/>
      <c r="D2196" s="4"/>
      <c r="E2196" s="4"/>
      <c r="F2196" s="4"/>
      <c r="G2196" s="4"/>
      <c r="H2196" s="4"/>
    </row>
    <row r="2197" customFormat="false" ht="15" hidden="false" customHeight="false" outlineLevel="1" collapsed="false">
      <c r="A2197" s="7" t="s">
        <v>633</v>
      </c>
      <c r="B2197" s="8" t="s">
        <v>59</v>
      </c>
      <c r="C2197" s="60" t="n">
        <f aca="false">Pressupostos!$D$10+Pressupostos!$D$11</f>
        <v>3.6</v>
      </c>
      <c r="D2197" s="60" t="n">
        <f aca="false">Pressupostos!$D$10+Pressupostos!$D$11</f>
        <v>3.6</v>
      </c>
      <c r="E2197" s="60" t="n">
        <f aca="false">Pressupostos!$D$10+Pressupostos!$D$11</f>
        <v>3.6</v>
      </c>
      <c r="F2197" s="60" t="n">
        <f aca="false">Pressupostos!$D$10+Pressupostos!$D$11</f>
        <v>3.6</v>
      </c>
      <c r="G2197" s="60" t="n">
        <f aca="false">Pressupostos!$D$10+Pressupostos!$D$11</f>
        <v>3.6</v>
      </c>
      <c r="H2197" s="2" t="s">
        <v>1121</v>
      </c>
    </row>
    <row r="2198" customFormat="false" ht="15" hidden="false" customHeight="false" outlineLevel="1" collapsed="false">
      <c r="A2198" s="7" t="s">
        <v>634</v>
      </c>
      <c r="B2198" s="8" t="s">
        <v>59</v>
      </c>
      <c r="C2198" s="63" t="n">
        <f aca="false">Pressupostos!$D$15</f>
        <v>5.65</v>
      </c>
      <c r="D2198" s="63" t="n">
        <f aca="false">Pressupostos!$D$15</f>
        <v>5.65</v>
      </c>
      <c r="E2198" s="63" t="n">
        <f aca="false">Pressupostos!$D$15</f>
        <v>5.65</v>
      </c>
      <c r="F2198" s="63" t="n">
        <f aca="false">Pressupostos!$D$15</f>
        <v>5.65</v>
      </c>
      <c r="G2198" s="63" t="n">
        <f aca="false">Pressupostos!$D$15</f>
        <v>5.65</v>
      </c>
      <c r="H2198" s="2" t="s">
        <v>1122</v>
      </c>
    </row>
    <row r="2199" customFormat="false" ht="15" hidden="false" customHeight="false" outlineLevel="1" collapsed="false">
      <c r="A2199" s="52" t="s">
        <v>635</v>
      </c>
      <c r="B2199" s="53" t="s">
        <v>59</v>
      </c>
      <c r="C2199" s="64" t="n">
        <f aca="false">C2198*(1-Pressupostos!$D$16)</f>
        <v>5.085</v>
      </c>
      <c r="D2199" s="64" t="n">
        <f aca="false">D2198*(1-Pressupostos!$D$16)</f>
        <v>5.085</v>
      </c>
      <c r="E2199" s="64" t="n">
        <f aca="false">E2198*(1-Pressupostos!$D$16)</f>
        <v>5.085</v>
      </c>
      <c r="F2199" s="64" t="n">
        <f aca="false">F2198*(1-Pressupostos!$D$16)</f>
        <v>5.085</v>
      </c>
      <c r="G2199" s="64" t="n">
        <f aca="false">G2198*(1-Pressupostos!$D$16)</f>
        <v>5.085</v>
      </c>
      <c r="H2199" s="2" t="s">
        <v>1123</v>
      </c>
    </row>
    <row r="2200" customFormat="false" ht="15" hidden="false" customHeight="false" outlineLevel="1" collapsed="false">
      <c r="A2200" s="7" t="s">
        <v>136</v>
      </c>
      <c r="B2200" s="8" t="s">
        <v>59</v>
      </c>
      <c r="C2200" s="63" t="n">
        <f aca="false">Pressupostos!$C$37</f>
        <v>0.55</v>
      </c>
      <c r="D2200" s="63" t="n">
        <f aca="false">Pressupostos!$C$37</f>
        <v>0.55</v>
      </c>
      <c r="E2200" s="63" t="n">
        <f aca="false">Pressupostos!$C$37</f>
        <v>0.55</v>
      </c>
      <c r="F2200" s="63" t="n">
        <f aca="false">Pressupostos!$C$37</f>
        <v>0.55</v>
      </c>
      <c r="G2200" s="63" t="n">
        <f aca="false">Pressupostos!$C$37</f>
        <v>0.55</v>
      </c>
      <c r="H2200" s="2" t="s">
        <v>1124</v>
      </c>
    </row>
    <row r="2201" customFormat="false" ht="15" hidden="false" customHeight="false" outlineLevel="1" collapsed="false">
      <c r="A2201" s="7" t="s">
        <v>205</v>
      </c>
      <c r="B2201" s="8" t="s">
        <v>59</v>
      </c>
      <c r="C2201" s="63" t="n">
        <f aca="false">Pressupostos!$C$233</f>
        <v>0.3</v>
      </c>
      <c r="D2201" s="63" t="n">
        <f aca="false">Pressupostos!$D$233</f>
        <v>0.3</v>
      </c>
      <c r="E2201" s="63" t="n">
        <f aca="false">Pressupostos!$E$233</f>
        <v>0.28</v>
      </c>
      <c r="F2201" s="63" t="n">
        <f aca="false">Pressupostos!$F$233</f>
        <v>0.27</v>
      </c>
      <c r="G2201" s="63" t="n">
        <f aca="false">Pressupostos!$G$233</f>
        <v>0.27</v>
      </c>
      <c r="H2201" s="2" t="s">
        <v>1125</v>
      </c>
    </row>
    <row r="2202" customFormat="false" ht="15" hidden="false" customHeight="false" outlineLevel="1" collapsed="false">
      <c r="A2202" s="7" t="s">
        <v>109</v>
      </c>
      <c r="B2202" s="8" t="s">
        <v>59</v>
      </c>
      <c r="C2202" s="63" t="n">
        <f aca="false">Pressupostos!$C$38</f>
        <v>0.06</v>
      </c>
      <c r="D2202" s="63" t="n">
        <f aca="false">Pressupostos!$C$38</f>
        <v>0.06</v>
      </c>
      <c r="E2202" s="63" t="n">
        <f aca="false">Pressupostos!$C$38</f>
        <v>0.06</v>
      </c>
      <c r="F2202" s="63" t="n">
        <f aca="false">Pressupostos!$C$38</f>
        <v>0.06</v>
      </c>
      <c r="G2202" s="63" t="n">
        <f aca="false">Pressupostos!$C$38</f>
        <v>0.06</v>
      </c>
      <c r="H2202" s="2" t="s">
        <v>1126</v>
      </c>
    </row>
    <row r="2203" customFormat="false" ht="15" hidden="false" customHeight="false" outlineLevel="1" collapsed="false">
      <c r="A2203" s="7" t="s">
        <v>86</v>
      </c>
      <c r="B2203" s="8" t="s">
        <v>74</v>
      </c>
      <c r="C2203" s="65" t="n">
        <f aca="false">Pressupostos!$C$239</f>
        <v>180</v>
      </c>
      <c r="D2203" s="65" t="n">
        <f aca="false">Pressupostos!$D$239</f>
        <v>180</v>
      </c>
      <c r="E2203" s="65" t="n">
        <f aca="false">Pressupostos!$E$239</f>
        <v>45</v>
      </c>
      <c r="F2203" s="65" t="n">
        <f aca="false">Pressupostos!$F$239</f>
        <v>45</v>
      </c>
      <c r="G2203" s="65" t="n">
        <f aca="false">Pressupostos!$G$239</f>
        <v>45</v>
      </c>
      <c r="H2203" s="2" t="s">
        <v>1127</v>
      </c>
    </row>
    <row r="2204" customFormat="false" ht="15" hidden="false" customHeight="false" outlineLevel="1" collapsed="false">
      <c r="A2204" s="7" t="s">
        <v>73</v>
      </c>
      <c r="B2204" s="8" t="s">
        <v>74</v>
      </c>
      <c r="C2204" s="65" t="n">
        <f aca="false">Pressupostos!$D$17</f>
        <v>35</v>
      </c>
      <c r="D2204" s="65" t="n">
        <f aca="false">Pressupostos!$D$17</f>
        <v>35</v>
      </c>
      <c r="E2204" s="65" t="n">
        <f aca="false">Pressupostos!$D$17</f>
        <v>35</v>
      </c>
      <c r="F2204" s="65" t="n">
        <f aca="false">Pressupostos!$D$17</f>
        <v>35</v>
      </c>
      <c r="G2204" s="65" t="n">
        <f aca="false">Pressupostos!$D$17</f>
        <v>35</v>
      </c>
      <c r="H2204" s="2" t="s">
        <v>1128</v>
      </c>
    </row>
    <row r="2205" customFormat="false" ht="15" hidden="false" customHeight="false" outlineLevel="1" collapsed="false">
      <c r="A2205" s="7" t="s">
        <v>471</v>
      </c>
      <c r="B2205" s="8" t="s">
        <v>59</v>
      </c>
      <c r="C2205" s="60" t="n">
        <f aca="false">Pressupostos!$C$64*C2203/30/1000</f>
        <v>0.024</v>
      </c>
      <c r="D2205" s="60" t="n">
        <f aca="false">Pressupostos!$C$64*D2203/30/1000</f>
        <v>0.024</v>
      </c>
      <c r="E2205" s="60" t="n">
        <f aca="false">Pressupostos!$C$64*E2203/30/1000</f>
        <v>0.006</v>
      </c>
      <c r="F2205" s="60" t="n">
        <f aca="false">Pressupostos!$C$64*F2203/30/1000</f>
        <v>0.006</v>
      </c>
      <c r="G2205" s="60" t="n">
        <f aca="false">Pressupostos!$C$64*G2203/30/1000</f>
        <v>0.006</v>
      </c>
      <c r="H2205" s="2" t="s">
        <v>1129</v>
      </c>
    </row>
    <row r="2206" customFormat="false" ht="15" hidden="false" customHeight="false" outlineLevel="1" collapsed="false">
      <c r="A2206" s="7" t="s">
        <v>154</v>
      </c>
      <c r="B2206" s="8" t="s">
        <v>59</v>
      </c>
      <c r="C2206" s="60" t="n">
        <f aca="false">C2197*Pressupostos!$C$65*C2203/365</f>
        <v>0.00355068493150685</v>
      </c>
      <c r="D2206" s="60" t="n">
        <f aca="false">D2197*Pressupostos!$C$65*D2203/365</f>
        <v>0.00355068493150685</v>
      </c>
      <c r="E2206" s="60" t="n">
        <f aca="false">E2197*Pressupostos!$C$65*E2203/365</f>
        <v>0.000887671232876712</v>
      </c>
      <c r="F2206" s="60" t="n">
        <f aca="false">F2197*Pressupostos!$C$65*F2203/365</f>
        <v>0.000887671232876712</v>
      </c>
      <c r="G2206" s="60" t="n">
        <f aca="false">G2197*Pressupostos!$C$65*G2203/365</f>
        <v>0.000887671232876712</v>
      </c>
      <c r="H2206" s="2" t="s">
        <v>1130</v>
      </c>
    </row>
    <row r="2207" customFormat="false" ht="15" hidden="false" customHeight="false" outlineLevel="1" collapsed="false">
      <c r="A2207" s="7" t="s">
        <v>636</v>
      </c>
      <c r="B2207" s="8" t="s">
        <v>59</v>
      </c>
      <c r="C2207" s="60" t="n">
        <f aca="false">Pressupostos!$C$40*Pressupostos!$C$66/(Pressupostos!$C$39*1000)</f>
        <v>0.03</v>
      </c>
      <c r="D2207" s="60" t="n">
        <f aca="false">Pressupostos!$C$40*Pressupostos!$C$66/(Pressupostos!$C$39*1000)</f>
        <v>0.03</v>
      </c>
      <c r="E2207" s="60" t="n">
        <f aca="false">Pressupostos!$C$40*Pressupostos!$C$66/(Pressupostos!$C$39*1000)</f>
        <v>0.03</v>
      </c>
      <c r="F2207" s="60" t="n">
        <f aca="false">Pressupostos!$C$40*Pressupostos!$C$66/(Pressupostos!$C$39*1000)</f>
        <v>0.03</v>
      </c>
      <c r="G2207" s="60" t="n">
        <f aca="false">Pressupostos!$C$40*Pressupostos!$C$66/(Pressupostos!$C$39*1000)</f>
        <v>0.03</v>
      </c>
      <c r="H2207" s="2" t="s">
        <v>1131</v>
      </c>
    </row>
    <row r="2208" customFormat="false" ht="15" hidden="false" customHeight="false" outlineLevel="1" collapsed="false">
      <c r="A2208" s="7" t="s">
        <v>473</v>
      </c>
      <c r="B2208" s="8" t="s">
        <v>59</v>
      </c>
      <c r="C2208" s="60" t="n">
        <f aca="false">Pressupostos!$C$67*C2197</f>
        <v>0.018</v>
      </c>
      <c r="D2208" s="60" t="n">
        <f aca="false">Pressupostos!$C$67*D2197</f>
        <v>0.018</v>
      </c>
      <c r="E2208" s="60" t="n">
        <f aca="false">Pressupostos!$C$67*E2197</f>
        <v>0.018</v>
      </c>
      <c r="F2208" s="60" t="n">
        <f aca="false">Pressupostos!$C$67*F2197</f>
        <v>0.018</v>
      </c>
      <c r="G2208" s="60" t="n">
        <f aca="false">Pressupostos!$C$67*G2197</f>
        <v>0.018</v>
      </c>
      <c r="H2208" s="2" t="s">
        <v>1132</v>
      </c>
    </row>
    <row r="2209" customFormat="false" ht="15" hidden="false" customHeight="false" outlineLevel="1" collapsed="false">
      <c r="A2209" s="7" t="s">
        <v>474</v>
      </c>
      <c r="B2209" s="8" t="s">
        <v>59</v>
      </c>
      <c r="C2209" s="60" t="n">
        <f aca="false">Pressupostos!$C$68*Pressupostos!$C$69*C2203/90</f>
        <v>0.018</v>
      </c>
      <c r="D2209" s="60" t="n">
        <f aca="false">Pressupostos!$C$68*Pressupostos!$C$69*D2203/90</f>
        <v>0.018</v>
      </c>
      <c r="E2209" s="60" t="n">
        <f aca="false">Pressupostos!$C$68*Pressupostos!$C$69*E2203/90</f>
        <v>0.0045</v>
      </c>
      <c r="F2209" s="60" t="n">
        <f aca="false">Pressupostos!$C$68*Pressupostos!$C$69*F2203/90</f>
        <v>0.0045</v>
      </c>
      <c r="G2209" s="60" t="n">
        <f aca="false">Pressupostos!$C$68*Pressupostos!$C$69*G2203/90</f>
        <v>0.0045</v>
      </c>
      <c r="H2209" s="2" t="s">
        <v>1133</v>
      </c>
    </row>
    <row r="2210" customFormat="false" ht="15" hidden="false" customHeight="false" outlineLevel="1" collapsed="false">
      <c r="A2210" s="7" t="s">
        <v>637</v>
      </c>
      <c r="B2210" s="8" t="s">
        <v>59</v>
      </c>
      <c r="C2210" s="60" t="n">
        <f aca="false">Pressupostos!$C$41/(Pressupostos!$C$39*1000)</f>
        <v>0.1</v>
      </c>
      <c r="D2210" s="60" t="n">
        <f aca="false">Pressupostos!$C$41/(Pressupostos!$C$39*1000)</f>
        <v>0.1</v>
      </c>
      <c r="E2210" s="60" t="n">
        <f aca="false">Pressupostos!$C$41/(Pressupostos!$C$39*1000)</f>
        <v>0.1</v>
      </c>
      <c r="F2210" s="60" t="n">
        <f aca="false">Pressupostos!$C$41/(Pressupostos!$C$39*1000)</f>
        <v>0.1</v>
      </c>
      <c r="G2210" s="60" t="n">
        <f aca="false">Pressupostos!$C$41/(Pressupostos!$C$39*1000)</f>
        <v>0.1</v>
      </c>
      <c r="H2210" s="2" t="s">
        <v>1134</v>
      </c>
    </row>
    <row r="2211" customFormat="false" ht="15" hidden="false" customHeight="false" outlineLevel="1" collapsed="false">
      <c r="A2211" s="7" t="s">
        <v>131</v>
      </c>
      <c r="B2211" s="8" t="s">
        <v>59</v>
      </c>
      <c r="C2211" s="63" t="n">
        <f aca="false">Pressupostos!$C$42</f>
        <v>0.01</v>
      </c>
      <c r="D2211" s="63" t="n">
        <f aca="false">Pressupostos!$C$42</f>
        <v>0.01</v>
      </c>
      <c r="E2211" s="63" t="n">
        <f aca="false">Pressupostos!$C$42</f>
        <v>0.01</v>
      </c>
      <c r="F2211" s="63" t="n">
        <f aca="false">Pressupostos!$C$42</f>
        <v>0.01</v>
      </c>
      <c r="G2211" s="63" t="n">
        <f aca="false">Pressupostos!$C$42</f>
        <v>0.01</v>
      </c>
      <c r="H2211" s="2" t="s">
        <v>1135</v>
      </c>
    </row>
    <row r="2212" customFormat="false" ht="15" hidden="false" customHeight="false" outlineLevel="1" collapsed="false">
      <c r="A2212" s="7" t="s">
        <v>76</v>
      </c>
      <c r="B2212" s="8" t="s">
        <v>59</v>
      </c>
      <c r="C2212" s="60" t="n">
        <f aca="false">Pressupostos!$D$18*C2199</f>
        <v>0.03051</v>
      </c>
      <c r="D2212" s="60" t="n">
        <f aca="false">Pressupostos!$D$18*D2199</f>
        <v>0.03051</v>
      </c>
      <c r="E2212" s="60" t="n">
        <f aca="false">Pressupostos!$D$18*E2199</f>
        <v>0.03051</v>
      </c>
      <c r="F2212" s="60" t="n">
        <f aca="false">Pressupostos!$D$18*F2199</f>
        <v>0.03051</v>
      </c>
      <c r="G2212" s="60" t="n">
        <f aca="false">Pressupostos!$D$18*G2199</f>
        <v>0.03051</v>
      </c>
      <c r="H2212" s="2" t="s">
        <v>1136</v>
      </c>
    </row>
    <row r="2213" customFormat="false" ht="15" hidden="false" customHeight="false" outlineLevel="1" collapsed="false">
      <c r="A2213" s="7" t="s">
        <v>638</v>
      </c>
      <c r="B2213" s="8" t="s">
        <v>59</v>
      </c>
      <c r="C2213" s="60" t="n">
        <f aca="false">Pressupostos!$C$71*C2199</f>
        <v>0</v>
      </c>
      <c r="D2213" s="60" t="n">
        <f aca="false">Pressupostos!$C$71*D2199</f>
        <v>0</v>
      </c>
      <c r="E2213" s="60" t="n">
        <f aca="false">Pressupostos!$C$71*E2199</f>
        <v>0</v>
      </c>
      <c r="F2213" s="60" t="n">
        <f aca="false">Pressupostos!$C$71*F2199</f>
        <v>0</v>
      </c>
      <c r="G2213" s="60" t="n">
        <f aca="false">Pressupostos!$C$71*G2199</f>
        <v>0</v>
      </c>
      <c r="H2213" s="2" t="s">
        <v>1137</v>
      </c>
    </row>
    <row r="2214" customFormat="false" ht="15" hidden="false" customHeight="false" outlineLevel="1" collapsed="false">
      <c r="A2214" s="7" t="s">
        <v>639</v>
      </c>
      <c r="B2214" s="8" t="s">
        <v>59</v>
      </c>
      <c r="C2214" s="60" t="n">
        <f aca="false">Pressupostos!$C$283*(C2197+C2200)*(C2203+C2204-Pressupostos!$C$70)/365*Pressupostos!$C$277/Pressupostos!$D$31</f>
        <v>0</v>
      </c>
      <c r="D2214" s="60" t="n">
        <f aca="false">Pressupostos!$D$283*(D2197+D2200)*(D2203+D2204-Pressupostos!$C$70)/365*Pressupostos!$D$277/Pressupostos!$D$31</f>
        <v>0.189308219178082</v>
      </c>
      <c r="E2214" s="60" t="n">
        <f aca="false">Pressupostos!$E$283*(E2197+E2200)*(E2203+E2204-Pressupostos!$C$70)/365*Pressupostos!$E$277/Pressupostos!$D$31</f>
        <v>0.0479666095890411</v>
      </c>
      <c r="F2214" s="60" t="n">
        <f aca="false">Pressupostos!$F$283*(F2197+F2200)*(F2203+F2204-Pressupostos!$C$70)/365*Pressupostos!$F$277/Pressupostos!$D$31</f>
        <v>0.0447688356164384</v>
      </c>
      <c r="G2214" s="60" t="n">
        <f aca="false">Pressupostos!$G$283*(G2197+G2200)*(G2203+G2204-Pressupostos!$C$70)/365*Pressupostos!$G$277/Pressupostos!$D$31</f>
        <v>0.0447688356164384</v>
      </c>
      <c r="H2214" s="2" t="s">
        <v>1138</v>
      </c>
    </row>
    <row r="2215" customFormat="false" ht="15" hidden="false" customHeight="false" outlineLevel="1" collapsed="false">
      <c r="A2215" s="7" t="s">
        <v>640</v>
      </c>
      <c r="B2215" s="8" t="s">
        <v>59</v>
      </c>
      <c r="C2215" s="60" t="n">
        <f aca="false">C2197+C2200+C2201+C2202+C2205+C2206+C2207+C2208+C2209+C2210+C2211+C2212+C2213+C2214</f>
        <v>4.74406068493151</v>
      </c>
      <c r="D2215" s="60" t="n">
        <f aca="false">D2197+D2200+D2201+D2202+D2205+D2206+D2207+D2208+D2209+D2210+D2211+D2212+D2213+D2214</f>
        <v>4.93336890410959</v>
      </c>
      <c r="E2215" s="60" t="n">
        <f aca="false">E2197+E2200+E2201+E2202+E2205+E2206+E2207+E2208+E2209+E2210+E2211+E2212+E2213+E2214</f>
        <v>4.73786428082192</v>
      </c>
      <c r="F2215" s="60" t="n">
        <f aca="false">F2197+F2200+F2201+F2202+F2205+F2206+F2207+F2208+F2209+F2210+F2211+F2212+F2213+F2214</f>
        <v>4.72466650684931</v>
      </c>
      <c r="G2215" s="60" t="n">
        <f aca="false">G2197+G2200+G2201+G2202+G2205+G2206+G2207+G2208+G2209+G2210+G2211+G2212+G2213+G2214</f>
        <v>4.72466650684931</v>
      </c>
      <c r="H2215" s="2" t="s">
        <v>1139</v>
      </c>
    </row>
    <row r="2216" customFormat="false" ht="15" hidden="false" customHeight="false" outlineLevel="1" collapsed="false">
      <c r="A2216" s="52" t="s">
        <v>641</v>
      </c>
      <c r="B2216" s="53" t="s">
        <v>59</v>
      </c>
      <c r="C2216" s="64" t="n">
        <f aca="false">C2199-C2215</f>
        <v>0.340939315068495</v>
      </c>
      <c r="D2216" s="64" t="n">
        <f aca="false">D2199-D2215</f>
        <v>0.151631095890413</v>
      </c>
      <c r="E2216" s="64" t="n">
        <f aca="false">E2199-E2215</f>
        <v>0.347135719178083</v>
      </c>
      <c r="F2216" s="64" t="n">
        <f aca="false">F2199-F2215</f>
        <v>0.360333493150686</v>
      </c>
      <c r="G2216" s="64" t="n">
        <f aca="false">G2199-G2215</f>
        <v>0.360333493150686</v>
      </c>
      <c r="H2216" s="2" t="s">
        <v>1140</v>
      </c>
    </row>
    <row r="2217" customFormat="false" ht="15" hidden="false" customHeight="false" outlineLevel="1" collapsed="false">
      <c r="A2217" s="7" t="s">
        <v>642</v>
      </c>
      <c r="B2217" s="8" t="s">
        <v>71</v>
      </c>
      <c r="C2217" s="55" t="n">
        <f aca="false">IF(C2199&gt;0,C2216/C2199,0)</f>
        <v>0.067048046227826</v>
      </c>
      <c r="D2217" s="55" t="n">
        <f aca="false">IF(D2199&gt;0,D2216/D2199,0)</f>
        <v>0.0298192912272199</v>
      </c>
      <c r="E2217" s="55" t="n">
        <f aca="false">IF(E2199&gt;0,E2216/E2199,0)</f>
        <v>0.0682666114411176</v>
      </c>
      <c r="F2217" s="55" t="n">
        <f aca="false">IF(F2199&gt;0,F2216/F2199,0)</f>
        <v>0.0708620438841074</v>
      </c>
      <c r="G2217" s="55" t="n">
        <f aca="false">IF(G2199&gt;0,G2216/G2199,0)</f>
        <v>0.0708620438841074</v>
      </c>
      <c r="H2217" s="2" t="s">
        <v>1141</v>
      </c>
    </row>
    <row r="2218" customFormat="false" ht="15" hidden="false" customHeight="false" outlineLevel="1" collapsed="false">
      <c r="A2218" s="7" t="s">
        <v>643</v>
      </c>
      <c r="B2218" s="8" t="s">
        <v>59</v>
      </c>
      <c r="C2218" s="60" t="n">
        <f aca="false">(C2197+C2200)*(C2203-Pressupostos!$C$70)/365+C2199*C2204/365</f>
        <v>2.19308219178082</v>
      </c>
      <c r="D2218" s="60" t="n">
        <f aca="false">(D2197+D2200)*(D2203-Pressupostos!$C$70)/365+D2199*D2204/365</f>
        <v>2.19308219178082</v>
      </c>
      <c r="E2218" s="60" t="n">
        <f aca="false">(E2197+E2200)*(E2203-Pressupostos!$C$70)/365+E2199*E2204/365</f>
        <v>0.658150684931507</v>
      </c>
      <c r="F2218" s="60" t="n">
        <f aca="false">(F2197+F2200)*(F2203-Pressupostos!$C$70)/365+F2199*F2204/365</f>
        <v>0.658150684931507</v>
      </c>
      <c r="G2218" s="60" t="n">
        <f aca="false">(G2197+G2200)*(G2203-Pressupostos!$C$70)/365+G2199*G2204/365</f>
        <v>0.658150684931507</v>
      </c>
      <c r="H2218" s="2" t="s">
        <v>1142</v>
      </c>
    </row>
    <row r="2219" customFormat="false" ht="15" hidden="false" customHeight="false" outlineLevel="0" collapsed="false">
      <c r="A2219" s="3" t="s">
        <v>1143</v>
      </c>
      <c r="B2219" s="4"/>
      <c r="C2219" s="4"/>
      <c r="D2219" s="4"/>
      <c r="E2219" s="4"/>
      <c r="F2219" s="4"/>
      <c r="G2219" s="4"/>
      <c r="H2219" s="4"/>
    </row>
    <row r="2220" customFormat="false" ht="15" hidden="false" customHeight="false" outlineLevel="1" collapsed="false">
      <c r="A2220" s="7" t="s">
        <v>633</v>
      </c>
      <c r="B2220" s="8" t="s">
        <v>59</v>
      </c>
      <c r="C2220" s="60" t="n">
        <f aca="false">Pressupostos!$D$10+Pressupostos!$D$12</f>
        <v>3.6</v>
      </c>
      <c r="D2220" s="60" t="n">
        <f aca="false">Pressupostos!$D$10+Pressupostos!$D$12</f>
        <v>3.6</v>
      </c>
      <c r="E2220" s="60" t="n">
        <f aca="false">Pressupostos!$D$10+Pressupostos!$D$12</f>
        <v>3.6</v>
      </c>
      <c r="F2220" s="60" t="n">
        <f aca="false">Pressupostos!$D$10+Pressupostos!$D$12</f>
        <v>3.6</v>
      </c>
      <c r="G2220" s="60" t="n">
        <f aca="false">Pressupostos!$D$10+Pressupostos!$D$12</f>
        <v>3.6</v>
      </c>
      <c r="H2220" s="2" t="s">
        <v>1144</v>
      </c>
    </row>
    <row r="2221" customFormat="false" ht="15" hidden="false" customHeight="false" outlineLevel="1" collapsed="false">
      <c r="A2221" s="7" t="s">
        <v>634</v>
      </c>
      <c r="B2221" s="8" t="s">
        <v>59</v>
      </c>
      <c r="C2221" s="60" t="n">
        <f aca="false">Pressupostos!$D$20+Pressupostos!$D$21</f>
        <v>4.35</v>
      </c>
      <c r="D2221" s="60" t="n">
        <f aca="false">Pressupostos!$D$20+Pressupostos!$D$21</f>
        <v>4.35</v>
      </c>
      <c r="E2221" s="60" t="n">
        <f aca="false">Pressupostos!$D$20+Pressupostos!$D$21</f>
        <v>4.35</v>
      </c>
      <c r="F2221" s="60" t="n">
        <f aca="false">Pressupostos!$D$20+Pressupostos!$D$21</f>
        <v>4.35</v>
      </c>
      <c r="G2221" s="60" t="n">
        <f aca="false">Pressupostos!$D$20+Pressupostos!$D$21</f>
        <v>4.35</v>
      </c>
      <c r="H2221" s="2" t="s">
        <v>1145</v>
      </c>
    </row>
    <row r="2222" customFormat="false" ht="15" hidden="false" customHeight="false" outlineLevel="1" collapsed="false">
      <c r="A2222" s="52" t="s">
        <v>635</v>
      </c>
      <c r="B2222" s="53" t="s">
        <v>59</v>
      </c>
      <c r="C2222" s="64" t="n">
        <f aca="false">C2221*(1-Pressupostos!$D$22)</f>
        <v>4.35</v>
      </c>
      <c r="D2222" s="64" t="n">
        <f aca="false">D2221*(1-Pressupostos!$D$22)</f>
        <v>4.35</v>
      </c>
      <c r="E2222" s="64" t="n">
        <f aca="false">E2221*(1-Pressupostos!$D$22)</f>
        <v>4.35</v>
      </c>
      <c r="F2222" s="64" t="n">
        <f aca="false">F2221*(1-Pressupostos!$D$22)</f>
        <v>4.35</v>
      </c>
      <c r="G2222" s="64" t="n">
        <f aca="false">G2221*(1-Pressupostos!$D$22)</f>
        <v>4.35</v>
      </c>
      <c r="H2222" s="2" t="s">
        <v>1146</v>
      </c>
    </row>
    <row r="2223" customFormat="false" ht="15" hidden="false" customHeight="false" outlineLevel="1" collapsed="false">
      <c r="A2223" s="7" t="s">
        <v>136</v>
      </c>
      <c r="B2223" s="8" t="s">
        <v>59</v>
      </c>
      <c r="C2223" s="63" t="n">
        <f aca="false">Pressupostos!$C$44</f>
        <v>0.45</v>
      </c>
      <c r="D2223" s="63" t="n">
        <f aca="false">Pressupostos!$C$44</f>
        <v>0.45</v>
      </c>
      <c r="E2223" s="63" t="n">
        <f aca="false">Pressupostos!$C$44</f>
        <v>0.45</v>
      </c>
      <c r="F2223" s="63" t="n">
        <f aca="false">Pressupostos!$C$44</f>
        <v>0.45</v>
      </c>
      <c r="G2223" s="63" t="n">
        <f aca="false">Pressupostos!$C$44</f>
        <v>0.45</v>
      </c>
      <c r="H2223" s="2" t="s">
        <v>1147</v>
      </c>
    </row>
    <row r="2224" customFormat="false" ht="15" hidden="false" customHeight="false" outlineLevel="1" collapsed="false">
      <c r="A2224" s="7" t="s">
        <v>205</v>
      </c>
      <c r="B2224" s="8" t="s">
        <v>59</v>
      </c>
      <c r="C2224" s="63" t="n">
        <f aca="false">Pressupostos!$C$245</f>
        <v>0.1</v>
      </c>
      <c r="D2224" s="63" t="n">
        <f aca="false">Pressupostos!$D$245</f>
        <v>0.1</v>
      </c>
      <c r="E2224" s="63" t="n">
        <f aca="false">Pressupostos!$E$245</f>
        <v>0.09</v>
      </c>
      <c r="F2224" s="63" t="n">
        <f aca="false">Pressupostos!$F$245</f>
        <v>0.09</v>
      </c>
      <c r="G2224" s="63" t="n">
        <f aca="false">Pressupostos!$G$245</f>
        <v>0.09</v>
      </c>
      <c r="H2224" s="2" t="s">
        <v>1148</v>
      </c>
    </row>
    <row r="2225" customFormat="false" ht="15" hidden="false" customHeight="false" outlineLevel="1" collapsed="false">
      <c r="A2225" s="7" t="s">
        <v>109</v>
      </c>
      <c r="B2225" s="8" t="s">
        <v>59</v>
      </c>
      <c r="C2225" s="63" t="n">
        <f aca="false">Pressupostos!$C$45</f>
        <v>0</v>
      </c>
      <c r="D2225" s="63" t="n">
        <f aca="false">Pressupostos!$C$45</f>
        <v>0</v>
      </c>
      <c r="E2225" s="63" t="n">
        <f aca="false">Pressupostos!$C$45</f>
        <v>0</v>
      </c>
      <c r="F2225" s="63" t="n">
        <f aca="false">Pressupostos!$C$45</f>
        <v>0</v>
      </c>
      <c r="G2225" s="63" t="n">
        <f aca="false">Pressupostos!$C$45</f>
        <v>0</v>
      </c>
      <c r="H2225" s="2" t="s">
        <v>1149</v>
      </c>
    </row>
    <row r="2226" customFormat="false" ht="15" hidden="false" customHeight="false" outlineLevel="1" collapsed="false">
      <c r="A2226" s="7" t="s">
        <v>86</v>
      </c>
      <c r="B2226" s="8" t="s">
        <v>74</v>
      </c>
      <c r="C2226" s="65" t="n">
        <f aca="false">Pressupostos!$D$23</f>
        <v>30</v>
      </c>
      <c r="D2226" s="65" t="n">
        <f aca="false">Pressupostos!$D$23</f>
        <v>30</v>
      </c>
      <c r="E2226" s="65" t="n">
        <f aca="false">Pressupostos!$D$23</f>
        <v>30</v>
      </c>
      <c r="F2226" s="65" t="n">
        <f aca="false">Pressupostos!$D$23</f>
        <v>30</v>
      </c>
      <c r="G2226" s="65" t="n">
        <f aca="false">Pressupostos!$D$23</f>
        <v>30</v>
      </c>
      <c r="H2226" s="2" t="s">
        <v>1150</v>
      </c>
    </row>
    <row r="2227" customFormat="false" ht="15" hidden="false" customHeight="false" outlineLevel="1" collapsed="false">
      <c r="A2227" s="7" t="s">
        <v>73</v>
      </c>
      <c r="B2227" s="8" t="s">
        <v>74</v>
      </c>
      <c r="C2227" s="65" t="n">
        <f aca="false">Pressupostos!$D$24</f>
        <v>45</v>
      </c>
      <c r="D2227" s="65" t="n">
        <f aca="false">Pressupostos!$D$24</f>
        <v>45</v>
      </c>
      <c r="E2227" s="65" t="n">
        <f aca="false">Pressupostos!$D$24</f>
        <v>45</v>
      </c>
      <c r="F2227" s="65" t="n">
        <f aca="false">Pressupostos!$D$24</f>
        <v>45</v>
      </c>
      <c r="G2227" s="65" t="n">
        <f aca="false">Pressupostos!$D$24</f>
        <v>45</v>
      </c>
      <c r="H2227" s="2" t="s">
        <v>1151</v>
      </c>
    </row>
    <row r="2228" customFormat="false" ht="15" hidden="false" customHeight="false" outlineLevel="1" collapsed="false">
      <c r="A2228" s="7" t="s">
        <v>471</v>
      </c>
      <c r="B2228" s="8" t="s">
        <v>59</v>
      </c>
      <c r="C2228" s="60" t="n">
        <f aca="false">Pressupostos!$C$64*C2226/30/1000</f>
        <v>0.004</v>
      </c>
      <c r="D2228" s="60" t="n">
        <f aca="false">Pressupostos!$C$64*D2226/30/1000</f>
        <v>0.004</v>
      </c>
      <c r="E2228" s="60" t="n">
        <f aca="false">Pressupostos!$C$64*E2226/30/1000</f>
        <v>0.004</v>
      </c>
      <c r="F2228" s="60" t="n">
        <f aca="false">Pressupostos!$C$64*F2226/30/1000</f>
        <v>0.004</v>
      </c>
      <c r="G2228" s="60" t="n">
        <f aca="false">Pressupostos!$C$64*G2226/30/1000</f>
        <v>0.004</v>
      </c>
      <c r="H2228" s="2" t="s">
        <v>1152</v>
      </c>
    </row>
    <row r="2229" customFormat="false" ht="15" hidden="false" customHeight="false" outlineLevel="1" collapsed="false">
      <c r="A2229" s="7" t="s">
        <v>154</v>
      </c>
      <c r="B2229" s="8" t="s">
        <v>59</v>
      </c>
      <c r="C2229" s="60" t="n">
        <f aca="false">C2220*Pressupostos!$C$65*C2226/365</f>
        <v>0.000591780821917808</v>
      </c>
      <c r="D2229" s="60" t="n">
        <f aca="false">D2220*Pressupostos!$C$65*D2226/365</f>
        <v>0.000591780821917808</v>
      </c>
      <c r="E2229" s="60" t="n">
        <f aca="false">E2220*Pressupostos!$C$65*E2226/365</f>
        <v>0.000591780821917808</v>
      </c>
      <c r="F2229" s="60" t="n">
        <f aca="false">F2220*Pressupostos!$C$65*F2226/365</f>
        <v>0.000591780821917808</v>
      </c>
      <c r="G2229" s="60" t="n">
        <f aca="false">G2220*Pressupostos!$C$65*G2226/365</f>
        <v>0.000591780821917808</v>
      </c>
      <c r="H2229" s="2" t="s">
        <v>1153</v>
      </c>
    </row>
    <row r="2230" customFormat="false" ht="15" hidden="false" customHeight="false" outlineLevel="1" collapsed="false">
      <c r="A2230" s="7" t="s">
        <v>636</v>
      </c>
      <c r="B2230" s="8" t="s">
        <v>59</v>
      </c>
      <c r="C2230" s="60" t="n">
        <f aca="false">Pressupostos!$C$47*Pressupostos!$C$66/(Pressupostos!$C$46*1000)</f>
        <v>0.02</v>
      </c>
      <c r="D2230" s="60" t="n">
        <f aca="false">Pressupostos!$C$47*Pressupostos!$C$66/(Pressupostos!$C$46*1000)</f>
        <v>0.02</v>
      </c>
      <c r="E2230" s="60" t="n">
        <f aca="false">Pressupostos!$C$47*Pressupostos!$C$66/(Pressupostos!$C$46*1000)</f>
        <v>0.02</v>
      </c>
      <c r="F2230" s="60" t="n">
        <f aca="false">Pressupostos!$C$47*Pressupostos!$C$66/(Pressupostos!$C$46*1000)</f>
        <v>0.02</v>
      </c>
      <c r="G2230" s="60" t="n">
        <f aca="false">Pressupostos!$C$47*Pressupostos!$C$66/(Pressupostos!$C$46*1000)</f>
        <v>0.02</v>
      </c>
      <c r="H2230" s="2" t="s">
        <v>1154</v>
      </c>
    </row>
    <row r="2231" customFormat="false" ht="15" hidden="false" customHeight="false" outlineLevel="1" collapsed="false">
      <c r="A2231" s="7" t="s">
        <v>473</v>
      </c>
      <c r="B2231" s="8" t="s">
        <v>59</v>
      </c>
      <c r="C2231" s="60" t="n">
        <f aca="false">Pressupostos!$C$67*C2220</f>
        <v>0.018</v>
      </c>
      <c r="D2231" s="60" t="n">
        <f aca="false">Pressupostos!$C$67*D2220</f>
        <v>0.018</v>
      </c>
      <c r="E2231" s="60" t="n">
        <f aca="false">Pressupostos!$C$67*E2220</f>
        <v>0.018</v>
      </c>
      <c r="F2231" s="60" t="n">
        <f aca="false">Pressupostos!$C$67*F2220</f>
        <v>0.018</v>
      </c>
      <c r="G2231" s="60" t="n">
        <f aca="false">Pressupostos!$C$67*G2220</f>
        <v>0.018</v>
      </c>
      <c r="H2231" s="2" t="s">
        <v>1155</v>
      </c>
    </row>
    <row r="2232" customFormat="false" ht="15" hidden="false" customHeight="false" outlineLevel="1" collapsed="false">
      <c r="A2232" s="7" t="s">
        <v>474</v>
      </c>
      <c r="B2232" s="8" t="s">
        <v>59</v>
      </c>
      <c r="C2232" s="60" t="n">
        <f aca="false">Pressupostos!$C$68*Pressupostos!$C$69*C2226/90</f>
        <v>0.003</v>
      </c>
      <c r="D2232" s="60" t="n">
        <f aca="false">Pressupostos!$C$68*Pressupostos!$C$69*D2226/90</f>
        <v>0.003</v>
      </c>
      <c r="E2232" s="60" t="n">
        <f aca="false">Pressupostos!$C$68*Pressupostos!$C$69*E2226/90</f>
        <v>0.003</v>
      </c>
      <c r="F2232" s="60" t="n">
        <f aca="false">Pressupostos!$C$68*Pressupostos!$C$69*F2226/90</f>
        <v>0.003</v>
      </c>
      <c r="G2232" s="60" t="n">
        <f aca="false">Pressupostos!$C$68*Pressupostos!$C$69*G2226/90</f>
        <v>0.003</v>
      </c>
      <c r="H2232" s="2" t="s">
        <v>1156</v>
      </c>
    </row>
    <row r="2233" customFormat="false" ht="15" hidden="false" customHeight="false" outlineLevel="1" collapsed="false">
      <c r="A2233" s="7" t="s">
        <v>637</v>
      </c>
      <c r="B2233" s="8" t="s">
        <v>59</v>
      </c>
      <c r="C2233" s="60" t="n">
        <f aca="false">Pressupostos!$C$48/(Pressupostos!$C$46*1000)</f>
        <v>0.04</v>
      </c>
      <c r="D2233" s="60" t="n">
        <f aca="false">Pressupostos!$C$48/(Pressupostos!$C$46*1000)</f>
        <v>0.04</v>
      </c>
      <c r="E2233" s="60" t="n">
        <f aca="false">Pressupostos!$C$48/(Pressupostos!$C$46*1000)</f>
        <v>0.04</v>
      </c>
      <c r="F2233" s="60" t="n">
        <f aca="false">Pressupostos!$C$48/(Pressupostos!$C$46*1000)</f>
        <v>0.04</v>
      </c>
      <c r="G2233" s="60" t="n">
        <f aca="false">Pressupostos!$C$48/(Pressupostos!$C$46*1000)</f>
        <v>0.04</v>
      </c>
      <c r="H2233" s="2" t="s">
        <v>1157</v>
      </c>
    </row>
    <row r="2234" customFormat="false" ht="15" hidden="false" customHeight="false" outlineLevel="1" collapsed="false">
      <c r="A2234" s="7" t="s">
        <v>131</v>
      </c>
      <c r="B2234" s="8" t="s">
        <v>59</v>
      </c>
      <c r="C2234" s="63" t="n">
        <f aca="false">Pressupostos!$C$49</f>
        <v>0.005</v>
      </c>
      <c r="D2234" s="63" t="n">
        <f aca="false">Pressupostos!$C$49</f>
        <v>0.005</v>
      </c>
      <c r="E2234" s="63" t="n">
        <f aca="false">Pressupostos!$C$49</f>
        <v>0.005</v>
      </c>
      <c r="F2234" s="63" t="n">
        <f aca="false">Pressupostos!$C$49</f>
        <v>0.005</v>
      </c>
      <c r="G2234" s="63" t="n">
        <f aca="false">Pressupostos!$C$49</f>
        <v>0.005</v>
      </c>
      <c r="H2234" s="2" t="s">
        <v>1158</v>
      </c>
    </row>
    <row r="2235" customFormat="false" ht="15" hidden="false" customHeight="false" outlineLevel="1" collapsed="false">
      <c r="A2235" s="7" t="s">
        <v>76</v>
      </c>
      <c r="B2235" s="8" t="s">
        <v>59</v>
      </c>
      <c r="C2235" s="60" t="n">
        <f aca="false">Pressupostos!$D$25*C2222</f>
        <v>0.01305</v>
      </c>
      <c r="D2235" s="60" t="n">
        <f aca="false">Pressupostos!$D$25*D2222</f>
        <v>0.01305</v>
      </c>
      <c r="E2235" s="60" t="n">
        <f aca="false">Pressupostos!$D$25*E2222</f>
        <v>0.01305</v>
      </c>
      <c r="F2235" s="60" t="n">
        <f aca="false">Pressupostos!$D$25*F2222</f>
        <v>0.01305</v>
      </c>
      <c r="G2235" s="60" t="n">
        <f aca="false">Pressupostos!$D$25*G2222</f>
        <v>0.01305</v>
      </c>
      <c r="H2235" s="2" t="s">
        <v>1159</v>
      </c>
    </row>
    <row r="2236" customFormat="false" ht="15" hidden="false" customHeight="false" outlineLevel="1" collapsed="false">
      <c r="A2236" s="7" t="s">
        <v>638</v>
      </c>
      <c r="B2236" s="8" t="s">
        <v>59</v>
      </c>
      <c r="C2236" s="60" t="n">
        <f aca="false">Pressupostos!$C$71*C2222</f>
        <v>0</v>
      </c>
      <c r="D2236" s="60" t="n">
        <f aca="false">Pressupostos!$C$71*D2222</f>
        <v>0</v>
      </c>
      <c r="E2236" s="60" t="n">
        <f aca="false">Pressupostos!$C$71*E2222</f>
        <v>0</v>
      </c>
      <c r="F2236" s="60" t="n">
        <f aca="false">Pressupostos!$C$71*F2222</f>
        <v>0</v>
      </c>
      <c r="G2236" s="60" t="n">
        <f aca="false">Pressupostos!$C$71*G2222</f>
        <v>0</v>
      </c>
      <c r="H2236" s="2" t="s">
        <v>1160</v>
      </c>
    </row>
    <row r="2237" customFormat="false" ht="15" hidden="false" customHeight="false" outlineLevel="1" collapsed="false">
      <c r="A2237" s="7" t="s">
        <v>639</v>
      </c>
      <c r="B2237" s="8" t="s">
        <v>59</v>
      </c>
      <c r="C2237" s="60" t="n">
        <f aca="false">Pressupostos!$C$283*(C2220+C2223)*(C2226+C2227-Pressupostos!$C$70)/365*Pressupostos!$C$277/Pressupostos!$D$31</f>
        <v>0</v>
      </c>
      <c r="D2237" s="60" t="n">
        <f aca="false">Pressupostos!$D$283*(D2220+D2223)*(D2226+D2227-Pressupostos!$C$70)/365*Pressupostos!$D$277/Pressupostos!$D$31</f>
        <v>0.0449383561643836</v>
      </c>
      <c r="E2237" s="60" t="n">
        <f aca="false">Pressupostos!$E$283*(E2220+E2223)*(E2226+E2227-Pressupostos!$C$70)/365*Pressupostos!$E$277/Pressupostos!$D$31</f>
        <v>0.0421297089041096</v>
      </c>
      <c r="F2237" s="60" t="n">
        <f aca="false">Pressupostos!$F$283*(F2220+F2223)*(F2226+F2227-Pressupostos!$C$70)/365*Pressupostos!$F$277/Pressupostos!$D$31</f>
        <v>0.0393210616438356</v>
      </c>
      <c r="G2237" s="60" t="n">
        <f aca="false">Pressupostos!$G$283*(G2220+G2223)*(G2226+G2227-Pressupostos!$C$70)/365*Pressupostos!$G$277/Pressupostos!$D$31</f>
        <v>0.0393210616438356</v>
      </c>
      <c r="H2237" s="2" t="s">
        <v>1161</v>
      </c>
    </row>
    <row r="2238" customFormat="false" ht="15" hidden="false" customHeight="false" outlineLevel="1" collapsed="false">
      <c r="A2238" s="7" t="s">
        <v>640</v>
      </c>
      <c r="B2238" s="8" t="s">
        <v>59</v>
      </c>
      <c r="C2238" s="60" t="n">
        <f aca="false">C2220+C2223+C2224+C2225+C2228+C2229+C2230+C2231+C2232+C2233+C2234+C2235+C2236+C2237</f>
        <v>4.25364178082192</v>
      </c>
      <c r="D2238" s="60" t="n">
        <f aca="false">D2220+D2223+D2224+D2225+D2228+D2229+D2230+D2231+D2232+D2233+D2234+D2235+D2236+D2237</f>
        <v>4.2985801369863</v>
      </c>
      <c r="E2238" s="60" t="n">
        <f aca="false">E2220+E2223+E2224+E2225+E2228+E2229+E2230+E2231+E2232+E2233+E2234+E2235+E2236+E2237</f>
        <v>4.28577148972603</v>
      </c>
      <c r="F2238" s="60" t="n">
        <f aca="false">F2220+F2223+F2224+F2225+F2228+F2229+F2230+F2231+F2232+F2233+F2234+F2235+F2236+F2237</f>
        <v>4.28296284246575</v>
      </c>
      <c r="G2238" s="60" t="n">
        <f aca="false">G2220+G2223+G2224+G2225+G2228+G2229+G2230+G2231+G2232+G2233+G2234+G2235+G2236+G2237</f>
        <v>4.28296284246575</v>
      </c>
      <c r="H2238" s="2" t="s">
        <v>1162</v>
      </c>
    </row>
    <row r="2239" customFormat="false" ht="15" hidden="false" customHeight="false" outlineLevel="1" collapsed="false">
      <c r="A2239" s="52" t="s">
        <v>641</v>
      </c>
      <c r="B2239" s="53" t="s">
        <v>59</v>
      </c>
      <c r="C2239" s="64" t="n">
        <f aca="false">C2222-C2238</f>
        <v>0.0963582191780832</v>
      </c>
      <c r="D2239" s="64" t="n">
        <f aca="false">D2222-D2238</f>
        <v>0.0514198630136997</v>
      </c>
      <c r="E2239" s="64" t="n">
        <f aca="false">E2222-E2238</f>
        <v>0.0642285102739733</v>
      </c>
      <c r="F2239" s="64" t="n">
        <f aca="false">F2222-F2238</f>
        <v>0.067037157534247</v>
      </c>
      <c r="G2239" s="64" t="n">
        <f aca="false">G2222-G2238</f>
        <v>0.067037157534247</v>
      </c>
      <c r="H2239" s="2" t="s">
        <v>1163</v>
      </c>
    </row>
    <row r="2240" customFormat="false" ht="15" hidden="false" customHeight="false" outlineLevel="1" collapsed="false">
      <c r="A2240" s="7" t="s">
        <v>642</v>
      </c>
      <c r="B2240" s="8" t="s">
        <v>71</v>
      </c>
      <c r="C2240" s="55" t="n">
        <f aca="false">IF(C2222&gt;0,C2239/C2222,0)</f>
        <v>0.0221513147535823</v>
      </c>
      <c r="D2240" s="55" t="n">
        <f aca="false">IF(D2222&gt;0,D2239/D2222,0)</f>
        <v>0.0118206581640689</v>
      </c>
      <c r="E2240" s="55" t="n">
        <f aca="false">IF(E2222&gt;0,E2239/E2222,0)</f>
        <v>0.014765174775626</v>
      </c>
      <c r="F2240" s="55" t="n">
        <f aca="false">IF(F2222&gt;0,F2239/F2222,0)</f>
        <v>0.0154108408124706</v>
      </c>
      <c r="G2240" s="55" t="n">
        <f aca="false">IF(G2222&gt;0,G2239/G2222,0)</f>
        <v>0.0154108408124706</v>
      </c>
      <c r="H2240" s="2" t="s">
        <v>1164</v>
      </c>
    </row>
    <row r="2241" customFormat="false" ht="15" hidden="false" customHeight="false" outlineLevel="1" collapsed="false">
      <c r="A2241" s="7" t="s">
        <v>643</v>
      </c>
      <c r="B2241" s="8" t="s">
        <v>59</v>
      </c>
      <c r="C2241" s="60" t="n">
        <f aca="false">(C2220+C2223)*(C2226-Pressupostos!$C$70)/365+C2222*C2227/365</f>
        <v>0.536301369863014</v>
      </c>
      <c r="D2241" s="60" t="n">
        <f aca="false">(D2220+D2223)*(D2226-Pressupostos!$C$70)/365+D2222*D2227/365</f>
        <v>0.536301369863014</v>
      </c>
      <c r="E2241" s="60" t="n">
        <f aca="false">(E2220+E2223)*(E2226-Pressupostos!$C$70)/365+E2222*E2227/365</f>
        <v>0.536301369863014</v>
      </c>
      <c r="F2241" s="60" t="n">
        <f aca="false">(F2220+F2223)*(F2226-Pressupostos!$C$70)/365+F2222*F2227/365</f>
        <v>0.536301369863014</v>
      </c>
      <c r="G2241" s="60" t="n">
        <f aca="false">(G2220+G2223)*(G2226-Pressupostos!$C$70)/365+G2222*G2227/365</f>
        <v>0.536301369863014</v>
      </c>
      <c r="H2241" s="2" t="s">
        <v>1165</v>
      </c>
    </row>
    <row r="2242" customFormat="false" ht="15" hidden="false" customHeight="false" outlineLevel="0" collapsed="false">
      <c r="A2242" s="3" t="s">
        <v>1166</v>
      </c>
      <c r="B2242" s="4"/>
      <c r="C2242" s="4"/>
      <c r="D2242" s="4"/>
      <c r="E2242" s="4"/>
      <c r="F2242" s="4"/>
      <c r="G2242" s="4"/>
      <c r="H2242" s="4"/>
    </row>
    <row r="2243" customFormat="false" ht="15" hidden="false" customHeight="false" outlineLevel="1" collapsed="false">
      <c r="A2243" s="7" t="s">
        <v>633</v>
      </c>
      <c r="B2243" s="8" t="s">
        <v>59</v>
      </c>
      <c r="C2243" s="60" t="n">
        <f aca="false">Pressupostos!$D$10+Pressupostos!$D$13</f>
        <v>3.5</v>
      </c>
      <c r="D2243" s="60" t="n">
        <f aca="false">Pressupostos!$D$10+Pressupostos!$D$13</f>
        <v>3.5</v>
      </c>
      <c r="E2243" s="60" t="n">
        <f aca="false">Pressupostos!$D$10+Pressupostos!$D$13</f>
        <v>3.5</v>
      </c>
      <c r="F2243" s="60" t="n">
        <f aca="false">Pressupostos!$D$10+Pressupostos!$D$13</f>
        <v>3.5</v>
      </c>
      <c r="G2243" s="60" t="n">
        <f aca="false">Pressupostos!$D$10+Pressupostos!$D$13</f>
        <v>3.5</v>
      </c>
      <c r="H2243" s="2" t="s">
        <v>1167</v>
      </c>
    </row>
    <row r="2244" customFormat="false" ht="15" hidden="false" customHeight="false" outlineLevel="1" collapsed="false">
      <c r="A2244" s="7" t="s">
        <v>634</v>
      </c>
      <c r="B2244" s="8" t="s">
        <v>59</v>
      </c>
      <c r="C2244" s="60" t="n">
        <f aca="false">Pressupostos!$D$10+Pressupostos!$C$51</f>
        <v>3.65</v>
      </c>
      <c r="D2244" s="60" t="n">
        <f aca="false">Pressupostos!$D$10+Pressupostos!$C$51</f>
        <v>3.65</v>
      </c>
      <c r="E2244" s="60" t="n">
        <f aca="false">Pressupostos!$D$10+Pressupostos!$C$51</f>
        <v>3.65</v>
      </c>
      <c r="F2244" s="60" t="n">
        <f aca="false">Pressupostos!$D$10+Pressupostos!$C$51</f>
        <v>3.65</v>
      </c>
      <c r="G2244" s="60" t="n">
        <f aca="false">Pressupostos!$D$10+Pressupostos!$C$51</f>
        <v>3.65</v>
      </c>
      <c r="H2244" s="2" t="s">
        <v>1168</v>
      </c>
    </row>
    <row r="2245" customFormat="false" ht="15" hidden="false" customHeight="false" outlineLevel="1" collapsed="false">
      <c r="A2245" s="52" t="s">
        <v>635</v>
      </c>
      <c r="B2245" s="53" t="s">
        <v>59</v>
      </c>
      <c r="C2245" s="64" t="n">
        <f aca="false">C2244*(1-Pressupostos!$C$52)</f>
        <v>3.65</v>
      </c>
      <c r="D2245" s="64" t="n">
        <f aca="false">D2244*(1-Pressupostos!$C$52)</f>
        <v>3.65</v>
      </c>
      <c r="E2245" s="64" t="n">
        <f aca="false">E2244*(1-Pressupostos!$C$52)</f>
        <v>3.65</v>
      </c>
      <c r="F2245" s="64" t="n">
        <f aca="false">F2244*(1-Pressupostos!$C$52)</f>
        <v>3.65</v>
      </c>
      <c r="G2245" s="64" t="n">
        <f aca="false">G2244*(1-Pressupostos!$C$52)</f>
        <v>3.65</v>
      </c>
      <c r="H2245" s="2" t="s">
        <v>1169</v>
      </c>
    </row>
    <row r="2246" customFormat="false" ht="15" hidden="false" customHeight="false" outlineLevel="1" collapsed="false">
      <c r="A2246" s="7" t="s">
        <v>136</v>
      </c>
      <c r="B2246" s="8" t="s">
        <v>59</v>
      </c>
      <c r="C2246" s="63" t="n">
        <f aca="false">Pressupostos!$C$53</f>
        <v>0</v>
      </c>
      <c r="D2246" s="63" t="n">
        <f aca="false">Pressupostos!$C$53</f>
        <v>0</v>
      </c>
      <c r="E2246" s="63" t="n">
        <f aca="false">Pressupostos!$C$53</f>
        <v>0</v>
      </c>
      <c r="F2246" s="63" t="n">
        <f aca="false">Pressupostos!$C$53</f>
        <v>0</v>
      </c>
      <c r="G2246" s="63" t="n">
        <f aca="false">Pressupostos!$C$53</f>
        <v>0</v>
      </c>
      <c r="H2246" s="2" t="s">
        <v>1170</v>
      </c>
    </row>
    <row r="2247" customFormat="false" ht="15" hidden="false" customHeight="false" outlineLevel="1" collapsed="false">
      <c r="A2247" s="7" t="s">
        <v>205</v>
      </c>
      <c r="B2247" s="8" t="s">
        <v>59</v>
      </c>
      <c r="C2247" s="63" t="n">
        <f aca="false">Pressupostos!$C$54</f>
        <v>0.04</v>
      </c>
      <c r="D2247" s="63" t="n">
        <f aca="false">Pressupostos!$C$54</f>
        <v>0.04</v>
      </c>
      <c r="E2247" s="63" t="n">
        <f aca="false">Pressupostos!$C$54</f>
        <v>0.04</v>
      </c>
      <c r="F2247" s="63" t="n">
        <f aca="false">Pressupostos!$C$54</f>
        <v>0.04</v>
      </c>
      <c r="G2247" s="63" t="n">
        <f aca="false">Pressupostos!$C$54</f>
        <v>0.04</v>
      </c>
      <c r="H2247" s="2" t="s">
        <v>1171</v>
      </c>
    </row>
    <row r="2248" customFormat="false" ht="15" hidden="false" customHeight="false" outlineLevel="1" collapsed="false">
      <c r="A2248" s="7" t="s">
        <v>109</v>
      </c>
      <c r="B2248" s="8" t="s">
        <v>59</v>
      </c>
      <c r="C2248" s="63" t="n">
        <f aca="false">Pressupostos!$C$55</f>
        <v>0</v>
      </c>
      <c r="D2248" s="63" t="n">
        <f aca="false">Pressupostos!$C$55</f>
        <v>0</v>
      </c>
      <c r="E2248" s="63" t="n">
        <f aca="false">Pressupostos!$C$55</f>
        <v>0</v>
      </c>
      <c r="F2248" s="63" t="n">
        <f aca="false">Pressupostos!$C$55</f>
        <v>0</v>
      </c>
      <c r="G2248" s="63" t="n">
        <f aca="false">Pressupostos!$C$55</f>
        <v>0</v>
      </c>
      <c r="H2248" s="2" t="s">
        <v>1172</v>
      </c>
    </row>
    <row r="2249" customFormat="false" ht="15" hidden="false" customHeight="false" outlineLevel="1" collapsed="false">
      <c r="A2249" s="7" t="s">
        <v>86</v>
      </c>
      <c r="B2249" s="8" t="s">
        <v>74</v>
      </c>
      <c r="C2249" s="65" t="n">
        <f aca="false">Pressupostos!$C$56</f>
        <v>15</v>
      </c>
      <c r="D2249" s="65" t="n">
        <f aca="false">Pressupostos!$C$56</f>
        <v>15</v>
      </c>
      <c r="E2249" s="65" t="n">
        <f aca="false">Pressupostos!$C$56</f>
        <v>15</v>
      </c>
      <c r="F2249" s="65" t="n">
        <f aca="false">Pressupostos!$C$56</f>
        <v>15</v>
      </c>
      <c r="G2249" s="65" t="n">
        <f aca="false">Pressupostos!$C$56</f>
        <v>15</v>
      </c>
      <c r="H2249" s="2" t="s">
        <v>1173</v>
      </c>
    </row>
    <row r="2250" customFormat="false" ht="15" hidden="false" customHeight="false" outlineLevel="1" collapsed="false">
      <c r="A2250" s="7" t="s">
        <v>73</v>
      </c>
      <c r="B2250" s="8" t="s">
        <v>74</v>
      </c>
      <c r="C2250" s="65" t="n">
        <f aca="false">Pressupostos!$C$57</f>
        <v>45</v>
      </c>
      <c r="D2250" s="65" t="n">
        <f aca="false">Pressupostos!$C$57</f>
        <v>45</v>
      </c>
      <c r="E2250" s="65" t="n">
        <f aca="false">Pressupostos!$C$57</f>
        <v>45</v>
      </c>
      <c r="F2250" s="65" t="n">
        <f aca="false">Pressupostos!$C$57</f>
        <v>45</v>
      </c>
      <c r="G2250" s="65" t="n">
        <f aca="false">Pressupostos!$C$57</f>
        <v>45</v>
      </c>
      <c r="H2250" s="2" t="s">
        <v>1174</v>
      </c>
    </row>
    <row r="2251" customFormat="false" ht="15" hidden="false" customHeight="false" outlineLevel="1" collapsed="false">
      <c r="A2251" s="7" t="s">
        <v>471</v>
      </c>
      <c r="B2251" s="8" t="s">
        <v>59</v>
      </c>
      <c r="C2251" s="60" t="n">
        <f aca="false">Pressupostos!$C$64*C2249/30/1000</f>
        <v>0.002</v>
      </c>
      <c r="D2251" s="60" t="n">
        <f aca="false">Pressupostos!$C$64*D2249/30/1000</f>
        <v>0.002</v>
      </c>
      <c r="E2251" s="60" t="n">
        <f aca="false">Pressupostos!$C$64*E2249/30/1000</f>
        <v>0.002</v>
      </c>
      <c r="F2251" s="60" t="n">
        <f aca="false">Pressupostos!$C$64*F2249/30/1000</f>
        <v>0.002</v>
      </c>
      <c r="G2251" s="60" t="n">
        <f aca="false">Pressupostos!$C$64*G2249/30/1000</f>
        <v>0.002</v>
      </c>
      <c r="H2251" s="2" t="s">
        <v>1175</v>
      </c>
    </row>
    <row r="2252" customFormat="false" ht="15" hidden="false" customHeight="false" outlineLevel="1" collapsed="false">
      <c r="A2252" s="7" t="s">
        <v>154</v>
      </c>
      <c r="B2252" s="8" t="s">
        <v>59</v>
      </c>
      <c r="C2252" s="60" t="n">
        <f aca="false">C2243*Pressupostos!$C$65*C2249/365</f>
        <v>0.000287671232876712</v>
      </c>
      <c r="D2252" s="60" t="n">
        <f aca="false">D2243*Pressupostos!$C$65*D2249/365</f>
        <v>0.000287671232876712</v>
      </c>
      <c r="E2252" s="60" t="n">
        <f aca="false">E2243*Pressupostos!$C$65*E2249/365</f>
        <v>0.000287671232876712</v>
      </c>
      <c r="F2252" s="60" t="n">
        <f aca="false">F2243*Pressupostos!$C$65*F2249/365</f>
        <v>0.000287671232876712</v>
      </c>
      <c r="G2252" s="60" t="n">
        <f aca="false">G2243*Pressupostos!$C$65*G2249/365</f>
        <v>0.000287671232876712</v>
      </c>
      <c r="H2252" s="2" t="s">
        <v>1176</v>
      </c>
    </row>
    <row r="2253" customFormat="false" ht="15" hidden="false" customHeight="false" outlineLevel="1" collapsed="false">
      <c r="A2253" s="7" t="s">
        <v>636</v>
      </c>
      <c r="B2253" s="8" t="s">
        <v>59</v>
      </c>
      <c r="C2253" s="60" t="n">
        <f aca="false">Pressupostos!$C$59*Pressupostos!$C$66/(Pressupostos!$C$58*1000)</f>
        <v>0.006</v>
      </c>
      <c r="D2253" s="60" t="n">
        <f aca="false">Pressupostos!$C$59*Pressupostos!$C$66/(Pressupostos!$C$58*1000)</f>
        <v>0.006</v>
      </c>
      <c r="E2253" s="60" t="n">
        <f aca="false">Pressupostos!$C$59*Pressupostos!$C$66/(Pressupostos!$C$58*1000)</f>
        <v>0.006</v>
      </c>
      <c r="F2253" s="60" t="n">
        <f aca="false">Pressupostos!$C$59*Pressupostos!$C$66/(Pressupostos!$C$58*1000)</f>
        <v>0.006</v>
      </c>
      <c r="G2253" s="60" t="n">
        <f aca="false">Pressupostos!$C$59*Pressupostos!$C$66/(Pressupostos!$C$58*1000)</f>
        <v>0.006</v>
      </c>
      <c r="H2253" s="2" t="s">
        <v>1177</v>
      </c>
    </row>
    <row r="2254" customFormat="false" ht="15" hidden="false" customHeight="false" outlineLevel="1" collapsed="false">
      <c r="A2254" s="7" t="s">
        <v>473</v>
      </c>
      <c r="B2254" s="8" t="s">
        <v>59</v>
      </c>
      <c r="C2254" s="60" t="n">
        <f aca="false">Pressupostos!$C$67*C2243</f>
        <v>0.0175</v>
      </c>
      <c r="D2254" s="60" t="n">
        <f aca="false">Pressupostos!$C$67*D2243</f>
        <v>0.0175</v>
      </c>
      <c r="E2254" s="60" t="n">
        <f aca="false">Pressupostos!$C$67*E2243</f>
        <v>0.0175</v>
      </c>
      <c r="F2254" s="60" t="n">
        <f aca="false">Pressupostos!$C$67*F2243</f>
        <v>0.0175</v>
      </c>
      <c r="G2254" s="60" t="n">
        <f aca="false">Pressupostos!$C$67*G2243</f>
        <v>0.0175</v>
      </c>
      <c r="H2254" s="2" t="s">
        <v>1178</v>
      </c>
    </row>
    <row r="2255" customFormat="false" ht="15" hidden="false" customHeight="false" outlineLevel="1" collapsed="false">
      <c r="A2255" s="7" t="s">
        <v>474</v>
      </c>
      <c r="B2255" s="8" t="s">
        <v>59</v>
      </c>
      <c r="C2255" s="60" t="n">
        <f aca="false">Pressupostos!$C$68*Pressupostos!$C$69*C2249/90</f>
        <v>0.0015</v>
      </c>
      <c r="D2255" s="60" t="n">
        <f aca="false">Pressupostos!$C$68*Pressupostos!$C$69*D2249/90</f>
        <v>0.0015</v>
      </c>
      <c r="E2255" s="60" t="n">
        <f aca="false">Pressupostos!$C$68*Pressupostos!$C$69*E2249/90</f>
        <v>0.0015</v>
      </c>
      <c r="F2255" s="60" t="n">
        <f aca="false">Pressupostos!$C$68*Pressupostos!$C$69*F2249/90</f>
        <v>0.0015</v>
      </c>
      <c r="G2255" s="60" t="n">
        <f aca="false">Pressupostos!$C$68*Pressupostos!$C$69*G2249/90</f>
        <v>0.0015</v>
      </c>
      <c r="H2255" s="2" t="s">
        <v>1179</v>
      </c>
    </row>
    <row r="2256" customFormat="false" ht="15" hidden="false" customHeight="false" outlineLevel="1" collapsed="false">
      <c r="A2256" s="7" t="s">
        <v>637</v>
      </c>
      <c r="B2256" s="8" t="s">
        <v>59</v>
      </c>
      <c r="C2256" s="60" t="n">
        <f aca="false">Pressupostos!$C$60/(Pressupostos!$C$58*1000)</f>
        <v>0.012</v>
      </c>
      <c r="D2256" s="60" t="n">
        <f aca="false">Pressupostos!$C$60/(Pressupostos!$C$58*1000)</f>
        <v>0.012</v>
      </c>
      <c r="E2256" s="60" t="n">
        <f aca="false">Pressupostos!$C$60/(Pressupostos!$C$58*1000)</f>
        <v>0.012</v>
      </c>
      <c r="F2256" s="60" t="n">
        <f aca="false">Pressupostos!$C$60/(Pressupostos!$C$58*1000)</f>
        <v>0.012</v>
      </c>
      <c r="G2256" s="60" t="n">
        <f aca="false">Pressupostos!$C$60/(Pressupostos!$C$58*1000)</f>
        <v>0.012</v>
      </c>
      <c r="H2256" s="2" t="s">
        <v>1180</v>
      </c>
    </row>
    <row r="2257" customFormat="false" ht="15" hidden="false" customHeight="false" outlineLevel="1" collapsed="false">
      <c r="A2257" s="7" t="s">
        <v>131</v>
      </c>
      <c r="B2257" s="8" t="s">
        <v>59</v>
      </c>
      <c r="C2257" s="63" t="n">
        <f aca="false">Pressupostos!$C$61</f>
        <v>0.001</v>
      </c>
      <c r="D2257" s="63" t="n">
        <f aca="false">Pressupostos!$C$61</f>
        <v>0.001</v>
      </c>
      <c r="E2257" s="63" t="n">
        <f aca="false">Pressupostos!$C$61</f>
        <v>0.001</v>
      </c>
      <c r="F2257" s="63" t="n">
        <f aca="false">Pressupostos!$C$61</f>
        <v>0.001</v>
      </c>
      <c r="G2257" s="63" t="n">
        <f aca="false">Pressupostos!$C$61</f>
        <v>0.001</v>
      </c>
      <c r="H2257" s="2" t="s">
        <v>1181</v>
      </c>
    </row>
    <row r="2258" customFormat="false" ht="15" hidden="false" customHeight="false" outlineLevel="1" collapsed="false">
      <c r="A2258" s="7" t="s">
        <v>76</v>
      </c>
      <c r="B2258" s="8" t="s">
        <v>59</v>
      </c>
      <c r="C2258" s="60" t="n">
        <f aca="false">Pressupostos!$C$62*C2245</f>
        <v>0.01095</v>
      </c>
      <c r="D2258" s="60" t="n">
        <f aca="false">Pressupostos!$C$62*D2245</f>
        <v>0.01095</v>
      </c>
      <c r="E2258" s="60" t="n">
        <f aca="false">Pressupostos!$C$62*E2245</f>
        <v>0.01095</v>
      </c>
      <c r="F2258" s="60" t="n">
        <f aca="false">Pressupostos!$C$62*F2245</f>
        <v>0.01095</v>
      </c>
      <c r="G2258" s="60" t="n">
        <f aca="false">Pressupostos!$C$62*G2245</f>
        <v>0.01095</v>
      </c>
      <c r="H2258" s="2" t="s">
        <v>1182</v>
      </c>
    </row>
    <row r="2259" customFormat="false" ht="15" hidden="false" customHeight="false" outlineLevel="1" collapsed="false">
      <c r="A2259" s="7" t="s">
        <v>638</v>
      </c>
      <c r="B2259" s="8" t="s">
        <v>59</v>
      </c>
      <c r="C2259" s="60" t="n">
        <f aca="false">Pressupostos!$C$71*C2245</f>
        <v>0</v>
      </c>
      <c r="D2259" s="60" t="n">
        <f aca="false">Pressupostos!$C$71*D2245</f>
        <v>0</v>
      </c>
      <c r="E2259" s="60" t="n">
        <f aca="false">Pressupostos!$C$71*E2245</f>
        <v>0</v>
      </c>
      <c r="F2259" s="60" t="n">
        <f aca="false">Pressupostos!$C$71*F2245</f>
        <v>0</v>
      </c>
      <c r="G2259" s="60" t="n">
        <f aca="false">Pressupostos!$C$71*G2245</f>
        <v>0</v>
      </c>
      <c r="H2259" s="2" t="s">
        <v>1183</v>
      </c>
    </row>
    <row r="2260" customFormat="false" ht="15" hidden="false" customHeight="false" outlineLevel="1" collapsed="false">
      <c r="A2260" s="7" t="s">
        <v>639</v>
      </c>
      <c r="B2260" s="8" t="s">
        <v>59</v>
      </c>
      <c r="C2260" s="60" t="n">
        <f aca="false">Pressupostos!$C$283*(C2243+C2246)*(C2249+C2250-Pressupostos!$C$70)/365*Pressupostos!$C$277/Pressupostos!$D$31</f>
        <v>0</v>
      </c>
      <c r="D2260" s="60" t="n">
        <f aca="false">Pressupostos!$D$283*(D2243+D2246)*(D2249+D2250-Pressupostos!$C$70)/365*Pressupostos!$D$277/Pressupostos!$D$31</f>
        <v>0.0258904109589041</v>
      </c>
      <c r="E2260" s="60" t="n">
        <f aca="false">Pressupostos!$E$283*(E2243+E2246)*(E2249+E2250-Pressupostos!$C$70)/365*Pressupostos!$E$277/Pressupostos!$D$31</f>
        <v>0.0242722602739726</v>
      </c>
      <c r="F2260" s="60" t="n">
        <f aca="false">Pressupostos!$F$283*(F2243+F2246)*(F2249+F2250-Pressupostos!$C$70)/365*Pressupostos!$F$277/Pressupostos!$D$31</f>
        <v>0.0226541095890411</v>
      </c>
      <c r="G2260" s="60" t="n">
        <f aca="false">Pressupostos!$G$283*(G2243+G2246)*(G2249+G2250-Pressupostos!$C$70)/365*Pressupostos!$G$277/Pressupostos!$D$31</f>
        <v>0.0226541095890411</v>
      </c>
      <c r="H2260" s="2" t="s">
        <v>1184</v>
      </c>
    </row>
    <row r="2261" customFormat="false" ht="15" hidden="false" customHeight="false" outlineLevel="1" collapsed="false">
      <c r="A2261" s="7" t="s">
        <v>640</v>
      </c>
      <c r="B2261" s="8" t="s">
        <v>59</v>
      </c>
      <c r="C2261" s="60" t="n">
        <f aca="false">C2243+C2246+C2247+C2248+C2251+C2252+C2253+C2254+C2255+C2256+C2257+C2258+C2259+C2260</f>
        <v>3.59123767123288</v>
      </c>
      <c r="D2261" s="60" t="n">
        <f aca="false">D2243+D2246+D2247+D2248+D2251+D2252+D2253+D2254+D2255+D2256+D2257+D2258+D2259+D2260</f>
        <v>3.61712808219178</v>
      </c>
      <c r="E2261" s="60" t="n">
        <f aca="false">E2243+E2246+E2247+E2248+E2251+E2252+E2253+E2254+E2255+E2256+E2257+E2258+E2259+E2260</f>
        <v>3.61550993150685</v>
      </c>
      <c r="F2261" s="60" t="n">
        <f aca="false">F2243+F2246+F2247+F2248+F2251+F2252+F2253+F2254+F2255+F2256+F2257+F2258+F2259+F2260</f>
        <v>3.61389178082192</v>
      </c>
      <c r="G2261" s="60" t="n">
        <f aca="false">G2243+G2246+G2247+G2248+G2251+G2252+G2253+G2254+G2255+G2256+G2257+G2258+G2259+G2260</f>
        <v>3.61389178082192</v>
      </c>
      <c r="H2261" s="2" t="s">
        <v>1185</v>
      </c>
    </row>
    <row r="2262" customFormat="false" ht="15" hidden="false" customHeight="false" outlineLevel="1" collapsed="false">
      <c r="A2262" s="52" t="s">
        <v>641</v>
      </c>
      <c r="B2262" s="53" t="s">
        <v>59</v>
      </c>
      <c r="C2262" s="64" t="n">
        <f aca="false">C2245-C2261</f>
        <v>0.058762328767124</v>
      </c>
      <c r="D2262" s="64" t="n">
        <f aca="false">D2245-D2261</f>
        <v>0.0328719178082197</v>
      </c>
      <c r="E2262" s="64" t="n">
        <f aca="false">E2245-E2261</f>
        <v>0.0344900684931515</v>
      </c>
      <c r="F2262" s="64" t="n">
        <f aca="false">F2245-F2261</f>
        <v>0.0361082191780828</v>
      </c>
      <c r="G2262" s="64" t="n">
        <f aca="false">G2245-G2261</f>
        <v>0.0361082191780828</v>
      </c>
      <c r="H2262" s="2" t="s">
        <v>1186</v>
      </c>
    </row>
    <row r="2263" customFormat="false" ht="15" hidden="false" customHeight="false" outlineLevel="1" collapsed="false">
      <c r="A2263" s="7" t="s">
        <v>642</v>
      </c>
      <c r="B2263" s="8" t="s">
        <v>71</v>
      </c>
      <c r="C2263" s="55" t="n">
        <f aca="false">IF(C2245&gt;0,C2262/C2245,0)</f>
        <v>0.0160992681553764</v>
      </c>
      <c r="D2263" s="55" t="n">
        <f aca="false">IF(D2245&gt;0,D2262/D2245,0)</f>
        <v>0.00900600487896431</v>
      </c>
      <c r="E2263" s="55" t="n">
        <f aca="false">IF(E2245&gt;0,E2262/E2245,0)</f>
        <v>0.00944933383374014</v>
      </c>
      <c r="F2263" s="55" t="n">
        <f aca="false">IF(F2245&gt;0,F2262/F2245,0)</f>
        <v>0.00989266278851584</v>
      </c>
      <c r="G2263" s="55" t="n">
        <f aca="false">IF(G2245&gt;0,G2262/G2245,0)</f>
        <v>0.00989266278851584</v>
      </c>
      <c r="H2263" s="2" t="s">
        <v>1187</v>
      </c>
    </row>
    <row r="2264" customFormat="false" ht="15" hidden="false" customHeight="false" outlineLevel="1" collapsed="false">
      <c r="A2264" s="7" t="s">
        <v>643</v>
      </c>
      <c r="B2264" s="8" t="s">
        <v>59</v>
      </c>
      <c r="C2264" s="60" t="n">
        <f aca="false">(C2243+C2246)*(C2249-Pressupostos!$C$70)/365+C2245*C2250/365</f>
        <v>0.306164383561644</v>
      </c>
      <c r="D2264" s="60" t="n">
        <f aca="false">(D2243+D2246)*(D2249-Pressupostos!$C$70)/365+D2245*D2250/365</f>
        <v>0.306164383561644</v>
      </c>
      <c r="E2264" s="60" t="n">
        <f aca="false">(E2243+E2246)*(E2249-Pressupostos!$C$70)/365+E2245*E2250/365</f>
        <v>0.306164383561644</v>
      </c>
      <c r="F2264" s="60" t="n">
        <f aca="false">(F2243+F2246)*(F2249-Pressupostos!$C$70)/365+F2245*F2250/365</f>
        <v>0.306164383561644</v>
      </c>
      <c r="G2264" s="60" t="n">
        <f aca="false">(G2243+G2246)*(G2249-Pressupostos!$C$70)/365+G2245*G2250/365</f>
        <v>0.306164383561644</v>
      </c>
      <c r="H2264" s="2" t="s">
        <v>1188</v>
      </c>
    </row>
    <row r="2265" customFormat="false" ht="15" hidden="false" customHeight="false" outlineLevel="0" collapsed="false">
      <c r="A2265" s="3" t="s">
        <v>1189</v>
      </c>
      <c r="B2265" s="4"/>
      <c r="C2265" s="4"/>
      <c r="D2265" s="4"/>
      <c r="E2265" s="4"/>
      <c r="F2265" s="4"/>
      <c r="G2265" s="4"/>
      <c r="H2265" s="4"/>
    </row>
    <row r="2266" customFormat="false" ht="15" hidden="false" customHeight="false" outlineLevel="1" collapsed="false">
      <c r="A2266" s="7" t="s">
        <v>575</v>
      </c>
      <c r="B2266" s="8" t="s">
        <v>10</v>
      </c>
      <c r="C2266" s="58" t="n">
        <f aca="false">C2181*1000*C2199</f>
        <v>28476</v>
      </c>
      <c r="D2266" s="58" t="n">
        <f aca="false">D2181*1000*D2199</f>
        <v>131701.5</v>
      </c>
      <c r="E2266" s="58" t="n">
        <f aca="false">E2181*1000*E2199</f>
        <v>473413.5</v>
      </c>
      <c r="F2266" s="58" t="n">
        <f aca="false">F2181*1000*F2199</f>
        <v>950386.5</v>
      </c>
      <c r="G2266" s="58" t="n">
        <f aca="false">G2181*1000*G2199</f>
        <v>1459395</v>
      </c>
      <c r="H2266" s="2" t="s">
        <v>1190</v>
      </c>
    </row>
    <row r="2267" customFormat="false" ht="15" hidden="false" customHeight="false" outlineLevel="1" collapsed="false">
      <c r="A2267" s="7" t="s">
        <v>576</v>
      </c>
      <c r="B2267" s="8" t="s">
        <v>10</v>
      </c>
      <c r="C2267" s="58" t="n">
        <f aca="false">C2182*1000*C2222</f>
        <v>158340</v>
      </c>
      <c r="D2267" s="58" t="n">
        <f aca="false">D2182*1000*D2222</f>
        <v>1105335</v>
      </c>
      <c r="E2267" s="58" t="n">
        <f aca="false">E2182*1000*E2222</f>
        <v>2183265</v>
      </c>
      <c r="F2267" s="58" t="n">
        <f aca="false">F2182*1000*F2222</f>
        <v>3602235</v>
      </c>
      <c r="G2267" s="58" t="n">
        <f aca="false">G2182*1000*G2222</f>
        <v>5450550</v>
      </c>
      <c r="H2267" s="2" t="s">
        <v>1191</v>
      </c>
    </row>
    <row r="2268" customFormat="false" ht="15" hidden="false" customHeight="false" outlineLevel="1" collapsed="false">
      <c r="A2268" s="7" t="s">
        <v>577</v>
      </c>
      <c r="B2268" s="8" t="s">
        <v>10</v>
      </c>
      <c r="C2268" s="58" t="n">
        <f aca="false">C2183*1000*C2245</f>
        <v>0</v>
      </c>
      <c r="D2268" s="58" t="n">
        <f aca="false">D2183*1000*D2245</f>
        <v>0</v>
      </c>
      <c r="E2268" s="58" t="n">
        <f aca="false">E2183*1000*E2245</f>
        <v>0</v>
      </c>
      <c r="F2268" s="58" t="n">
        <f aca="false">F2183*1000*F2245</f>
        <v>0</v>
      </c>
      <c r="G2268" s="58" t="n">
        <f aca="false">G2183*1000*G2245</f>
        <v>0</v>
      </c>
      <c r="H2268" s="2" t="s">
        <v>1192</v>
      </c>
    </row>
    <row r="2269" customFormat="false" ht="15" hidden="false" customHeight="false" outlineLevel="1" collapsed="false">
      <c r="A2269" s="7" t="s">
        <v>578</v>
      </c>
      <c r="B2269" s="8" t="s">
        <v>10</v>
      </c>
      <c r="C2269" s="58" t="n">
        <f aca="false">C2266+C2267+C2268</f>
        <v>186816</v>
      </c>
      <c r="D2269" s="58" t="n">
        <f aca="false">D2266+D2267+D2268</f>
        <v>1237036.5</v>
      </c>
      <c r="E2269" s="58" t="n">
        <f aca="false">E2266+E2267+E2268</f>
        <v>2656678.5</v>
      </c>
      <c r="F2269" s="58" t="n">
        <f aca="false">F2266+F2267+F2268</f>
        <v>4552621.5</v>
      </c>
      <c r="G2269" s="58" t="n">
        <f aca="false">G2266+G2267+G2268</f>
        <v>6909945</v>
      </c>
      <c r="H2269" s="2" t="s">
        <v>1193</v>
      </c>
    </row>
    <row r="2270" customFormat="false" ht="15" hidden="false" customHeight="false" outlineLevel="1" collapsed="false">
      <c r="A2270" s="7" t="s">
        <v>579</v>
      </c>
      <c r="B2270" s="8" t="s">
        <v>10</v>
      </c>
      <c r="C2270" s="58" t="n">
        <f aca="false">C2192*1000*Pressupostos!$C$91</f>
        <v>0</v>
      </c>
      <c r="D2270" s="58" t="n">
        <f aca="false">D2192*1000*Pressupostos!$C$91</f>
        <v>0</v>
      </c>
      <c r="E2270" s="58" t="n">
        <f aca="false">E2192*1000*Pressupostos!$C$91</f>
        <v>164850</v>
      </c>
      <c r="F2270" s="58" t="n">
        <f aca="false">F2192*1000*Pressupostos!$C$91</f>
        <v>329700</v>
      </c>
      <c r="G2270" s="58" t="n">
        <f aca="false">G2192*1000*Pressupostos!$C$91</f>
        <v>549500</v>
      </c>
      <c r="H2270" s="2" t="s">
        <v>1194</v>
      </c>
    </row>
    <row r="2271" customFormat="false" ht="15" hidden="false" customHeight="false" outlineLevel="1" collapsed="false">
      <c r="A2271" s="2" t="s">
        <v>580</v>
      </c>
      <c r="B2271" s="8" t="s">
        <v>10</v>
      </c>
      <c r="C2271" s="58" t="n">
        <f aca="false">C2190*Pressupostos!$C$78*(1-Pressupostos!$C$79)</f>
        <v>28350</v>
      </c>
      <c r="D2271" s="58" t="n">
        <f aca="false">D2190*Pressupostos!$C$78*(1-Pressupostos!$C$79)</f>
        <v>113400</v>
      </c>
      <c r="E2271" s="58" t="n">
        <f aca="false">E2190*Pressupostos!$C$78*(1-Pressupostos!$C$79)</f>
        <v>189000</v>
      </c>
      <c r="F2271" s="58" t="n">
        <f aca="false">F2190*Pressupostos!$C$78*(1-Pressupostos!$C$79)</f>
        <v>264600</v>
      </c>
      <c r="G2271" s="58" t="n">
        <f aca="false">G2190*Pressupostos!$C$78*(1-Pressupostos!$C$79)</f>
        <v>340200</v>
      </c>
      <c r="H2271" s="2" t="s">
        <v>1195</v>
      </c>
    </row>
    <row r="2272" customFormat="false" ht="15" hidden="false" customHeight="false" outlineLevel="1" collapsed="false">
      <c r="A2272" s="7" t="s">
        <v>581</v>
      </c>
      <c r="B2272" s="8" t="s">
        <v>10</v>
      </c>
      <c r="C2272" s="58" t="n">
        <f aca="false">C2271*Pressupostos!$D$27</f>
        <v>567</v>
      </c>
      <c r="D2272" s="58" t="n">
        <f aca="false">D2271*Pressupostos!$D$27</f>
        <v>2268</v>
      </c>
      <c r="E2272" s="58" t="n">
        <f aca="false">E2271*Pressupostos!$D$27</f>
        <v>3780</v>
      </c>
      <c r="F2272" s="58" t="n">
        <f aca="false">F2271*Pressupostos!$D$27</f>
        <v>5292</v>
      </c>
      <c r="G2272" s="58" t="n">
        <f aca="false">G2271*Pressupostos!$D$27</f>
        <v>6804</v>
      </c>
      <c r="H2272" s="2" t="s">
        <v>1196</v>
      </c>
    </row>
    <row r="2273" customFormat="false" ht="15" hidden="false" customHeight="false" outlineLevel="1" collapsed="false">
      <c r="A2273" s="7" t="s">
        <v>582</v>
      </c>
      <c r="B2273" s="8" t="s">
        <v>10</v>
      </c>
      <c r="C2273" s="58" t="n">
        <f aca="false">C2194*(Pressupostos!$C$99*Pressupostos!$C$100+Pressupostos!$C$101)</f>
        <v>0</v>
      </c>
      <c r="D2273" s="58" t="n">
        <f aca="false">D2194*(Pressupostos!$C$99*Pressupostos!$C$100+Pressupostos!$C$101)</f>
        <v>10000</v>
      </c>
      <c r="E2273" s="58" t="n">
        <f aca="false">E2194*(Pressupostos!$C$99*Pressupostos!$C$100+Pressupostos!$C$101)</f>
        <v>30000</v>
      </c>
      <c r="F2273" s="58" t="n">
        <f aca="false">F2194*(Pressupostos!$C$99*Pressupostos!$C$100+Pressupostos!$C$101)</f>
        <v>60000</v>
      </c>
      <c r="G2273" s="58" t="n">
        <f aca="false">G2194*(Pressupostos!$C$99*Pressupostos!$C$100+Pressupostos!$C$101)</f>
        <v>100000</v>
      </c>
      <c r="H2273" s="2" t="s">
        <v>1197</v>
      </c>
    </row>
    <row r="2274" customFormat="false" ht="15" hidden="false" customHeight="false" outlineLevel="1" collapsed="false">
      <c r="A2274" s="7" t="s">
        <v>583</v>
      </c>
      <c r="B2274" s="8" t="s">
        <v>10</v>
      </c>
      <c r="C2274" s="50" t="n">
        <f aca="false">Pressupostos!$C$270</f>
        <v>0</v>
      </c>
      <c r="D2274" s="50" t="n">
        <f aca="false">Pressupostos!$D$270</f>
        <v>0</v>
      </c>
      <c r="E2274" s="50" t="n">
        <f aca="false">Pressupostos!$E$270</f>
        <v>0</v>
      </c>
      <c r="F2274" s="50" t="n">
        <f aca="false">Pressupostos!$F$270</f>
        <v>10000</v>
      </c>
      <c r="G2274" s="50" t="n">
        <f aca="false">Pressupostos!$G$270</f>
        <v>30000</v>
      </c>
      <c r="H2274" s="2" t="s">
        <v>1198</v>
      </c>
    </row>
    <row r="2275" customFormat="false" ht="15" hidden="false" customHeight="false" outlineLevel="1" collapsed="false">
      <c r="A2275" s="52" t="s">
        <v>584</v>
      </c>
      <c r="B2275" s="53" t="s">
        <v>10</v>
      </c>
      <c r="C2275" s="59" t="n">
        <f aca="false">C2269+C2270+C2272+C2273+C2274</f>
        <v>187383</v>
      </c>
      <c r="D2275" s="59" t="n">
        <f aca="false">D2269+D2270+D2272+D2273+D2274</f>
        <v>1249304.5</v>
      </c>
      <c r="E2275" s="59" t="n">
        <f aca="false">E2269+E2270+E2272+E2273+E2274</f>
        <v>2855308.5</v>
      </c>
      <c r="F2275" s="59" t="n">
        <f aca="false">F2269+F2270+F2272+F2273+F2274</f>
        <v>4957613.5</v>
      </c>
      <c r="G2275" s="59" t="n">
        <f aca="false">G2269+G2270+G2272+G2273+G2274</f>
        <v>7596249</v>
      </c>
      <c r="H2275" s="2" t="s">
        <v>1199</v>
      </c>
    </row>
    <row r="2276" customFormat="false" ht="15" hidden="false" customHeight="false" outlineLevel="0" collapsed="false">
      <c r="A2276" s="3" t="s">
        <v>1200</v>
      </c>
      <c r="B2276" s="4"/>
      <c r="C2276" s="4"/>
      <c r="D2276" s="4"/>
      <c r="E2276" s="4"/>
      <c r="F2276" s="4"/>
      <c r="G2276" s="4"/>
      <c r="H2276" s="4"/>
    </row>
    <row r="2277" customFormat="false" ht="15" hidden="false" customHeight="false" outlineLevel="1" collapsed="false">
      <c r="A2277" s="52" t="s">
        <v>586</v>
      </c>
      <c r="B2277" s="53" t="s">
        <v>10</v>
      </c>
      <c r="C2277" s="59" t="n">
        <f aca="false">C2269+C2270+C2271</f>
        <v>215166</v>
      </c>
      <c r="D2277" s="59" t="n">
        <f aca="false">D2269+D2270+D2271</f>
        <v>1350436.5</v>
      </c>
      <c r="E2277" s="59" t="n">
        <f aca="false">E2269+E2270+E2271</f>
        <v>3010528.5</v>
      </c>
      <c r="F2277" s="59" t="n">
        <f aca="false">F2269+F2270+F2271</f>
        <v>5146921.5</v>
      </c>
      <c r="G2277" s="59" t="n">
        <f aca="false">G2269+G2270+G2271</f>
        <v>7799645</v>
      </c>
      <c r="H2277" s="2" t="s">
        <v>1201</v>
      </c>
    </row>
    <row r="2278" customFormat="false" ht="15" hidden="false" customHeight="false" outlineLevel="1" collapsed="false">
      <c r="A2278" s="7" t="s">
        <v>587</v>
      </c>
      <c r="B2278" s="8" t="s">
        <v>10</v>
      </c>
      <c r="C2278" s="58" t="n">
        <f aca="false">C2181*1000*(C2197+C2200)+C2182*1000*(C2220+C2223)+C2183*1000*(C2243+C2246)+C2192*1000*Pressupostos!$C$90</f>
        <v>170660</v>
      </c>
      <c r="D2278" s="58" t="n">
        <f aca="false">D2181*1000*(D2197+D2200)+D2182*1000*(D2220+D2223)+D2183*1000*(D2243+D2246)+D2192*1000*Pressupostos!$C$90</f>
        <v>1136590</v>
      </c>
      <c r="E2278" s="58" t="n">
        <f aca="false">E2181*1000*(E2197+E2200)+E2182*1000*(E2220+E2223)+E2183*1000*(E2243+E2246)+E2192*1000*Pressupostos!$C$90</f>
        <v>2566060</v>
      </c>
      <c r="F2278" s="58" t="n">
        <f aca="false">F2181*1000*(F2197+F2200)+F2182*1000*(F2220+F2223)+F2183*1000*(F2243+F2246)+F2192*1000*Pressupostos!$C$90</f>
        <v>4423440</v>
      </c>
      <c r="G2278" s="58" t="n">
        <f aca="false">G2181*1000*(G2197+G2200)+G2182*1000*(G2220+G2223)+G2183*1000*(G2243+G2246)+G2192*1000*Pressupostos!$C$90</f>
        <v>6755700</v>
      </c>
      <c r="H2278" s="2" t="s">
        <v>1202</v>
      </c>
    </row>
    <row r="2279" customFormat="false" ht="15" hidden="false" customHeight="false" outlineLevel="1" collapsed="false">
      <c r="A2279" s="7" t="s">
        <v>588</v>
      </c>
      <c r="B2279" s="8" t="s">
        <v>10</v>
      </c>
      <c r="C2279" s="58" t="n">
        <f aca="false">C2278*Pressupostos!$C$277</f>
        <v>0</v>
      </c>
      <c r="D2279" s="58" t="n">
        <f aca="false">D2278*Pressupostos!$D$277</f>
        <v>1022931</v>
      </c>
      <c r="E2279" s="58" t="n">
        <f aca="false">E2278*Pressupostos!$E$277</f>
        <v>2309454</v>
      </c>
      <c r="F2279" s="58" t="n">
        <f aca="false">F2278*Pressupostos!$F$277</f>
        <v>3981096</v>
      </c>
      <c r="G2279" s="58" t="n">
        <f aca="false">G2278*Pressupostos!$G$277</f>
        <v>6080130</v>
      </c>
      <c r="H2279" s="2" t="s">
        <v>1203</v>
      </c>
    </row>
    <row r="2280" customFormat="false" ht="15" hidden="false" customHeight="false" outlineLevel="0" collapsed="false">
      <c r="A2280" s="3" t="s">
        <v>1204</v>
      </c>
      <c r="B2280" s="4"/>
      <c r="C2280" s="4"/>
      <c r="D2280" s="4"/>
      <c r="E2280" s="4"/>
      <c r="F2280" s="4"/>
      <c r="G2280" s="4"/>
      <c r="H2280" s="4"/>
    </row>
    <row r="2281" customFormat="false" ht="15" hidden="false" customHeight="false" outlineLevel="1" collapsed="false">
      <c r="A2281" s="7" t="s">
        <v>590</v>
      </c>
      <c r="B2281" s="8" t="s">
        <v>10</v>
      </c>
      <c r="C2281" s="58" t="n">
        <f aca="false">C2181*1000*C2216</f>
        <v>1909.26016438357</v>
      </c>
      <c r="D2281" s="58" t="n">
        <f aca="false">D2181*1000*D2216</f>
        <v>3927.2453835617</v>
      </c>
      <c r="E2281" s="58" t="n">
        <f aca="false">E2181*1000*E2216</f>
        <v>32318.3354554795</v>
      </c>
      <c r="F2281" s="58" t="n">
        <f aca="false">F2181*1000*F2216</f>
        <v>67346.3298698633</v>
      </c>
      <c r="G2281" s="58" t="n">
        <f aca="false">G2181*1000*G2216</f>
        <v>103415.712534247</v>
      </c>
      <c r="H2281" s="2" t="s">
        <v>1205</v>
      </c>
    </row>
    <row r="2282" customFormat="false" ht="15" hidden="false" customHeight="false" outlineLevel="1" collapsed="false">
      <c r="A2282" s="7" t="s">
        <v>591</v>
      </c>
      <c r="B2282" s="8" t="s">
        <v>10</v>
      </c>
      <c r="C2282" s="58" t="n">
        <f aca="false">C2182*1000*C2239</f>
        <v>3507.43917808223</v>
      </c>
      <c r="D2282" s="58" t="n">
        <f aca="false">D2182*1000*D2239</f>
        <v>13065.7871917811</v>
      </c>
      <c r="E2282" s="58" t="n">
        <f aca="false">E2182*1000*E2239</f>
        <v>32236.2893065072</v>
      </c>
      <c r="F2282" s="58" t="n">
        <f aca="false">F2182*1000*F2239</f>
        <v>55513.4701541099</v>
      </c>
      <c r="G2282" s="58" t="n">
        <f aca="false">G2182*1000*G2239</f>
        <v>83997.5583904115</v>
      </c>
      <c r="H2282" s="2" t="s">
        <v>1206</v>
      </c>
    </row>
    <row r="2283" customFormat="false" ht="15" hidden="false" customHeight="false" outlineLevel="1" collapsed="false">
      <c r="A2283" s="7" t="s">
        <v>592</v>
      </c>
      <c r="B2283" s="8" t="s">
        <v>10</v>
      </c>
      <c r="C2283" s="58" t="n">
        <f aca="false">C2183*1000*C2262</f>
        <v>0</v>
      </c>
      <c r="D2283" s="58" t="n">
        <f aca="false">D2183*1000*D2262</f>
        <v>0</v>
      </c>
      <c r="E2283" s="58" t="n">
        <f aca="false">E2183*1000*E2262</f>
        <v>0</v>
      </c>
      <c r="F2283" s="58" t="n">
        <f aca="false">F2183*1000*F2262</f>
        <v>0</v>
      </c>
      <c r="G2283" s="58" t="n">
        <f aca="false">G2183*1000*G2262</f>
        <v>0</v>
      </c>
      <c r="H2283" s="2" t="s">
        <v>1207</v>
      </c>
    </row>
    <row r="2284" customFormat="false" ht="15" hidden="false" customHeight="false" outlineLevel="1" collapsed="false">
      <c r="A2284" s="7" t="s">
        <v>593</v>
      </c>
      <c r="B2284" s="8" t="s">
        <v>10</v>
      </c>
      <c r="C2284" s="58" t="n">
        <f aca="false">C2281+C2282+C2283</f>
        <v>5416.6993424658</v>
      </c>
      <c r="D2284" s="58" t="n">
        <f aca="false">D2281+D2282+D2283</f>
        <v>16993.0325753428</v>
      </c>
      <c r="E2284" s="58" t="n">
        <f aca="false">E2281+E2282+E2283</f>
        <v>64554.6247619867</v>
      </c>
      <c r="F2284" s="58" t="n">
        <f aca="false">F2281+F2282+F2283</f>
        <v>122859.800023973</v>
      </c>
      <c r="G2284" s="58" t="n">
        <f aca="false">G2281+G2282+G2283</f>
        <v>187413.270924658</v>
      </c>
      <c r="H2284" s="2" t="s">
        <v>1208</v>
      </c>
    </row>
    <row r="2285" customFormat="false" ht="15" hidden="false" customHeight="false" outlineLevel="1" collapsed="false">
      <c r="A2285" s="7" t="s">
        <v>594</v>
      </c>
      <c r="B2285" s="8" t="s">
        <v>59</v>
      </c>
      <c r="C2285" s="60" t="n">
        <f aca="false">IF(C2184&gt;0,C2284/(C2184*1000),0)</f>
        <v>0.128969031963471</v>
      </c>
      <c r="D2285" s="60" t="n">
        <f aca="false">IF(D2184&gt;0,D2284/(D2184*1000),0)</f>
        <v>0.0606894020547957</v>
      </c>
      <c r="E2285" s="60" t="n">
        <f aca="false">IF(E2184&gt;0,E2284/(E2184*1000),0)</f>
        <v>0.108495167667205</v>
      </c>
      <c r="F2285" s="60" t="n">
        <f aca="false">IF(F2184&gt;0,F2284/(F2184*1000),0)</f>
        <v>0.121044137954653</v>
      </c>
      <c r="G2285" s="60" t="n">
        <f aca="false">IF(G2184&gt;0,G2284/(G2184*1000),0)</f>
        <v>0.121696929171856</v>
      </c>
      <c r="H2285" s="2" t="s">
        <v>1209</v>
      </c>
    </row>
    <row r="2286" customFormat="false" ht="15" hidden="false" customHeight="false" outlineLevel="1" collapsed="false">
      <c r="A2286" s="7" t="s">
        <v>595</v>
      </c>
      <c r="B2286" s="8" t="s">
        <v>71</v>
      </c>
      <c r="C2286" s="55" t="n">
        <f aca="false">IF(C2269&gt;0,C2284/C2269,0)</f>
        <v>0.0289948363227229</v>
      </c>
      <c r="D2286" s="55" t="n">
        <f aca="false">IF(D2269&gt;0,D2284/D2269,0)</f>
        <v>0.0137368885844054</v>
      </c>
      <c r="E2286" s="55" t="n">
        <f aca="false">IF(E2269&gt;0,E2284/E2269,0)</f>
        <v>0.0242989977003189</v>
      </c>
      <c r="F2286" s="55" t="n">
        <f aca="false">IF(F2269&gt;0,F2284/F2269,0)</f>
        <v>0.0269866054149182</v>
      </c>
      <c r="G2286" s="55" t="n">
        <f aca="false">IF(G2269&gt;0,G2284/G2269,0)</f>
        <v>0.0271222521922618</v>
      </c>
      <c r="H2286" s="2" t="s">
        <v>1210</v>
      </c>
    </row>
    <row r="2287" customFormat="false" ht="15" hidden="false" customHeight="false" outlineLevel="1" collapsed="false">
      <c r="A2287" s="2" t="s">
        <v>596</v>
      </c>
      <c r="B2287" s="8" t="s">
        <v>59</v>
      </c>
      <c r="C2287" s="60" t="n">
        <f aca="false">Pressupostos!$C$283*Pressupostos!$C$90*(Pressupostos!$C$93+Pressupostos!$C$94-Pressupostos!$C$95)/365*Pressupostos!$C$277/Pressupostos!$D$31</f>
        <v>0</v>
      </c>
      <c r="D2287" s="60" t="n">
        <f aca="false">Pressupostos!$D$283*Pressupostos!$C$90*(Pressupostos!$C$93+Pressupostos!$C$94-Pressupostos!$C$95)/365*Pressupostos!$D$277/Pressupostos!$D$31</f>
        <v>0.0776712328767123</v>
      </c>
      <c r="E2287" s="60" t="n">
        <f aca="false">Pressupostos!$E$283*Pressupostos!$C$90*(Pressupostos!$C$93+Pressupostos!$C$94-Pressupostos!$C$95)/365*Pressupostos!$E$277/Pressupostos!$D$31</f>
        <v>0.0728167808219178</v>
      </c>
      <c r="F2287" s="60" t="n">
        <f aca="false">Pressupostos!$F$283*Pressupostos!$C$90*(Pressupostos!$C$93+Pressupostos!$C$94-Pressupostos!$C$95)/365*Pressupostos!$F$277/Pressupostos!$D$31</f>
        <v>0.0679623287671233</v>
      </c>
      <c r="G2287" s="60" t="n">
        <f aca="false">Pressupostos!$G$283*Pressupostos!$C$90*(Pressupostos!$C$93+Pressupostos!$C$94-Pressupostos!$C$95)/365*Pressupostos!$G$277/Pressupostos!$D$31</f>
        <v>0.0679623287671233</v>
      </c>
      <c r="H2287" s="2" t="s">
        <v>1211</v>
      </c>
    </row>
    <row r="2288" customFormat="false" ht="15" hidden="false" customHeight="false" outlineLevel="1" collapsed="false">
      <c r="A2288" s="7" t="s">
        <v>567</v>
      </c>
      <c r="B2288" s="8" t="s">
        <v>10</v>
      </c>
      <c r="C2288" s="58" t="n">
        <f aca="false">C2192*1000*(Pressupostos!$C$91-Pressupostos!$C$90-Pressupostos!$C$92-C2287-Pressupostos!$C$96*Pressupostos!$C$91-Pressupostos!$C$97-Pressupostos!$D$29*Pressupostos!$C$90)</f>
        <v>0</v>
      </c>
      <c r="D2288" s="58" t="n">
        <f aca="false">D2192*1000*(Pressupostos!$C$91-Pressupostos!$C$90-Pressupostos!$C$92-D2287-Pressupostos!$C$96*Pressupostos!$C$91-Pressupostos!$C$97-Pressupostos!$D$29*Pressupostos!$C$90)</f>
        <v>0</v>
      </c>
      <c r="E2288" s="58" t="n">
        <f aca="false">E2192*1000*(Pressupostos!$C$91-Pressupostos!$C$90-Pressupostos!$C$92-E2287-Pressupostos!$C$96*Pressupostos!$C$91-Pressupostos!$C$97-Pressupostos!$D$29*Pressupostos!$C$90)</f>
        <v>11551.7476027397</v>
      </c>
      <c r="F2288" s="58" t="n">
        <f aca="false">F2192*1000*(Pressupostos!$C$91-Pressupostos!$C$90-Pressupostos!$C$92-F2287-Pressupostos!$C$96*Pressupostos!$C$91-Pressupostos!$C$97-Pressupostos!$D$29*Pressupostos!$C$90)</f>
        <v>23307.3821917808</v>
      </c>
      <c r="G2288" s="58" t="n">
        <f aca="false">G2192*1000*(Pressupostos!$C$91-Pressupostos!$C$90-Pressupostos!$C$92-G2287-Pressupostos!$C$96*Pressupostos!$C$91-Pressupostos!$C$97-Pressupostos!$D$29*Pressupostos!$C$90)</f>
        <v>38845.6369863013</v>
      </c>
      <c r="H2288" s="2" t="s">
        <v>1212</v>
      </c>
    </row>
    <row r="2289" customFormat="false" ht="15" hidden="false" customHeight="false" outlineLevel="1" collapsed="false">
      <c r="A2289" s="7" t="s">
        <v>597</v>
      </c>
      <c r="B2289" s="8" t="s">
        <v>10</v>
      </c>
      <c r="C2289" s="58" t="n">
        <f aca="false">C2272</f>
        <v>567</v>
      </c>
      <c r="D2289" s="58" t="n">
        <f aca="false">D2272</f>
        <v>2268</v>
      </c>
      <c r="E2289" s="58" t="n">
        <f aca="false">E2272</f>
        <v>3780</v>
      </c>
      <c r="F2289" s="58" t="n">
        <f aca="false">F2272</f>
        <v>5292</v>
      </c>
      <c r="G2289" s="58" t="n">
        <f aca="false">G2272</f>
        <v>6804</v>
      </c>
      <c r="H2289" s="2" t="s">
        <v>1213</v>
      </c>
    </row>
    <row r="2290" customFormat="false" ht="15" hidden="false" customHeight="false" outlineLevel="1" collapsed="false">
      <c r="A2290" s="7" t="s">
        <v>598</v>
      </c>
      <c r="B2290" s="8" t="s">
        <v>10</v>
      </c>
      <c r="C2290" s="58" t="n">
        <f aca="false">C2273-C2305</f>
        <v>0</v>
      </c>
      <c r="D2290" s="58" t="n">
        <f aca="false">D2273-D2305</f>
        <v>1771.42857142857</v>
      </c>
      <c r="E2290" s="58" t="n">
        <f aca="false">E2273-E2305</f>
        <v>5314.28571428572</v>
      </c>
      <c r="F2290" s="58" t="n">
        <f aca="false">F2273-F2305</f>
        <v>10628.5714285714</v>
      </c>
      <c r="G2290" s="58" t="n">
        <f aca="false">G2273-G2305</f>
        <v>17714.2857142857</v>
      </c>
      <c r="H2290" s="2" t="s">
        <v>1214</v>
      </c>
    </row>
    <row r="2291" customFormat="false" ht="15" hidden="false" customHeight="false" outlineLevel="1" collapsed="false">
      <c r="A2291" s="7" t="s">
        <v>583</v>
      </c>
      <c r="B2291" s="8" t="s">
        <v>10</v>
      </c>
      <c r="C2291" s="58" t="n">
        <f aca="false">C2274</f>
        <v>0</v>
      </c>
      <c r="D2291" s="58" t="n">
        <f aca="false">D2274</f>
        <v>0</v>
      </c>
      <c r="E2291" s="58" t="n">
        <f aca="false">E2274</f>
        <v>0</v>
      </c>
      <c r="F2291" s="58" t="n">
        <f aca="false">F2274</f>
        <v>10000</v>
      </c>
      <c r="G2291" s="58" t="n">
        <f aca="false">G2274</f>
        <v>30000</v>
      </c>
      <c r="H2291" s="2" t="s">
        <v>1215</v>
      </c>
    </row>
    <row r="2292" customFormat="false" ht="15" hidden="false" customHeight="false" outlineLevel="1" collapsed="false">
      <c r="A2292" s="52" t="s">
        <v>599</v>
      </c>
      <c r="B2292" s="53" t="s">
        <v>10</v>
      </c>
      <c r="C2292" s="59" t="n">
        <f aca="false">C2284+C2288+C2289+C2290+C2291</f>
        <v>5983.6993424658</v>
      </c>
      <c r="D2292" s="59" t="n">
        <f aca="false">D2284+D2288+D2289+D2290+D2291</f>
        <v>21032.4611467714</v>
      </c>
      <c r="E2292" s="59" t="n">
        <f aca="false">E2284+E2288+E2289+E2290+E2291</f>
        <v>85200.6580790122</v>
      </c>
      <c r="F2292" s="59" t="n">
        <f aca="false">F2284+F2288+F2289+F2290+F2291</f>
        <v>172087.753644325</v>
      </c>
      <c r="G2292" s="59" t="n">
        <f aca="false">G2284+G2288+G2289+G2290+G2291</f>
        <v>280777.193625246</v>
      </c>
      <c r="H2292" s="2" t="s">
        <v>1216</v>
      </c>
    </row>
    <row r="2293" customFormat="false" ht="15" hidden="false" customHeight="false" outlineLevel="0" collapsed="false">
      <c r="A2293" s="3" t="s">
        <v>1217</v>
      </c>
      <c r="B2293" s="4"/>
      <c r="C2293" s="4"/>
      <c r="D2293" s="4"/>
      <c r="E2293" s="4"/>
      <c r="F2293" s="4"/>
      <c r="G2293" s="4"/>
      <c r="H2293" s="4"/>
    </row>
    <row r="2294" customFormat="false" ht="15" hidden="false" customHeight="false" outlineLevel="1" collapsed="false">
      <c r="A2294" s="7" t="s">
        <v>647</v>
      </c>
      <c r="B2294" s="8" t="s">
        <v>10</v>
      </c>
      <c r="C2294" s="58" t="n">
        <f aca="false">C2181*1000*(C2197+C2200)+C2182*1000*(C2220+C2223)+C2183*1000*(C2243+C2246)</f>
        <v>170660</v>
      </c>
      <c r="D2294" s="58" t="n">
        <f aca="false">D2181*1000*(D2197+D2200)+D2182*1000*(D2220+D2223)+D2183*1000*(D2243+D2246)</f>
        <v>1136590</v>
      </c>
      <c r="E2294" s="58" t="n">
        <f aca="false">E2181*1000*(E2197+E2200)+E2182*1000*(E2220+E2223)+E2183*1000*(E2243+E2246)</f>
        <v>2419060</v>
      </c>
      <c r="F2294" s="58" t="n">
        <f aca="false">F2181*1000*(F2197+F2200)+F2182*1000*(F2220+F2223)+F2183*1000*(F2243+F2246)</f>
        <v>4129440</v>
      </c>
      <c r="G2294" s="58" t="n">
        <f aca="false">G2181*1000*(G2197+G2200)+G2182*1000*(G2220+G2223)+G2183*1000*(G2243+G2246)</f>
        <v>6265700</v>
      </c>
      <c r="H2294" s="2" t="s">
        <v>1218</v>
      </c>
    </row>
    <row r="2295" customFormat="false" ht="15" hidden="false" customHeight="false" outlineLevel="1" collapsed="false">
      <c r="A2295" s="7" t="s">
        <v>648</v>
      </c>
      <c r="B2295" s="8" t="s">
        <v>10</v>
      </c>
      <c r="C2295" s="58" t="n">
        <f aca="false">C2192*1000*Pressupostos!$C$90</f>
        <v>0</v>
      </c>
      <c r="D2295" s="58" t="n">
        <f aca="false">D2192*1000*Pressupostos!$C$90</f>
        <v>0</v>
      </c>
      <c r="E2295" s="58" t="n">
        <f aca="false">E2192*1000*Pressupostos!$C$90</f>
        <v>147000</v>
      </c>
      <c r="F2295" s="58" t="n">
        <f aca="false">F2192*1000*Pressupostos!$C$90</f>
        <v>294000</v>
      </c>
      <c r="G2295" s="58" t="n">
        <f aca="false">G2192*1000*Pressupostos!$C$90</f>
        <v>490000</v>
      </c>
      <c r="H2295" s="2" t="s">
        <v>1219</v>
      </c>
    </row>
    <row r="2296" customFormat="false" ht="15" hidden="false" customHeight="false" outlineLevel="1" collapsed="false">
      <c r="A2296" s="7" t="s">
        <v>649</v>
      </c>
      <c r="B2296" s="8" t="s">
        <v>10</v>
      </c>
      <c r="C2296" s="58" t="n">
        <f aca="false">C2294+C2295</f>
        <v>170660</v>
      </c>
      <c r="D2296" s="58" t="n">
        <f aca="false">D2294+D2295</f>
        <v>1136590</v>
      </c>
      <c r="E2296" s="58" t="n">
        <f aca="false">E2294+E2295</f>
        <v>2566060</v>
      </c>
      <c r="F2296" s="58" t="n">
        <f aca="false">F2294+F2295</f>
        <v>4423440</v>
      </c>
      <c r="G2296" s="58" t="n">
        <f aca="false">G2294+G2295</f>
        <v>6755700</v>
      </c>
      <c r="H2296" s="2" t="s">
        <v>1220</v>
      </c>
    </row>
    <row r="2297" customFormat="false" ht="15" hidden="false" customHeight="false" outlineLevel="1" collapsed="false">
      <c r="A2297" s="7" t="s">
        <v>205</v>
      </c>
      <c r="B2297" s="8" t="s">
        <v>10</v>
      </c>
      <c r="C2297" s="58" t="n">
        <f aca="false">C2181*1000*(C2201)+C2182*1000*(C2224)+C2183*1000*(C2247)+C2192*1000*Pressupostos!$C$92</f>
        <v>5320</v>
      </c>
      <c r="D2297" s="58" t="n">
        <f aca="false">D2181*1000*(D2201)+D2182*1000*(D2224)+D2183*1000*(D2247)+D2192*1000*Pressupostos!$C$92</f>
        <v>33180</v>
      </c>
      <c r="E2297" s="58" t="n">
        <f aca="false">E2181*1000*(E2201)+E2182*1000*(E2224)+E2183*1000*(E2247)+E2192*1000*Pressupostos!$C$92</f>
        <v>74389</v>
      </c>
      <c r="F2297" s="58" t="n">
        <f aca="false">F2181*1000*(F2201)+F2182*1000*(F2224)+F2183*1000*(F2247)+F2192*1000*Pressupostos!$C$92</f>
        <v>131292</v>
      </c>
      <c r="G2297" s="58" t="n">
        <f aca="false">G2181*1000*(G2201)+G2182*1000*(G2224)+G2183*1000*(G2247)+G2192*1000*Pressupostos!$C$92</f>
        <v>200760</v>
      </c>
      <c r="H2297" s="2" t="s">
        <v>1221</v>
      </c>
    </row>
    <row r="2298" customFormat="false" ht="15" hidden="false" customHeight="false" outlineLevel="1" collapsed="false">
      <c r="A2298" s="7" t="s">
        <v>109</v>
      </c>
      <c r="B2298" s="8" t="s">
        <v>10</v>
      </c>
      <c r="C2298" s="58" t="n">
        <f aca="false">C2181*1000*(C2202)+C2182*1000*(C2225)+C2183*1000*(C2248)</f>
        <v>336</v>
      </c>
      <c r="D2298" s="58" t="n">
        <f aca="false">D2181*1000*(D2202)+D2182*1000*(D2225)+D2183*1000*(D2248)</f>
        <v>1554</v>
      </c>
      <c r="E2298" s="58" t="n">
        <f aca="false">E2181*1000*(E2202)+E2182*1000*(E2225)+E2183*1000*(E2248)</f>
        <v>5586</v>
      </c>
      <c r="F2298" s="58" t="n">
        <f aca="false">F2181*1000*(F2202)+F2182*1000*(F2225)+F2183*1000*(F2248)</f>
        <v>11214</v>
      </c>
      <c r="G2298" s="58" t="n">
        <f aca="false">G2181*1000*(G2202)+G2182*1000*(G2225)+G2183*1000*(G2248)</f>
        <v>17220</v>
      </c>
      <c r="H2298" s="2" t="s">
        <v>1222</v>
      </c>
    </row>
    <row r="2299" customFormat="false" ht="15" hidden="false" customHeight="false" outlineLevel="1" collapsed="false">
      <c r="A2299" s="7" t="s">
        <v>650</v>
      </c>
      <c r="B2299" s="8" t="s">
        <v>10</v>
      </c>
      <c r="C2299" s="58" t="n">
        <f aca="false">C2181*1000*(C2205+C2206)+C2182*1000*(C2228+C2229)+C2183*1000*(C2251+C2252)</f>
        <v>321.424657534247</v>
      </c>
      <c r="D2299" s="58" t="n">
        <f aca="false">D2181*1000*(D2205+D2206)+D2182*1000*(D2228+D2229)+D2183*1000*(D2251+D2252)</f>
        <v>1880.33424657534</v>
      </c>
      <c r="E2299" s="58" t="n">
        <f aca="false">E2181*1000*(E2205+E2206)+E2182*1000*(E2228+E2229)+E2183*1000*(E2251+E2252)</f>
        <v>2945.85698630137</v>
      </c>
      <c r="F2299" s="58" t="n">
        <f aca="false">F2181*1000*(F2205+F2206)+F2182*1000*(F2228+F2229)+F2183*1000*(F2251+F2252)</f>
        <v>5089.75945205479</v>
      </c>
      <c r="G2299" s="58" t="n">
        <f aca="false">G2181*1000*(G2205+G2206)+G2182*1000*(G2228+G2229)+G2183*1000*(G2251+G2252)</f>
        <v>7730.26301369863</v>
      </c>
      <c r="H2299" s="2" t="s">
        <v>1223</v>
      </c>
    </row>
    <row r="2300" customFormat="false" ht="15" hidden="false" customHeight="false" outlineLevel="1" collapsed="false">
      <c r="A2300" s="7" t="s">
        <v>651</v>
      </c>
      <c r="B2300" s="8" t="s">
        <v>10</v>
      </c>
      <c r="C2300" s="58" t="n">
        <f aca="false">C2181*1000*(C2207+C2208+C2209)+C2182*1000*(C2230+C2231+C2232)+C2183*1000*(C2253+C2254+C2255)</f>
        <v>1862</v>
      </c>
      <c r="D2300" s="58" t="n">
        <f aca="false">D2181*1000*(D2207+D2208+D2209)+D2182*1000*(D2230+D2231+D2232)+D2183*1000*(D2253+D2254+D2255)</f>
        <v>12127.5</v>
      </c>
      <c r="E2300" s="58" t="n">
        <f aca="false">E2181*1000*(E2207+E2208+E2209)+E2182*1000*(E2230+E2231+E2232)+E2183*1000*(E2253+E2254+E2255)</f>
        <v>25465.65</v>
      </c>
      <c r="F2300" s="58" t="n">
        <f aca="false">F2181*1000*(F2207+F2208+F2209)+F2182*1000*(F2230+F2231+F2232)+F2183*1000*(F2253+F2254+F2255)</f>
        <v>43764.35</v>
      </c>
      <c r="G2300" s="58" t="n">
        <f aca="false">G2181*1000*(G2207+G2208+G2209)+G2182*1000*(G2230+G2231+G2232)+G2183*1000*(G2253+G2254+G2255)</f>
        <v>66440.5</v>
      </c>
      <c r="H2300" s="2" t="s">
        <v>1224</v>
      </c>
    </row>
    <row r="2301" customFormat="false" ht="15" hidden="false" customHeight="false" outlineLevel="1" collapsed="false">
      <c r="A2301" s="7" t="s">
        <v>637</v>
      </c>
      <c r="B2301" s="8" t="s">
        <v>10</v>
      </c>
      <c r="C2301" s="58" t="n">
        <f aca="false">C2181*1000*(C2210)+C2182*1000*(C2233)+C2183*1000*(C2256)</f>
        <v>2016</v>
      </c>
      <c r="D2301" s="58" t="n">
        <f aca="false">D2181*1000*(D2210)+D2182*1000*(D2233)+D2183*1000*(D2256)</f>
        <v>12754</v>
      </c>
      <c r="E2301" s="58" t="n">
        <f aca="false">E2181*1000*(E2210)+E2182*1000*(E2233)+E2183*1000*(E2256)</f>
        <v>29386</v>
      </c>
      <c r="F2301" s="58" t="n">
        <f aca="false">F2181*1000*(F2210)+F2182*1000*(F2233)+F2183*1000*(F2256)</f>
        <v>51814</v>
      </c>
      <c r="G2301" s="58" t="n">
        <f aca="false">G2181*1000*(G2210)+G2182*1000*(G2233)+G2183*1000*(G2256)</f>
        <v>78820</v>
      </c>
      <c r="H2301" s="2" t="s">
        <v>1225</v>
      </c>
    </row>
    <row r="2302" customFormat="false" ht="15" hidden="false" customHeight="false" outlineLevel="1" collapsed="false">
      <c r="A2302" s="7" t="s">
        <v>652</v>
      </c>
      <c r="B2302" s="8" t="s">
        <v>10</v>
      </c>
      <c r="C2302" s="58" t="n">
        <f aca="false">C2181*1000*(C2211)+C2182*1000*(C2234)+C2183*1000*(C2257)+C2192*1000*Pressupostos!$C$97</f>
        <v>238</v>
      </c>
      <c r="D2302" s="58" t="n">
        <f aca="false">D2181*1000*(D2211)+D2182*1000*(D2234)+D2183*1000*(D2257)+D2192*1000*Pressupostos!$C$97</f>
        <v>1529.5</v>
      </c>
      <c r="E2302" s="58" t="n">
        <f aca="false">E2181*1000*(E2211)+E2182*1000*(E2234)+E2183*1000*(E2257)+E2192*1000*Pressupostos!$C$97</f>
        <v>4070.5</v>
      </c>
      <c r="F2302" s="58" t="n">
        <f aca="false">F2181*1000*(F2211)+F2182*1000*(F2234)+F2183*1000*(F2257)+F2192*1000*Pressupostos!$C$97</f>
        <v>7269.5</v>
      </c>
      <c r="G2302" s="58" t="n">
        <f aca="false">G2181*1000*(G2211)+G2182*1000*(G2234)+G2183*1000*(G2257)+G2192*1000*Pressupostos!$C$97</f>
        <v>11235</v>
      </c>
      <c r="H2302" s="2" t="s">
        <v>1226</v>
      </c>
    </row>
    <row r="2303" customFormat="false" ht="15" hidden="false" customHeight="false" outlineLevel="1" collapsed="false">
      <c r="A2303" s="7" t="s">
        <v>76</v>
      </c>
      <c r="B2303" s="8" t="s">
        <v>10</v>
      </c>
      <c r="C2303" s="58" t="n">
        <f aca="false">C2181*1000*(C2212)+C2182*1000*(C2235)+C2183*1000*(C2258)+C2192*1000*Pressupostos!$C$96*Pressupostos!$C$91</f>
        <v>645.876</v>
      </c>
      <c r="D2303" s="58" t="n">
        <f aca="false">D2181*1000*(D2212)+D2182*1000*(D2235)+D2183*1000*(D2258)+D2192*1000*Pressupostos!$C$96*Pressupostos!$C$91</f>
        <v>4106.214</v>
      </c>
      <c r="E2303" s="58" t="n">
        <f aca="false">E2181*1000*(E2212)+E2182*1000*(E2235)+E2183*1000*(E2258)+E2192*1000*Pressupostos!$C$96*Pressupostos!$C$91</f>
        <v>10379.376</v>
      </c>
      <c r="F2303" s="58" t="n">
        <f aca="false">F2181*1000*(F2212)+F2182*1000*(F2235)+F2183*1000*(F2258)+F2192*1000*Pressupostos!$C$96*Pressupostos!$C$91</f>
        <v>18487.224</v>
      </c>
      <c r="G2303" s="58" t="n">
        <f aca="false">G2181*1000*(G2212)+G2182*1000*(G2235)+G2183*1000*(G2258)+G2192*1000*Pressupostos!$C$96*Pressupostos!$C$91</f>
        <v>28405.02</v>
      </c>
      <c r="H2303" s="2" t="s">
        <v>1227</v>
      </c>
    </row>
    <row r="2304" customFormat="false" ht="15" hidden="false" customHeight="false" outlineLevel="1" collapsed="false">
      <c r="A2304" s="7" t="s">
        <v>653</v>
      </c>
      <c r="B2304" s="8" t="s">
        <v>10</v>
      </c>
      <c r="C2304" s="58" t="n">
        <f aca="false">C2181*1000*(C2213)+C2182*1000*(C2236)+C2183*1000*(C2259)+C2192*1000*Pressupostos!$D$29*Pressupostos!$C$90</f>
        <v>0</v>
      </c>
      <c r="D2304" s="58" t="n">
        <f aca="false">D2181*1000*(D2213)+D2182*1000*(D2236)+D2183*1000*(D2259)+D2192*1000*Pressupostos!$D$29*Pressupostos!$C$90</f>
        <v>0</v>
      </c>
      <c r="E2304" s="58" t="n">
        <f aca="false">E2181*1000*(E2213)+E2182*1000*(E2236)+E2183*1000*(E2259)+E2192*1000*Pressupostos!$D$29*Pressupostos!$C$90</f>
        <v>0</v>
      </c>
      <c r="F2304" s="58" t="n">
        <f aca="false">F2181*1000*(F2213)+F2182*1000*(F2236)+F2183*1000*(F2259)+F2192*1000*Pressupostos!$D$29*Pressupostos!$C$90</f>
        <v>0</v>
      </c>
      <c r="G2304" s="58" t="n">
        <f aca="false">G2181*1000*(G2213)+G2182*1000*(G2236)+G2183*1000*(G2259)+G2192*1000*Pressupostos!$D$29*Pressupostos!$C$90</f>
        <v>0</v>
      </c>
      <c r="H2304" s="2" t="s">
        <v>1228</v>
      </c>
    </row>
    <row r="2305" customFormat="false" ht="15" hidden="false" customHeight="false" outlineLevel="1" collapsed="false">
      <c r="A2305" s="7" t="s">
        <v>654</v>
      </c>
      <c r="B2305" s="8" t="s">
        <v>10</v>
      </c>
      <c r="C2305" s="58" t="n">
        <f aca="false">C2195*1000*Pressupostos!$C$102*Pressupostos!$D$30</f>
        <v>0</v>
      </c>
      <c r="D2305" s="58" t="n">
        <f aca="false">D2195*1000*Pressupostos!$C$102*Pressupostos!$D$30</f>
        <v>8228.57142857143</v>
      </c>
      <c r="E2305" s="58" t="n">
        <f aca="false">E2195*1000*Pressupostos!$C$102*Pressupostos!$D$30</f>
        <v>24685.7142857143</v>
      </c>
      <c r="F2305" s="58" t="n">
        <f aca="false">F2195*1000*Pressupostos!$C$102*Pressupostos!$D$30</f>
        <v>49371.4285714286</v>
      </c>
      <c r="G2305" s="58" t="n">
        <f aca="false">G2195*1000*Pressupostos!$C$102*Pressupostos!$D$30</f>
        <v>82285.7142857143</v>
      </c>
      <c r="H2305" s="2" t="s">
        <v>1229</v>
      </c>
    </row>
    <row r="2306" customFormat="false" ht="15" hidden="false" customHeight="false" outlineLevel="1" collapsed="false">
      <c r="A2306" s="7" t="s">
        <v>655</v>
      </c>
      <c r="B2306" s="8" t="s">
        <v>10</v>
      </c>
      <c r="C2306" s="58" t="n">
        <f aca="false">C2297+C2298+C2299+C2300+C2301+C2302+C2303+C2304+C2305</f>
        <v>10739.3006575342</v>
      </c>
      <c r="D2306" s="58" t="n">
        <f aca="false">D2297+D2298+D2299+D2300+D2301+D2302+D2303+D2304+D2305</f>
        <v>75360.1196751468</v>
      </c>
      <c r="E2306" s="58" t="n">
        <f aca="false">E2297+E2298+E2299+E2300+E2301+E2302+E2303+E2304+E2305</f>
        <v>176908.097272016</v>
      </c>
      <c r="F2306" s="58" t="n">
        <f aca="false">F2297+F2298+F2299+F2300+F2301+F2302+F2303+F2304+F2305</f>
        <v>318302.262023483</v>
      </c>
      <c r="G2306" s="58" t="n">
        <f aca="false">G2297+G2298+G2299+G2300+G2301+G2302+G2303+G2304+G2305</f>
        <v>492896.497299413</v>
      </c>
      <c r="H2306" s="2" t="s">
        <v>1230</v>
      </c>
    </row>
    <row r="2307" customFormat="false" ht="15" hidden="false" customHeight="false" outlineLevel="1" collapsed="false">
      <c r="A2307" s="7" t="s">
        <v>656</v>
      </c>
      <c r="B2307" s="8" t="s">
        <v>10</v>
      </c>
      <c r="C2307" s="58" t="n">
        <f aca="false">C2181*1000*(C2214)+C2182*1000*(C2237)+C2183*1000*(C2260)</f>
        <v>0</v>
      </c>
      <c r="D2307" s="58" t="n">
        <f aca="false">D2181*1000*(D2214)+D2182*1000*(D2237)+D2183*1000*(D2260)</f>
        <v>16321.9191780822</v>
      </c>
      <c r="E2307" s="58" t="n">
        <f aca="false">E2181*1000*(E2214)+E2182*1000*(E2237)+E2183*1000*(E2260)</f>
        <v>25610.5922517123</v>
      </c>
      <c r="F2307" s="58" t="n">
        <f aca="false">F2181*1000*(F2214)+F2182*1000*(F2237)+F2183*1000*(F2260)</f>
        <v>40929.0665239726</v>
      </c>
      <c r="G2307" s="58" t="n">
        <f aca="false">G2181*1000*(G2214)+G2182*1000*(G2237)+G2183*1000*(G2260)</f>
        <v>62117.9460616438</v>
      </c>
      <c r="H2307" s="2" t="s">
        <v>1231</v>
      </c>
    </row>
    <row r="2308" customFormat="false" ht="15" hidden="false" customHeight="false" outlineLevel="1" collapsed="false">
      <c r="A2308" s="7" t="s">
        <v>657</v>
      </c>
      <c r="B2308" s="8" t="s">
        <v>10</v>
      </c>
      <c r="C2308" s="58" t="n">
        <f aca="false">C2192*1000*C2287</f>
        <v>0</v>
      </c>
      <c r="D2308" s="58" t="n">
        <f aca="false">D2192*1000*D2287</f>
        <v>0</v>
      </c>
      <c r="E2308" s="58" t="n">
        <f aca="false">E2192*1000*E2287</f>
        <v>1529.15239726027</v>
      </c>
      <c r="F2308" s="58" t="n">
        <f aca="false">F2192*1000*F2287</f>
        <v>2854.41780821918</v>
      </c>
      <c r="G2308" s="58" t="n">
        <f aca="false">G2192*1000*G2287</f>
        <v>4757.36301369863</v>
      </c>
      <c r="H2308" s="2" t="s">
        <v>1232</v>
      </c>
    </row>
    <row r="2309" customFormat="false" ht="15" hidden="false" customHeight="false" outlineLevel="1" collapsed="false">
      <c r="A2309" s="7" t="s">
        <v>658</v>
      </c>
      <c r="B2309" s="8" t="s">
        <v>10</v>
      </c>
      <c r="C2309" s="58" t="n">
        <f aca="false">C2307+C2308</f>
        <v>0</v>
      </c>
      <c r="D2309" s="58" t="n">
        <f aca="false">D2307+D2308</f>
        <v>16321.9191780822</v>
      </c>
      <c r="E2309" s="58" t="n">
        <f aca="false">E2307+E2308</f>
        <v>27139.7446489726</v>
      </c>
      <c r="F2309" s="58" t="n">
        <f aca="false">F2307+F2308</f>
        <v>43783.4843321918</v>
      </c>
      <c r="G2309" s="58" t="n">
        <f aca="false">G2307+G2308</f>
        <v>66875.3090753425</v>
      </c>
      <c r="H2309" s="2" t="s">
        <v>1233</v>
      </c>
    </row>
    <row r="2310" customFormat="false" ht="15" hidden="false" customHeight="false" outlineLevel="1" collapsed="false">
      <c r="A2310" s="8" t="s">
        <v>659</v>
      </c>
      <c r="B2310" s="8" t="s">
        <v>10</v>
      </c>
      <c r="C2310" s="66" t="n">
        <f aca="false">ROUND(C2275-C2296-C2306-C2309-C2292,6)</f>
        <v>-0</v>
      </c>
      <c r="D2310" s="66" t="n">
        <f aca="false">ROUND(D2275-D2296-D2306-D2309-D2292,6)</f>
        <v>-0</v>
      </c>
      <c r="E2310" s="66" t="n">
        <f aca="false">ROUND(E2275-E2296-E2306-E2309-E2292,6)</f>
        <v>-0</v>
      </c>
      <c r="F2310" s="66" t="n">
        <f aca="false">ROUND(F2275-F2296-F2306-F2309-F2292,6)</f>
        <v>-0</v>
      </c>
      <c r="G2310" s="66" t="n">
        <f aca="false">ROUND(G2275-G2296-G2306-G2309-G2292,6)</f>
        <v>0</v>
      </c>
      <c r="H2310" s="2" t="s">
        <v>1234</v>
      </c>
    </row>
    <row r="2311" customFormat="false" ht="15" hidden="false" customHeight="false" outlineLevel="0" collapsed="false">
      <c r="A2311" s="3" t="s">
        <v>1235</v>
      </c>
      <c r="B2311" s="4"/>
      <c r="C2311" s="4"/>
      <c r="D2311" s="4"/>
      <c r="E2311" s="4"/>
      <c r="F2311" s="4"/>
      <c r="G2311" s="4"/>
      <c r="H2311" s="4"/>
    </row>
    <row r="2312" customFormat="false" ht="15" hidden="false" customHeight="false" outlineLevel="1" collapsed="false">
      <c r="A2312" s="7" t="s">
        <v>602</v>
      </c>
      <c r="B2312" s="8" t="s">
        <v>413</v>
      </c>
      <c r="C2312" s="61" t="n">
        <f aca="false">Pressupostos!$C$315</f>
        <v>1</v>
      </c>
      <c r="D2312" s="61" t="n">
        <f aca="false">Pressupostos!$D$315</f>
        <v>1</v>
      </c>
      <c r="E2312" s="61" t="n">
        <f aca="false">Pressupostos!$E$315</f>
        <v>1</v>
      </c>
      <c r="F2312" s="61" t="n">
        <f aca="false">Pressupostos!$F$315</f>
        <v>1</v>
      </c>
      <c r="G2312" s="61" t="n">
        <f aca="false">Pressupostos!$G$315</f>
        <v>1</v>
      </c>
      <c r="H2312" s="2" t="s">
        <v>1236</v>
      </c>
    </row>
    <row r="2313" customFormat="false" ht="15" hidden="false" customHeight="false" outlineLevel="1" collapsed="false">
      <c r="A2313" s="7" t="s">
        <v>603</v>
      </c>
      <c r="B2313" s="8" t="s">
        <v>413</v>
      </c>
      <c r="C2313" s="61" t="n">
        <f aca="false">Pressupostos!$C$321</f>
        <v>1</v>
      </c>
      <c r="D2313" s="61" t="n">
        <f aca="false">Pressupostos!$D$321</f>
        <v>1</v>
      </c>
      <c r="E2313" s="61" t="n">
        <f aca="false">Pressupostos!$E$321</f>
        <v>1</v>
      </c>
      <c r="F2313" s="61" t="n">
        <f aca="false">Pressupostos!$F$321</f>
        <v>1</v>
      </c>
      <c r="G2313" s="61" t="n">
        <f aca="false">Pressupostos!$G$321</f>
        <v>1</v>
      </c>
      <c r="H2313" s="2" t="s">
        <v>1237</v>
      </c>
    </row>
    <row r="2314" customFormat="false" ht="15" hidden="false" customHeight="false" outlineLevel="1" collapsed="false">
      <c r="A2314" s="7" t="s">
        <v>604</v>
      </c>
      <c r="B2314" s="8" t="s">
        <v>413</v>
      </c>
      <c r="C2314" s="61" t="n">
        <f aca="false">Pressupostos!$C$327</f>
        <v>1</v>
      </c>
      <c r="D2314" s="61" t="n">
        <f aca="false">Pressupostos!$D$327</f>
        <v>1</v>
      </c>
      <c r="E2314" s="61" t="n">
        <f aca="false">Pressupostos!$E$327</f>
        <v>2</v>
      </c>
      <c r="F2314" s="61" t="n">
        <f aca="false">Pressupostos!$F$327</f>
        <v>2</v>
      </c>
      <c r="G2314" s="61" t="n">
        <f aca="false">Pressupostos!$G$327</f>
        <v>2</v>
      </c>
      <c r="H2314" s="2" t="s">
        <v>1238</v>
      </c>
    </row>
    <row r="2315" customFormat="false" ht="15" hidden="false" customHeight="false" outlineLevel="1" collapsed="false">
      <c r="A2315" s="7" t="s">
        <v>605</v>
      </c>
      <c r="B2315" s="8" t="s">
        <v>413</v>
      </c>
      <c r="C2315" s="61" t="n">
        <f aca="false">Pressupostos!$C$333</f>
        <v>1</v>
      </c>
      <c r="D2315" s="61" t="n">
        <f aca="false">Pressupostos!$D$333</f>
        <v>1</v>
      </c>
      <c r="E2315" s="61" t="n">
        <f aca="false">Pressupostos!$E$333</f>
        <v>1</v>
      </c>
      <c r="F2315" s="61" t="n">
        <f aca="false">Pressupostos!$F$333</f>
        <v>1</v>
      </c>
      <c r="G2315" s="61" t="n">
        <f aca="false">Pressupostos!$G$333</f>
        <v>1</v>
      </c>
      <c r="H2315" s="2" t="s">
        <v>1239</v>
      </c>
    </row>
    <row r="2316" customFormat="false" ht="15" hidden="false" customHeight="false" outlineLevel="1" collapsed="false">
      <c r="A2316" s="7" t="s">
        <v>606</v>
      </c>
      <c r="B2316" s="8" t="s">
        <v>413</v>
      </c>
      <c r="C2316" s="61" t="n">
        <f aca="false">Pressupostos!$C$339</f>
        <v>0.5</v>
      </c>
      <c r="D2316" s="61" t="n">
        <f aca="false">Pressupostos!$D$339</f>
        <v>1</v>
      </c>
      <c r="E2316" s="61" t="n">
        <f aca="false">Pressupostos!$E$339</f>
        <v>1</v>
      </c>
      <c r="F2316" s="61" t="n">
        <f aca="false">Pressupostos!$F$339</f>
        <v>1</v>
      </c>
      <c r="G2316" s="61" t="n">
        <f aca="false">Pressupostos!$G$339</f>
        <v>1</v>
      </c>
      <c r="H2316" s="2" t="s">
        <v>1240</v>
      </c>
    </row>
    <row r="2317" customFormat="false" ht="15" hidden="false" customHeight="false" outlineLevel="1" collapsed="false">
      <c r="A2317" s="7" t="s">
        <v>607</v>
      </c>
      <c r="B2317" s="8" t="s">
        <v>413</v>
      </c>
      <c r="C2317" s="61" t="n">
        <f aca="false">Pressupostos!$C$345</f>
        <v>1</v>
      </c>
      <c r="D2317" s="61" t="n">
        <f aca="false">Pressupostos!$D$345</f>
        <v>1</v>
      </c>
      <c r="E2317" s="61" t="n">
        <f aca="false">Pressupostos!$E$345</f>
        <v>1</v>
      </c>
      <c r="F2317" s="61" t="n">
        <f aca="false">Pressupostos!$F$345</f>
        <v>2</v>
      </c>
      <c r="G2317" s="61" t="n">
        <f aca="false">Pressupostos!$G$345</f>
        <v>2</v>
      </c>
      <c r="H2317" s="2" t="s">
        <v>1241</v>
      </c>
    </row>
    <row r="2318" customFormat="false" ht="15" hidden="false" customHeight="false" outlineLevel="1" collapsed="false">
      <c r="A2318" s="7" t="s">
        <v>608</v>
      </c>
      <c r="B2318" s="8" t="s">
        <v>413</v>
      </c>
      <c r="C2318" s="61" t="n">
        <f aca="false">Pressupostos!$C$351</f>
        <v>0.5</v>
      </c>
      <c r="D2318" s="61" t="n">
        <f aca="false">Pressupostos!$D$351</f>
        <v>1</v>
      </c>
      <c r="E2318" s="61" t="n">
        <f aca="false">Pressupostos!$E$351</f>
        <v>1</v>
      </c>
      <c r="F2318" s="61" t="n">
        <f aca="false">Pressupostos!$F$351</f>
        <v>1</v>
      </c>
      <c r="G2318" s="61" t="n">
        <f aca="false">Pressupostos!$G$351</f>
        <v>1</v>
      </c>
      <c r="H2318" s="2" t="s">
        <v>1242</v>
      </c>
    </row>
    <row r="2319" customFormat="false" ht="15" hidden="false" customHeight="false" outlineLevel="1" collapsed="false">
      <c r="A2319" s="7" t="s">
        <v>609</v>
      </c>
      <c r="B2319" s="8" t="s">
        <v>413</v>
      </c>
      <c r="C2319" s="61" t="n">
        <f aca="false">Pressupostos!$C$357</f>
        <v>1</v>
      </c>
      <c r="D2319" s="61" t="n">
        <f aca="false">Pressupostos!$D$357</f>
        <v>1</v>
      </c>
      <c r="E2319" s="61" t="n">
        <f aca="false">Pressupostos!$E$357</f>
        <v>2</v>
      </c>
      <c r="F2319" s="61" t="n">
        <f aca="false">Pressupostos!$F$357</f>
        <v>3</v>
      </c>
      <c r="G2319" s="61" t="n">
        <f aca="false">Pressupostos!$G$357</f>
        <v>5</v>
      </c>
      <c r="H2319" s="2" t="s">
        <v>1243</v>
      </c>
    </row>
    <row r="2320" customFormat="false" ht="15" hidden="false" customHeight="false" outlineLevel="1" collapsed="false">
      <c r="A2320" s="7" t="s">
        <v>610</v>
      </c>
      <c r="B2320" s="8" t="s">
        <v>413</v>
      </c>
      <c r="C2320" s="61" t="n">
        <f aca="false">Pressupostos!$C$363</f>
        <v>0</v>
      </c>
      <c r="D2320" s="61" t="n">
        <f aca="false">Pressupostos!$D$363</f>
        <v>0</v>
      </c>
      <c r="E2320" s="61" t="n">
        <f aca="false">Pressupostos!$E$363</f>
        <v>0</v>
      </c>
      <c r="F2320" s="61" t="n">
        <f aca="false">Pressupostos!$F$363</f>
        <v>1</v>
      </c>
      <c r="G2320" s="61" t="n">
        <f aca="false">Pressupostos!$G$363</f>
        <v>1</v>
      </c>
      <c r="H2320" s="2" t="s">
        <v>1244</v>
      </c>
    </row>
    <row r="2321" customFormat="false" ht="15" hidden="false" customHeight="false" outlineLevel="1" collapsed="false">
      <c r="A2321" s="7" t="s">
        <v>611</v>
      </c>
      <c r="B2321" s="8" t="s">
        <v>413</v>
      </c>
      <c r="C2321" s="61" t="n">
        <f aca="false">Pressupostos!$C$369</f>
        <v>0</v>
      </c>
      <c r="D2321" s="61" t="n">
        <f aca="false">Pressupostos!$D$369</f>
        <v>0</v>
      </c>
      <c r="E2321" s="61" t="n">
        <f aca="false">Pressupostos!$E$369</f>
        <v>0</v>
      </c>
      <c r="F2321" s="61" t="n">
        <f aca="false">Pressupostos!$F$369</f>
        <v>0</v>
      </c>
      <c r="G2321" s="61" t="n">
        <f aca="false">Pressupostos!$G$369</f>
        <v>1</v>
      </c>
      <c r="H2321" s="2" t="s">
        <v>1245</v>
      </c>
    </row>
    <row r="2322" customFormat="false" ht="15" hidden="false" customHeight="false" outlineLevel="1" collapsed="false">
      <c r="A2322" s="7" t="s">
        <v>612</v>
      </c>
      <c r="B2322" s="8" t="s">
        <v>413</v>
      </c>
      <c r="C2322" s="61" t="n">
        <f aca="false">Pressupostos!$C$375</f>
        <v>0</v>
      </c>
      <c r="D2322" s="61" t="n">
        <f aca="false">Pressupostos!$D$375</f>
        <v>0</v>
      </c>
      <c r="E2322" s="61" t="n">
        <f aca="false">Pressupostos!$E$375</f>
        <v>1</v>
      </c>
      <c r="F2322" s="61" t="n">
        <f aca="false">Pressupostos!$F$375</f>
        <v>1</v>
      </c>
      <c r="G2322" s="61" t="n">
        <f aca="false">Pressupostos!$G$375</f>
        <v>1</v>
      </c>
      <c r="H2322" s="2" t="s">
        <v>1246</v>
      </c>
    </row>
    <row r="2323" customFormat="false" ht="15" hidden="false" customHeight="false" outlineLevel="1" collapsed="false">
      <c r="A2323" s="7" t="s">
        <v>613</v>
      </c>
      <c r="B2323" s="8" t="s">
        <v>413</v>
      </c>
      <c r="C2323" s="61" t="n">
        <f aca="false">Pressupostos!$C$381</f>
        <v>0</v>
      </c>
      <c r="D2323" s="61" t="n">
        <f aca="false">Pressupostos!$D$381</f>
        <v>0</v>
      </c>
      <c r="E2323" s="61" t="n">
        <f aca="false">Pressupostos!$E$381</f>
        <v>0</v>
      </c>
      <c r="F2323" s="61" t="n">
        <f aca="false">Pressupostos!$F$381</f>
        <v>0</v>
      </c>
      <c r="G2323" s="61" t="n">
        <f aca="false">Pressupostos!$G$381</f>
        <v>0</v>
      </c>
      <c r="H2323" s="2" t="s">
        <v>1247</v>
      </c>
    </row>
    <row r="2324" customFormat="false" ht="15" hidden="false" customHeight="false" outlineLevel="1" collapsed="false">
      <c r="A2324" s="52" t="s">
        <v>614</v>
      </c>
      <c r="B2324" s="53" t="s">
        <v>413</v>
      </c>
      <c r="C2324" s="62" t="n">
        <f aca="false">C2312+C2313+C2314+C2315+C2316+C2317+C2318+C2319+C2320+C2321+C2322+C2323</f>
        <v>7</v>
      </c>
      <c r="D2324" s="62" t="n">
        <f aca="false">D2312+D2313+D2314+D2315+D2316+D2317+D2318+D2319+D2320+D2321+D2322+D2323</f>
        <v>8</v>
      </c>
      <c r="E2324" s="62" t="n">
        <f aca="false">E2312+E2313+E2314+E2315+E2316+E2317+E2318+E2319+E2320+E2321+E2322+E2323</f>
        <v>11</v>
      </c>
      <c r="F2324" s="62" t="n">
        <f aca="false">F2312+F2313+F2314+F2315+F2316+F2317+F2318+F2319+F2320+F2321+F2322+F2323</f>
        <v>14</v>
      </c>
      <c r="G2324" s="62" t="n">
        <f aca="false">G2312+G2313+G2314+G2315+G2316+G2317+G2318+G2319+G2320+G2321+G2322+G2323</f>
        <v>17</v>
      </c>
      <c r="H2324" s="2" t="s">
        <v>1248</v>
      </c>
    </row>
    <row r="2325" customFormat="false" ht="15" hidden="false" customHeight="false" outlineLevel="0" collapsed="false">
      <c r="A2325" s="3" t="s">
        <v>1249</v>
      </c>
      <c r="B2325" s="4"/>
      <c r="C2325" s="4"/>
      <c r="D2325" s="4"/>
      <c r="E2325" s="4"/>
      <c r="F2325" s="4"/>
      <c r="G2325" s="4"/>
      <c r="H2325" s="4"/>
    </row>
    <row r="2326" customFormat="false" ht="15" hidden="false" customHeight="false" outlineLevel="1" collapsed="false">
      <c r="A2326" s="7" t="s">
        <v>602</v>
      </c>
      <c r="B2326" s="8" t="s">
        <v>10</v>
      </c>
      <c r="C2326" s="58" t="n">
        <f aca="false">C2312*Pressupostos!$C$129*(1+Pressupostos!$C$125)^0*(1+Pressupostos!$C$130)*Pressupostos!$C$126</f>
        <v>43998</v>
      </c>
      <c r="D2326" s="58" t="n">
        <f aca="false">D2312*Pressupostos!$C$129*(1+Pressupostos!$C$125)^1*(1+Pressupostos!$C$130)</f>
        <v>61800</v>
      </c>
      <c r="E2326" s="58" t="n">
        <f aca="false">E2312*Pressupostos!$C$129*(1+Pressupostos!$C$125)^2*(1+Pressupostos!$C$130)</f>
        <v>63654</v>
      </c>
      <c r="F2326" s="58" t="n">
        <f aca="false">F2312*Pressupostos!$C$129*(1+Pressupostos!$C$125)^3*(1+Pressupostos!$C$130)</f>
        <v>65563.62</v>
      </c>
      <c r="G2326" s="58" t="n">
        <f aca="false">G2312*Pressupostos!$C$129*(1+Pressupostos!$C$125)^4*(1+Pressupostos!$C$130)</f>
        <v>67530.5286</v>
      </c>
      <c r="H2326" s="2" t="s">
        <v>1250</v>
      </c>
    </row>
    <row r="2327" customFormat="false" ht="15" hidden="false" customHeight="false" outlineLevel="1" collapsed="false">
      <c r="A2327" s="7" t="s">
        <v>603</v>
      </c>
      <c r="B2327" s="8" t="s">
        <v>10</v>
      </c>
      <c r="C2327" s="58" t="n">
        <f aca="false">C2313*Pressupostos!$C$131*(1+Pressupostos!$C$125)^0*(1+Pressupostos!$C$132)*Pressupostos!$C$126</f>
        <v>47664.5</v>
      </c>
      <c r="D2327" s="58" t="n">
        <f aca="false">D2313*Pressupostos!$C$131*(1+Pressupostos!$C$125)^1*(1+Pressupostos!$C$132)</f>
        <v>66950</v>
      </c>
      <c r="E2327" s="58" t="n">
        <f aca="false">E2313*Pressupostos!$C$131*(1+Pressupostos!$C$125)^2*(1+Pressupostos!$C$132)</f>
        <v>68958.5</v>
      </c>
      <c r="F2327" s="58" t="n">
        <f aca="false">F2313*Pressupostos!$C$131*(1+Pressupostos!$C$125)^3*(1+Pressupostos!$C$132)</f>
        <v>71027.255</v>
      </c>
      <c r="G2327" s="58" t="n">
        <f aca="false">G2313*Pressupostos!$C$131*(1+Pressupostos!$C$125)^4*(1+Pressupostos!$C$132)</f>
        <v>73158.07265</v>
      </c>
      <c r="H2327" s="2" t="s">
        <v>1251</v>
      </c>
    </row>
    <row r="2328" customFormat="false" ht="15" hidden="false" customHeight="false" outlineLevel="1" collapsed="false">
      <c r="A2328" s="7" t="s">
        <v>604</v>
      </c>
      <c r="B2328" s="8" t="s">
        <v>10</v>
      </c>
      <c r="C2328" s="58" t="n">
        <f aca="false">C2314*Pressupostos!$C$133*(1+Pressupostos!$C$125)^0*(1+Pressupostos!$C$134)</f>
        <v>45000</v>
      </c>
      <c r="D2328" s="58" t="n">
        <f aca="false">D2314*Pressupostos!$C$133*(1+Pressupostos!$C$125)^1*(1+Pressupostos!$C$134)</f>
        <v>46350</v>
      </c>
      <c r="E2328" s="58" t="n">
        <f aca="false">E2314*Pressupostos!$C$133*(1+Pressupostos!$C$125)^2*(1+Pressupostos!$C$134)</f>
        <v>95481</v>
      </c>
      <c r="F2328" s="58" t="n">
        <f aca="false">F2314*Pressupostos!$C$133*(1+Pressupostos!$C$125)^3*(1+Pressupostos!$C$134)</f>
        <v>98345.43</v>
      </c>
      <c r="G2328" s="58" t="n">
        <f aca="false">G2314*Pressupostos!$C$133*(1+Pressupostos!$C$125)^4*(1+Pressupostos!$C$134)</f>
        <v>101295.7929</v>
      </c>
      <c r="H2328" s="2" t="s">
        <v>1252</v>
      </c>
    </row>
    <row r="2329" customFormat="false" ht="15" hidden="false" customHeight="false" outlineLevel="1" collapsed="false">
      <c r="A2329" s="7" t="s">
        <v>605</v>
      </c>
      <c r="B2329" s="8" t="s">
        <v>10</v>
      </c>
      <c r="C2329" s="58" t="n">
        <f aca="false">C2315*Pressupostos!$C$135*(1+Pressupostos!$C$125)^0*(1+Pressupostos!$C$136)</f>
        <v>60000</v>
      </c>
      <c r="D2329" s="58" t="n">
        <f aca="false">D2315*Pressupostos!$C$135*(1+Pressupostos!$C$125)^1*(1+Pressupostos!$C$136)</f>
        <v>61800</v>
      </c>
      <c r="E2329" s="58" t="n">
        <f aca="false">E2315*Pressupostos!$C$135*(1+Pressupostos!$C$125)^2*(1+Pressupostos!$C$136)</f>
        <v>63654</v>
      </c>
      <c r="F2329" s="58" t="n">
        <f aca="false">F2315*Pressupostos!$C$135*(1+Pressupostos!$C$125)^3*(1+Pressupostos!$C$136)</f>
        <v>65563.62</v>
      </c>
      <c r="G2329" s="58" t="n">
        <f aca="false">G2315*Pressupostos!$C$135*(1+Pressupostos!$C$125)^4*(1+Pressupostos!$C$136)</f>
        <v>67530.5286</v>
      </c>
      <c r="H2329" s="2" t="s">
        <v>1253</v>
      </c>
    </row>
    <row r="2330" customFormat="false" ht="15" hidden="false" customHeight="false" outlineLevel="1" collapsed="false">
      <c r="A2330" s="7" t="s">
        <v>606</v>
      </c>
      <c r="B2330" s="8" t="s">
        <v>10</v>
      </c>
      <c r="C2330" s="58" t="n">
        <f aca="false">C2316*Pressupostos!$C$137*(1+Pressupostos!$C$125)^0*(1+Pressupostos!$C$138)</f>
        <v>22500</v>
      </c>
      <c r="D2330" s="58" t="n">
        <f aca="false">D2316*Pressupostos!$C$137*(1+Pressupostos!$C$125)^1*(1+Pressupostos!$C$138)</f>
        <v>46350</v>
      </c>
      <c r="E2330" s="58" t="n">
        <f aca="false">E2316*Pressupostos!$C$137*(1+Pressupostos!$C$125)^2*(1+Pressupostos!$C$138)</f>
        <v>47740.5</v>
      </c>
      <c r="F2330" s="58" t="n">
        <f aca="false">F2316*Pressupostos!$C$137*(1+Pressupostos!$C$125)^3*(1+Pressupostos!$C$138)</f>
        <v>49172.715</v>
      </c>
      <c r="G2330" s="58" t="n">
        <f aca="false">G2316*Pressupostos!$C$137*(1+Pressupostos!$C$125)^4*(1+Pressupostos!$C$138)</f>
        <v>50647.89645</v>
      </c>
      <c r="H2330" s="2" t="s">
        <v>1254</v>
      </c>
    </row>
    <row r="2331" customFormat="false" ht="15" hidden="false" customHeight="false" outlineLevel="1" collapsed="false">
      <c r="A2331" s="7" t="s">
        <v>607</v>
      </c>
      <c r="B2331" s="8" t="s">
        <v>10</v>
      </c>
      <c r="C2331" s="58" t="n">
        <f aca="false">C2317*Pressupostos!$C$139*(1+Pressupostos!$C$125)^0*(1+Pressupostos!$C$140)</f>
        <v>38000</v>
      </c>
      <c r="D2331" s="58" t="n">
        <f aca="false">D2317*Pressupostos!$C$139*(1+Pressupostos!$C$125)^1*(1+Pressupostos!$C$140)</f>
        <v>39140</v>
      </c>
      <c r="E2331" s="58" t="n">
        <f aca="false">E2317*Pressupostos!$C$139*(1+Pressupostos!$C$125)^2*(1+Pressupostos!$C$140)</f>
        <v>40314.2</v>
      </c>
      <c r="F2331" s="58" t="n">
        <f aca="false">F2317*Pressupostos!$C$139*(1+Pressupostos!$C$125)^3*(1+Pressupostos!$C$140)</f>
        <v>83047.252</v>
      </c>
      <c r="G2331" s="58" t="n">
        <f aca="false">G2317*Pressupostos!$C$139*(1+Pressupostos!$C$125)^4*(1+Pressupostos!$C$140)</f>
        <v>85538.66956</v>
      </c>
      <c r="H2331" s="2" t="s">
        <v>1255</v>
      </c>
    </row>
    <row r="2332" customFormat="false" ht="15" hidden="false" customHeight="false" outlineLevel="1" collapsed="false">
      <c r="A2332" s="7" t="s">
        <v>608</v>
      </c>
      <c r="B2332" s="8" t="s">
        <v>10</v>
      </c>
      <c r="C2332" s="58" t="n">
        <f aca="false">C2318*Pressupostos!$C$141*(1+Pressupostos!$C$125)^0*(1+Pressupostos!$C$142)</f>
        <v>16000</v>
      </c>
      <c r="D2332" s="58" t="n">
        <f aca="false">D2318*Pressupostos!$C$141*(1+Pressupostos!$C$125)^1*(1+Pressupostos!$C$142)</f>
        <v>32960</v>
      </c>
      <c r="E2332" s="58" t="n">
        <f aca="false">E2318*Pressupostos!$C$141*(1+Pressupostos!$C$125)^2*(1+Pressupostos!$C$142)</f>
        <v>33948.8</v>
      </c>
      <c r="F2332" s="58" t="n">
        <f aca="false">F2318*Pressupostos!$C$141*(1+Pressupostos!$C$125)^3*(1+Pressupostos!$C$142)</f>
        <v>34967.264</v>
      </c>
      <c r="G2332" s="58" t="n">
        <f aca="false">G2318*Pressupostos!$C$141*(1+Pressupostos!$C$125)^4*(1+Pressupostos!$C$142)</f>
        <v>36016.28192</v>
      </c>
      <c r="H2332" s="2" t="s">
        <v>1256</v>
      </c>
    </row>
    <row r="2333" customFormat="false" ht="15" hidden="false" customHeight="false" outlineLevel="1" collapsed="false">
      <c r="A2333" s="7" t="s">
        <v>609</v>
      </c>
      <c r="B2333" s="8" t="s">
        <v>10</v>
      </c>
      <c r="C2333" s="58" t="n">
        <f aca="false">C2319*Pressupostos!$C$143*(1+Pressupostos!$C$125)^0*(1+Pressupostos!$C$144)</f>
        <v>34500</v>
      </c>
      <c r="D2333" s="58" t="n">
        <f aca="false">D2319*Pressupostos!$C$143*(1+Pressupostos!$C$125)^1*(1+Pressupostos!$C$144)</f>
        <v>35535</v>
      </c>
      <c r="E2333" s="58" t="n">
        <f aca="false">E2319*Pressupostos!$C$143*(1+Pressupostos!$C$125)^2*(1+Pressupostos!$C$144)</f>
        <v>73202.1</v>
      </c>
      <c r="F2333" s="58" t="n">
        <f aca="false">F2319*Pressupostos!$C$143*(1+Pressupostos!$C$125)^3*(1+Pressupostos!$C$144)</f>
        <v>113097.2445</v>
      </c>
      <c r="G2333" s="58" t="n">
        <f aca="false">G2319*Pressupostos!$C$143*(1+Pressupostos!$C$125)^4*(1+Pressupostos!$C$144)</f>
        <v>194150.269725</v>
      </c>
      <c r="H2333" s="2" t="s">
        <v>1257</v>
      </c>
    </row>
    <row r="2334" customFormat="false" ht="15" hidden="false" customHeight="false" outlineLevel="1" collapsed="false">
      <c r="A2334" s="7" t="s">
        <v>610</v>
      </c>
      <c r="B2334" s="8" t="s">
        <v>10</v>
      </c>
      <c r="C2334" s="58" t="n">
        <f aca="false">C2320*Pressupostos!$C$145*(1+Pressupostos!$C$125)^0*(1+Pressupostos!$C$146)</f>
        <v>0</v>
      </c>
      <c r="D2334" s="58" t="n">
        <f aca="false">D2320*Pressupostos!$C$145*(1+Pressupostos!$C$125)^1*(1+Pressupostos!$C$146)</f>
        <v>0</v>
      </c>
      <c r="E2334" s="58" t="n">
        <f aca="false">E2320*Pressupostos!$C$145*(1+Pressupostos!$C$125)^2*(1+Pressupostos!$C$146)</f>
        <v>0</v>
      </c>
      <c r="F2334" s="58" t="n">
        <f aca="false">F2320*Pressupostos!$C$145*(1+Pressupostos!$C$125)^3*(1+Pressupostos!$C$146)</f>
        <v>49172.715</v>
      </c>
      <c r="G2334" s="58" t="n">
        <f aca="false">G2320*Pressupostos!$C$145*(1+Pressupostos!$C$125)^4*(1+Pressupostos!$C$146)</f>
        <v>50647.89645</v>
      </c>
      <c r="H2334" s="2" t="s">
        <v>1258</v>
      </c>
    </row>
    <row r="2335" customFormat="false" ht="15" hidden="false" customHeight="false" outlineLevel="1" collapsed="false">
      <c r="A2335" s="7" t="s">
        <v>611</v>
      </c>
      <c r="B2335" s="8" t="s">
        <v>10</v>
      </c>
      <c r="C2335" s="58" t="n">
        <f aca="false">C2321*Pressupostos!$C$147*(1+Pressupostos!$C$125)^0*(1+Pressupostos!$C$148)</f>
        <v>0</v>
      </c>
      <c r="D2335" s="58" t="n">
        <f aca="false">D2321*Pressupostos!$C$147*(1+Pressupostos!$C$125)^1*(1+Pressupostos!$C$148)</f>
        <v>0</v>
      </c>
      <c r="E2335" s="58" t="n">
        <f aca="false">E2321*Pressupostos!$C$147*(1+Pressupostos!$C$125)^2*(1+Pressupostos!$C$148)</f>
        <v>0</v>
      </c>
      <c r="F2335" s="58" t="n">
        <f aca="false">F2321*Pressupostos!$C$147*(1+Pressupostos!$C$125)^3*(1+Pressupostos!$C$148)</f>
        <v>0</v>
      </c>
      <c r="G2335" s="58" t="n">
        <f aca="false">G2321*Pressupostos!$C$147*(1+Pressupostos!$C$125)^4*(1+Pressupostos!$C$148)</f>
        <v>45020.3524</v>
      </c>
      <c r="H2335" s="2" t="s">
        <v>1259</v>
      </c>
    </row>
    <row r="2336" customFormat="false" ht="15" hidden="false" customHeight="false" outlineLevel="1" collapsed="false">
      <c r="A2336" s="7" t="s">
        <v>612</v>
      </c>
      <c r="B2336" s="8" t="s">
        <v>10</v>
      </c>
      <c r="C2336" s="58" t="n">
        <f aca="false">C2322*Pressupostos!$C$149*(1+Pressupostos!$C$125)^0*(1+Pressupostos!$C$150)</f>
        <v>0</v>
      </c>
      <c r="D2336" s="58" t="n">
        <f aca="false">D2322*Pressupostos!$C$149*(1+Pressupostos!$C$125)^1*(1+Pressupostos!$C$150)</f>
        <v>0</v>
      </c>
      <c r="E2336" s="58" t="n">
        <f aca="false">E2322*Pressupostos!$C$149*(1+Pressupostos!$C$125)^2*(1+Pressupostos!$C$150)</f>
        <v>25461.6</v>
      </c>
      <c r="F2336" s="58" t="n">
        <f aca="false">F2322*Pressupostos!$C$149*(1+Pressupostos!$C$125)^3*(1+Pressupostos!$C$150)</f>
        <v>26225.448</v>
      </c>
      <c r="G2336" s="58" t="n">
        <f aca="false">G2322*Pressupostos!$C$149*(1+Pressupostos!$C$125)^4*(1+Pressupostos!$C$150)</f>
        <v>27012.21144</v>
      </c>
      <c r="H2336" s="2" t="s">
        <v>1260</v>
      </c>
    </row>
    <row r="2337" customFormat="false" ht="15" hidden="false" customHeight="false" outlineLevel="1" collapsed="false">
      <c r="A2337" s="7" t="s">
        <v>613</v>
      </c>
      <c r="B2337" s="8" t="s">
        <v>10</v>
      </c>
      <c r="C2337" s="58" t="n">
        <f aca="false">C2323*Pressupostos!$C$151*(1+Pressupostos!$C$125)^0*(1+Pressupostos!$C$152)</f>
        <v>0</v>
      </c>
      <c r="D2337" s="58" t="n">
        <f aca="false">D2323*Pressupostos!$C$151*(1+Pressupostos!$C$125)^1*(1+Pressupostos!$C$152)</f>
        <v>0</v>
      </c>
      <c r="E2337" s="58" t="n">
        <f aca="false">E2323*Pressupostos!$C$151*(1+Pressupostos!$C$125)^2*(1+Pressupostos!$C$152)</f>
        <v>0</v>
      </c>
      <c r="F2337" s="58" t="n">
        <f aca="false">F2323*Pressupostos!$C$151*(1+Pressupostos!$C$125)^3*(1+Pressupostos!$C$152)</f>
        <v>0</v>
      </c>
      <c r="G2337" s="58" t="n">
        <f aca="false">G2323*Pressupostos!$C$151*(1+Pressupostos!$C$125)^4*(1+Pressupostos!$C$152)</f>
        <v>0</v>
      </c>
      <c r="H2337" s="2" t="s">
        <v>1261</v>
      </c>
    </row>
    <row r="2338" customFormat="false" ht="15" hidden="false" customHeight="false" outlineLevel="1" collapsed="false">
      <c r="A2338" s="7" t="s">
        <v>616</v>
      </c>
      <c r="B2338" s="8" t="s">
        <v>10</v>
      </c>
      <c r="C2338" s="58" t="n">
        <f aca="false">C2326+C2327+C2328+C2329+C2330+C2331+C2332+C2333+C2334+C2335+C2336+C2337</f>
        <v>307662.5</v>
      </c>
      <c r="D2338" s="58" t="n">
        <f aca="false">D2326+D2327+D2328+D2329+D2330+D2331+D2332+D2333+D2334+D2335+D2336+D2337</f>
        <v>390885</v>
      </c>
      <c r="E2338" s="58" t="n">
        <f aca="false">E2326+E2327+E2328+E2329+E2330+E2331+E2332+E2333+E2334+E2335+E2336+E2337</f>
        <v>512414.7</v>
      </c>
      <c r="F2338" s="58" t="n">
        <f aca="false">F2326+F2327+F2328+F2329+F2330+F2331+F2332+F2333+F2334+F2335+F2336+F2337</f>
        <v>656182.5635</v>
      </c>
      <c r="G2338" s="58" t="n">
        <f aca="false">G2326+G2327+G2328+G2329+G2330+G2331+G2332+G2333+G2334+G2335+G2336+G2337</f>
        <v>798548.500695</v>
      </c>
      <c r="H2338" s="2" t="s">
        <v>1262</v>
      </c>
    </row>
    <row r="2339" customFormat="false" ht="15" hidden="false" customHeight="false" outlineLevel="1" collapsed="false">
      <c r="A2339" s="7" t="s">
        <v>617</v>
      </c>
      <c r="B2339" s="8" t="s">
        <v>10</v>
      </c>
      <c r="C2339" s="58" t="n">
        <f aca="false">C2338*(Pressupostos!$C$122+Pressupostos!$C$123)</f>
        <v>79223.09375</v>
      </c>
      <c r="D2339" s="58" t="n">
        <f aca="false">D2338*(Pressupostos!$C$122+Pressupostos!$C$123)</f>
        <v>100652.8875</v>
      </c>
      <c r="E2339" s="58" t="n">
        <f aca="false">E2338*(Pressupostos!$C$122+Pressupostos!$C$123)</f>
        <v>131946.78525</v>
      </c>
      <c r="F2339" s="58" t="n">
        <f aca="false">F2338*(Pressupostos!$C$122+Pressupostos!$C$123)</f>
        <v>168967.01010125</v>
      </c>
      <c r="G2339" s="58" t="n">
        <f aca="false">G2338*(Pressupostos!$C$122+Pressupostos!$C$123)</f>
        <v>205626.238928963</v>
      </c>
      <c r="H2339" s="2" t="s">
        <v>1263</v>
      </c>
    </row>
    <row r="2340" customFormat="false" ht="15" hidden="false" customHeight="false" outlineLevel="1" collapsed="false">
      <c r="A2340" s="7" t="s">
        <v>618</v>
      </c>
      <c r="B2340" s="8" t="s">
        <v>10</v>
      </c>
      <c r="C2340" s="58" t="n">
        <f aca="false">C2324*Pressupostos!$C$124*(1+Pressupostos!$C$125)^0</f>
        <v>14000</v>
      </c>
      <c r="D2340" s="58" t="n">
        <f aca="false">D2324*Pressupostos!$C$124*(1+Pressupostos!$C$125)^1</f>
        <v>16480</v>
      </c>
      <c r="E2340" s="58" t="n">
        <f aca="false">E2324*Pressupostos!$C$124*(1+Pressupostos!$C$125)^2</f>
        <v>23339.8</v>
      </c>
      <c r="F2340" s="58" t="n">
        <f aca="false">F2324*Pressupostos!$C$124*(1+Pressupostos!$C$125)^3</f>
        <v>30596.356</v>
      </c>
      <c r="G2340" s="58" t="n">
        <f aca="false">G2324*Pressupostos!$C$124*(1+Pressupostos!$C$125)^4</f>
        <v>38267.29954</v>
      </c>
      <c r="H2340" s="2" t="s">
        <v>1264</v>
      </c>
    </row>
    <row r="2341" customFormat="false" ht="15" hidden="false" customHeight="false" outlineLevel="1" collapsed="false">
      <c r="A2341" s="52" t="s">
        <v>619</v>
      </c>
      <c r="B2341" s="53" t="s">
        <v>10</v>
      </c>
      <c r="C2341" s="59" t="n">
        <f aca="false">C2338+C2339+C2340</f>
        <v>400885.59375</v>
      </c>
      <c r="D2341" s="59" t="n">
        <f aca="false">D2338+D2339+D2340</f>
        <v>508017.8875</v>
      </c>
      <c r="E2341" s="59" t="n">
        <f aca="false">E2338+E2339+E2340</f>
        <v>667701.28525</v>
      </c>
      <c r="F2341" s="59" t="n">
        <f aca="false">F2338+F2339+F2340</f>
        <v>855745.92960125</v>
      </c>
      <c r="G2341" s="59" t="n">
        <f aca="false">G2338+G2339+G2340</f>
        <v>1042442.03916396</v>
      </c>
      <c r="H2341" s="2" t="s">
        <v>1265</v>
      </c>
    </row>
    <row r="2342" customFormat="false" ht="15" hidden="false" customHeight="false" outlineLevel="1" collapsed="false">
      <c r="A2342" s="2" t="s">
        <v>620</v>
      </c>
      <c r="B2342" s="8" t="s">
        <v>10</v>
      </c>
      <c r="C2342" s="58" t="n">
        <f aca="false">IF(C2324&gt;0,C2341/C2324,0)</f>
        <v>57269.3705357143</v>
      </c>
      <c r="D2342" s="58" t="n">
        <f aca="false">IF(D2324&gt;0,D2341/D2324,0)</f>
        <v>63502.2359375</v>
      </c>
      <c r="E2342" s="58" t="n">
        <f aca="false">IF(E2324&gt;0,E2341/E2324,0)</f>
        <v>60700.1168409091</v>
      </c>
      <c r="F2342" s="58" t="n">
        <f aca="false">IF(F2324&gt;0,F2341/F2324,0)</f>
        <v>61124.7092572321</v>
      </c>
      <c r="G2342" s="58" t="n">
        <f aca="false">IF(G2324&gt;0,G2341/G2324,0)</f>
        <v>61320.1199508213</v>
      </c>
      <c r="H2342" s="2" t="s">
        <v>1266</v>
      </c>
    </row>
    <row r="2343" customFormat="false" ht="15" hidden="false" customHeight="false" outlineLevel="0" collapsed="false">
      <c r="A2343" s="3" t="s">
        <v>1267</v>
      </c>
      <c r="B2343" s="4"/>
      <c r="C2343" s="4"/>
      <c r="D2343" s="4"/>
      <c r="E2343" s="4"/>
      <c r="F2343" s="4"/>
      <c r="G2343" s="4"/>
      <c r="H2343" s="4"/>
    </row>
    <row r="2344" customFormat="false" ht="15" hidden="false" customHeight="false" outlineLevel="1" collapsed="false">
      <c r="A2344" s="7" t="s">
        <v>430</v>
      </c>
      <c r="B2344" s="8" t="s">
        <v>10</v>
      </c>
      <c r="C2344" s="58" t="n">
        <f aca="false">Pressupostos!$C$388*(1+Pressupostos!$C$154)*(1+Pressupostos!$C$155)^0</f>
        <v>94500</v>
      </c>
      <c r="D2344" s="58" t="n">
        <f aca="false">Pressupostos!$D$388*(1+Pressupostos!$C$154)*(1+Pressupostos!$C$155)^1</f>
        <v>53550</v>
      </c>
      <c r="E2344" s="58" t="n">
        <f aca="false">Pressupostos!$E$388*(1+Pressupostos!$C$154)*(1+Pressupostos!$C$155)^2</f>
        <v>49158.9</v>
      </c>
      <c r="F2344" s="58" t="n">
        <f aca="false">Pressupostos!$F$388*(1+Pressupostos!$C$154)*(1+Pressupostos!$C$155)^3</f>
        <v>50142.078</v>
      </c>
      <c r="G2344" s="58" t="n">
        <f aca="false">Pressupostos!$G$388*(1+Pressupostos!$C$154)*(1+Pressupostos!$C$155)^4</f>
        <v>51144.91956</v>
      </c>
      <c r="H2344" s="2" t="s">
        <v>1268</v>
      </c>
    </row>
    <row r="2345" customFormat="false" ht="15" hidden="false" customHeight="false" outlineLevel="1" collapsed="false">
      <c r="A2345" s="7" t="s">
        <v>432</v>
      </c>
      <c r="B2345" s="8" t="s">
        <v>10</v>
      </c>
      <c r="C2345" s="58" t="n">
        <f aca="false">Pressupostos!$C$394*(1+Pressupostos!$C$154)*(1+Pressupostos!$C$155)^0</f>
        <v>10500</v>
      </c>
      <c r="D2345" s="58" t="n">
        <f aca="false">Pressupostos!$D$394*(1+Pressupostos!$C$154)*(1+Pressupostos!$C$155)^1</f>
        <v>10710</v>
      </c>
      <c r="E2345" s="58" t="n">
        <f aca="false">Pressupostos!$E$394*(1+Pressupostos!$C$154)*(1+Pressupostos!$C$155)^2</f>
        <v>10924.2</v>
      </c>
      <c r="F2345" s="58" t="n">
        <f aca="false">Pressupostos!$F$394*(1+Pressupostos!$C$154)*(1+Pressupostos!$C$155)^3</f>
        <v>11142.684</v>
      </c>
      <c r="G2345" s="58" t="n">
        <f aca="false">Pressupostos!$G$394*(1+Pressupostos!$C$154)*(1+Pressupostos!$C$155)^4</f>
        <v>11365.53768</v>
      </c>
      <c r="H2345" s="2" t="s">
        <v>1269</v>
      </c>
    </row>
    <row r="2346" customFormat="false" ht="15" hidden="false" customHeight="false" outlineLevel="1" collapsed="false">
      <c r="A2346" s="7" t="s">
        <v>433</v>
      </c>
      <c r="B2346" s="8" t="s">
        <v>10</v>
      </c>
      <c r="C2346" s="58" t="n">
        <f aca="false">Pressupostos!$C$400*(1+Pressupostos!$C$154)*(1+Pressupostos!$C$155)^0</f>
        <v>12600</v>
      </c>
      <c r="D2346" s="58" t="n">
        <f aca="false">Pressupostos!$D$400*(1+Pressupostos!$C$154)*(1+Pressupostos!$C$155)^1</f>
        <v>12852</v>
      </c>
      <c r="E2346" s="58" t="n">
        <f aca="false">Pressupostos!$E$400*(1+Pressupostos!$C$154)*(1+Pressupostos!$C$155)^2</f>
        <v>13109.04</v>
      </c>
      <c r="F2346" s="58" t="n">
        <f aca="false">Pressupostos!$F$400*(1+Pressupostos!$C$154)*(1+Pressupostos!$C$155)^3</f>
        <v>0</v>
      </c>
      <c r="G2346" s="58" t="n">
        <f aca="false">Pressupostos!$G$400*(1+Pressupostos!$C$154)*(1+Pressupostos!$C$155)^4</f>
        <v>0</v>
      </c>
      <c r="H2346" s="2" t="s">
        <v>1270</v>
      </c>
    </row>
    <row r="2347" customFormat="false" ht="15" hidden="false" customHeight="false" outlineLevel="1" collapsed="false">
      <c r="A2347" s="7" t="s">
        <v>435</v>
      </c>
      <c r="B2347" s="8" t="s">
        <v>10</v>
      </c>
      <c r="C2347" s="58" t="n">
        <f aca="false">Pressupostos!$C$406*(1+Pressupostos!$C$154)*(1+Pressupostos!$C$155)^0</f>
        <v>31500</v>
      </c>
      <c r="D2347" s="58" t="n">
        <f aca="false">Pressupostos!$D$406*(1+Pressupostos!$C$154)*(1+Pressupostos!$C$155)^1</f>
        <v>42840</v>
      </c>
      <c r="E2347" s="58" t="n">
        <f aca="false">Pressupostos!$E$406*(1+Pressupostos!$C$154)*(1+Pressupostos!$C$155)^2</f>
        <v>60083.1</v>
      </c>
      <c r="F2347" s="58" t="n">
        <f aca="false">Pressupostos!$F$406*(1+Pressupostos!$C$154)*(1+Pressupostos!$C$155)^3</f>
        <v>77998.788</v>
      </c>
      <c r="G2347" s="58" t="n">
        <f aca="false">Pressupostos!$G$406*(1+Pressupostos!$C$154)*(1+Pressupostos!$C$155)^4</f>
        <v>96607.07028</v>
      </c>
      <c r="H2347" s="2" t="s">
        <v>1271</v>
      </c>
    </row>
    <row r="2348" customFormat="false" ht="15" hidden="false" customHeight="false" outlineLevel="1" collapsed="false">
      <c r="A2348" s="7" t="s">
        <v>437</v>
      </c>
      <c r="B2348" s="8" t="s">
        <v>10</v>
      </c>
      <c r="C2348" s="58" t="n">
        <f aca="false">Pressupostos!$C$412*(1+Pressupostos!$C$154)*(1+Pressupostos!$C$155)^0</f>
        <v>15750</v>
      </c>
      <c r="D2348" s="58" t="n">
        <f aca="false">Pressupostos!$D$412*(1+Pressupostos!$C$154)*(1+Pressupostos!$C$155)^1</f>
        <v>16065</v>
      </c>
      <c r="E2348" s="58" t="n">
        <f aca="false">Pressupostos!$E$412*(1+Pressupostos!$C$154)*(1+Pressupostos!$C$155)^2</f>
        <v>38234.7</v>
      </c>
      <c r="F2348" s="58" t="n">
        <f aca="false">Pressupostos!$F$412*(1+Pressupostos!$C$154)*(1+Pressupostos!$C$155)^3</f>
        <v>22285.368</v>
      </c>
      <c r="G2348" s="58" t="n">
        <f aca="false">Pressupostos!$G$412*(1+Pressupostos!$C$154)*(1+Pressupostos!$C$155)^4</f>
        <v>22731.07536</v>
      </c>
      <c r="H2348" s="2" t="s">
        <v>1272</v>
      </c>
    </row>
    <row r="2349" customFormat="false" ht="15" hidden="false" customHeight="false" outlineLevel="1" collapsed="false">
      <c r="A2349" s="7" t="s">
        <v>439</v>
      </c>
      <c r="B2349" s="8" t="s">
        <v>10</v>
      </c>
      <c r="C2349" s="58" t="n">
        <f aca="false">Pressupostos!$C$418*(1+Pressupostos!$C$154)*(1+Pressupostos!$C$155)^0</f>
        <v>10500</v>
      </c>
      <c r="D2349" s="58" t="n">
        <f aca="false">Pressupostos!$D$418*(1+Pressupostos!$C$154)*(1+Pressupostos!$C$155)^1</f>
        <v>12852</v>
      </c>
      <c r="E2349" s="58" t="n">
        <f aca="false">Pressupostos!$E$418*(1+Pressupostos!$C$154)*(1+Pressupostos!$C$155)^2</f>
        <v>16386.3</v>
      </c>
      <c r="F2349" s="58" t="n">
        <f aca="false">Pressupostos!$F$418*(1+Pressupostos!$C$154)*(1+Pressupostos!$C$155)^3</f>
        <v>20056.8312</v>
      </c>
      <c r="G2349" s="58" t="n">
        <f aca="false">Pressupostos!$G$418*(1+Pressupostos!$C$154)*(1+Pressupostos!$C$155)^4</f>
        <v>22731.07536</v>
      </c>
      <c r="H2349" s="2" t="s">
        <v>1273</v>
      </c>
    </row>
    <row r="2350" customFormat="false" ht="15" hidden="false" customHeight="false" outlineLevel="1" collapsed="false">
      <c r="A2350" s="7" t="s">
        <v>440</v>
      </c>
      <c r="B2350" s="8" t="s">
        <v>10</v>
      </c>
      <c r="C2350" s="58" t="n">
        <f aca="false">Pressupostos!$C$424*(1+Pressupostos!$C$154)*(1+Pressupostos!$C$155)^0</f>
        <v>42000</v>
      </c>
      <c r="D2350" s="58" t="n">
        <f aca="false">Pressupostos!$D$424*(1+Pressupostos!$C$154)*(1+Pressupostos!$C$155)^1</f>
        <v>53550</v>
      </c>
      <c r="E2350" s="58" t="n">
        <f aca="false">Pressupostos!$E$424*(1+Pressupostos!$C$154)*(1+Pressupostos!$C$155)^2</f>
        <v>76469.4</v>
      </c>
      <c r="F2350" s="58" t="n">
        <f aca="false">Pressupostos!$F$424*(1+Pressupostos!$C$154)*(1+Pressupostos!$C$155)^3</f>
        <v>100284.156</v>
      </c>
      <c r="G2350" s="58" t="n">
        <f aca="false">Pressupostos!$G$424*(1+Pressupostos!$C$154)*(1+Pressupostos!$C$155)^4</f>
        <v>125020.91448</v>
      </c>
      <c r="H2350" s="2" t="s">
        <v>1274</v>
      </c>
    </row>
    <row r="2351" customFormat="false" ht="15" hidden="false" customHeight="false" outlineLevel="1" collapsed="false">
      <c r="A2351" s="7" t="s">
        <v>442</v>
      </c>
      <c r="B2351" s="8" t="s">
        <v>10</v>
      </c>
      <c r="C2351" s="58" t="n">
        <f aca="false">Pressupostos!$C$430*(1+Pressupostos!$C$154)*(1+Pressupostos!$C$155)^0</f>
        <v>12600</v>
      </c>
      <c r="D2351" s="58" t="n">
        <f aca="false">Pressupostos!$D$430*(1+Pressupostos!$C$154)*(1+Pressupostos!$C$155)^1</f>
        <v>16065</v>
      </c>
      <c r="E2351" s="58" t="n">
        <f aca="false">Pressupostos!$E$430*(1+Pressupostos!$C$154)*(1+Pressupostos!$C$155)^2</f>
        <v>26218.08</v>
      </c>
      <c r="F2351" s="58" t="n">
        <f aca="false">Pressupostos!$F$430*(1+Pressupostos!$C$154)*(1+Pressupostos!$C$155)^3</f>
        <v>33428.052</v>
      </c>
      <c r="G2351" s="58" t="n">
        <f aca="false">Pressupostos!$G$430*(1+Pressupostos!$C$154)*(1+Pressupostos!$C$155)^4</f>
        <v>40915.935648</v>
      </c>
      <c r="H2351" s="2" t="s">
        <v>1275</v>
      </c>
    </row>
    <row r="2352" customFormat="false" ht="15" hidden="false" customHeight="false" outlineLevel="1" collapsed="false">
      <c r="A2352" s="7" t="s">
        <v>444</v>
      </c>
      <c r="B2352" s="8" t="s">
        <v>10</v>
      </c>
      <c r="C2352" s="58" t="n">
        <f aca="false">Pressupostos!$C$436*(1+Pressupostos!$C$154)*(1+Pressupostos!$C$155)^0</f>
        <v>18900</v>
      </c>
      <c r="D2352" s="58" t="n">
        <f aca="false">Pressupostos!$D$436*(1+Pressupostos!$C$154)*(1+Pressupostos!$C$155)^1</f>
        <v>23562</v>
      </c>
      <c r="E2352" s="58" t="n">
        <f aca="false">Pressupostos!$E$436*(1+Pressupostos!$C$154)*(1+Pressupostos!$C$155)^2</f>
        <v>32772.6</v>
      </c>
      <c r="F2352" s="58" t="n">
        <f aca="false">Pressupostos!$F$436*(1+Pressupostos!$C$154)*(1+Pressupostos!$C$155)^3</f>
        <v>42342.1992</v>
      </c>
      <c r="G2352" s="58" t="n">
        <f aca="false">Pressupostos!$G$436*(1+Pressupostos!$C$154)*(1+Pressupostos!$C$155)^4</f>
        <v>51144.91956</v>
      </c>
      <c r="H2352" s="2" t="s">
        <v>1276</v>
      </c>
    </row>
    <row r="2353" customFormat="false" ht="15" hidden="false" customHeight="false" outlineLevel="1" collapsed="false">
      <c r="A2353" s="7" t="s">
        <v>445</v>
      </c>
      <c r="B2353" s="8" t="s">
        <v>10</v>
      </c>
      <c r="C2353" s="58" t="n">
        <f aca="false">Pressupostos!$C$442*(1+Pressupostos!$C$154)*(1+Pressupostos!$C$155)^0</f>
        <v>5250</v>
      </c>
      <c r="D2353" s="58" t="n">
        <f aca="false">Pressupostos!$D$442*(1+Pressupostos!$C$154)*(1+Pressupostos!$C$155)^1</f>
        <v>8568</v>
      </c>
      <c r="E2353" s="58" t="n">
        <f aca="false">Pressupostos!$E$442*(1+Pressupostos!$C$154)*(1+Pressupostos!$C$155)^2</f>
        <v>13109.04</v>
      </c>
      <c r="F2353" s="58" t="n">
        <f aca="false">Pressupostos!$F$442*(1+Pressupostos!$C$154)*(1+Pressupostos!$C$155)^3</f>
        <v>16714.026</v>
      </c>
      <c r="G2353" s="58" t="n">
        <f aca="false">Pressupostos!$G$442*(1+Pressupostos!$C$154)*(1+Pressupostos!$C$155)^4</f>
        <v>17048.30652</v>
      </c>
      <c r="H2353" s="2" t="s">
        <v>1277</v>
      </c>
    </row>
    <row r="2354" customFormat="false" ht="15" hidden="false" customHeight="false" outlineLevel="1" collapsed="false">
      <c r="A2354" s="7" t="s">
        <v>661</v>
      </c>
      <c r="B2354" s="8" t="s">
        <v>10</v>
      </c>
      <c r="C2354" s="58" t="n">
        <f aca="false">C2344+C2345+C2346+C2347+C2348+C2349+C2350+C2351+C2352+C2353</f>
        <v>254100</v>
      </c>
      <c r="D2354" s="58" t="n">
        <f aca="false">D2344+D2345+D2346+D2347+D2348+D2349+D2350+D2351+D2352+D2353</f>
        <v>250614</v>
      </c>
      <c r="E2354" s="58" t="n">
        <f aca="false">E2344+E2345+E2346+E2347+E2348+E2349+E2350+E2351+E2352+E2353</f>
        <v>336465.36</v>
      </c>
      <c r="F2354" s="58" t="n">
        <f aca="false">F2344+F2345+F2346+F2347+F2348+F2349+F2350+F2351+F2352+F2353</f>
        <v>374394.1824</v>
      </c>
      <c r="G2354" s="58" t="n">
        <f aca="false">G2344+G2345+G2346+G2347+G2348+G2349+G2350+G2351+G2352+G2353</f>
        <v>438709.754448</v>
      </c>
      <c r="H2354" s="2" t="s">
        <v>1278</v>
      </c>
    </row>
    <row r="2355" customFormat="false" ht="15" hidden="false" customHeight="false" outlineLevel="1" collapsed="false">
      <c r="A2355" s="7" t="s">
        <v>662</v>
      </c>
      <c r="B2355" s="8" t="s">
        <v>10</v>
      </c>
      <c r="C2355" s="58" t="n">
        <f aca="false">Pressupostos!$C$112+Pressupostos!$C$113+Pressupostos!$C$114*Pressupostos!$C$289+Pressupostos!$C$449</f>
        <v>65000</v>
      </c>
      <c r="D2355" s="58" t="n">
        <f aca="false">Pressupostos!$C$113+Pressupostos!$C$114*Pressupostos!$D$289+Pressupostos!$D$449</f>
        <v>65000</v>
      </c>
      <c r="E2355" s="58" t="n">
        <f aca="false">Pressupostos!$C$113+Pressupostos!$C$114*Pressupostos!$E$289+Pressupostos!$E$449</f>
        <v>70000</v>
      </c>
      <c r="F2355" s="58" t="n">
        <f aca="false">Pressupostos!$C$113+Pressupostos!$C$114*Pressupostos!$F$289+Pressupostos!$F$449</f>
        <v>75000</v>
      </c>
      <c r="G2355" s="58" t="n">
        <f aca="false">Pressupostos!$C$113+Pressupostos!$C$114*Pressupostos!$G$289+Pressupostos!$G$449</f>
        <v>80000</v>
      </c>
      <c r="H2355" s="2" t="s">
        <v>1279</v>
      </c>
    </row>
    <row r="2356" customFormat="false" ht="15" hidden="false" customHeight="false" outlineLevel="1" collapsed="false">
      <c r="A2356" s="7" t="s">
        <v>663</v>
      </c>
      <c r="B2356" s="8" t="s">
        <v>10</v>
      </c>
      <c r="C2356" s="58" t="n">
        <f aca="false">IF(C2178&lt;Pressupostos!$C$118,0,MAX(Pressupostos!$C$295,Pressupostos!$C$116*(C2266+C2267)+Pressupostos!$C$117*C2268))</f>
        <v>0</v>
      </c>
      <c r="D2356" s="58" t="n">
        <f aca="false">IF(D2178&lt;Pressupostos!$C$118,0,MAX(Pressupostos!$D$295,Pressupostos!$C$116*(D2266+D2267)+Pressupostos!$C$117*D2268))</f>
        <v>4948.146</v>
      </c>
      <c r="E2356" s="58" t="n">
        <f aca="false">IF(E2178&lt;Pressupostos!$C$118,0,MAX(Pressupostos!$E$295,Pressupostos!$C$116*(E2266+E2267)+Pressupostos!$C$117*E2268))</f>
        <v>10626.714</v>
      </c>
      <c r="F2356" s="58" t="n">
        <f aca="false">IF(F2178&lt;Pressupostos!$C$118,0,MAX(Pressupostos!$F$295,Pressupostos!$C$116*(F2266+F2267)+Pressupostos!$C$117*F2268))</f>
        <v>18210.486</v>
      </c>
      <c r="G2356" s="58" t="n">
        <f aca="false">IF(G2178&lt;Pressupostos!$C$118,0,MAX(Pressupostos!$G$295,Pressupostos!$C$116*(G2266+G2267)+Pressupostos!$C$117*G2268))</f>
        <v>27639.78</v>
      </c>
      <c r="H2356" s="2" t="s">
        <v>1280</v>
      </c>
    </row>
    <row r="2357" customFormat="false" ht="15" hidden="false" customHeight="false" outlineLevel="1" collapsed="false">
      <c r="A2357" s="52" t="s">
        <v>664</v>
      </c>
      <c r="B2357" s="53" t="s">
        <v>10</v>
      </c>
      <c r="C2357" s="59" t="n">
        <f aca="false">C2354+C2355+C2356</f>
        <v>319100</v>
      </c>
      <c r="D2357" s="59" t="n">
        <f aca="false">D2354+D2355+D2356</f>
        <v>320562.146</v>
      </c>
      <c r="E2357" s="59" t="n">
        <f aca="false">E2354+E2355+E2356</f>
        <v>417092.074</v>
      </c>
      <c r="F2357" s="59" t="n">
        <f aca="false">F2354+F2355+F2356</f>
        <v>467604.6684</v>
      </c>
      <c r="G2357" s="59" t="n">
        <f aca="false">G2354+G2355+G2356</f>
        <v>546349.534448</v>
      </c>
      <c r="H2357" s="2" t="s">
        <v>1281</v>
      </c>
    </row>
    <row r="2358" customFormat="false" ht="15" hidden="false" customHeight="false" outlineLevel="0" collapsed="false">
      <c r="A2358" s="3" t="s">
        <v>1282</v>
      </c>
      <c r="B2358" s="4"/>
      <c r="C2358" s="4"/>
      <c r="D2358" s="4"/>
      <c r="E2358" s="4"/>
      <c r="F2358" s="4"/>
      <c r="G2358" s="4"/>
      <c r="H2358" s="4"/>
    </row>
    <row r="2359" customFormat="false" ht="15" hidden="false" customHeight="false" outlineLevel="1" collapsed="false">
      <c r="A2359" s="7" t="s">
        <v>666</v>
      </c>
      <c r="B2359" s="8" t="s">
        <v>10</v>
      </c>
      <c r="C2359" s="58" t="n">
        <f aca="false">Pressupostos!$C$163*Pressupostos!$C$302</f>
        <v>18000</v>
      </c>
      <c r="D2359" s="58" t="n">
        <f aca="false">Pressupostos!$C$163*Pressupostos!$D$302</f>
        <v>12000</v>
      </c>
      <c r="E2359" s="58" t="n">
        <f aca="false">Pressupostos!$C$163*Pressupostos!$E$302</f>
        <v>12000</v>
      </c>
      <c r="F2359" s="58" t="n">
        <f aca="false">Pressupostos!$C$163*Pressupostos!$F$302</f>
        <v>12000</v>
      </c>
      <c r="G2359" s="58" t="n">
        <f aca="false">Pressupostos!$C$163*Pressupostos!$G$302</f>
        <v>12000</v>
      </c>
      <c r="H2359" s="2" t="s">
        <v>1283</v>
      </c>
    </row>
    <row r="2360" customFormat="false" ht="15" hidden="false" customHeight="false" outlineLevel="1" collapsed="false">
      <c r="A2360" s="7" t="s">
        <v>667</v>
      </c>
      <c r="B2360" s="8" t="s">
        <v>10</v>
      </c>
      <c r="C2360" s="50" t="n">
        <f aca="false">Pressupostos!$C$308</f>
        <v>60000</v>
      </c>
      <c r="D2360" s="50" t="n">
        <f aca="false">Pressupostos!$D$308</f>
        <v>30000</v>
      </c>
      <c r="E2360" s="50" t="n">
        <f aca="false">Pressupostos!$E$308</f>
        <v>30000</v>
      </c>
      <c r="F2360" s="50" t="n">
        <f aca="false">Pressupostos!$F$308</f>
        <v>20000</v>
      </c>
      <c r="G2360" s="50" t="n">
        <f aca="false">Pressupostos!$G$308</f>
        <v>20000</v>
      </c>
      <c r="H2360" s="2" t="s">
        <v>1284</v>
      </c>
    </row>
    <row r="2361" customFormat="false" ht="15" hidden="false" customHeight="false" outlineLevel="1" collapsed="false">
      <c r="A2361" s="7" t="s">
        <v>668</v>
      </c>
      <c r="B2361" s="8" t="s">
        <v>10</v>
      </c>
      <c r="C2361" s="58" t="n">
        <f aca="false">Pressupostos!$C$164*MAX(0,C2324)</f>
        <v>14000</v>
      </c>
      <c r="D2361" s="58" t="n">
        <f aca="false">Pressupostos!$C$164*MAX(0,D2324-C2324)</f>
        <v>2000</v>
      </c>
      <c r="E2361" s="58" t="n">
        <f aca="false">Pressupostos!$C$164*MAX(0,E2324-D2324)</f>
        <v>6000</v>
      </c>
      <c r="F2361" s="58" t="n">
        <f aca="false">Pressupostos!$C$164*MAX(0,F2324-E2324)</f>
        <v>6000</v>
      </c>
      <c r="G2361" s="58" t="n">
        <f aca="false">Pressupostos!$C$164*MAX(0,G2324-F2324)</f>
        <v>6000</v>
      </c>
      <c r="H2361" s="2" t="s">
        <v>1285</v>
      </c>
    </row>
    <row r="2362" customFormat="false" ht="15" hidden="false" customHeight="false" outlineLevel="1" collapsed="false">
      <c r="A2362" s="7" t="s">
        <v>407</v>
      </c>
      <c r="B2362" s="8" t="s">
        <v>10</v>
      </c>
      <c r="C2362" s="58" t="n">
        <f aca="false">C2359+C2360+C2361</f>
        <v>92000</v>
      </c>
      <c r="D2362" s="58" t="n">
        <f aca="false">D2359+D2360+D2361</f>
        <v>44000</v>
      </c>
      <c r="E2362" s="58" t="n">
        <f aca="false">E2359+E2360+E2361</f>
        <v>48000</v>
      </c>
      <c r="F2362" s="58" t="n">
        <f aca="false">F2359+F2360+F2361</f>
        <v>38000</v>
      </c>
      <c r="G2362" s="58" t="n">
        <f aca="false">G2359+G2360+G2361</f>
        <v>38000</v>
      </c>
      <c r="H2362" s="2" t="s">
        <v>1286</v>
      </c>
    </row>
    <row r="2363" customFormat="false" ht="15" hidden="false" customHeight="false" outlineLevel="1" collapsed="false">
      <c r="A2363" s="7" t="s">
        <v>669</v>
      </c>
      <c r="B2363" s="8" t="s">
        <v>10</v>
      </c>
      <c r="C2363" s="58" t="n">
        <f aca="false">(C2360*((0)&lt;Pressupostos!$C$165))/Pressupostos!$C$165</f>
        <v>20000</v>
      </c>
      <c r="D2363" s="58" t="n">
        <f aca="false">(C2360*((1)&lt;Pressupostos!$C$165)+D2360*((0)&lt;Pressupostos!$C$165))/Pressupostos!$C$165</f>
        <v>30000</v>
      </c>
      <c r="E2363" s="58" t="n">
        <f aca="false">(C2360*((2)&lt;Pressupostos!$C$165)+D2360*((1)&lt;Pressupostos!$C$165)+E2360*((0)&lt;Pressupostos!$C$165))/Pressupostos!$C$165</f>
        <v>40000</v>
      </c>
      <c r="F2363" s="58" t="n">
        <f aca="false">(C2360*((3)&lt;Pressupostos!$C$165)+D2360*((2)&lt;Pressupostos!$C$165)+E2360*((1)&lt;Pressupostos!$C$165)+F2360*((0)&lt;Pressupostos!$C$165))/Pressupostos!$C$165</f>
        <v>26666.6666666667</v>
      </c>
      <c r="G2363" s="58" t="n">
        <f aca="false">(C2360*((4)&lt;Pressupostos!$C$165)+D2360*((3)&lt;Pressupostos!$C$165)+E2360*((2)&lt;Pressupostos!$C$165)+F2360*((1)&lt;Pressupostos!$C$165)+G2360*((0)&lt;Pressupostos!$C$165))/Pressupostos!$C$165</f>
        <v>23333.3333333333</v>
      </c>
      <c r="H2363" s="2" t="s">
        <v>1287</v>
      </c>
    </row>
    <row r="2364" customFormat="false" ht="15" hidden="false" customHeight="false" outlineLevel="1" collapsed="false">
      <c r="A2364" s="7" t="s">
        <v>670</v>
      </c>
      <c r="B2364" s="8" t="s">
        <v>10</v>
      </c>
      <c r="C2364" s="58" t="n">
        <f aca="false">(C2359*((0)&lt;Pressupostos!$C$167))/Pressupostos!$C$167</f>
        <v>3600</v>
      </c>
      <c r="D2364" s="58" t="n">
        <f aca="false">(C2359*((1)&lt;Pressupostos!$C$167)+D2359*((0)&lt;Pressupostos!$C$167))/Pressupostos!$C$167</f>
        <v>6000</v>
      </c>
      <c r="E2364" s="58" t="n">
        <f aca="false">(C2359*((2)&lt;Pressupostos!$C$167)+D2359*((1)&lt;Pressupostos!$C$167)+E2359*((0)&lt;Pressupostos!$C$167))/Pressupostos!$C$167</f>
        <v>8400</v>
      </c>
      <c r="F2364" s="58" t="n">
        <f aca="false">(C2359*((3)&lt;Pressupostos!$C$167)+D2359*((2)&lt;Pressupostos!$C$167)+E2359*((1)&lt;Pressupostos!$C$167)+F2359*((0)&lt;Pressupostos!$C$167))/Pressupostos!$C$167</f>
        <v>10800</v>
      </c>
      <c r="G2364" s="58" t="n">
        <f aca="false">(C2359*((4)&lt;Pressupostos!$C$167)+D2359*((3)&lt;Pressupostos!$C$167)+E2359*((2)&lt;Pressupostos!$C$167)+F2359*((1)&lt;Pressupostos!$C$167)+G2359*((0)&lt;Pressupostos!$C$167))/Pressupostos!$C$167</f>
        <v>13200</v>
      </c>
      <c r="H2364" s="2" t="s">
        <v>1288</v>
      </c>
    </row>
    <row r="2365" customFormat="false" ht="15" hidden="false" customHeight="false" outlineLevel="1" collapsed="false">
      <c r="A2365" s="7" t="s">
        <v>671</v>
      </c>
      <c r="B2365" s="8" t="s">
        <v>10</v>
      </c>
      <c r="C2365" s="58" t="n">
        <f aca="false">(C2361*((0)&lt;Pressupostos!$C$166))/Pressupostos!$C$166</f>
        <v>3500</v>
      </c>
      <c r="D2365" s="58" t="n">
        <f aca="false">(C2361*((1)&lt;Pressupostos!$C$166)+D2361*((0)&lt;Pressupostos!$C$166))/Pressupostos!$C$166</f>
        <v>4000</v>
      </c>
      <c r="E2365" s="58" t="n">
        <f aca="false">(C2361*((2)&lt;Pressupostos!$C$166)+D2361*((1)&lt;Pressupostos!$C$166)+E2361*((0)&lt;Pressupostos!$C$166))/Pressupostos!$C$166</f>
        <v>5500</v>
      </c>
      <c r="F2365" s="58" t="n">
        <f aca="false">(C2361*((3)&lt;Pressupostos!$C$166)+D2361*((2)&lt;Pressupostos!$C$166)+E2361*((1)&lt;Pressupostos!$C$166)+F2361*((0)&lt;Pressupostos!$C$166))/Pressupostos!$C$166</f>
        <v>7000</v>
      </c>
      <c r="G2365" s="58" t="n">
        <f aca="false">(C2361*((4)&lt;Pressupostos!$C$166)+D2361*((3)&lt;Pressupostos!$C$166)+E2361*((2)&lt;Pressupostos!$C$166)+F2361*((1)&lt;Pressupostos!$C$166)+G2361*((0)&lt;Pressupostos!$C$166))/Pressupostos!$C$166</f>
        <v>5000</v>
      </c>
      <c r="H2365" s="2" t="s">
        <v>1289</v>
      </c>
    </row>
    <row r="2366" customFormat="false" ht="15" hidden="false" customHeight="false" outlineLevel="1" collapsed="false">
      <c r="A2366" s="7" t="s">
        <v>672</v>
      </c>
      <c r="B2366" s="8" t="s">
        <v>10</v>
      </c>
      <c r="C2366" s="58" t="n">
        <f aca="false">C2363+C2364+C2365</f>
        <v>27100</v>
      </c>
      <c r="D2366" s="58" t="n">
        <f aca="false">D2363+D2364+D2365</f>
        <v>40000</v>
      </c>
      <c r="E2366" s="58" t="n">
        <f aca="false">E2363+E2364+E2365</f>
        <v>53900</v>
      </c>
      <c r="F2366" s="58" t="n">
        <f aca="false">F2363+F2364+F2365</f>
        <v>44466.6666666667</v>
      </c>
      <c r="G2366" s="58" t="n">
        <f aca="false">G2363+G2364+G2365</f>
        <v>41533.3333333333</v>
      </c>
      <c r="H2366" s="2" t="s">
        <v>1290</v>
      </c>
    </row>
    <row r="2367" customFormat="false" ht="15" hidden="false" customHeight="false" outlineLevel="0" collapsed="false">
      <c r="A2367" s="3" t="s">
        <v>1291</v>
      </c>
      <c r="B2367" s="4"/>
      <c r="C2367" s="4"/>
      <c r="D2367" s="4"/>
      <c r="E2367" s="4"/>
      <c r="F2367" s="4"/>
      <c r="G2367" s="4"/>
      <c r="H2367" s="4"/>
    </row>
    <row r="2368" customFormat="false" ht="15" hidden="false" customHeight="false" outlineLevel="1" collapsed="false">
      <c r="A2368" s="52" t="s">
        <v>676</v>
      </c>
      <c r="B2368" s="53" t="s">
        <v>10</v>
      </c>
      <c r="C2368" s="59" t="n">
        <f aca="false">C2275</f>
        <v>187383</v>
      </c>
      <c r="D2368" s="59" t="n">
        <f aca="false">D2275</f>
        <v>1249304.5</v>
      </c>
      <c r="E2368" s="59" t="n">
        <f aca="false">E2275</f>
        <v>2855308.5</v>
      </c>
      <c r="F2368" s="59" t="n">
        <f aca="false">F2275</f>
        <v>4957613.5</v>
      </c>
      <c r="G2368" s="59" t="n">
        <f aca="false">G2275</f>
        <v>7596249</v>
      </c>
      <c r="H2368" s="2" t="s">
        <v>1292</v>
      </c>
    </row>
    <row r="2369" customFormat="false" ht="15" hidden="false" customHeight="false" outlineLevel="1" collapsed="false">
      <c r="A2369" s="7" t="s">
        <v>649</v>
      </c>
      <c r="B2369" s="8" t="s">
        <v>10</v>
      </c>
      <c r="C2369" s="58" t="n">
        <f aca="false">-C2296</f>
        <v>-170660</v>
      </c>
      <c r="D2369" s="58" t="n">
        <f aca="false">-D2296</f>
        <v>-1136590</v>
      </c>
      <c r="E2369" s="58" t="n">
        <f aca="false">-E2296</f>
        <v>-2566060</v>
      </c>
      <c r="F2369" s="58" t="n">
        <f aca="false">-F2296</f>
        <v>-4423440</v>
      </c>
      <c r="G2369" s="58" t="n">
        <f aca="false">-G2296</f>
        <v>-6755700</v>
      </c>
      <c r="H2369" s="2" t="s">
        <v>1293</v>
      </c>
    </row>
    <row r="2370" customFormat="false" ht="15" hidden="false" customHeight="false" outlineLevel="1" collapsed="false">
      <c r="A2370" s="52" t="s">
        <v>677</v>
      </c>
      <c r="B2370" s="53" t="s">
        <v>10</v>
      </c>
      <c r="C2370" s="59" t="n">
        <f aca="false">C2368+C2369</f>
        <v>16723</v>
      </c>
      <c r="D2370" s="59" t="n">
        <f aca="false">D2368+D2369</f>
        <v>112714.5</v>
      </c>
      <c r="E2370" s="59" t="n">
        <f aca="false">E2368+E2369</f>
        <v>289248.5</v>
      </c>
      <c r="F2370" s="59" t="n">
        <f aca="false">F2368+F2369</f>
        <v>534173.499999999</v>
      </c>
      <c r="G2370" s="59" t="n">
        <f aca="false">G2368+G2369</f>
        <v>840549</v>
      </c>
      <c r="H2370" s="2" t="s">
        <v>1294</v>
      </c>
    </row>
    <row r="2371" customFormat="false" ht="15" hidden="false" customHeight="false" outlineLevel="1" collapsed="false">
      <c r="A2371" s="2" t="s">
        <v>678</v>
      </c>
      <c r="B2371" s="8" t="s">
        <v>71</v>
      </c>
      <c r="C2371" s="55" t="n">
        <f aca="false">IF(C2368&gt;0,C2370/C2368,0)</f>
        <v>0.0892450222272031</v>
      </c>
      <c r="D2371" s="55" t="n">
        <f aca="false">IF(D2368&gt;0,D2370/D2368,0)</f>
        <v>0.0902217994091913</v>
      </c>
      <c r="E2371" s="55" t="n">
        <f aca="false">IF(E2368&gt;0,E2370/E2368,0)</f>
        <v>0.101302013425169</v>
      </c>
      <c r="F2371" s="55" t="n">
        <f aca="false">IF(F2368&gt;0,F2370/F2368,0)</f>
        <v>0.107748113079004</v>
      </c>
      <c r="G2371" s="55" t="n">
        <f aca="false">IF(G2368&gt;0,G2370/G2368,0)</f>
        <v>0.110653165792749</v>
      </c>
      <c r="H2371" s="2" t="s">
        <v>1295</v>
      </c>
    </row>
    <row r="2372" customFormat="false" ht="15" hidden="false" customHeight="false" outlineLevel="1" collapsed="false">
      <c r="A2372" s="7" t="s">
        <v>679</v>
      </c>
      <c r="B2372" s="8" t="s">
        <v>10</v>
      </c>
      <c r="C2372" s="58" t="n">
        <f aca="false">-C2306</f>
        <v>-10739.3006575342</v>
      </c>
      <c r="D2372" s="58" t="n">
        <f aca="false">-D2306</f>
        <v>-75360.1196751468</v>
      </c>
      <c r="E2372" s="58" t="n">
        <f aca="false">-E2306</f>
        <v>-176908.097272016</v>
      </c>
      <c r="F2372" s="58" t="n">
        <f aca="false">-F2306</f>
        <v>-318302.262023483</v>
      </c>
      <c r="G2372" s="58" t="n">
        <f aca="false">-G2306</f>
        <v>-492896.497299413</v>
      </c>
      <c r="H2372" s="2" t="s">
        <v>1296</v>
      </c>
    </row>
    <row r="2373" customFormat="false" ht="15" hidden="false" customHeight="false" outlineLevel="1" collapsed="false">
      <c r="A2373" s="7" t="s">
        <v>658</v>
      </c>
      <c r="B2373" s="8" t="s">
        <v>10</v>
      </c>
      <c r="C2373" s="58" t="n">
        <f aca="false">-C2309</f>
        <v>-0</v>
      </c>
      <c r="D2373" s="58" t="n">
        <f aca="false">-D2309</f>
        <v>-16321.9191780822</v>
      </c>
      <c r="E2373" s="58" t="n">
        <f aca="false">-E2309</f>
        <v>-27139.7446489726</v>
      </c>
      <c r="F2373" s="58" t="n">
        <f aca="false">-F2309</f>
        <v>-43783.4843321918</v>
      </c>
      <c r="G2373" s="58" t="n">
        <f aca="false">-G2309</f>
        <v>-66875.3090753425</v>
      </c>
      <c r="H2373" s="2" t="s">
        <v>1297</v>
      </c>
    </row>
    <row r="2374" customFormat="false" ht="15" hidden="false" customHeight="false" outlineLevel="1" collapsed="false">
      <c r="A2374" s="52" t="s">
        <v>641</v>
      </c>
      <c r="B2374" s="53" t="s">
        <v>10</v>
      </c>
      <c r="C2374" s="59" t="n">
        <f aca="false">C2370+C2372+C2373</f>
        <v>5983.69934246575</v>
      </c>
      <c r="D2374" s="59" t="n">
        <f aca="false">D2370+D2372+D2373</f>
        <v>21032.461146771</v>
      </c>
      <c r="E2374" s="59" t="n">
        <f aca="false">E2370+E2372+E2373</f>
        <v>85200.6580790117</v>
      </c>
      <c r="F2374" s="59" t="n">
        <f aca="false">F2370+F2372+F2373</f>
        <v>172087.753644324</v>
      </c>
      <c r="G2374" s="59" t="n">
        <f aca="false">G2370+G2372+G2373</f>
        <v>280777.193625245</v>
      </c>
      <c r="H2374" s="2" t="s">
        <v>1298</v>
      </c>
    </row>
    <row r="2375" customFormat="false" ht="15" hidden="false" customHeight="false" outlineLevel="1" collapsed="false">
      <c r="A2375" s="7" t="s">
        <v>251</v>
      </c>
      <c r="B2375" s="8" t="s">
        <v>10</v>
      </c>
      <c r="C2375" s="58" t="n">
        <f aca="false">-C2341</f>
        <v>-400885.59375</v>
      </c>
      <c r="D2375" s="58" t="n">
        <f aca="false">-D2341</f>
        <v>-508017.8875</v>
      </c>
      <c r="E2375" s="58" t="n">
        <f aca="false">-E2341</f>
        <v>-667701.28525</v>
      </c>
      <c r="F2375" s="58" t="n">
        <f aca="false">-F2341</f>
        <v>-855745.92960125</v>
      </c>
      <c r="G2375" s="58" t="n">
        <f aca="false">-G2341</f>
        <v>-1042442.03916396</v>
      </c>
      <c r="H2375" s="2" t="s">
        <v>1299</v>
      </c>
    </row>
    <row r="2376" customFormat="false" ht="15" hidden="false" customHeight="false" outlineLevel="1" collapsed="false">
      <c r="A2376" s="7" t="s">
        <v>680</v>
      </c>
      <c r="B2376" s="8" t="s">
        <v>10</v>
      </c>
      <c r="C2376" s="58" t="n">
        <f aca="false">-C2357</f>
        <v>-319100</v>
      </c>
      <c r="D2376" s="58" t="n">
        <f aca="false">-D2357</f>
        <v>-320562.146</v>
      </c>
      <c r="E2376" s="58" t="n">
        <f aca="false">-E2357</f>
        <v>-417092.074</v>
      </c>
      <c r="F2376" s="58" t="n">
        <f aca="false">-F2357</f>
        <v>-467604.6684</v>
      </c>
      <c r="G2376" s="58" t="n">
        <f aca="false">-G2357</f>
        <v>-546349.534448</v>
      </c>
      <c r="H2376" s="2" t="s">
        <v>1300</v>
      </c>
    </row>
    <row r="2377" customFormat="false" ht="15" hidden="false" customHeight="false" outlineLevel="1" collapsed="false">
      <c r="A2377" s="52" t="s">
        <v>681</v>
      </c>
      <c r="B2377" s="53" t="s">
        <v>10</v>
      </c>
      <c r="C2377" s="59" t="n">
        <f aca="false">C2374+C2375+C2376</f>
        <v>-714001.894407534</v>
      </c>
      <c r="D2377" s="59" t="n">
        <f aca="false">D2374+D2375+D2376</f>
        <v>-807547.572353229</v>
      </c>
      <c r="E2377" s="59" t="n">
        <f aca="false">E2374+E2375+E2376</f>
        <v>-999592.701170988</v>
      </c>
      <c r="F2377" s="59" t="n">
        <f aca="false">F2374+F2375+F2376</f>
        <v>-1151262.84435693</v>
      </c>
      <c r="G2377" s="59" t="n">
        <f aca="false">G2374+G2375+G2376</f>
        <v>-1308014.37998672</v>
      </c>
      <c r="H2377" s="2" t="s">
        <v>1301</v>
      </c>
    </row>
    <row r="2378" customFormat="false" ht="15" hidden="false" customHeight="false" outlineLevel="1" collapsed="false">
      <c r="A2378" s="2" t="s">
        <v>683</v>
      </c>
      <c r="B2378" s="8" t="s">
        <v>71</v>
      </c>
      <c r="C2378" s="55" t="n">
        <f aca="false">IF(C2368&gt;0,C2377/C2368,0)</f>
        <v>-3.81038778548499</v>
      </c>
      <c r="D2378" s="55" t="n">
        <f aca="false">IF(D2368&gt;0,D2377/D2368,0)</f>
        <v>-0.646397713570414</v>
      </c>
      <c r="E2378" s="55" t="n">
        <f aca="false">IF(E2368&gt;0,E2377/E2368,0)</f>
        <v>-0.350082206938756</v>
      </c>
      <c r="F2378" s="55" t="n">
        <f aca="false">IF(F2368&gt;0,F2377/F2368,0)</f>
        <v>-0.232221177459059</v>
      </c>
      <c r="G2378" s="55" t="n">
        <f aca="false">IF(G2368&gt;0,G2377/G2368,0)</f>
        <v>-0.17219214114581</v>
      </c>
      <c r="H2378" s="2" t="s">
        <v>1302</v>
      </c>
    </row>
    <row r="2379" customFormat="false" ht="15" hidden="false" customHeight="false" outlineLevel="1" collapsed="false">
      <c r="A2379" s="2" t="s">
        <v>684</v>
      </c>
      <c r="B2379" s="8" t="s">
        <v>10</v>
      </c>
      <c r="C2379" s="58" t="n">
        <f aca="false">C2377+C2309</f>
        <v>-714001.894407534</v>
      </c>
      <c r="D2379" s="58" t="n">
        <f aca="false">D2377+D2309</f>
        <v>-791225.653175147</v>
      </c>
      <c r="E2379" s="58" t="n">
        <f aca="false">E2377+E2309</f>
        <v>-972452.956522016</v>
      </c>
      <c r="F2379" s="58" t="n">
        <f aca="false">F2377+F2309</f>
        <v>-1107479.36002473</v>
      </c>
      <c r="G2379" s="58" t="n">
        <f aca="false">G2377+G2309</f>
        <v>-1241139.07091138</v>
      </c>
      <c r="H2379" s="2" t="s">
        <v>1303</v>
      </c>
    </row>
    <row r="2380" customFormat="false" ht="15" hidden="false" customHeight="false" outlineLevel="1" collapsed="false">
      <c r="A2380" s="7" t="s">
        <v>672</v>
      </c>
      <c r="B2380" s="8" t="s">
        <v>10</v>
      </c>
      <c r="C2380" s="58" t="n">
        <f aca="false">-C2366</f>
        <v>-27100</v>
      </c>
      <c r="D2380" s="58" t="n">
        <f aca="false">-D2366</f>
        <v>-40000</v>
      </c>
      <c r="E2380" s="58" t="n">
        <f aca="false">-E2366</f>
        <v>-53900</v>
      </c>
      <c r="F2380" s="58" t="n">
        <f aca="false">-F2366</f>
        <v>-44466.6666666667</v>
      </c>
      <c r="G2380" s="58" t="n">
        <f aca="false">-G2366</f>
        <v>-41533.3333333333</v>
      </c>
      <c r="H2380" s="2" t="s">
        <v>1304</v>
      </c>
    </row>
    <row r="2381" customFormat="false" ht="15" hidden="false" customHeight="false" outlineLevel="1" collapsed="false">
      <c r="A2381" s="52" t="s">
        <v>685</v>
      </c>
      <c r="B2381" s="53" t="s">
        <v>10</v>
      </c>
      <c r="C2381" s="59" t="n">
        <f aca="false">C2377+C2380</f>
        <v>-741101.894407534</v>
      </c>
      <c r="D2381" s="59" t="n">
        <f aca="false">D2377+D2380</f>
        <v>-847547.572353229</v>
      </c>
      <c r="E2381" s="59" t="n">
        <f aca="false">E2377+E2380</f>
        <v>-1053492.70117099</v>
      </c>
      <c r="F2381" s="59" t="n">
        <f aca="false">F2377+F2380</f>
        <v>-1195729.51102359</v>
      </c>
      <c r="G2381" s="59" t="n">
        <f aca="false">G2377+G2380</f>
        <v>-1349547.71332005</v>
      </c>
      <c r="H2381" s="2" t="s">
        <v>1305</v>
      </c>
    </row>
    <row r="2382" customFormat="false" ht="15" hidden="false" customHeight="false" outlineLevel="0" collapsed="false">
      <c r="A2382" s="3" t="s">
        <v>1306</v>
      </c>
      <c r="B2382" s="4"/>
      <c r="C2382" s="4"/>
      <c r="D2382" s="4"/>
      <c r="E2382" s="4"/>
      <c r="F2382" s="4"/>
      <c r="G2382" s="4"/>
      <c r="H2382" s="4"/>
    </row>
    <row r="2383" customFormat="false" ht="15" hidden="false" customHeight="false" outlineLevel="1" collapsed="false">
      <c r="A2383" s="7" t="s">
        <v>687</v>
      </c>
      <c r="B2383" s="8" t="s">
        <v>10</v>
      </c>
      <c r="C2383" s="58" t="n">
        <f aca="false">C2381</f>
        <v>-741101.894407534</v>
      </c>
      <c r="D2383" s="58" t="n">
        <f aca="false">D2381</f>
        <v>-847547.572353229</v>
      </c>
      <c r="E2383" s="58" t="n">
        <f aca="false">E2381</f>
        <v>-1053492.70117099</v>
      </c>
      <c r="F2383" s="58" t="n">
        <f aca="false">F2381</f>
        <v>-1195729.51102359</v>
      </c>
      <c r="G2383" s="58" t="n">
        <f aca="false">G2381</f>
        <v>-1349547.71332005</v>
      </c>
      <c r="H2383" s="2" t="s">
        <v>1307</v>
      </c>
    </row>
    <row r="2384" customFormat="false" ht="15" hidden="false" customHeight="false" outlineLevel="1" collapsed="false">
      <c r="A2384" s="7" t="s">
        <v>688</v>
      </c>
      <c r="B2384" s="8" t="s">
        <v>10</v>
      </c>
      <c r="C2384" s="58" t="n">
        <f aca="false">0</f>
        <v>0</v>
      </c>
      <c r="D2384" s="58" t="n">
        <f aca="false">C2387</f>
        <v>741101.894407534</v>
      </c>
      <c r="E2384" s="58" t="n">
        <f aca="false">D2387</f>
        <v>1588649.46676076</v>
      </c>
      <c r="F2384" s="58" t="n">
        <f aca="false">E2387</f>
        <v>2642142.16793175</v>
      </c>
      <c r="G2384" s="58" t="n">
        <f aca="false">F2387</f>
        <v>3837871.67895534</v>
      </c>
      <c r="H2384" s="2" t="s">
        <v>1308</v>
      </c>
    </row>
    <row r="2385" customFormat="false" ht="15" hidden="false" customHeight="false" outlineLevel="1" collapsed="false">
      <c r="A2385" s="7" t="s">
        <v>689</v>
      </c>
      <c r="B2385" s="8" t="s">
        <v>10</v>
      </c>
      <c r="C2385" s="58" t="n">
        <f aca="false">MAX(0,-C2383)</f>
        <v>741101.894407534</v>
      </c>
      <c r="D2385" s="58" t="n">
        <f aca="false">MAX(0,-D2383)</f>
        <v>847547.572353229</v>
      </c>
      <c r="E2385" s="58" t="n">
        <f aca="false">MAX(0,-E2383)</f>
        <v>1053492.70117099</v>
      </c>
      <c r="F2385" s="58" t="n">
        <f aca="false">MAX(0,-F2383)</f>
        <v>1195729.51102359</v>
      </c>
      <c r="G2385" s="58" t="n">
        <f aca="false">MAX(0,-G2383)</f>
        <v>1349547.71332005</v>
      </c>
      <c r="H2385" s="2" t="s">
        <v>1309</v>
      </c>
    </row>
    <row r="2386" customFormat="false" ht="15" hidden="false" customHeight="false" outlineLevel="1" collapsed="false">
      <c r="A2386" s="7" t="s">
        <v>690</v>
      </c>
      <c r="B2386" s="8" t="s">
        <v>10</v>
      </c>
      <c r="C2386" s="58" t="n">
        <f aca="false">MIN(C2384,Pressupostos!$C$179*MAX(0,C2383))</f>
        <v>0</v>
      </c>
      <c r="D2386" s="58" t="n">
        <f aca="false">MIN(D2384,Pressupostos!$C$179*MAX(0,D2383))</f>
        <v>0</v>
      </c>
      <c r="E2386" s="58" t="n">
        <f aca="false">MIN(E2384,Pressupostos!$C$179*MAX(0,E2383))</f>
        <v>0</v>
      </c>
      <c r="F2386" s="58" t="n">
        <f aca="false">MIN(F2384,Pressupostos!$C$179*MAX(0,F2383))</f>
        <v>0</v>
      </c>
      <c r="G2386" s="58" t="n">
        <f aca="false">MIN(G2384,Pressupostos!$C$179*MAX(0,G2383))</f>
        <v>0</v>
      </c>
      <c r="H2386" s="2" t="s">
        <v>1310</v>
      </c>
    </row>
    <row r="2387" customFormat="false" ht="15" hidden="false" customHeight="false" outlineLevel="1" collapsed="false">
      <c r="A2387" s="7" t="s">
        <v>691</v>
      </c>
      <c r="B2387" s="8" t="s">
        <v>10</v>
      </c>
      <c r="C2387" s="58" t="n">
        <f aca="false">C2384+C2385-C2386</f>
        <v>741101.894407534</v>
      </c>
      <c r="D2387" s="58" t="n">
        <f aca="false">D2384+D2385-D2386</f>
        <v>1588649.46676076</v>
      </c>
      <c r="E2387" s="58" t="n">
        <f aca="false">E2384+E2385-E2386</f>
        <v>2642142.16793175</v>
      </c>
      <c r="F2387" s="58" t="n">
        <f aca="false">F2384+F2385-F2386</f>
        <v>3837871.67895534</v>
      </c>
      <c r="G2387" s="58" t="n">
        <f aca="false">G2384+G2385-G2386</f>
        <v>5187419.3922754</v>
      </c>
      <c r="H2387" s="2" t="s">
        <v>1311</v>
      </c>
    </row>
    <row r="2388" customFormat="false" ht="15" hidden="false" customHeight="false" outlineLevel="1" collapsed="false">
      <c r="A2388" s="7" t="s">
        <v>692</v>
      </c>
      <c r="B2388" s="8" t="s">
        <v>10</v>
      </c>
      <c r="C2388" s="58" t="n">
        <f aca="false">MAX(0,C2383)-C2386</f>
        <v>0</v>
      </c>
      <c r="D2388" s="58" t="n">
        <f aca="false">MAX(0,D2383)-D2386</f>
        <v>0</v>
      </c>
      <c r="E2388" s="58" t="n">
        <f aca="false">MAX(0,E2383)-E2386</f>
        <v>0</v>
      </c>
      <c r="F2388" s="58" t="n">
        <f aca="false">MAX(0,F2383)-F2386</f>
        <v>0</v>
      </c>
      <c r="G2388" s="58" t="n">
        <f aca="false">MAX(0,G2383)-G2386</f>
        <v>0</v>
      </c>
      <c r="H2388" s="2" t="s">
        <v>1312</v>
      </c>
    </row>
    <row r="2389" customFormat="false" ht="15" hidden="false" customHeight="false" outlineLevel="1" collapsed="false">
      <c r="A2389" s="7" t="s">
        <v>693</v>
      </c>
      <c r="B2389" s="8" t="s">
        <v>10</v>
      </c>
      <c r="C2389" s="58" t="n">
        <f aca="false">Pressupostos!$C$170*MIN(C2388,Pressupostos!$C$171)+Pressupostos!$C$450*MAX(0,C2388-Pressupostos!$C$171)</f>
        <v>0</v>
      </c>
      <c r="D2389" s="58" t="n">
        <f aca="false">Pressupostos!$C$170*MIN(D2388,Pressupostos!$C$171)+Pressupostos!$D$450*MAX(0,D2388-Pressupostos!$C$171)</f>
        <v>0</v>
      </c>
      <c r="E2389" s="58" t="n">
        <f aca="false">Pressupostos!$C$170*MIN(E2388,Pressupostos!$C$171)+Pressupostos!$E$450*MAX(0,E2388-Pressupostos!$C$171)</f>
        <v>0</v>
      </c>
      <c r="F2389" s="58" t="n">
        <f aca="false">Pressupostos!$C$170*MIN(F2388,Pressupostos!$C$171)+Pressupostos!$F$450*MAX(0,F2388-Pressupostos!$C$171)</f>
        <v>0</v>
      </c>
      <c r="G2389" s="58" t="n">
        <f aca="false">Pressupostos!$C$170*MIN(G2388,Pressupostos!$C$171)+Pressupostos!$G$450*MAX(0,G2388-Pressupostos!$C$171)</f>
        <v>0</v>
      </c>
      <c r="H2389" s="2" t="s">
        <v>1313</v>
      </c>
    </row>
    <row r="2390" customFormat="false" ht="15" hidden="false" customHeight="false" outlineLevel="1" collapsed="false">
      <c r="A2390" s="7" t="s">
        <v>694</v>
      </c>
      <c r="B2390" s="8" t="s">
        <v>10</v>
      </c>
      <c r="C2390" s="58" t="n">
        <f aca="false">Pressupostos!$C$172*MAX(0,C2383)</f>
        <v>0</v>
      </c>
      <c r="D2390" s="58" t="n">
        <f aca="false">Pressupostos!$C$172*MAX(0,D2383)</f>
        <v>0</v>
      </c>
      <c r="E2390" s="58" t="n">
        <f aca="false">Pressupostos!$C$172*MAX(0,E2383)</f>
        <v>0</v>
      </c>
      <c r="F2390" s="58" t="n">
        <f aca="false">Pressupostos!$C$172*MAX(0,F2383)</f>
        <v>0</v>
      </c>
      <c r="G2390" s="58" t="n">
        <f aca="false">Pressupostos!$C$172*MAX(0,G2383)</f>
        <v>0</v>
      </c>
      <c r="H2390" s="2" t="s">
        <v>1314</v>
      </c>
    </row>
    <row r="2391" customFormat="false" ht="15" hidden="false" customHeight="false" outlineLevel="1" collapsed="false">
      <c r="A2391" s="7" t="s">
        <v>695</v>
      </c>
      <c r="B2391" s="8" t="s">
        <v>10</v>
      </c>
      <c r="C2391" s="58" t="n">
        <f aca="false">Pressupostos!$C$174*MAX(0,MIN(C2383,Pressupostos!$C$175)-Pressupostos!$C$173)+Pressupostos!$C$176*MAX(0,MIN(C2383,Pressupostos!$C$177)-Pressupostos!$C$175)+Pressupostos!$C$178*MAX(0,C2383-Pressupostos!$C$177)</f>
        <v>0</v>
      </c>
      <c r="D2391" s="58" t="n">
        <f aca="false">Pressupostos!$C$174*MAX(0,MIN(D2383,Pressupostos!$C$175)-Pressupostos!$C$173)+Pressupostos!$C$176*MAX(0,MIN(D2383,Pressupostos!$C$177)-Pressupostos!$C$175)+Pressupostos!$C$178*MAX(0,D2383-Pressupostos!$C$177)</f>
        <v>0</v>
      </c>
      <c r="E2391" s="58" t="n">
        <f aca="false">Pressupostos!$C$174*MAX(0,MIN(E2383,Pressupostos!$C$175)-Pressupostos!$C$173)+Pressupostos!$C$176*MAX(0,MIN(E2383,Pressupostos!$C$177)-Pressupostos!$C$175)+Pressupostos!$C$178*MAX(0,E2383-Pressupostos!$C$177)</f>
        <v>0</v>
      </c>
      <c r="F2391" s="58" t="n">
        <f aca="false">Pressupostos!$C$174*MAX(0,MIN(F2383,Pressupostos!$C$175)-Pressupostos!$C$173)+Pressupostos!$C$176*MAX(0,MIN(F2383,Pressupostos!$C$177)-Pressupostos!$C$175)+Pressupostos!$C$178*MAX(0,F2383-Pressupostos!$C$177)</f>
        <v>0</v>
      </c>
      <c r="G2391" s="58" t="n">
        <f aca="false">Pressupostos!$C$174*MAX(0,MIN(G2383,Pressupostos!$C$175)-Pressupostos!$C$173)+Pressupostos!$C$176*MAX(0,MIN(G2383,Pressupostos!$C$177)-Pressupostos!$C$175)+Pressupostos!$C$178*MAX(0,G2383-Pressupostos!$C$177)</f>
        <v>0</v>
      </c>
      <c r="H2391" s="2" t="s">
        <v>1315</v>
      </c>
    </row>
    <row r="2392" customFormat="false" ht="15" hidden="false" customHeight="false" outlineLevel="1" collapsed="false">
      <c r="A2392" s="7" t="s">
        <v>696</v>
      </c>
      <c r="B2392" s="8" t="s">
        <v>10</v>
      </c>
      <c r="C2392" s="58" t="n">
        <f aca="false">C2389+C2390+C2391</f>
        <v>0</v>
      </c>
      <c r="D2392" s="58" t="n">
        <f aca="false">D2389+D2390+D2391</f>
        <v>0</v>
      </c>
      <c r="E2392" s="58" t="n">
        <f aca="false">E2389+E2390+E2391</f>
        <v>0</v>
      </c>
      <c r="F2392" s="58" t="n">
        <f aca="false">F2389+F2390+F2391</f>
        <v>0</v>
      </c>
      <c r="G2392" s="58" t="n">
        <f aca="false">G2389+G2390+G2391</f>
        <v>0</v>
      </c>
      <c r="H2392" s="2" t="s">
        <v>1316</v>
      </c>
    </row>
    <row r="2393" customFormat="false" ht="15" hidden="false" customHeight="false" outlineLevel="0" collapsed="false">
      <c r="A2393" s="3" t="s">
        <v>1317</v>
      </c>
      <c r="B2393" s="4"/>
      <c r="C2393" s="4"/>
      <c r="D2393" s="4"/>
      <c r="E2393" s="4"/>
      <c r="F2393" s="4"/>
      <c r="G2393" s="4"/>
      <c r="H2393" s="4"/>
    </row>
    <row r="2394" customFormat="false" ht="15" hidden="false" customHeight="false" outlineLevel="1" collapsed="false">
      <c r="A2394" s="7" t="s">
        <v>696</v>
      </c>
      <c r="B2394" s="8" t="s">
        <v>10</v>
      </c>
      <c r="C2394" s="58" t="n">
        <f aca="false">-C2392</f>
        <v>-0</v>
      </c>
      <c r="D2394" s="58" t="n">
        <f aca="false">-D2392</f>
        <v>-0</v>
      </c>
      <c r="E2394" s="58" t="n">
        <f aca="false">-E2392</f>
        <v>-0</v>
      </c>
      <c r="F2394" s="58" t="n">
        <f aca="false">-F2392</f>
        <v>-0</v>
      </c>
      <c r="G2394" s="58" t="n">
        <f aca="false">-G2392</f>
        <v>-0</v>
      </c>
      <c r="H2394" s="2" t="s">
        <v>1318</v>
      </c>
    </row>
    <row r="2395" customFormat="false" ht="15" hidden="false" customHeight="false" outlineLevel="1" collapsed="false">
      <c r="A2395" s="52" t="s">
        <v>698</v>
      </c>
      <c r="B2395" s="53" t="s">
        <v>10</v>
      </c>
      <c r="C2395" s="59" t="n">
        <f aca="false">C2381+C2394</f>
        <v>-741101.894407534</v>
      </c>
      <c r="D2395" s="59" t="n">
        <f aca="false">D2381+D2394</f>
        <v>-847547.572353229</v>
      </c>
      <c r="E2395" s="59" t="n">
        <f aca="false">E2381+E2394</f>
        <v>-1053492.70117099</v>
      </c>
      <c r="F2395" s="59" t="n">
        <f aca="false">F2381+F2394</f>
        <v>-1195729.51102359</v>
      </c>
      <c r="G2395" s="59" t="n">
        <f aca="false">G2381+G2394</f>
        <v>-1349547.71332005</v>
      </c>
      <c r="H2395" s="2" t="s">
        <v>1319</v>
      </c>
    </row>
    <row r="2396" customFormat="false" ht="15" hidden="false" customHeight="false" outlineLevel="0" collapsed="false">
      <c r="A2396" s="3" t="s">
        <v>1320</v>
      </c>
      <c r="B2396" s="4"/>
      <c r="C2396" s="4"/>
      <c r="D2396" s="4"/>
      <c r="E2396" s="4"/>
      <c r="F2396" s="4"/>
      <c r="G2396" s="4"/>
      <c r="H2396" s="4"/>
    </row>
    <row r="2397" customFormat="false" ht="15" hidden="false" customHeight="false" outlineLevel="1" collapsed="false">
      <c r="A2397" s="7" t="s">
        <v>702</v>
      </c>
      <c r="B2397" s="8" t="s">
        <v>10</v>
      </c>
      <c r="C2397" s="58" t="n">
        <f aca="false">C2181*1000*((C2197+C2200)*C2203/365)+C2182*1000*((C2220+C2223)*C2226/365)+C2183*1000*((C2243+C2246)*C2249/365)</f>
        <v>23577.5342465753</v>
      </c>
      <c r="D2397" s="58" t="n">
        <f aca="false">D2181*1000*((D2197+D2200)*D2203/365)+D2182*1000*((D2220+D2223)*D2226/365)+D2183*1000*((D2243+D2246)*D2249/365)</f>
        <v>137590.273972603</v>
      </c>
      <c r="E2397" s="58" t="n">
        <f aca="false">E2181*1000*((E2197+E2200)*E2203/365)+E2182*1000*((E2220+E2223)*E2226/365)+E2183*1000*((E2243+E2246)*E2249/365)</f>
        <v>214704.863013699</v>
      </c>
      <c r="F2397" s="58" t="n">
        <f aca="false">F2181*1000*((F2197+F2200)*F2203/365)+F2182*1000*((F2220+F2223)*F2226/365)+F2183*1000*((F2243+F2246)*F2249/365)</f>
        <v>371281.438356164</v>
      </c>
      <c r="G2397" s="58" t="n">
        <f aca="false">G2181*1000*((G2197+G2200)*G2203/365)+G2182*1000*((G2220+G2223)*G2226/365)+G2183*1000*((G2243+G2246)*G2249/365)</f>
        <v>563936.301369863</v>
      </c>
      <c r="H2397" s="2" t="s">
        <v>1321</v>
      </c>
    </row>
    <row r="2398" customFormat="false" ht="15" hidden="false" customHeight="false" outlineLevel="1" collapsed="false">
      <c r="A2398" s="7" t="s">
        <v>703</v>
      </c>
      <c r="B2398" s="8" t="s">
        <v>10</v>
      </c>
      <c r="C2398" s="58" t="n">
        <f aca="false">C2397+C2192*1000*Pressupostos!$C$90*Pressupostos!$C$93/365</f>
        <v>23577.5342465753</v>
      </c>
      <c r="D2398" s="58" t="n">
        <f aca="false">D2397+D2192*1000*Pressupostos!$C$90*Pressupostos!$C$93/365</f>
        <v>137590.273972603</v>
      </c>
      <c r="E2398" s="58" t="n">
        <f aca="false">E2397+E2192*1000*Pressupostos!$C$90*Pressupostos!$C$93/365</f>
        <v>232828.150684932</v>
      </c>
      <c r="F2398" s="58" t="n">
        <f aca="false">F2397+F2192*1000*Pressupostos!$C$90*Pressupostos!$C$93/365</f>
        <v>407528.01369863</v>
      </c>
      <c r="G2398" s="58" t="n">
        <f aca="false">G2397+G2192*1000*Pressupostos!$C$90*Pressupostos!$C$93/365</f>
        <v>624347.260273973</v>
      </c>
      <c r="H2398" s="2" t="s">
        <v>1322</v>
      </c>
    </row>
    <row r="2399" customFormat="false" ht="15" hidden="false" customHeight="false" outlineLevel="1" collapsed="false">
      <c r="A2399" s="7" t="s">
        <v>704</v>
      </c>
      <c r="B2399" s="8" t="s">
        <v>10</v>
      </c>
      <c r="C2399" s="58" t="n">
        <f aca="false">C2181*1000*(C2199*C2204/365)+C2182*1000*(C2222*C2227/365)+C2183*1000*(C2245*C2250/365)+C2270*Pressupostos!$C$94/365+C2272*Pressupostos!$C$80/365</f>
        <v>22298.5479452055</v>
      </c>
      <c r="D2399" s="58" t="n">
        <f aca="false">D2181*1000*(D2199*D2204/365)+D2182*1000*(D2222*D2227/365)+D2183*1000*(D2245*D2250/365)+D2270*Pressupostos!$C$94/365+D2272*Pressupostos!$C$80/365</f>
        <v>149089.5</v>
      </c>
      <c r="E2399" s="58" t="n">
        <f aca="false">E2181*1000*(E2199*E2204/365)+E2182*1000*(E2222*E2227/365)+E2183*1000*(E2245*E2250/365)+E2270*Pressupostos!$C$94/365+E2272*Pressupostos!$C$80/365</f>
        <v>328425.47260274</v>
      </c>
      <c r="F2399" s="58" t="n">
        <f aca="false">F2181*1000*(F2199*F2204/365)+F2182*1000*(F2222*F2227/365)+F2183*1000*(F2245*F2250/365)+F2270*Pressupostos!$C$94/365+F2272*Pressupostos!$C$80/365</f>
        <v>562777.705479452</v>
      </c>
      <c r="G2399" s="58" t="n">
        <f aca="false">G2181*1000*(G2199*G2204/365)+G2182*1000*(G2222*G2227/365)+G2183*1000*(G2245*G2250/365)+G2270*Pressupostos!$C$94/365+G2272*Pressupostos!$C$80/365</f>
        <v>857651.219178082</v>
      </c>
      <c r="H2399" s="2" t="s">
        <v>1323</v>
      </c>
    </row>
    <row r="2400" customFormat="false" ht="15" hidden="false" customHeight="false" outlineLevel="1" collapsed="false">
      <c r="A2400" s="7" t="s">
        <v>705</v>
      </c>
      <c r="B2400" s="8" t="s">
        <v>10</v>
      </c>
      <c r="C2400" s="58" t="n">
        <f aca="false">C2181*1000*((C2197+C2200)*Pressupostos!$C$70/365)+C2182*1000*((C2220+C2223)*Pressupostos!$C$70/365)+C2183*1000*((C2243+C2246)*Pressupostos!$C$70/365)+C2192*1000*Pressupostos!$C$90*Pressupostos!$C$95/365</f>
        <v>14026.8493150685</v>
      </c>
      <c r="D2400" s="58" t="n">
        <f aca="false">D2181*1000*((D2197+D2200)*Pressupostos!$C$70/365)+D2182*1000*((D2220+D2223)*Pressupostos!$C$70/365)+D2183*1000*((D2243+D2246)*Pressupostos!$C$70/365)+D2192*1000*Pressupostos!$C$90*Pressupostos!$C$95/365</f>
        <v>93418.3561643836</v>
      </c>
      <c r="E2400" s="58" t="n">
        <f aca="false">E2181*1000*((E2197+E2200)*Pressupostos!$C$70/365)+E2182*1000*((E2220+E2223)*Pressupostos!$C$70/365)+E2183*1000*((E2243+E2246)*Pressupostos!$C$70/365)+E2192*1000*Pressupostos!$C$90*Pressupostos!$C$95/365</f>
        <v>210909.04109589</v>
      </c>
      <c r="F2400" s="58" t="n">
        <f aca="false">F2181*1000*((F2197+F2200)*Pressupostos!$C$70/365)+F2182*1000*((F2220+F2223)*Pressupostos!$C$70/365)+F2183*1000*((F2243+F2246)*Pressupostos!$C$70/365)+F2192*1000*Pressupostos!$C$90*Pressupostos!$C$95/365</f>
        <v>363570.410958904</v>
      </c>
      <c r="G2400" s="58" t="n">
        <f aca="false">G2181*1000*((G2197+G2200)*Pressupostos!$C$70/365)+G2182*1000*((G2220+G2223)*Pressupostos!$C$70/365)+G2183*1000*((G2243+G2246)*Pressupostos!$C$70/365)+G2192*1000*Pressupostos!$C$90*Pressupostos!$C$95/365</f>
        <v>555263.01369863</v>
      </c>
      <c r="H2400" s="2" t="s">
        <v>1324</v>
      </c>
    </row>
    <row r="2401" customFormat="false" ht="15" hidden="false" customHeight="false" outlineLevel="1" collapsed="false">
      <c r="A2401" s="52" t="s">
        <v>706</v>
      </c>
      <c r="B2401" s="53" t="s">
        <v>10</v>
      </c>
      <c r="C2401" s="59" t="n">
        <f aca="false">C2398+C2399-C2400</f>
        <v>31849.2328767123</v>
      </c>
      <c r="D2401" s="59" t="n">
        <f aca="false">D2398+D2399-D2400</f>
        <v>193261.417808219</v>
      </c>
      <c r="E2401" s="59" t="n">
        <f aca="false">E2398+E2399-E2400</f>
        <v>350344.582191781</v>
      </c>
      <c r="F2401" s="59" t="n">
        <f aca="false">F2398+F2399-F2400</f>
        <v>606735.308219178</v>
      </c>
      <c r="G2401" s="59" t="n">
        <f aca="false">G2398+G2399-G2400</f>
        <v>926735.465753425</v>
      </c>
      <c r="H2401" s="2" t="s">
        <v>1325</v>
      </c>
    </row>
    <row r="2402" customFormat="false" ht="15" hidden="false" customHeight="false" outlineLevel="0" collapsed="false">
      <c r="A2402" s="3" t="s">
        <v>1326</v>
      </c>
      <c r="B2402" s="4"/>
      <c r="C2402" s="4"/>
      <c r="D2402" s="4"/>
      <c r="E2402" s="4"/>
      <c r="F2402" s="4"/>
      <c r="G2402" s="4"/>
      <c r="H2402" s="4"/>
    </row>
    <row r="2403" customFormat="false" ht="15" hidden="false" customHeight="false" outlineLevel="1" collapsed="false">
      <c r="A2403" s="52" t="s">
        <v>708</v>
      </c>
      <c r="B2403" s="53" t="s">
        <v>10</v>
      </c>
      <c r="C2403" s="59" t="n">
        <f aca="false">Pressupostos!$C$277*C2401/Pressupostos!$D$31</f>
        <v>0</v>
      </c>
      <c r="D2403" s="59" t="n">
        <f aca="false">Pressupostos!$D$277*D2401/Pressupostos!$D$31</f>
        <v>217419.095034247</v>
      </c>
      <c r="E2403" s="59" t="n">
        <f aca="false">Pressupostos!$E$277*E2401/Pressupostos!$D$31</f>
        <v>394137.654965753</v>
      </c>
      <c r="F2403" s="59" t="n">
        <f aca="false">Pressupostos!$F$277*F2401/Pressupostos!$D$31</f>
        <v>682577.221746575</v>
      </c>
      <c r="G2403" s="59" t="n">
        <f aca="false">Pressupostos!$G$277*G2401/Pressupostos!$D$31</f>
        <v>1042577.3989726</v>
      </c>
      <c r="H2403" s="2" t="s">
        <v>1327</v>
      </c>
    </row>
    <row r="2404" customFormat="false" ht="15" hidden="false" customHeight="false" outlineLevel="1" collapsed="false">
      <c r="A2404" s="7" t="s">
        <v>709</v>
      </c>
      <c r="B2404" s="8" t="s">
        <v>10</v>
      </c>
      <c r="C2404" s="58" t="n">
        <f aca="false">Pressupostos!$C$277*C2401</f>
        <v>0</v>
      </c>
      <c r="D2404" s="58" t="n">
        <f aca="false">Pressupostos!$D$277*D2401</f>
        <v>173935.276027397</v>
      </c>
      <c r="E2404" s="58" t="n">
        <f aca="false">Pressupostos!$E$277*E2401</f>
        <v>315310.123972603</v>
      </c>
      <c r="F2404" s="58" t="n">
        <f aca="false">Pressupostos!$F$277*F2401</f>
        <v>546061.77739726</v>
      </c>
      <c r="G2404" s="58" t="n">
        <f aca="false">Pressupostos!$G$277*G2401</f>
        <v>834061.919178082</v>
      </c>
      <c r="H2404" s="2" t="s">
        <v>1328</v>
      </c>
    </row>
    <row r="2405" customFormat="false" ht="15" hidden="false" customHeight="false" outlineLevel="1" collapsed="false">
      <c r="A2405" s="7" t="s">
        <v>710</v>
      </c>
      <c r="B2405" s="8" t="s">
        <v>10</v>
      </c>
      <c r="C2405" s="58" t="n">
        <f aca="false">C2403-C2404</f>
        <v>0</v>
      </c>
      <c r="D2405" s="58" t="n">
        <f aca="false">D2403-D2404</f>
        <v>43483.8190068493</v>
      </c>
      <c r="E2405" s="58" t="n">
        <f aca="false">E2403-E2404</f>
        <v>78827.5309931507</v>
      </c>
      <c r="F2405" s="58" t="n">
        <f aca="false">F2403-F2404</f>
        <v>136515.444349315</v>
      </c>
      <c r="G2405" s="58" t="n">
        <f aca="false">G2403-G2404</f>
        <v>208515.479794521</v>
      </c>
      <c r="H2405" s="2" t="s">
        <v>1329</v>
      </c>
    </row>
    <row r="2406" customFormat="false" ht="15" hidden="false" customHeight="false" outlineLevel="1" collapsed="false">
      <c r="A2406" s="7" t="s">
        <v>711</v>
      </c>
      <c r="B2406" s="8" t="s">
        <v>10</v>
      </c>
      <c r="C2406" s="58" t="n">
        <f aca="false">C2401-C2404</f>
        <v>31849.2328767123</v>
      </c>
      <c r="D2406" s="58" t="n">
        <f aca="false">D2401-D2404</f>
        <v>19326.1417808219</v>
      </c>
      <c r="E2406" s="58" t="n">
        <f aca="false">E2401-E2404</f>
        <v>35034.4582191781</v>
      </c>
      <c r="F2406" s="58" t="n">
        <f aca="false">F2401-F2404</f>
        <v>60673.5308219178</v>
      </c>
      <c r="G2406" s="58" t="n">
        <f aca="false">G2401-G2404</f>
        <v>92673.5465753424</v>
      </c>
      <c r="H2406" s="2" t="s">
        <v>1330</v>
      </c>
    </row>
    <row r="2407" customFormat="false" ht="15" hidden="false" customHeight="false" outlineLevel="1" collapsed="false">
      <c r="A2407" s="7" t="s">
        <v>712</v>
      </c>
      <c r="B2407" s="8" t="s">
        <v>10</v>
      </c>
      <c r="C2407" s="58" t="n">
        <f aca="false">MAX(0,Pressupostos!$C$106-C2406)</f>
        <v>18150.7671232877</v>
      </c>
      <c r="D2407" s="58" t="n">
        <f aca="false">MAX(0,Pressupostos!$C$106-D2406)</f>
        <v>30673.8582191781</v>
      </c>
      <c r="E2407" s="58" t="n">
        <f aca="false">MAX(0,Pressupostos!$C$106-E2406)</f>
        <v>14965.5417808219</v>
      </c>
      <c r="F2407" s="58" t="n">
        <f aca="false">MAX(0,Pressupostos!$C$106-F2406)</f>
        <v>0</v>
      </c>
      <c r="G2407" s="58" t="n">
        <f aca="false">MAX(0,Pressupostos!$C$106-G2406)</f>
        <v>0</v>
      </c>
      <c r="H2407" s="2" t="s">
        <v>1331</v>
      </c>
    </row>
    <row r="2408" customFormat="false" ht="15" hidden="false" customHeight="false" outlineLevel="1" collapsed="false">
      <c r="A2408" s="7" t="s">
        <v>713</v>
      </c>
      <c r="B2408" s="8" t="s">
        <v>10</v>
      </c>
      <c r="C2408" s="58" t="n">
        <f aca="false">Pressupostos!$C$107*C2403</f>
        <v>0</v>
      </c>
      <c r="D2408" s="58" t="n">
        <f aca="false">Pressupostos!$C$107*D2403</f>
        <v>10870.9547517123</v>
      </c>
      <c r="E2408" s="58" t="n">
        <f aca="false">Pressupostos!$C$107*E2403</f>
        <v>19706.8827482877</v>
      </c>
      <c r="F2408" s="58" t="n">
        <f aca="false">Pressupostos!$C$107*F2403</f>
        <v>34128.8610873288</v>
      </c>
      <c r="G2408" s="58" t="n">
        <f aca="false">Pressupostos!$C$107*G2403</f>
        <v>52128.8699486301</v>
      </c>
      <c r="H2408" s="2" t="s">
        <v>1332</v>
      </c>
    </row>
    <row r="2409" customFormat="false" ht="15" hidden="false" customHeight="false" outlineLevel="1" collapsed="false">
      <c r="A2409" s="2" t="s">
        <v>714</v>
      </c>
      <c r="B2409" s="8" t="s">
        <v>115</v>
      </c>
      <c r="C2409" s="58" t="n">
        <f aca="false">C2403/Pressupostos!$C$110</f>
        <v>0</v>
      </c>
      <c r="D2409" s="58" t="n">
        <f aca="false">D2403/Pressupostos!$C$110</f>
        <v>4.34838190068493</v>
      </c>
      <c r="E2409" s="58" t="n">
        <f aca="false">E2403/Pressupostos!$C$110</f>
        <v>7.88275309931507</v>
      </c>
      <c r="F2409" s="58" t="n">
        <f aca="false">F2403/Pressupostos!$C$110</f>
        <v>13.6515444349315</v>
      </c>
      <c r="G2409" s="58" t="n">
        <f aca="false">G2403/Pressupostos!$C$110</f>
        <v>20.8515479794521</v>
      </c>
      <c r="H2409" s="2" t="s">
        <v>1333</v>
      </c>
    </row>
    <row r="2410" customFormat="false" ht="15" hidden="false" customHeight="false" outlineLevel="0" collapsed="false">
      <c r="A2410" s="3" t="s">
        <v>1334</v>
      </c>
      <c r="B2410" s="4"/>
      <c r="C2410" s="4"/>
      <c r="D2410" s="4"/>
      <c r="E2410" s="4"/>
      <c r="F2410" s="4"/>
      <c r="G2410" s="4"/>
      <c r="H2410" s="4"/>
    </row>
    <row r="2411" customFormat="false" ht="15" hidden="false" customHeight="false" outlineLevel="1" collapsed="false">
      <c r="A2411" s="7" t="s">
        <v>681</v>
      </c>
      <c r="B2411" s="8" t="s">
        <v>10</v>
      </c>
      <c r="C2411" s="58" t="n">
        <f aca="false">C2377</f>
        <v>-714001.894407534</v>
      </c>
      <c r="D2411" s="58" t="n">
        <f aca="false">D2377</f>
        <v>-807547.572353229</v>
      </c>
      <c r="E2411" s="58" t="n">
        <f aca="false">E2377</f>
        <v>-999592.701170988</v>
      </c>
      <c r="F2411" s="58" t="n">
        <f aca="false">F2377</f>
        <v>-1151262.84435693</v>
      </c>
      <c r="G2411" s="58" t="n">
        <f aca="false">G2377</f>
        <v>-1308014.37998672</v>
      </c>
      <c r="H2411" s="2" t="s">
        <v>1335</v>
      </c>
    </row>
    <row r="2412" customFormat="false" ht="15" hidden="false" customHeight="false" outlineLevel="1" collapsed="false">
      <c r="A2412" s="7" t="s">
        <v>716</v>
      </c>
      <c r="B2412" s="8" t="s">
        <v>10</v>
      </c>
      <c r="C2412" s="58" t="n">
        <f aca="false">-C2392</f>
        <v>-0</v>
      </c>
      <c r="D2412" s="58" t="n">
        <f aca="false">-D2392</f>
        <v>-0</v>
      </c>
      <c r="E2412" s="58" t="n">
        <f aca="false">-E2392</f>
        <v>-0</v>
      </c>
      <c r="F2412" s="58" t="n">
        <f aca="false">-F2392</f>
        <v>-0</v>
      </c>
      <c r="G2412" s="58" t="n">
        <f aca="false">-G2392</f>
        <v>-0</v>
      </c>
      <c r="H2412" s="2" t="s">
        <v>1336</v>
      </c>
    </row>
    <row r="2413" customFormat="false" ht="15" hidden="false" customHeight="false" outlineLevel="1" collapsed="false">
      <c r="A2413" s="7" t="s">
        <v>717</v>
      </c>
      <c r="B2413" s="8" t="s">
        <v>10</v>
      </c>
      <c r="C2413" s="58" t="n">
        <f aca="false">-C2401</f>
        <v>-31849.2328767123</v>
      </c>
      <c r="D2413" s="58" t="n">
        <f aca="false">-(D2401-C2401)</f>
        <v>-161412.184931507</v>
      </c>
      <c r="E2413" s="58" t="n">
        <f aca="false">-(E2401-D2401)</f>
        <v>-157083.164383562</v>
      </c>
      <c r="F2413" s="58" t="n">
        <f aca="false">-(F2401-E2401)</f>
        <v>-256390.726027397</v>
      </c>
      <c r="G2413" s="58" t="n">
        <f aca="false">-(G2401-F2401)</f>
        <v>-320000.157534247</v>
      </c>
      <c r="H2413" s="2" t="s">
        <v>1337</v>
      </c>
    </row>
    <row r="2414" customFormat="false" ht="15" hidden="false" customHeight="false" outlineLevel="1" collapsed="false">
      <c r="A2414" s="7" t="s">
        <v>407</v>
      </c>
      <c r="B2414" s="8" t="s">
        <v>10</v>
      </c>
      <c r="C2414" s="58" t="n">
        <f aca="false">-C2362</f>
        <v>-92000</v>
      </c>
      <c r="D2414" s="58" t="n">
        <f aca="false">-D2362</f>
        <v>-44000</v>
      </c>
      <c r="E2414" s="58" t="n">
        <f aca="false">-E2362</f>
        <v>-48000</v>
      </c>
      <c r="F2414" s="58" t="n">
        <f aca="false">-F2362</f>
        <v>-38000</v>
      </c>
      <c r="G2414" s="58" t="n">
        <f aca="false">-G2362</f>
        <v>-38000</v>
      </c>
      <c r="H2414" s="2" t="s">
        <v>1338</v>
      </c>
    </row>
    <row r="2415" customFormat="false" ht="15" hidden="false" customHeight="false" outlineLevel="1" collapsed="false">
      <c r="A2415" s="7" t="s">
        <v>718</v>
      </c>
      <c r="B2415" s="8" t="s">
        <v>10</v>
      </c>
      <c r="C2415" s="58" t="n">
        <f aca="false">C2411+C2412+C2413+C2414</f>
        <v>-837851.127284247</v>
      </c>
      <c r="D2415" s="58" t="n">
        <f aca="false">D2411+D2412+D2413+D2414</f>
        <v>-1012959.75728474</v>
      </c>
      <c r="E2415" s="58" t="n">
        <f aca="false">E2411+E2412+E2413+E2414</f>
        <v>-1204675.86555455</v>
      </c>
      <c r="F2415" s="58" t="n">
        <f aca="false">F2411+F2412+F2413+F2414</f>
        <v>-1445653.57038432</v>
      </c>
      <c r="G2415" s="58" t="n">
        <f aca="false">G2411+G2412+G2413+G2414</f>
        <v>-1666014.53752096</v>
      </c>
      <c r="H2415" s="2" t="s">
        <v>1339</v>
      </c>
    </row>
    <row r="2416" customFormat="false" ht="15" hidden="false" customHeight="false" outlineLevel="1" collapsed="false">
      <c r="A2416" s="7" t="s">
        <v>719</v>
      </c>
      <c r="B2416" s="8" t="s">
        <v>10</v>
      </c>
      <c r="C2416" s="58" t="n">
        <f aca="false">C2403</f>
        <v>0</v>
      </c>
      <c r="D2416" s="58" t="n">
        <f aca="false">D2403-C2403</f>
        <v>217419.095034247</v>
      </c>
      <c r="E2416" s="58" t="n">
        <f aca="false">E2403-D2403</f>
        <v>176718.559931507</v>
      </c>
      <c r="F2416" s="58" t="n">
        <f aca="false">F2403-E2403</f>
        <v>288439.566780822</v>
      </c>
      <c r="G2416" s="58" t="n">
        <f aca="false">G2403-F2403</f>
        <v>360000.177226028</v>
      </c>
      <c r="H2416" s="2" t="s">
        <v>1340</v>
      </c>
    </row>
    <row r="2417" customFormat="false" ht="15" hidden="false" customHeight="false" outlineLevel="1" collapsed="false">
      <c r="A2417" s="7" t="s">
        <v>720</v>
      </c>
      <c r="B2417" s="8" t="s">
        <v>10</v>
      </c>
      <c r="C2417" s="58" t="n">
        <f aca="false">-C2405</f>
        <v>-0</v>
      </c>
      <c r="D2417" s="58" t="n">
        <f aca="false">-(D2405-C2405)</f>
        <v>-43483.8190068493</v>
      </c>
      <c r="E2417" s="58" t="n">
        <f aca="false">-(E2405-D2405)</f>
        <v>-35343.7119863014</v>
      </c>
      <c r="F2417" s="58" t="n">
        <f aca="false">-(F2405-E2405)</f>
        <v>-57687.9133561644</v>
      </c>
      <c r="G2417" s="58" t="n">
        <f aca="false">-(G2405-F2405)</f>
        <v>-72000.0354452055</v>
      </c>
      <c r="H2417" s="2" t="s">
        <v>1341</v>
      </c>
    </row>
    <row r="2418" customFormat="false" ht="15" hidden="false" customHeight="false" outlineLevel="1" collapsed="false">
      <c r="A2418" s="7" t="s">
        <v>721</v>
      </c>
      <c r="B2418" s="8" t="s">
        <v>10</v>
      </c>
      <c r="C2418" s="58" t="n">
        <f aca="false">-C2408</f>
        <v>-0</v>
      </c>
      <c r="D2418" s="58" t="n">
        <f aca="false">-(D2408-C2408)</f>
        <v>-10870.9547517123</v>
      </c>
      <c r="E2418" s="58" t="n">
        <f aca="false">-(E2408-D2408)</f>
        <v>-8835.92799657534</v>
      </c>
      <c r="F2418" s="58" t="n">
        <f aca="false">-(F2408-E2408)</f>
        <v>-14421.9783390411</v>
      </c>
      <c r="G2418" s="58" t="n">
        <f aca="false">-(G2408-F2408)</f>
        <v>-18000.0088613014</v>
      </c>
      <c r="H2418" s="2" t="s">
        <v>1342</v>
      </c>
    </row>
    <row r="2419" customFormat="false" ht="15" hidden="false" customHeight="false" outlineLevel="1" collapsed="false">
      <c r="A2419" s="7" t="s">
        <v>722</v>
      </c>
      <c r="B2419" s="8" t="s">
        <v>10</v>
      </c>
      <c r="C2419" s="58" t="n">
        <f aca="false">-(C2407-Pressupostos!$C$106)</f>
        <v>31849.2328767123</v>
      </c>
      <c r="D2419" s="58" t="n">
        <f aca="false">-(D2407-C2407)</f>
        <v>-12523.0910958904</v>
      </c>
      <c r="E2419" s="58" t="n">
        <f aca="false">-(E2407-D2407)</f>
        <v>15708.3164383562</v>
      </c>
      <c r="F2419" s="58" t="n">
        <f aca="false">-(F2407-E2407)</f>
        <v>14965.5417808219</v>
      </c>
      <c r="G2419" s="58" t="n">
        <f aca="false">-(G2407-F2407)</f>
        <v>-0</v>
      </c>
      <c r="H2419" s="2" t="s">
        <v>1343</v>
      </c>
    </row>
    <row r="2420" customFormat="false" ht="15" hidden="false" customHeight="false" outlineLevel="1" collapsed="false">
      <c r="A2420" s="52" t="s">
        <v>723</v>
      </c>
      <c r="B2420" s="53" t="s">
        <v>10</v>
      </c>
      <c r="C2420" s="59" t="n">
        <f aca="false">C2415+C2416+C2417+C2418+C2419</f>
        <v>-806001.894407534</v>
      </c>
      <c r="D2420" s="59" t="n">
        <f aca="false">D2415+D2416+D2417+D2418+D2419</f>
        <v>-862418.527104941</v>
      </c>
      <c r="E2420" s="59" t="n">
        <f aca="false">E2415+E2416+E2417+E2418+E2419</f>
        <v>-1056428.62916756</v>
      </c>
      <c r="F2420" s="59" t="n">
        <f aca="false">F2415+F2416+F2417+F2418+F2419</f>
        <v>-1214358.35351788</v>
      </c>
      <c r="G2420" s="59" t="n">
        <f aca="false">G2415+G2416+G2417+G2418+G2419</f>
        <v>-1396014.40460144</v>
      </c>
      <c r="H2420" s="2" t="s">
        <v>1344</v>
      </c>
    </row>
    <row r="2421" customFormat="false" ht="15" hidden="false" customHeight="false" outlineLevel="1" collapsed="false">
      <c r="A2421" s="52" t="s">
        <v>724</v>
      </c>
      <c r="B2421" s="53" t="s">
        <v>10</v>
      </c>
      <c r="C2421" s="59" t="n">
        <f aca="false">C2420</f>
        <v>-806001.894407534</v>
      </c>
      <c r="D2421" s="59" t="n">
        <f aca="false">C2421+D2420</f>
        <v>-1668420.42151248</v>
      </c>
      <c r="E2421" s="59" t="n">
        <f aca="false">D2421+E2420</f>
        <v>-2724849.05068004</v>
      </c>
      <c r="F2421" s="59" t="n">
        <f aca="false">E2421+F2420</f>
        <v>-3939207.40419792</v>
      </c>
      <c r="G2421" s="59" t="n">
        <f aca="false">F2421+G2420</f>
        <v>-5335221.80879937</v>
      </c>
      <c r="H2421" s="2" t="s">
        <v>1345</v>
      </c>
    </row>
    <row r="2422" customFormat="false" ht="15" hidden="false" customHeight="false" outlineLevel="1" collapsed="false">
      <c r="A2422" s="8" t="s">
        <v>725</v>
      </c>
      <c r="B2422" s="8" t="s">
        <v>10</v>
      </c>
      <c r="C2422" s="66" t="n">
        <f aca="false">ROUND(C2377-C2362-C2392-(MAX(C2406,Pressupostos!$C$106)-Pressupostos!$C$106)-(C2408)-C2420,6)</f>
        <v>0</v>
      </c>
      <c r="D2422" s="66" t="n">
        <f aca="false">ROUND(D2377-D2362-D2392-(MAX(D2406,Pressupostos!$C$106)-MAX(C2406,Pressupostos!$C$106))-(D2408-C2408)-D2420,6)</f>
        <v>0</v>
      </c>
      <c r="E2422" s="66" t="n">
        <f aca="false">ROUND(E2377-E2362-E2392-(MAX(E2406,Pressupostos!$C$106)-MAX(D2406,Pressupostos!$C$106))-(E2408-D2408)-E2420,6)</f>
        <v>0</v>
      </c>
      <c r="F2422" s="66" t="n">
        <f aca="false">ROUND(F2377-F2362-F2392-(MAX(F2406,Pressupostos!$C$106)-MAX(E2406,Pressupostos!$C$106))-(F2408-E2408)-F2420,6)</f>
        <v>0</v>
      </c>
      <c r="G2422" s="66" t="n">
        <f aca="false">ROUND(G2377-G2362-G2392-(MAX(G2406,Pressupostos!$C$106)-MAX(F2406,Pressupostos!$C$106))-(G2408-F2408)-G2420,6)</f>
        <v>0</v>
      </c>
      <c r="H2422" s="2" t="s">
        <v>1346</v>
      </c>
    </row>
    <row r="2423" customFormat="false" ht="15" hidden="false" customHeight="false" outlineLevel="0" collapsed="false">
      <c r="A2423" s="3" t="s">
        <v>1347</v>
      </c>
      <c r="B2423" s="4"/>
      <c r="C2423" s="4"/>
      <c r="D2423" s="4"/>
      <c r="E2423" s="4"/>
      <c r="F2423" s="4"/>
      <c r="G2423" s="4"/>
      <c r="H2423" s="4"/>
    </row>
    <row r="2424" customFormat="false" ht="15" hidden="false" customHeight="false" outlineLevel="1" collapsed="false">
      <c r="A2424" s="7" t="s">
        <v>727</v>
      </c>
      <c r="B2424" s="8" t="s">
        <v>10</v>
      </c>
      <c r="C2424" s="58" t="n">
        <f aca="false">0</f>
        <v>0</v>
      </c>
      <c r="D2424" s="58" t="n">
        <f aca="false">C2429</f>
        <v>150000</v>
      </c>
      <c r="E2424" s="58" t="n">
        <f aca="false">D2429</f>
        <v>150000</v>
      </c>
      <c r="F2424" s="58" t="n">
        <f aca="false">E2429</f>
        <v>150000</v>
      </c>
      <c r="G2424" s="58" t="n">
        <f aca="false">F2429</f>
        <v>150000</v>
      </c>
      <c r="H2424" s="2" t="s">
        <v>1348</v>
      </c>
    </row>
    <row r="2425" customFormat="false" ht="15" hidden="false" customHeight="false" outlineLevel="1" collapsed="false">
      <c r="A2425" s="7" t="s">
        <v>728</v>
      </c>
      <c r="B2425" s="8" t="s">
        <v>10</v>
      </c>
      <c r="C2425" s="58" t="n">
        <f aca="false">-(Pressupostos!$C$157+Pressupostos!$C$158+Pressupostos!$C$159+Pressupostos!$C$160+Pressupostos!$C$161+Pressupostos!$C$106)</f>
        <v>-145000</v>
      </c>
      <c r="D2425" s="58" t="n">
        <f aca="false">0</f>
        <v>0</v>
      </c>
      <c r="E2425" s="58" t="n">
        <f aca="false">0</f>
        <v>0</v>
      </c>
      <c r="F2425" s="58" t="n">
        <f aca="false">0</f>
        <v>0</v>
      </c>
      <c r="G2425" s="58" t="n">
        <f aca="false">0</f>
        <v>0</v>
      </c>
      <c r="H2425" s="2" t="s">
        <v>1349</v>
      </c>
    </row>
    <row r="2426" customFormat="false" ht="15" hidden="false" customHeight="false" outlineLevel="1" collapsed="false">
      <c r="A2426" s="7" t="s">
        <v>729</v>
      </c>
      <c r="B2426" s="8" t="s">
        <v>10</v>
      </c>
      <c r="C2426" s="50" t="n">
        <f aca="false">Pressupostos!$D$32</f>
        <v>1100000</v>
      </c>
      <c r="D2426" s="58" t="n">
        <f aca="false">0</f>
        <v>0</v>
      </c>
      <c r="E2426" s="58" t="n">
        <f aca="false">0</f>
        <v>0</v>
      </c>
      <c r="F2426" s="58" t="n">
        <f aca="false">0</f>
        <v>0</v>
      </c>
      <c r="G2426" s="58" t="n">
        <f aca="false">0</f>
        <v>0</v>
      </c>
      <c r="H2426" s="2" t="s">
        <v>1350</v>
      </c>
    </row>
    <row r="2427" customFormat="false" ht="15" hidden="false" customHeight="false" outlineLevel="1" collapsed="false">
      <c r="A2427" s="7" t="s">
        <v>730</v>
      </c>
      <c r="B2427" s="8" t="s">
        <v>10</v>
      </c>
      <c r="C2427" s="58" t="n">
        <f aca="false">C2424+C2425+C2426+C2420</f>
        <v>148998.105592466</v>
      </c>
      <c r="D2427" s="58" t="n">
        <f aca="false">D2424+D2425+D2426+D2420</f>
        <v>-712418.527104941</v>
      </c>
      <c r="E2427" s="58" t="n">
        <f aca="false">E2424+E2425+E2426+E2420</f>
        <v>-906428.629167564</v>
      </c>
      <c r="F2427" s="58" t="n">
        <f aca="false">F2424+F2425+F2426+F2420</f>
        <v>-1064358.35351788</v>
      </c>
      <c r="G2427" s="58" t="n">
        <f aca="false">G2424+G2425+G2426+G2420</f>
        <v>-1246014.40460144</v>
      </c>
      <c r="H2427" s="2" t="s">
        <v>1351</v>
      </c>
    </row>
    <row r="2428" customFormat="false" ht="15" hidden="false" customHeight="false" outlineLevel="1" collapsed="false">
      <c r="A2428" s="52" t="s">
        <v>731</v>
      </c>
      <c r="B2428" s="53" t="s">
        <v>10</v>
      </c>
      <c r="C2428" s="59" t="n">
        <f aca="false">MAX(0,Pressupostos!$C$168-C2427)</f>
        <v>1001.89440753427</v>
      </c>
      <c r="D2428" s="59" t="n">
        <f aca="false">MAX(0,Pressupostos!$C$168-D2427)</f>
        <v>862418.527104941</v>
      </c>
      <c r="E2428" s="59" t="n">
        <f aca="false">MAX(0,Pressupostos!$C$168-E2427)</f>
        <v>1056428.62916756</v>
      </c>
      <c r="F2428" s="59" t="n">
        <f aca="false">MAX(0,Pressupostos!$C$168-F2427)</f>
        <v>1214358.35351788</v>
      </c>
      <c r="G2428" s="59" t="n">
        <f aca="false">MAX(0,Pressupostos!$C$168-G2427)</f>
        <v>1396014.40460144</v>
      </c>
      <c r="H2428" s="2" t="s">
        <v>1352</v>
      </c>
    </row>
    <row r="2429" customFormat="false" ht="15" hidden="false" customHeight="false" outlineLevel="1" collapsed="false">
      <c r="A2429" s="52" t="s">
        <v>732</v>
      </c>
      <c r="B2429" s="53" t="s">
        <v>10</v>
      </c>
      <c r="C2429" s="59" t="n">
        <f aca="false">C2427+C2428</f>
        <v>150000</v>
      </c>
      <c r="D2429" s="59" t="n">
        <f aca="false">D2427+D2428</f>
        <v>150000</v>
      </c>
      <c r="E2429" s="59" t="n">
        <f aca="false">E2427+E2428</f>
        <v>150000</v>
      </c>
      <c r="F2429" s="59" t="n">
        <f aca="false">F2427+F2428</f>
        <v>150000</v>
      </c>
      <c r="G2429" s="59" t="n">
        <f aca="false">G2427+G2428</f>
        <v>150000</v>
      </c>
      <c r="H2429" s="2" t="s">
        <v>1353</v>
      </c>
    </row>
    <row r="2430" customFormat="false" ht="15" hidden="false" customHeight="false" outlineLevel="1" collapsed="false">
      <c r="A2430" s="7" t="s">
        <v>733</v>
      </c>
      <c r="B2430" s="8" t="s">
        <v>10</v>
      </c>
      <c r="C2430" s="58" t="n">
        <f aca="false">C2405+C2408+C2407</f>
        <v>18150.7671232877</v>
      </c>
      <c r="D2430" s="58" t="n">
        <f aca="false">D2405+D2408+D2407</f>
        <v>85028.6319777397</v>
      </c>
      <c r="E2430" s="58" t="n">
        <f aca="false">E2405+E2408+E2407</f>
        <v>113499.95552226</v>
      </c>
      <c r="F2430" s="58" t="n">
        <f aca="false">F2405+F2408+F2407</f>
        <v>170644.305436644</v>
      </c>
      <c r="G2430" s="58" t="n">
        <f aca="false">G2405+G2408+G2407</f>
        <v>260644.349743151</v>
      </c>
      <c r="H2430" s="2" t="s">
        <v>1354</v>
      </c>
    </row>
    <row r="2431" customFormat="false" ht="15" hidden="false" customHeight="false" outlineLevel="1" collapsed="false">
      <c r="A2431" s="7" t="s">
        <v>734</v>
      </c>
      <c r="B2431" s="8" t="s">
        <v>10</v>
      </c>
      <c r="C2431" s="58" t="n">
        <f aca="false">C2429+C2430</f>
        <v>168150.767123288</v>
      </c>
      <c r="D2431" s="58" t="n">
        <f aca="false">D2429+D2430</f>
        <v>235028.63197774</v>
      </c>
      <c r="E2431" s="58" t="n">
        <f aca="false">E2429+E2430</f>
        <v>263499.95552226</v>
      </c>
      <c r="F2431" s="58" t="n">
        <f aca="false">F2429+F2430</f>
        <v>320644.305436644</v>
      </c>
      <c r="G2431" s="58" t="n">
        <f aca="false">G2429+G2430</f>
        <v>410644.349743151</v>
      </c>
      <c r="H2431" s="2" t="s">
        <v>1355</v>
      </c>
    </row>
    <row r="2432" customFormat="false" ht="15" hidden="false" customHeight="false" outlineLevel="1" collapsed="false">
      <c r="A2432" s="7" t="s">
        <v>735</v>
      </c>
      <c r="B2432" s="8" t="s">
        <v>10</v>
      </c>
      <c r="C2432" s="58" t="n">
        <f aca="false">C2426+C2428</f>
        <v>1101001.89440753</v>
      </c>
      <c r="D2432" s="58" t="n">
        <f aca="false">C2432+D2426+D2428</f>
        <v>1963420.42151248</v>
      </c>
      <c r="E2432" s="58" t="n">
        <f aca="false">D2432+E2426+E2428</f>
        <v>3019849.05068004</v>
      </c>
      <c r="F2432" s="58" t="n">
        <f aca="false">E2432+F2426+F2428</f>
        <v>4234207.40419792</v>
      </c>
      <c r="G2432" s="58" t="n">
        <f aca="false">F2432+G2426+G2428</f>
        <v>5630221.80879937</v>
      </c>
      <c r="H2432" s="2" t="s">
        <v>1356</v>
      </c>
    </row>
    <row r="2433" customFormat="false" ht="15" hidden="false" customHeight="false" outlineLevel="0" collapsed="false">
      <c r="A2433" s="3" t="s">
        <v>1357</v>
      </c>
      <c r="B2433" s="4"/>
      <c r="C2433" s="4"/>
      <c r="D2433" s="4"/>
      <c r="E2433" s="4"/>
      <c r="F2433" s="4"/>
      <c r="G2433" s="4"/>
      <c r="H2433" s="4"/>
    </row>
    <row r="2434" customFormat="false" ht="15" hidden="false" customHeight="false" outlineLevel="1" collapsed="false">
      <c r="A2434" s="7" t="s">
        <v>739</v>
      </c>
      <c r="B2434" s="8" t="s">
        <v>10</v>
      </c>
      <c r="C2434" s="68" t="n">
        <f aca="false">Pressupostos!$C$157+Pressupostos!$C$158+Pressupostos!$C$159+Pressupostos!$C$160+Pressupostos!$C$161</f>
        <v>95000</v>
      </c>
      <c r="H2434" s="2" t="s">
        <v>1358</v>
      </c>
    </row>
    <row r="2435" customFormat="false" ht="15" hidden="false" customHeight="false" outlineLevel="1" collapsed="false">
      <c r="A2435" s="7" t="s">
        <v>740</v>
      </c>
      <c r="B2435" s="8" t="s">
        <v>10</v>
      </c>
      <c r="C2435" s="69" t="n">
        <f aca="false">Pressupostos!$C$106</f>
        <v>50000</v>
      </c>
      <c r="H2435" s="2" t="s">
        <v>1359</v>
      </c>
    </row>
    <row r="2436" customFormat="false" ht="15" hidden="false" customHeight="false" outlineLevel="1" collapsed="false">
      <c r="A2436" s="7" t="s">
        <v>312</v>
      </c>
      <c r="B2436" s="8" t="s">
        <v>10</v>
      </c>
      <c r="C2436" s="69" t="n">
        <f aca="false">Pressupostos!$C$168</f>
        <v>150000</v>
      </c>
      <c r="H2436" s="2" t="s">
        <v>1360</v>
      </c>
    </row>
    <row r="2437" customFormat="false" ht="15" hidden="false" customHeight="false" outlineLevel="1" collapsed="false">
      <c r="A2437" s="7" t="s">
        <v>741</v>
      </c>
      <c r="B2437" s="8" t="s">
        <v>10</v>
      </c>
      <c r="C2437" s="68" t="n">
        <f aca="false">MAX(0,-MIN($C$2421:$G$2421))</f>
        <v>5335221.80879937</v>
      </c>
      <c r="H2437" s="2" t="s">
        <v>1361</v>
      </c>
    </row>
    <row r="2438" customFormat="false" ht="15" hidden="false" customHeight="false" outlineLevel="1" collapsed="false">
      <c r="A2438" s="52" t="s">
        <v>14</v>
      </c>
      <c r="B2438" s="53" t="s">
        <v>10</v>
      </c>
      <c r="C2438" s="70" t="n">
        <f aca="false">C2434+C2435+C2436+C2437</f>
        <v>5630221.80879937</v>
      </c>
      <c r="H2438" s="2" t="s">
        <v>1362</v>
      </c>
    </row>
    <row r="2439" customFormat="false" ht="15" hidden="false" customHeight="false" outlineLevel="1" collapsed="false">
      <c r="A2439" s="7" t="s">
        <v>742</v>
      </c>
      <c r="B2439" s="8" t="s">
        <v>18</v>
      </c>
      <c r="C2439" s="71" t="n">
        <f aca="false">INDEX($C$2178:$G$2178,1,MATCH(MIN($C$2421:$G$2421),$C$2421:$G$2421,0))</f>
        <v>2031</v>
      </c>
      <c r="H2439" s="2" t="s">
        <v>1363</v>
      </c>
    </row>
    <row r="2440" customFormat="false" ht="15" hidden="false" customHeight="false" outlineLevel="1" collapsed="false">
      <c r="A2440" s="7" t="s">
        <v>743</v>
      </c>
      <c r="B2440" s="8"/>
      <c r="C2440" s="72" t="str">
        <f aca="false">IF(G2420&lt;0,"sim","não")</f>
        <v>sim</v>
      </c>
      <c r="H2440" s="2" t="s">
        <v>1364</v>
      </c>
    </row>
    <row r="2441" customFormat="false" ht="15" hidden="false" customHeight="false" outlineLevel="1" collapsed="false">
      <c r="A2441" s="7" t="s">
        <v>744</v>
      </c>
      <c r="B2441" s="8" t="s">
        <v>10</v>
      </c>
      <c r="C2441" s="68" t="n">
        <f aca="false">G2432</f>
        <v>5630221.80879937</v>
      </c>
      <c r="H2441" s="2" t="s">
        <v>1365</v>
      </c>
    </row>
    <row r="2442" customFormat="false" ht="15" hidden="false" customHeight="false" outlineLevel="0" collapsed="false">
      <c r="A2442" s="3" t="s">
        <v>1366</v>
      </c>
      <c r="B2442" s="4"/>
      <c r="C2442" s="4"/>
      <c r="D2442" s="4"/>
      <c r="E2442" s="4"/>
      <c r="F2442" s="4"/>
      <c r="G2442" s="4"/>
      <c r="H2442" s="4"/>
    </row>
    <row r="2443" customFormat="false" ht="15" hidden="false" customHeight="false" outlineLevel="1" collapsed="false">
      <c r="A2443" s="7" t="s">
        <v>746</v>
      </c>
      <c r="B2443" s="8" t="s">
        <v>10</v>
      </c>
      <c r="C2443" s="68" t="n">
        <f aca="false">C2434+C2435</f>
        <v>145000</v>
      </c>
      <c r="H2443" s="2" t="s">
        <v>1367</v>
      </c>
    </row>
    <row r="2444" customFormat="false" ht="15" hidden="false" customHeight="false" outlineLevel="1" collapsed="false">
      <c r="A2444" s="7" t="s">
        <v>747</v>
      </c>
      <c r="B2444" s="8" t="s">
        <v>10</v>
      </c>
      <c r="C2444" s="68" t="n">
        <f aca="false">-SUMPRODUCT(($C$2178:$G$2178&lt;=C2439)*$C$2377:$G$2377)</f>
        <v>4980419.3922754</v>
      </c>
      <c r="H2444" s="2" t="s">
        <v>1368</v>
      </c>
    </row>
    <row r="2445" customFormat="false" ht="15" hidden="false" customHeight="false" outlineLevel="1" collapsed="false">
      <c r="A2445" s="7" t="s">
        <v>407</v>
      </c>
      <c r="B2445" s="8" t="s">
        <v>10</v>
      </c>
      <c r="C2445" s="68" t="n">
        <f aca="false">SUMPRODUCT(($C$2178:$G$2178&lt;=C2439)*$C$2362:$G$2362)</f>
        <v>260000</v>
      </c>
      <c r="H2445" s="2" t="s">
        <v>1369</v>
      </c>
    </row>
    <row r="2446" customFormat="false" ht="15" hidden="false" customHeight="false" outlineLevel="1" collapsed="false">
      <c r="A2446" s="7" t="s">
        <v>748</v>
      </c>
      <c r="B2446" s="8" t="s">
        <v>10</v>
      </c>
      <c r="C2446" s="68" t="n">
        <f aca="false">SUMPRODUCT(($C$2178:$G$2178&lt;=C2439)*$C$2392:$G$2392)</f>
        <v>0</v>
      </c>
      <c r="H2446" s="2" t="s">
        <v>1370</v>
      </c>
    </row>
    <row r="2447" customFormat="false" ht="15" hidden="false" customHeight="false" outlineLevel="1" collapsed="false">
      <c r="A2447" s="7" t="s">
        <v>749</v>
      </c>
      <c r="B2447" s="8" t="s">
        <v>10</v>
      </c>
      <c r="C2447" s="68" t="n">
        <f aca="false">C2437-C2444-C2445-C2446</f>
        <v>94802.4165239725</v>
      </c>
      <c r="H2447" s="2" t="s">
        <v>1371</v>
      </c>
    </row>
    <row r="2448" customFormat="false" ht="15" hidden="false" customHeight="false" outlineLevel="1" collapsed="false">
      <c r="A2448" s="7" t="s">
        <v>312</v>
      </c>
      <c r="B2448" s="8" t="s">
        <v>10</v>
      </c>
      <c r="C2448" s="68" t="n">
        <f aca="false">C2436</f>
        <v>150000</v>
      </c>
      <c r="H2448" s="2" t="s">
        <v>1372</v>
      </c>
    </row>
    <row r="2449" customFormat="false" ht="15" hidden="false" customHeight="false" outlineLevel="1" collapsed="false">
      <c r="A2449" s="52" t="s">
        <v>750</v>
      </c>
      <c r="B2449" s="53" t="s">
        <v>10</v>
      </c>
      <c r="C2449" s="70" t="n">
        <f aca="false">C2443+C2444+C2445+C2446+C2447+C2448</f>
        <v>5630221.80879937</v>
      </c>
      <c r="H2449" s="2" t="s">
        <v>1373</v>
      </c>
    </row>
    <row r="2450" customFormat="false" ht="15" hidden="false" customHeight="false" outlineLevel="0" collapsed="false">
      <c r="A2450" s="3" t="s">
        <v>1374</v>
      </c>
      <c r="B2450" s="4"/>
      <c r="C2450" s="4"/>
      <c r="D2450" s="4"/>
      <c r="E2450" s="4"/>
      <c r="F2450" s="4"/>
      <c r="G2450" s="4"/>
      <c r="H2450" s="4"/>
    </row>
    <row r="2451" customFormat="false" ht="15" hidden="false" customHeight="false" outlineLevel="1" collapsed="false">
      <c r="A2451" s="7" t="s">
        <v>729</v>
      </c>
      <c r="B2451" s="8" t="s">
        <v>10</v>
      </c>
      <c r="C2451" s="69" t="n">
        <f aca="false">Pressupostos!$D$32</f>
        <v>1100000</v>
      </c>
      <c r="H2451" s="2" t="s">
        <v>1375</v>
      </c>
    </row>
    <row r="2452" customFormat="false" ht="15" hidden="false" customHeight="false" outlineLevel="1" collapsed="false">
      <c r="A2452" s="7" t="s">
        <v>752</v>
      </c>
      <c r="B2452" s="8" t="s">
        <v>10</v>
      </c>
      <c r="C2452" s="68" t="n">
        <f aca="false">C2434+Pressupostos!$C$106+Pressupostos!$C$128/12*((C2338-C2326-C2327+(C2326+C2327)/Pressupostos!$C$126*Pressupostos!$C$127)*(1+Pressupostos!$C$122+Pressupostos!$C$123)+C2324*Pressupostos!$C$124+C2357)+C2362+MAX(0,Pressupostos!$C$181*1000*(C2197+C2200)+Pressupostos!$C$182*1000*(C2220+C2223)-Pressupostos!$C$106)</f>
        <v>734421.666666667</v>
      </c>
      <c r="H2452" s="2" t="s">
        <v>1376</v>
      </c>
    </row>
    <row r="2453" customFormat="false" ht="15" hidden="false" customHeight="false" outlineLevel="1" collapsed="false">
      <c r="A2453" s="7" t="s">
        <v>754</v>
      </c>
      <c r="B2453" s="8" t="s">
        <v>10</v>
      </c>
      <c r="C2453" s="68" t="n">
        <f aca="false">C2434+Pressupostos!$C$106-C2420</f>
        <v>951001.894407534</v>
      </c>
      <c r="H2453" s="2" t="s">
        <v>1377</v>
      </c>
    </row>
    <row r="2454" customFormat="false" ht="15" hidden="false" customHeight="false" outlineLevel="1" collapsed="false">
      <c r="A2454" s="7" t="s">
        <v>755</v>
      </c>
      <c r="B2454" s="8" t="s">
        <v>10</v>
      </c>
      <c r="C2454" s="58" t="n">
        <f aca="false">Pressupostos!$D$32-C2434-Pressupostos!$C$106+C2421</f>
        <v>148998.105592466</v>
      </c>
      <c r="D2454" s="58" t="n">
        <f aca="false">Pressupostos!$D$32-C2434-Pressupostos!$C$106+D2421</f>
        <v>-713420.421512476</v>
      </c>
      <c r="E2454" s="58" t="n">
        <f aca="false">Pressupostos!$D$32-C2434-Pressupostos!$C$106+E2421</f>
        <v>-1769849.05068004</v>
      </c>
      <c r="F2454" s="58" t="n">
        <f aca="false">Pressupostos!$D$32-C2434-Pressupostos!$C$106+F2421</f>
        <v>-2984207.40419792</v>
      </c>
      <c r="G2454" s="58" t="n">
        <f aca="false">Pressupostos!$D$32-C2434-Pressupostos!$C$106+G2421</f>
        <v>-4380221.80879937</v>
      </c>
      <c r="H2454" s="2" t="s">
        <v>1378</v>
      </c>
    </row>
    <row r="2455" customFormat="false" ht="15" hidden="false" customHeight="false" outlineLevel="1" collapsed="false">
      <c r="A2455" s="7" t="s">
        <v>756</v>
      </c>
      <c r="B2455" s="8" t="s">
        <v>16</v>
      </c>
      <c r="C2455" s="73" t="str">
        <f aca="false">IF(AND(Pressupostos!$D$32-C2434-Pressupostos!$C$106&gt;0,C2454&lt;=0),12*(Pressupostos!$D$32-C2434-Pressupostos!$C$106)/(Pressupostos!$D$32-C2434-Pressupostos!$C$106-C2454),"")</f>
        <v/>
      </c>
      <c r="D2455" s="73" t="n">
        <f aca="false">IF(AND(C2454&gt;0,D2454&lt;=0),12+12*C2454/(C2454-D2454),"")</f>
        <v>14.0732129597351</v>
      </c>
      <c r="E2455" s="73" t="str">
        <f aca="false">IF(AND(D2454&gt;0,E2454&lt;=0),24+12*D2454/(D2454-E2454),"")</f>
        <v/>
      </c>
      <c r="F2455" s="73" t="str">
        <f aca="false">IF(AND(E2454&gt;0,F2454&lt;=0),36+12*E2454/(E2454-F2454),"")</f>
        <v/>
      </c>
      <c r="G2455" s="73" t="str">
        <f aca="false">IF(AND(F2454&gt;0,G2454&lt;=0),48+12*F2454/(F2454-G2454),"")</f>
        <v/>
      </c>
      <c r="H2455" s="2" t="s">
        <v>1379</v>
      </c>
    </row>
    <row r="2456" customFormat="false" ht="15" hidden="false" customHeight="false" outlineLevel="1" collapsed="false">
      <c r="A2456" s="52" t="s">
        <v>757</v>
      </c>
      <c r="B2456" s="53" t="s">
        <v>264</v>
      </c>
      <c r="C2456" s="74" t="n">
        <f aca="false">IF(COUNT($C$2455:$G$2455)=0,"&gt; 60",MIN($C$2455:$G$2455))</f>
        <v>14.0732129597351</v>
      </c>
      <c r="H2456" s="2" t="s">
        <v>1380</v>
      </c>
    </row>
    <row r="2457" customFormat="false" ht="15" hidden="false" customHeight="false" outlineLevel="0" collapsed="false">
      <c r="A2457" s="3" t="s">
        <v>1381</v>
      </c>
      <c r="B2457" s="4"/>
      <c r="C2457" s="4"/>
      <c r="D2457" s="4"/>
      <c r="E2457" s="4"/>
      <c r="F2457" s="4"/>
      <c r="G2457" s="4"/>
      <c r="H2457" s="4"/>
    </row>
    <row r="2458" customFormat="false" ht="15" hidden="false" customHeight="false" outlineLevel="1" collapsed="false">
      <c r="A2458" s="7" t="s">
        <v>759</v>
      </c>
      <c r="B2458" s="8" t="s">
        <v>16</v>
      </c>
      <c r="C2458" s="73" t="str">
        <f aca="false">IF(C2377&gt;=0,1,"")</f>
        <v/>
      </c>
      <c r="D2458" s="73" t="str">
        <f aca="false">IF(AND(C2377&lt;0,D2377&gt;=0),6.5+12*(-C2377)/(D2377-C2377),"")</f>
        <v/>
      </c>
      <c r="E2458" s="73" t="str">
        <f aca="false">IF(AND(D2377&lt;0,E2377&gt;=0),18.5+12*(-D2377)/(E2377-D2377),"")</f>
        <v/>
      </c>
      <c r="F2458" s="73" t="str">
        <f aca="false">IF(AND(E2377&lt;0,F2377&gt;=0),30.5+12*(-E2377)/(F2377-E2377),"")</f>
        <v/>
      </c>
      <c r="G2458" s="73" t="str">
        <f aca="false">IF(AND(F2377&lt;0,G2377&gt;=0),42.5+12*(-F2377)/(G2377-F2377),"")</f>
        <v/>
      </c>
      <c r="H2458" s="2" t="s">
        <v>1382</v>
      </c>
    </row>
    <row r="2459" customFormat="false" ht="15" hidden="false" customHeight="false" outlineLevel="1" collapsed="false">
      <c r="A2459" s="7" t="s">
        <v>760</v>
      </c>
      <c r="B2459" s="8" t="s">
        <v>16</v>
      </c>
      <c r="C2459" s="75" t="str">
        <f aca="false">IF(COUNT($C$2458:$G$2458)=0,"não atinge até 2031",ROUNDUP(MIN($C$2458:$G$2458),0))</f>
        <v>não atinge até 2031</v>
      </c>
      <c r="H2459" s="2" t="s">
        <v>1383</v>
      </c>
    </row>
    <row r="2460" customFormat="false" ht="15" hidden="false" customHeight="false" outlineLevel="1" collapsed="false">
      <c r="A2460" s="52" t="s">
        <v>761</v>
      </c>
      <c r="B2460" s="53" t="s">
        <v>762</v>
      </c>
      <c r="C2460" s="76" t="str">
        <f aca="false">IF(ISNUMBER(C2459),DATE(2027,C2459,1),"não atinge até 2031")</f>
        <v>não atinge até 2031</v>
      </c>
      <c r="H2460" s="2" t="s">
        <v>1384</v>
      </c>
    </row>
    <row r="2461" customFormat="false" ht="15" hidden="false" customHeight="false" outlineLevel="1" collapsed="false">
      <c r="A2461" s="7" t="s">
        <v>763</v>
      </c>
      <c r="B2461" s="8" t="s">
        <v>18</v>
      </c>
      <c r="C2461" s="77" t="str">
        <f aca="false">IF(C2377&gt;=0,C2178,"")</f>
        <v/>
      </c>
      <c r="D2461" s="77" t="str">
        <f aca="false">IF(D2377&gt;=0,D2178,"")</f>
        <v/>
      </c>
      <c r="E2461" s="77" t="str">
        <f aca="false">IF(E2377&gt;=0,E2178,"")</f>
        <v/>
      </c>
      <c r="F2461" s="77" t="str">
        <f aca="false">IF(F2377&gt;=0,F2178,"")</f>
        <v/>
      </c>
      <c r="G2461" s="77" t="str">
        <f aca="false">IF(G2377&gt;=0,G2178,"")</f>
        <v/>
      </c>
      <c r="H2461" s="2" t="s">
        <v>1385</v>
      </c>
    </row>
    <row r="2462" customFormat="false" ht="15" hidden="false" customHeight="false" outlineLevel="1" collapsed="false">
      <c r="A2462" s="7" t="s">
        <v>764</v>
      </c>
      <c r="B2462" s="8" t="s">
        <v>18</v>
      </c>
      <c r="C2462" s="71" t="str">
        <f aca="false">IF(COUNT($C$2461:$G$2461)=0,"não atinge até 2031",MIN($C$2461:$G$2461))</f>
        <v>não atinge até 2031</v>
      </c>
      <c r="H2462" s="2" t="s">
        <v>1386</v>
      </c>
    </row>
    <row r="2463" customFormat="false" ht="15" hidden="false" customHeight="false" outlineLevel="1" collapsed="false">
      <c r="A2463" s="7" t="s">
        <v>765</v>
      </c>
      <c r="B2463" s="8" t="s">
        <v>18</v>
      </c>
      <c r="C2463" s="77" t="str">
        <f aca="false">IF(C2395&gt;=0,C2178,"")</f>
        <v/>
      </c>
      <c r="D2463" s="77" t="str">
        <f aca="false">IF(D2395&gt;=0,D2178,"")</f>
        <v/>
      </c>
      <c r="E2463" s="77" t="str">
        <f aca="false">IF(E2395&gt;=0,E2178,"")</f>
        <v/>
      </c>
      <c r="F2463" s="77" t="str">
        <f aca="false">IF(F2395&gt;=0,F2178,"")</f>
        <v/>
      </c>
      <c r="G2463" s="77" t="str">
        <f aca="false">IF(G2395&gt;=0,G2178,"")</f>
        <v/>
      </c>
      <c r="H2463" s="2" t="s">
        <v>1387</v>
      </c>
    </row>
    <row r="2464" customFormat="false" ht="15" hidden="false" customHeight="false" outlineLevel="1" collapsed="false">
      <c r="A2464" s="7" t="s">
        <v>766</v>
      </c>
      <c r="B2464" s="8" t="s">
        <v>18</v>
      </c>
      <c r="C2464" s="71" t="str">
        <f aca="false">IF(COUNT($C$2463:$G$2463)=0,"não atinge até 2031",MIN($C$2463:$G$2463))</f>
        <v>não atinge até 2031</v>
      </c>
      <c r="H2464" s="2" t="s">
        <v>1388</v>
      </c>
    </row>
    <row r="2465" customFormat="false" ht="15" hidden="false" customHeight="false" outlineLevel="1" collapsed="false">
      <c r="A2465" s="7" t="s">
        <v>767</v>
      </c>
      <c r="B2465" s="8" t="s">
        <v>18</v>
      </c>
      <c r="C2465" s="77" t="str">
        <f aca="false">IF(C2420&gt;=0,C2178,"")</f>
        <v/>
      </c>
      <c r="D2465" s="77" t="str">
        <f aca="false">IF(D2420&gt;=0,D2178,"")</f>
        <v/>
      </c>
      <c r="E2465" s="77" t="str">
        <f aca="false">IF(E2420&gt;=0,E2178,"")</f>
        <v/>
      </c>
      <c r="F2465" s="77" t="str">
        <f aca="false">IF(F2420&gt;=0,F2178,"")</f>
        <v/>
      </c>
      <c r="G2465" s="77" t="str">
        <f aca="false">IF(G2420&gt;=0,G2178,"")</f>
        <v/>
      </c>
      <c r="H2465" s="2" t="s">
        <v>1389</v>
      </c>
    </row>
    <row r="2466" customFormat="false" ht="15" hidden="false" customHeight="false" outlineLevel="1" collapsed="false">
      <c r="A2466" s="7" t="s">
        <v>17</v>
      </c>
      <c r="B2466" s="8" t="s">
        <v>18</v>
      </c>
      <c r="C2466" s="71" t="str">
        <f aca="false">IF(COUNT($C$2465:$G$2465)=0,"não atinge até 2031",MIN($C$2465:$G$2465))</f>
        <v>não atinge até 2031</v>
      </c>
      <c r="H2466" s="2" t="s">
        <v>1390</v>
      </c>
    </row>
    <row r="2467" customFormat="false" ht="15" hidden="false" customHeight="false" outlineLevel="0" collapsed="false">
      <c r="A2467" s="3" t="s">
        <v>1391</v>
      </c>
      <c r="B2467" s="4"/>
      <c r="C2467" s="4"/>
      <c r="D2467" s="4"/>
      <c r="E2467" s="4"/>
      <c r="F2467" s="4"/>
      <c r="G2467" s="4"/>
      <c r="H2467" s="4"/>
    </row>
    <row r="2468" customFormat="false" ht="15" hidden="false" customHeight="false" outlineLevel="1" collapsed="false">
      <c r="A2468" s="7" t="s">
        <v>769</v>
      </c>
      <c r="B2468" s="8" t="s">
        <v>10</v>
      </c>
      <c r="C2468" s="58" t="n">
        <f aca="false">C2403</f>
        <v>0</v>
      </c>
      <c r="D2468" s="58" t="n">
        <f aca="false">D2403</f>
        <v>217419.095034247</v>
      </c>
      <c r="E2468" s="58" t="n">
        <f aca="false">E2403</f>
        <v>394137.654965753</v>
      </c>
      <c r="F2468" s="58" t="n">
        <f aca="false">F2403</f>
        <v>682577.221746575</v>
      </c>
      <c r="G2468" s="58" t="n">
        <f aca="false">G2403</f>
        <v>1042577.3989726</v>
      </c>
      <c r="H2468" s="2" t="s">
        <v>1392</v>
      </c>
    </row>
    <row r="2469" customFormat="false" ht="15" hidden="false" customHeight="false" outlineLevel="1" collapsed="false">
      <c r="A2469" s="7" t="s">
        <v>487</v>
      </c>
      <c r="B2469" s="8" t="s">
        <v>71</v>
      </c>
      <c r="C2469" s="78" t="n">
        <f aca="false">Pressupostos!$C$283</f>
        <v>0.08</v>
      </c>
      <c r="D2469" s="78" t="n">
        <f aca="false">Pressupostos!$D$283</f>
        <v>0.08</v>
      </c>
      <c r="E2469" s="78" t="n">
        <f aca="false">Pressupostos!$E$283</f>
        <v>0.075</v>
      </c>
      <c r="F2469" s="78" t="n">
        <f aca="false">Pressupostos!$F$283</f>
        <v>0.07</v>
      </c>
      <c r="G2469" s="78" t="n">
        <f aca="false">Pressupostos!$G$283</f>
        <v>0.07</v>
      </c>
      <c r="H2469" s="2" t="s">
        <v>1393</v>
      </c>
    </row>
    <row r="2470" customFormat="false" ht="15" hidden="false" customHeight="false" outlineLevel="1" collapsed="false">
      <c r="A2470" s="7" t="s">
        <v>770</v>
      </c>
      <c r="B2470" s="8" t="s">
        <v>71</v>
      </c>
      <c r="C2470" s="56" t="n">
        <f aca="false">Pressupostos!$C$283*(1-Pressupostos!$C$109)</f>
        <v>0.0576</v>
      </c>
      <c r="D2470" s="56" t="n">
        <f aca="false">Pressupostos!$D$283*(1-Pressupostos!$C$109)</f>
        <v>0.0576</v>
      </c>
      <c r="E2470" s="56" t="n">
        <f aca="false">Pressupostos!$E$283*(1-Pressupostos!$C$109)</f>
        <v>0.054</v>
      </c>
      <c r="F2470" s="56" t="n">
        <f aca="false">Pressupostos!$F$283*(1-Pressupostos!$C$109)</f>
        <v>0.0504</v>
      </c>
      <c r="G2470" s="56" t="n">
        <f aca="false">Pressupostos!$G$283*(1-Pressupostos!$C$109)</f>
        <v>0.0504</v>
      </c>
      <c r="H2470" s="2" t="s">
        <v>1394</v>
      </c>
    </row>
    <row r="2471" customFormat="false" ht="15" hidden="false" customHeight="false" outlineLevel="1" collapsed="false">
      <c r="A2471" s="7" t="s">
        <v>771</v>
      </c>
      <c r="B2471" s="8" t="s">
        <v>10</v>
      </c>
      <c r="C2471" s="58" t="n">
        <f aca="false">C2309</f>
        <v>0</v>
      </c>
      <c r="D2471" s="58" t="n">
        <f aca="false">D2309</f>
        <v>16321.9191780822</v>
      </c>
      <c r="E2471" s="58" t="n">
        <f aca="false">E2309</f>
        <v>27139.7446489726</v>
      </c>
      <c r="F2471" s="58" t="n">
        <f aca="false">F2309</f>
        <v>43783.4843321918</v>
      </c>
      <c r="G2471" s="58" t="n">
        <f aca="false">G2309</f>
        <v>66875.3090753425</v>
      </c>
      <c r="H2471" s="2" t="s">
        <v>1395</v>
      </c>
    </row>
    <row r="2472" customFormat="false" ht="15" hidden="false" customHeight="false" outlineLevel="1" collapsed="false">
      <c r="A2472" s="7" t="s">
        <v>772</v>
      </c>
      <c r="B2472" s="8" t="s">
        <v>71</v>
      </c>
      <c r="C2472" s="55" t="n">
        <f aca="false">IF(C2403&gt;0,(C2406+C2408)/C2403,0)</f>
        <v>0</v>
      </c>
      <c r="D2472" s="55" t="n">
        <f aca="false">IF(D2403&gt;0,(D2406+D2408)/D2403,0)</f>
        <v>0.138888888888889</v>
      </c>
      <c r="E2472" s="55" t="n">
        <f aca="false">IF(E2403&gt;0,(E2406+E2408)/E2403,0)</f>
        <v>0.138888888888889</v>
      </c>
      <c r="F2472" s="55" t="n">
        <f aca="false">IF(F2403&gt;0,(F2406+F2408)/F2403,0)</f>
        <v>0.138888888888889</v>
      </c>
      <c r="G2472" s="55" t="n">
        <f aca="false">IF(G2403&gt;0,(G2406+G2408)/G2403,0)</f>
        <v>0.138888888888889</v>
      </c>
      <c r="H2472" s="2" t="s">
        <v>1396</v>
      </c>
    </row>
    <row r="2473" customFormat="false" ht="15" hidden="false" customHeight="false" outlineLevel="1" collapsed="false">
      <c r="A2473" s="7" t="s">
        <v>773</v>
      </c>
      <c r="B2473" s="8" t="s">
        <v>115</v>
      </c>
      <c r="C2473" s="58" t="n">
        <f aca="false">C2409</f>
        <v>0</v>
      </c>
      <c r="D2473" s="58" t="n">
        <f aca="false">D2409</f>
        <v>4.34838190068493</v>
      </c>
      <c r="E2473" s="58" t="n">
        <f aca="false">E2409</f>
        <v>7.88275309931507</v>
      </c>
      <c r="F2473" s="58" t="n">
        <f aca="false">F2409</f>
        <v>13.6515444349315</v>
      </c>
      <c r="G2473" s="58" t="n">
        <f aca="false">G2409</f>
        <v>20.8515479794521</v>
      </c>
      <c r="H2473" s="2" t="s">
        <v>1397</v>
      </c>
    </row>
    <row r="2474" customFormat="false" ht="15" hidden="false" customHeight="false" outlineLevel="0" collapsed="false">
      <c r="A2474" s="3" t="s">
        <v>1398</v>
      </c>
      <c r="B2474" s="4"/>
      <c r="C2474" s="4"/>
      <c r="D2474" s="4"/>
      <c r="E2474" s="4"/>
      <c r="F2474" s="4"/>
      <c r="G2474" s="4"/>
      <c r="H2474" s="4"/>
    </row>
    <row r="2475" customFormat="false" ht="15" hidden="false" customHeight="false" outlineLevel="1" collapsed="false">
      <c r="A2475" s="7" t="s">
        <v>775</v>
      </c>
      <c r="B2475" s="8" t="s">
        <v>10</v>
      </c>
      <c r="C2475" s="58" t="n">
        <f aca="false">MAX(0,-C2377)</f>
        <v>714001.894407534</v>
      </c>
      <c r="D2475" s="58" t="n">
        <f aca="false">MAX(0,-D2377)</f>
        <v>807547.572353229</v>
      </c>
      <c r="E2475" s="58" t="n">
        <f aca="false">MAX(0,-E2377)</f>
        <v>999592.701170988</v>
      </c>
      <c r="F2475" s="58" t="n">
        <f aca="false">MAX(0,-F2377)</f>
        <v>1151262.84435693</v>
      </c>
      <c r="G2475" s="58" t="n">
        <f aca="false">MAX(0,-G2377)</f>
        <v>1308014.37998672</v>
      </c>
      <c r="H2475" s="2" t="s">
        <v>1399</v>
      </c>
    </row>
    <row r="2476" customFormat="false" ht="15" hidden="false" customHeight="false" outlineLevel="1" collapsed="false">
      <c r="A2476" s="2" t="s">
        <v>776</v>
      </c>
      <c r="B2476" s="8"/>
      <c r="C2476" s="58" t="n">
        <f aca="false">IF(AND(C2178&gt;=Pressupostos!$C$118,Pressupostos!$C$116*(C2266+C2267)+Pressupostos!$C$117*C2268&gt;Pressupostos!$C$295),1,0)</f>
        <v>0</v>
      </c>
      <c r="D2476" s="58" t="n">
        <f aca="false">IF(AND(D2178&gt;=Pressupostos!$C$118,Pressupostos!$C$116*(D2266+D2267)+Pressupostos!$C$117*D2268&gt;Pressupostos!$D$295),1,0)</f>
        <v>1</v>
      </c>
      <c r="E2476" s="58" t="n">
        <f aca="false">IF(AND(E2178&gt;=Pressupostos!$C$118,Pressupostos!$C$116*(E2266+E2267)+Pressupostos!$C$117*E2268&gt;Pressupostos!$E$295),1,0)</f>
        <v>1</v>
      </c>
      <c r="F2476" s="58" t="n">
        <f aca="false">IF(AND(F2178&gt;=Pressupostos!$C$118,Pressupostos!$C$116*(F2266+F2267)+Pressupostos!$C$117*F2268&gt;Pressupostos!$F$295),1,0)</f>
        <v>1</v>
      </c>
      <c r="G2476" s="58" t="n">
        <f aca="false">IF(AND(G2178&gt;=Pressupostos!$C$118,Pressupostos!$C$116*(G2266+G2267)+Pressupostos!$C$117*G2268&gt;Pressupostos!$G$295),1,0)</f>
        <v>1</v>
      </c>
      <c r="H2476" s="2" t="s">
        <v>1400</v>
      </c>
    </row>
    <row r="2477" customFormat="false" ht="15" hidden="false" customHeight="false" outlineLevel="1" collapsed="false">
      <c r="A2477" s="7" t="s">
        <v>777</v>
      </c>
      <c r="B2477" s="8" t="s">
        <v>59</v>
      </c>
      <c r="C2477" s="60" t="n">
        <f aca="false">IF(C2182&gt;0,C2475/(C2182*1000*(1-Pressupostos!$D$22)*(1-Pressupostos!$D$25-C2476*Pressupostos!$C$116)),"n/a")</f>
        <v>19.6744600396666</v>
      </c>
      <c r="D2477" s="60" t="n">
        <f aca="false">IF(D2182&gt;0,D2475/(D2182*1000*(1-Pressupostos!$D$22)*(1-Pressupostos!$D$25-D2476*Pressupostos!$C$116)),"n/a")</f>
        <v>3.20047325514425</v>
      </c>
      <c r="E2477" s="60" t="n">
        <f aca="false">IF(E2182&gt;0,E2475/(E2182*1000*(1-Pressupostos!$D$22)*(1-Pressupostos!$D$25-E2476*Pressupostos!$C$116)),"n/a")</f>
        <v>2.00565685474951</v>
      </c>
      <c r="F2477" s="60" t="n">
        <f aca="false">IF(F2182&gt;0,F2475/(F2182*1000*(1-Pressupostos!$D$22)*(1-Pressupostos!$D$25-F2476*Pressupostos!$C$116)),"n/a")</f>
        <v>1.400046484499</v>
      </c>
      <c r="G2477" s="60" t="n">
        <f aca="false">IF(G2182&gt;0,G2475/(G2182*1000*(1-Pressupostos!$D$22)*(1-Pressupostos!$D$25-G2476*Pressupostos!$C$116)),"n/a")</f>
        <v>1.05126498416828</v>
      </c>
      <c r="H2477" s="2" t="s">
        <v>1401</v>
      </c>
    </row>
    <row r="2478" customFormat="false" ht="15" hidden="false" customHeight="false" outlineLevel="1" collapsed="false">
      <c r="A2478" s="7" t="s">
        <v>778</v>
      </c>
      <c r="B2478" s="8" t="s">
        <v>59</v>
      </c>
      <c r="C2478" s="60" t="n">
        <f aca="false">IF(C2181&gt;0,Pressupostos!$D$15+C2475/(C2181*1000*(1-Pressupostos!$D$16)*(1-Pressupostos!$D$18-C2476*Pressupostos!$C$116)),"n/a")</f>
        <v>148.172175594746</v>
      </c>
      <c r="D2478" s="60" t="n">
        <f aca="false">IF(D2181&gt;0,Pressupostos!$D$15+D2475/(D2181*1000*(1-Pressupostos!$D$16)*(1-Pressupostos!$D$18-D2476*Pressupostos!$C$116)),"n/a")</f>
        <v>40.6437631290697</v>
      </c>
      <c r="E2478" s="60" t="n">
        <f aca="false">IF(E2181&gt;0,Pressupostos!$D$15+E2475/(E2181*1000*(1-Pressupostos!$D$16)*(1-Pressupostos!$D$18-E2476*Pressupostos!$C$116)),"n/a")</f>
        <v>17.7002398513237</v>
      </c>
      <c r="F2478" s="60" t="n">
        <f aca="false">IF(F2181&gt;0,Pressupostos!$D$15+F2475/(F2181*1000*(1-Pressupostos!$D$16)*(1-Pressupostos!$D$18-F2476*Pressupostos!$C$116)),"n/a")</f>
        <v>12.5633331072867</v>
      </c>
      <c r="G2478" s="60" t="n">
        <f aca="false">IF(G2181&gt;0,Pressupostos!$D$15+G2475/(G2181*1000*(1-Pressupostos!$D$16)*(1-Pressupostos!$D$18-G2476*Pressupostos!$C$116)),"n/a")</f>
        <v>10.7650857392614</v>
      </c>
      <c r="H2478" s="2" t="s">
        <v>1402</v>
      </c>
    </row>
    <row r="2479" customFormat="false" ht="15" hidden="false" customHeight="false" outlineLevel="1" collapsed="false">
      <c r="A2479" s="7" t="s">
        <v>779</v>
      </c>
      <c r="B2479" s="8" t="s">
        <v>59</v>
      </c>
      <c r="C2479" s="60" t="n">
        <f aca="false">C2262-C2476*Pressupostos!$C$117*C2245</f>
        <v>0.058762328767124</v>
      </c>
      <c r="D2479" s="60" t="n">
        <f aca="false">D2262-D2476*Pressupostos!$C$117*D2245</f>
        <v>0.0255719178082197</v>
      </c>
      <c r="E2479" s="60" t="n">
        <f aca="false">E2262-E2476*Pressupostos!$C$117*E2245</f>
        <v>0.0271900684931515</v>
      </c>
      <c r="F2479" s="60" t="n">
        <f aca="false">F2262-F2476*Pressupostos!$C$117*F2245</f>
        <v>0.0288082191780828</v>
      </c>
      <c r="G2479" s="60" t="n">
        <f aca="false">G2262-G2476*Pressupostos!$C$117*G2245</f>
        <v>0.0288082191780828</v>
      </c>
      <c r="H2479" s="2" t="s">
        <v>1403</v>
      </c>
    </row>
    <row r="2480" customFormat="false" ht="15" hidden="false" customHeight="false" outlineLevel="1" collapsed="false">
      <c r="A2480" s="7" t="s">
        <v>780</v>
      </c>
      <c r="B2480" s="8" t="s">
        <v>112</v>
      </c>
      <c r="C2480" s="57" t="n">
        <f aca="false">IF(C2479&gt;0,C2183+C2475/(C2479*1000),"n/a")</f>
        <v>12150.6738992108</v>
      </c>
      <c r="D2480" s="57" t="n">
        <f aca="false">IF(D2479&gt;0,D2183+D2475/(D2479*1000),"n/a")</f>
        <v>31579.468478256</v>
      </c>
      <c r="E2480" s="57" t="n">
        <f aca="false">IF(E2479&gt;0,E2183+E2475/(E2479*1000),"n/a")</f>
        <v>36763.154952065</v>
      </c>
      <c r="F2480" s="57" t="n">
        <f aca="false">IF(F2479&gt;0,F2183+F2475/(F2479*1000),"n/a")</f>
        <v>39962.9993523793</v>
      </c>
      <c r="G2480" s="57" t="n">
        <f aca="false">IF(G2479&gt;0,G2183+G2475/(G2479*1000),"n/a")</f>
        <v>45404.2081497995</v>
      </c>
      <c r="H2480" s="2" t="s">
        <v>1404</v>
      </c>
    </row>
    <row r="2481" customFormat="false" ht="15" hidden="false" customHeight="false" outlineLevel="1" collapsed="false">
      <c r="A2481" s="7" t="s">
        <v>781</v>
      </c>
      <c r="B2481" s="8" t="s">
        <v>71</v>
      </c>
      <c r="C2481" s="55" t="n">
        <f aca="false">C2475/(C2341+C2354+C2355)</f>
        <v>0.991689140179458</v>
      </c>
      <c r="D2481" s="55" t="n">
        <f aca="false">D2475/(D2341+D2354+D2355)</f>
        <v>0.980471475921613</v>
      </c>
      <c r="E2481" s="55" t="n">
        <f aca="false">E2475/(E2341+E2354+E2355)</f>
        <v>0.93057507007057</v>
      </c>
      <c r="F2481" s="55" t="n">
        <f aca="false">F2475/(F2341+F2354+F2355)</f>
        <v>0.882099043444175</v>
      </c>
      <c r="G2481" s="55" t="n">
        <f aca="false">G2475/(G2341+G2354+G2355)</f>
        <v>0.83785214566511</v>
      </c>
      <c r="H2481" s="2" t="s">
        <v>1405</v>
      </c>
    </row>
    <row r="2482" customFormat="false" ht="15" hidden="false" customHeight="false" outlineLevel="1" collapsed="false">
      <c r="A2482" s="2" t="s">
        <v>782</v>
      </c>
      <c r="B2482" s="8" t="s">
        <v>71</v>
      </c>
      <c r="C2482" s="56" t="n">
        <f aca="false">Pressupostos!$C$99*Pressupostos!$C$100+Pressupostos!$C$101-Pressupostos!$D$30*Pressupostos!$C$102*Pressupostos!$C$100/(Pressupostos!$C$103*Pressupostos!$C$104)</f>
        <v>0.00354285714285715</v>
      </c>
      <c r="D2482" s="56" t="n">
        <f aca="false">Pressupostos!$C$99*Pressupostos!$C$100+Pressupostos!$C$101-Pressupostos!$D$30*Pressupostos!$C$102*Pressupostos!$C$100/(Pressupostos!$C$103*Pressupostos!$C$104)</f>
        <v>0.00354285714285715</v>
      </c>
      <c r="E2482" s="56" t="n">
        <f aca="false">Pressupostos!$C$99*Pressupostos!$C$100+Pressupostos!$C$101-Pressupostos!$D$30*Pressupostos!$C$102*Pressupostos!$C$100/(Pressupostos!$C$103*Pressupostos!$C$104)</f>
        <v>0.00354285714285715</v>
      </c>
      <c r="F2482" s="56" t="n">
        <f aca="false">Pressupostos!$C$99*Pressupostos!$C$100+Pressupostos!$C$101-Pressupostos!$D$30*Pressupostos!$C$102*Pressupostos!$C$100/(Pressupostos!$C$103*Pressupostos!$C$104)</f>
        <v>0.00354285714285715</v>
      </c>
      <c r="G2482" s="56" t="n">
        <f aca="false">Pressupostos!$C$99*Pressupostos!$C$100+Pressupostos!$C$101-Pressupostos!$D$30*Pressupostos!$C$102*Pressupostos!$C$100/(Pressupostos!$C$103*Pressupostos!$C$104)</f>
        <v>0.00354285714285715</v>
      </c>
      <c r="H2482" s="2" t="s">
        <v>1406</v>
      </c>
    </row>
    <row r="2483" customFormat="false" ht="15" hidden="false" customHeight="false" outlineLevel="1" collapsed="false">
      <c r="A2483" s="7" t="s">
        <v>783</v>
      </c>
      <c r="B2483" s="8" t="s">
        <v>10</v>
      </c>
      <c r="C2483" s="58" t="n">
        <f aca="false">IF(C2482&gt;0,C2194+C2475/C2482,"n/a")</f>
        <v>201532792.77632</v>
      </c>
      <c r="D2483" s="58" t="n">
        <f aca="false">IF(D2482&gt;0,D2194+D2475/D2482,"n/a")</f>
        <v>228436814.777121</v>
      </c>
      <c r="E2483" s="58" t="n">
        <f aca="false">IF(E2482&gt;0,E2194+E2475/E2482,"n/a")</f>
        <v>283643101.136972</v>
      </c>
      <c r="F2483" s="58" t="n">
        <f aca="false">IF(F2482&gt;0,F2194+F2475/F2482,"n/a")</f>
        <v>327953222.197519</v>
      </c>
      <c r="G2483" s="58" t="n">
        <f aca="false">IF(G2482&gt;0,G2194+G2475/G2482,"n/a")</f>
        <v>374197607.254315</v>
      </c>
      <c r="H2483" s="2" t="s">
        <v>1407</v>
      </c>
    </row>
    <row r="2486" customFormat="false" ht="15" hidden="false" customHeight="false" outlineLevel="0" collapsed="false">
      <c r="A2486" s="104" t="s">
        <v>1415</v>
      </c>
      <c r="B2486" s="105"/>
      <c r="C2486" s="105"/>
      <c r="D2486" s="105"/>
      <c r="E2486" s="105"/>
      <c r="F2486" s="105"/>
      <c r="G2486" s="105"/>
      <c r="H2486" s="105"/>
    </row>
    <row r="2487" customFormat="false" ht="15" hidden="false" customHeight="false" outlineLevel="0" collapsed="false">
      <c r="A2487" s="3" t="s">
        <v>1102</v>
      </c>
      <c r="B2487" s="4"/>
      <c r="C2487" s="4"/>
      <c r="D2487" s="4"/>
      <c r="E2487" s="4"/>
      <c r="F2487" s="4"/>
      <c r="G2487" s="4"/>
      <c r="H2487" s="4"/>
    </row>
    <row r="2488" customFormat="false" ht="15" hidden="false" customHeight="false" outlineLevel="1" collapsed="false">
      <c r="A2488" s="7" t="s">
        <v>557</v>
      </c>
      <c r="B2488" s="8"/>
      <c r="C2488" s="49" t="n">
        <v>2027</v>
      </c>
      <c r="D2488" s="49" t="n">
        <v>2028</v>
      </c>
      <c r="E2488" s="49" t="n">
        <v>2029</v>
      </c>
      <c r="F2488" s="49" t="n">
        <v>2030</v>
      </c>
      <c r="G2488" s="49" t="n">
        <v>2031</v>
      </c>
      <c r="H2488" s="2" t="s">
        <v>18</v>
      </c>
    </row>
    <row r="2489" customFormat="false" ht="15" hidden="false" customHeight="false" outlineLevel="0" collapsed="false">
      <c r="A2489" s="3" t="s">
        <v>1103</v>
      </c>
      <c r="B2489" s="4"/>
      <c r="C2489" s="4"/>
      <c r="D2489" s="4"/>
      <c r="E2489" s="4"/>
      <c r="F2489" s="4"/>
      <c r="G2489" s="4"/>
      <c r="H2489" s="4"/>
    </row>
    <row r="2490" customFormat="false" ht="15" hidden="false" customHeight="false" outlineLevel="1" collapsed="false">
      <c r="A2490" s="7" t="s">
        <v>372</v>
      </c>
      <c r="B2490" s="8" t="s">
        <v>115</v>
      </c>
      <c r="C2490" s="58" t="n">
        <f aca="false">(Pressupostos!$C$208*(1+Pressupostos!$C$193))</f>
        <v>52</v>
      </c>
      <c r="D2490" s="58" t="n">
        <f aca="false">(Pressupostos!$D$208*(1+Pressupostos!$C$193))</f>
        <v>234</v>
      </c>
      <c r="E2490" s="58" t="n">
        <f aca="false">(Pressupostos!$E$208*(1+Pressupostos!$C$193))</f>
        <v>845</v>
      </c>
      <c r="F2490" s="58" t="n">
        <f aca="false">(Pressupostos!$F$208*(1+Pressupostos!$C$193))</f>
        <v>1690</v>
      </c>
      <c r="G2490" s="58" t="n">
        <f aca="false">(Pressupostos!$G$208*(1+Pressupostos!$C$193))</f>
        <v>2600</v>
      </c>
      <c r="H2490" s="2" t="s">
        <v>1104</v>
      </c>
    </row>
    <row r="2491" customFormat="false" ht="15" hidden="false" customHeight="false" outlineLevel="1" collapsed="false">
      <c r="A2491" s="7" t="s">
        <v>559</v>
      </c>
      <c r="B2491" s="8" t="s">
        <v>112</v>
      </c>
      <c r="C2491" s="57" t="n">
        <f aca="false">(Pressupostos!$C$214*(1+Pressupostos!$C$193))</f>
        <v>10.4</v>
      </c>
      <c r="D2491" s="57" t="n">
        <f aca="false">(Pressupostos!$D$214*(1+Pressupostos!$C$193))</f>
        <v>48.1</v>
      </c>
      <c r="E2491" s="57" t="n">
        <f aca="false">(Pressupostos!$E$214*(1+Pressupostos!$C$193))</f>
        <v>172.9</v>
      </c>
      <c r="F2491" s="57" t="n">
        <f aca="false">(Pressupostos!$F$214*(1+Pressupostos!$C$193))</f>
        <v>347.1</v>
      </c>
      <c r="G2491" s="57" t="n">
        <f aca="false">(Pressupostos!$G$214*(1+Pressupostos!$C$193))</f>
        <v>533</v>
      </c>
      <c r="H2491" s="2" t="s">
        <v>1105</v>
      </c>
    </row>
    <row r="2492" customFormat="false" ht="15" hidden="false" customHeight="false" outlineLevel="1" collapsed="false">
      <c r="A2492" s="7" t="s">
        <v>560</v>
      </c>
      <c r="B2492" s="8" t="s">
        <v>112</v>
      </c>
      <c r="C2492" s="57" t="n">
        <f aca="false">(Pressupostos!$C$220*(1+Pressupostos!$C$193))</f>
        <v>67.6</v>
      </c>
      <c r="D2492" s="57" t="n">
        <f aca="false">(Pressupostos!$D$220*(1+Pressupostos!$C$193))</f>
        <v>471.9</v>
      </c>
      <c r="E2492" s="57" t="n">
        <f aca="false">(Pressupostos!$E$220*(1+Pressupostos!$C$193))</f>
        <v>932.1</v>
      </c>
      <c r="F2492" s="57" t="n">
        <f aca="false">(Pressupostos!$F$220*(1+Pressupostos!$C$193))</f>
        <v>1537.9</v>
      </c>
      <c r="G2492" s="57" t="n">
        <f aca="false">(Pressupostos!$G$220*(1+Pressupostos!$C$193))</f>
        <v>2327</v>
      </c>
      <c r="H2492" s="2" t="s">
        <v>1106</v>
      </c>
    </row>
    <row r="2493" customFormat="false" ht="15" hidden="false" customHeight="false" outlineLevel="1" collapsed="false">
      <c r="A2493" s="7" t="s">
        <v>383</v>
      </c>
      <c r="B2493" s="8" t="s">
        <v>112</v>
      </c>
      <c r="C2493" s="57" t="n">
        <f aca="false">(Pressupostos!$C$226*(1+Pressupostos!$C$193))</f>
        <v>0</v>
      </c>
      <c r="D2493" s="57" t="n">
        <f aca="false">(Pressupostos!$D$226*(1+Pressupostos!$C$193))</f>
        <v>0</v>
      </c>
      <c r="E2493" s="57" t="n">
        <f aca="false">(Pressupostos!$E$226*(1+Pressupostos!$C$193))</f>
        <v>0</v>
      </c>
      <c r="F2493" s="57" t="n">
        <f aca="false">(Pressupostos!$F$226*(1+Pressupostos!$C$193))</f>
        <v>0</v>
      </c>
      <c r="G2493" s="57" t="n">
        <f aca="false">(Pressupostos!$G$226*(1+Pressupostos!$C$193))</f>
        <v>0</v>
      </c>
      <c r="H2493" s="2" t="s">
        <v>1107</v>
      </c>
    </row>
    <row r="2494" customFormat="false" ht="15" hidden="false" customHeight="false" outlineLevel="1" collapsed="false">
      <c r="A2494" s="52" t="s">
        <v>561</v>
      </c>
      <c r="B2494" s="53" t="s">
        <v>112</v>
      </c>
      <c r="C2494" s="54" t="n">
        <f aca="false">C2491+C2492+C2493</f>
        <v>78</v>
      </c>
      <c r="D2494" s="54" t="n">
        <f aca="false">D2491+D2492+D2493</f>
        <v>520</v>
      </c>
      <c r="E2494" s="54" t="n">
        <f aca="false">E2491+E2492+E2493</f>
        <v>1105</v>
      </c>
      <c r="F2494" s="54" t="n">
        <f aca="false">F2491+F2492+F2493</f>
        <v>1885</v>
      </c>
      <c r="G2494" s="54" t="n">
        <f aca="false">G2491+G2492+G2493</f>
        <v>2860</v>
      </c>
      <c r="H2494" s="2" t="s">
        <v>1108</v>
      </c>
    </row>
    <row r="2495" customFormat="false" ht="15" hidden="false" customHeight="false" outlineLevel="1" collapsed="false">
      <c r="A2495" s="7" t="s">
        <v>562</v>
      </c>
      <c r="B2495" s="8" t="s">
        <v>71</v>
      </c>
      <c r="C2495" s="55" t="n">
        <f aca="false">IF(C2494&gt;0,C2491/C2494,0)</f>
        <v>0.133333333333333</v>
      </c>
      <c r="D2495" s="55" t="n">
        <f aca="false">IF(D2494&gt;0,D2491/D2494,0)</f>
        <v>0.0925</v>
      </c>
      <c r="E2495" s="55" t="n">
        <f aca="false">IF(E2494&gt;0,E2491/E2494,0)</f>
        <v>0.156470588235294</v>
      </c>
      <c r="F2495" s="55" t="n">
        <f aca="false">IF(F2494&gt;0,F2491/F2494,0)</f>
        <v>0.184137931034483</v>
      </c>
      <c r="G2495" s="55" t="n">
        <f aca="false">IF(G2494&gt;0,G2491/G2494,0)</f>
        <v>0.186363636363636</v>
      </c>
      <c r="H2495" s="2" t="s">
        <v>1109</v>
      </c>
    </row>
    <row r="2496" customFormat="false" ht="15" hidden="false" customHeight="false" outlineLevel="1" collapsed="false">
      <c r="A2496" s="7" t="s">
        <v>563</v>
      </c>
      <c r="B2496" s="8" t="s">
        <v>71</v>
      </c>
      <c r="C2496" s="56" t="n">
        <f aca="false">C2494/(Pressupostos!$C$74*1000)</f>
        <v>0.000445714285714286</v>
      </c>
      <c r="D2496" s="56" t="n">
        <f aca="false">D2494/(Pressupostos!$C$74*1000)</f>
        <v>0.00297142857142857</v>
      </c>
      <c r="E2496" s="56" t="n">
        <f aca="false">E2494/(Pressupostos!$C$74*1000)</f>
        <v>0.00631428571428571</v>
      </c>
      <c r="F2496" s="56" t="n">
        <f aca="false">F2494/(Pressupostos!$C$74*1000)</f>
        <v>0.0107714285714286</v>
      </c>
      <c r="G2496" s="56" t="n">
        <f aca="false">G2494/(Pressupostos!$C$74*1000)</f>
        <v>0.0163428571428571</v>
      </c>
      <c r="H2496" s="2" t="s">
        <v>1110</v>
      </c>
    </row>
    <row r="2497" customFormat="false" ht="15" hidden="false" customHeight="false" outlineLevel="1" collapsed="false">
      <c r="A2497" s="7" t="s">
        <v>564</v>
      </c>
      <c r="B2497" s="8" t="s">
        <v>115</v>
      </c>
      <c r="C2497" s="57" t="n">
        <f aca="false">C2491/Pressupostos!$C$39+C2492/Pressupostos!$C$46+C2493/Pressupostos!$C$58</f>
        <v>2.77333333333333</v>
      </c>
      <c r="D2497" s="57" t="n">
        <f aca="false">D2491/Pressupostos!$C$39+D2492/Pressupostos!$C$46+D2493/Pressupostos!$C$58</f>
        <v>18.135</v>
      </c>
      <c r="E2497" s="57" t="n">
        <f aca="false">E2491/Pressupostos!$C$39+E2492/Pressupostos!$C$46+E2493/Pressupostos!$C$58</f>
        <v>39.715</v>
      </c>
      <c r="F2497" s="57" t="n">
        <f aca="false">F2491/Pressupostos!$C$39+F2492/Pressupostos!$C$46+F2493/Pressupostos!$C$58</f>
        <v>68.6183333333333</v>
      </c>
      <c r="G2497" s="57" t="n">
        <f aca="false">G2491/Pressupostos!$C$39+G2492/Pressupostos!$C$46+G2493/Pressupostos!$C$58</f>
        <v>104.216666666667</v>
      </c>
      <c r="H2497" s="2" t="s">
        <v>1111</v>
      </c>
    </row>
    <row r="2498" customFormat="false" ht="15" hidden="false" customHeight="false" outlineLevel="0" collapsed="false">
      <c r="A2498" s="3" t="s">
        <v>1112</v>
      </c>
      <c r="B2498" s="4"/>
      <c r="C2498" s="4"/>
      <c r="D2498" s="4"/>
      <c r="E2498" s="4"/>
      <c r="F2498" s="4"/>
      <c r="G2498" s="4"/>
      <c r="H2498" s="4"/>
    </row>
    <row r="2499" customFormat="false" ht="15" hidden="false" customHeight="false" outlineLevel="1" collapsed="false">
      <c r="A2499" s="7" t="s">
        <v>566</v>
      </c>
      <c r="B2499" s="8" t="s">
        <v>192</v>
      </c>
      <c r="C2499" s="58" t="n">
        <f aca="false">(Pressupostos!$C$252*(1+Pressupostos!$C$193))</f>
        <v>195</v>
      </c>
      <c r="D2499" s="58" t="n">
        <f aca="false">(Pressupostos!$D$252*(1+Pressupostos!$C$193))</f>
        <v>780</v>
      </c>
      <c r="E2499" s="58" t="n">
        <f aca="false">(Pressupostos!$E$252*(1+Pressupostos!$C$193))</f>
        <v>1300</v>
      </c>
      <c r="F2499" s="58" t="n">
        <f aca="false">(Pressupostos!$F$252*(1+Pressupostos!$C$193))</f>
        <v>1820</v>
      </c>
      <c r="G2499" s="58" t="n">
        <f aca="false">(Pressupostos!$G$252*(1+Pressupostos!$C$193))</f>
        <v>2340</v>
      </c>
      <c r="H2499" s="2" t="s">
        <v>1113</v>
      </c>
    </row>
    <row r="2500" customFormat="false" ht="15" hidden="false" customHeight="false" outlineLevel="1" collapsed="false">
      <c r="A2500" s="7" t="s">
        <v>566</v>
      </c>
      <c r="B2500" s="8" t="s">
        <v>179</v>
      </c>
      <c r="C2500" s="58" t="n">
        <f aca="false">C2499*Pressupostos!$C$76</f>
        <v>146250</v>
      </c>
      <c r="D2500" s="58" t="n">
        <f aca="false">D2499*Pressupostos!$C$76</f>
        <v>585000</v>
      </c>
      <c r="E2500" s="58" t="n">
        <f aca="false">E2499*Pressupostos!$C$76</f>
        <v>975000</v>
      </c>
      <c r="F2500" s="58" t="n">
        <f aca="false">F2499*Pressupostos!$C$76</f>
        <v>1365000</v>
      </c>
      <c r="G2500" s="58" t="n">
        <f aca="false">G2499*Pressupostos!$C$76</f>
        <v>1755000</v>
      </c>
      <c r="H2500" s="2" t="s">
        <v>1114</v>
      </c>
    </row>
    <row r="2501" customFormat="false" ht="15" hidden="false" customHeight="false" outlineLevel="0" collapsed="false">
      <c r="A2501" s="3" t="s">
        <v>1115</v>
      </c>
      <c r="B2501" s="4"/>
      <c r="C2501" s="4"/>
      <c r="D2501" s="4"/>
      <c r="E2501" s="4"/>
      <c r="F2501" s="4"/>
      <c r="G2501" s="4"/>
      <c r="H2501" s="4"/>
    </row>
    <row r="2502" customFormat="false" ht="15" hidden="false" customHeight="false" outlineLevel="1" collapsed="false">
      <c r="A2502" s="7" t="s">
        <v>568</v>
      </c>
      <c r="B2502" s="8" t="s">
        <v>112</v>
      </c>
      <c r="C2502" s="57" t="n">
        <f aca="false">IF(C2488&lt;Pressupostos!$D$28,0,(Pressupostos!$C$258*(1+Pressupostos!$C$193)))</f>
        <v>0</v>
      </c>
      <c r="D2502" s="57" t="n">
        <f aca="false">IF(D2488&lt;Pressupostos!$D$28,0,(Pressupostos!$D$258*(1+Pressupostos!$C$193)))</f>
        <v>0</v>
      </c>
      <c r="E2502" s="57" t="n">
        <f aca="false">IF(E2488&lt;Pressupostos!$D$28,0,(Pressupostos!$E$258*(1+Pressupostos!$C$193)))</f>
        <v>39</v>
      </c>
      <c r="F2502" s="57" t="n">
        <f aca="false">IF(F2488&lt;Pressupostos!$D$28,0,(Pressupostos!$F$258*(1+Pressupostos!$C$193)))</f>
        <v>78</v>
      </c>
      <c r="G2502" s="57" t="n">
        <f aca="false">IF(G2488&lt;Pressupostos!$D$28,0,(Pressupostos!$G$258*(1+Pressupostos!$C$193)))</f>
        <v>130</v>
      </c>
      <c r="H2502" s="2" t="s">
        <v>1116</v>
      </c>
    </row>
    <row r="2503" customFormat="false" ht="15" hidden="false" customHeight="false" outlineLevel="0" collapsed="false">
      <c r="A2503" s="3" t="s">
        <v>1117</v>
      </c>
      <c r="B2503" s="4"/>
      <c r="C2503" s="4"/>
      <c r="D2503" s="4"/>
      <c r="E2503" s="4"/>
      <c r="F2503" s="4"/>
      <c r="G2503" s="4"/>
      <c r="H2503" s="4"/>
    </row>
    <row r="2504" customFormat="false" ht="15" hidden="false" customHeight="false" outlineLevel="1" collapsed="false">
      <c r="A2504" s="7" t="s">
        <v>570</v>
      </c>
      <c r="B2504" s="8" t="s">
        <v>10</v>
      </c>
      <c r="C2504" s="50" t="n">
        <f aca="false">Pressupostos!$C$264</f>
        <v>0</v>
      </c>
      <c r="D2504" s="50" t="n">
        <f aca="false">Pressupostos!$D$264</f>
        <v>500000</v>
      </c>
      <c r="E2504" s="50" t="n">
        <f aca="false">Pressupostos!$E$264</f>
        <v>1500000</v>
      </c>
      <c r="F2504" s="50" t="n">
        <f aca="false">Pressupostos!$F$264</f>
        <v>3000000</v>
      </c>
      <c r="G2504" s="50" t="n">
        <f aca="false">Pressupostos!$G$264</f>
        <v>5000000</v>
      </c>
      <c r="H2504" s="2" t="s">
        <v>1118</v>
      </c>
    </row>
    <row r="2505" customFormat="false" ht="15" hidden="false" customHeight="false" outlineLevel="1" collapsed="false">
      <c r="A2505" s="7" t="s">
        <v>571</v>
      </c>
      <c r="B2505" s="8" t="s">
        <v>112</v>
      </c>
      <c r="C2505" s="57" t="n">
        <f aca="false">C2504/(Pressupostos!$C$103*Pressupostos!$C$104)*Pressupostos!$C$100/1000</f>
        <v>0</v>
      </c>
      <c r="D2505" s="57" t="n">
        <f aca="false">D2504/(Pressupostos!$C$103*Pressupostos!$C$104)*Pressupostos!$C$100/1000</f>
        <v>457.142857142857</v>
      </c>
      <c r="E2505" s="57" t="n">
        <f aca="false">E2504/(Pressupostos!$C$103*Pressupostos!$C$104)*Pressupostos!$C$100/1000</f>
        <v>1371.42857142857</v>
      </c>
      <c r="F2505" s="57" t="n">
        <f aca="false">F2504/(Pressupostos!$C$103*Pressupostos!$C$104)*Pressupostos!$C$100/1000</f>
        <v>2742.85714285714</v>
      </c>
      <c r="G2505" s="57" t="n">
        <f aca="false">G2504/(Pressupostos!$C$103*Pressupostos!$C$104)*Pressupostos!$C$100/1000</f>
        <v>4571.42857142857</v>
      </c>
      <c r="H2505" s="2" t="s">
        <v>1119</v>
      </c>
    </row>
    <row r="2506" customFormat="false" ht="15" hidden="false" customHeight="false" outlineLevel="0" collapsed="false">
      <c r="A2506" s="3" t="s">
        <v>1120</v>
      </c>
      <c r="B2506" s="4"/>
      <c r="C2506" s="4"/>
      <c r="D2506" s="4"/>
      <c r="E2506" s="4"/>
      <c r="F2506" s="4"/>
      <c r="G2506" s="4"/>
      <c r="H2506" s="4"/>
    </row>
    <row r="2507" customFormat="false" ht="15" hidden="false" customHeight="false" outlineLevel="1" collapsed="false">
      <c r="A2507" s="7" t="s">
        <v>633</v>
      </c>
      <c r="B2507" s="8" t="s">
        <v>59</v>
      </c>
      <c r="C2507" s="60" t="n">
        <f aca="false">Pressupostos!$D$10+Pressupostos!$D$11</f>
        <v>3.6</v>
      </c>
      <c r="D2507" s="60" t="n">
        <f aca="false">Pressupostos!$D$10+Pressupostos!$D$11</f>
        <v>3.6</v>
      </c>
      <c r="E2507" s="60" t="n">
        <f aca="false">Pressupostos!$D$10+Pressupostos!$D$11</f>
        <v>3.6</v>
      </c>
      <c r="F2507" s="60" t="n">
        <f aca="false">Pressupostos!$D$10+Pressupostos!$D$11</f>
        <v>3.6</v>
      </c>
      <c r="G2507" s="60" t="n">
        <f aca="false">Pressupostos!$D$10+Pressupostos!$D$11</f>
        <v>3.6</v>
      </c>
      <c r="H2507" s="2" t="s">
        <v>1121</v>
      </c>
    </row>
    <row r="2508" customFormat="false" ht="15" hidden="false" customHeight="false" outlineLevel="1" collapsed="false">
      <c r="A2508" s="7" t="s">
        <v>634</v>
      </c>
      <c r="B2508" s="8" t="s">
        <v>59</v>
      </c>
      <c r="C2508" s="63" t="n">
        <f aca="false">Pressupostos!$D$15</f>
        <v>5.65</v>
      </c>
      <c r="D2508" s="63" t="n">
        <f aca="false">Pressupostos!$D$15</f>
        <v>5.65</v>
      </c>
      <c r="E2508" s="63" t="n">
        <f aca="false">Pressupostos!$D$15</f>
        <v>5.65</v>
      </c>
      <c r="F2508" s="63" t="n">
        <f aca="false">Pressupostos!$D$15</f>
        <v>5.65</v>
      </c>
      <c r="G2508" s="63" t="n">
        <f aca="false">Pressupostos!$D$15</f>
        <v>5.65</v>
      </c>
      <c r="H2508" s="2" t="s">
        <v>1122</v>
      </c>
    </row>
    <row r="2509" customFormat="false" ht="15" hidden="false" customHeight="false" outlineLevel="1" collapsed="false">
      <c r="A2509" s="52" t="s">
        <v>635</v>
      </c>
      <c r="B2509" s="53" t="s">
        <v>59</v>
      </c>
      <c r="C2509" s="64" t="n">
        <f aca="false">C2508*(1-Pressupostos!$D$16)</f>
        <v>5.085</v>
      </c>
      <c r="D2509" s="64" t="n">
        <f aca="false">D2508*(1-Pressupostos!$D$16)</f>
        <v>5.085</v>
      </c>
      <c r="E2509" s="64" t="n">
        <f aca="false">E2508*(1-Pressupostos!$D$16)</f>
        <v>5.085</v>
      </c>
      <c r="F2509" s="64" t="n">
        <f aca="false">F2508*(1-Pressupostos!$D$16)</f>
        <v>5.085</v>
      </c>
      <c r="G2509" s="64" t="n">
        <f aca="false">G2508*(1-Pressupostos!$D$16)</f>
        <v>5.085</v>
      </c>
      <c r="H2509" s="2" t="s">
        <v>1123</v>
      </c>
    </row>
    <row r="2510" customFormat="false" ht="15" hidden="false" customHeight="false" outlineLevel="1" collapsed="false">
      <c r="A2510" s="7" t="s">
        <v>136</v>
      </c>
      <c r="B2510" s="8" t="s">
        <v>59</v>
      </c>
      <c r="C2510" s="63" t="n">
        <f aca="false">Pressupostos!$C$37</f>
        <v>0.55</v>
      </c>
      <c r="D2510" s="63" t="n">
        <f aca="false">Pressupostos!$C$37</f>
        <v>0.55</v>
      </c>
      <c r="E2510" s="63" t="n">
        <f aca="false">Pressupostos!$C$37</f>
        <v>0.55</v>
      </c>
      <c r="F2510" s="63" t="n">
        <f aca="false">Pressupostos!$C$37</f>
        <v>0.55</v>
      </c>
      <c r="G2510" s="63" t="n">
        <f aca="false">Pressupostos!$C$37</f>
        <v>0.55</v>
      </c>
      <c r="H2510" s="2" t="s">
        <v>1124</v>
      </c>
    </row>
    <row r="2511" customFormat="false" ht="15" hidden="false" customHeight="false" outlineLevel="1" collapsed="false">
      <c r="A2511" s="7" t="s">
        <v>205</v>
      </c>
      <c r="B2511" s="8" t="s">
        <v>59</v>
      </c>
      <c r="C2511" s="63" t="n">
        <f aca="false">Pressupostos!$C$233</f>
        <v>0.3</v>
      </c>
      <c r="D2511" s="63" t="n">
        <f aca="false">Pressupostos!$D$233</f>
        <v>0.3</v>
      </c>
      <c r="E2511" s="63" t="n">
        <f aca="false">Pressupostos!$E$233</f>
        <v>0.28</v>
      </c>
      <c r="F2511" s="63" t="n">
        <f aca="false">Pressupostos!$F$233</f>
        <v>0.27</v>
      </c>
      <c r="G2511" s="63" t="n">
        <f aca="false">Pressupostos!$G$233</f>
        <v>0.27</v>
      </c>
      <c r="H2511" s="2" t="s">
        <v>1125</v>
      </c>
    </row>
    <row r="2512" customFormat="false" ht="15" hidden="false" customHeight="false" outlineLevel="1" collapsed="false">
      <c r="A2512" s="7" t="s">
        <v>109</v>
      </c>
      <c r="B2512" s="8" t="s">
        <v>59</v>
      </c>
      <c r="C2512" s="63" t="n">
        <f aca="false">Pressupostos!$C$38</f>
        <v>0.06</v>
      </c>
      <c r="D2512" s="63" t="n">
        <f aca="false">Pressupostos!$C$38</f>
        <v>0.06</v>
      </c>
      <c r="E2512" s="63" t="n">
        <f aca="false">Pressupostos!$C$38</f>
        <v>0.06</v>
      </c>
      <c r="F2512" s="63" t="n">
        <f aca="false">Pressupostos!$C$38</f>
        <v>0.06</v>
      </c>
      <c r="G2512" s="63" t="n">
        <f aca="false">Pressupostos!$C$38</f>
        <v>0.06</v>
      </c>
      <c r="H2512" s="2" t="s">
        <v>1126</v>
      </c>
    </row>
    <row r="2513" customFormat="false" ht="15" hidden="false" customHeight="false" outlineLevel="1" collapsed="false">
      <c r="A2513" s="7" t="s">
        <v>86</v>
      </c>
      <c r="B2513" s="8" t="s">
        <v>74</v>
      </c>
      <c r="C2513" s="65" t="n">
        <f aca="false">Pressupostos!$C$239</f>
        <v>180</v>
      </c>
      <c r="D2513" s="65" t="n">
        <f aca="false">Pressupostos!$D$239</f>
        <v>180</v>
      </c>
      <c r="E2513" s="65" t="n">
        <f aca="false">Pressupostos!$E$239</f>
        <v>45</v>
      </c>
      <c r="F2513" s="65" t="n">
        <f aca="false">Pressupostos!$F$239</f>
        <v>45</v>
      </c>
      <c r="G2513" s="65" t="n">
        <f aca="false">Pressupostos!$G$239</f>
        <v>45</v>
      </c>
      <c r="H2513" s="2" t="s">
        <v>1127</v>
      </c>
    </row>
    <row r="2514" customFormat="false" ht="15" hidden="false" customHeight="false" outlineLevel="1" collapsed="false">
      <c r="A2514" s="7" t="s">
        <v>73</v>
      </c>
      <c r="B2514" s="8" t="s">
        <v>74</v>
      </c>
      <c r="C2514" s="65" t="n">
        <f aca="false">Pressupostos!$D$17</f>
        <v>35</v>
      </c>
      <c r="D2514" s="65" t="n">
        <f aca="false">Pressupostos!$D$17</f>
        <v>35</v>
      </c>
      <c r="E2514" s="65" t="n">
        <f aca="false">Pressupostos!$D$17</f>
        <v>35</v>
      </c>
      <c r="F2514" s="65" t="n">
        <f aca="false">Pressupostos!$D$17</f>
        <v>35</v>
      </c>
      <c r="G2514" s="65" t="n">
        <f aca="false">Pressupostos!$D$17</f>
        <v>35</v>
      </c>
      <c r="H2514" s="2" t="s">
        <v>1128</v>
      </c>
    </row>
    <row r="2515" customFormat="false" ht="15" hidden="false" customHeight="false" outlineLevel="1" collapsed="false">
      <c r="A2515" s="7" t="s">
        <v>471</v>
      </c>
      <c r="B2515" s="8" t="s">
        <v>59</v>
      </c>
      <c r="C2515" s="60" t="n">
        <f aca="false">Pressupostos!$C$64*C2513/30/1000</f>
        <v>0.024</v>
      </c>
      <c r="D2515" s="60" t="n">
        <f aca="false">Pressupostos!$C$64*D2513/30/1000</f>
        <v>0.024</v>
      </c>
      <c r="E2515" s="60" t="n">
        <f aca="false">Pressupostos!$C$64*E2513/30/1000</f>
        <v>0.006</v>
      </c>
      <c r="F2515" s="60" t="n">
        <f aca="false">Pressupostos!$C$64*F2513/30/1000</f>
        <v>0.006</v>
      </c>
      <c r="G2515" s="60" t="n">
        <f aca="false">Pressupostos!$C$64*G2513/30/1000</f>
        <v>0.006</v>
      </c>
      <c r="H2515" s="2" t="s">
        <v>1129</v>
      </c>
    </row>
    <row r="2516" customFormat="false" ht="15" hidden="false" customHeight="false" outlineLevel="1" collapsed="false">
      <c r="A2516" s="7" t="s">
        <v>154</v>
      </c>
      <c r="B2516" s="8" t="s">
        <v>59</v>
      </c>
      <c r="C2516" s="60" t="n">
        <f aca="false">C2507*Pressupostos!$C$65*C2513/365</f>
        <v>0.00355068493150685</v>
      </c>
      <c r="D2516" s="60" t="n">
        <f aca="false">D2507*Pressupostos!$C$65*D2513/365</f>
        <v>0.00355068493150685</v>
      </c>
      <c r="E2516" s="60" t="n">
        <f aca="false">E2507*Pressupostos!$C$65*E2513/365</f>
        <v>0.000887671232876712</v>
      </c>
      <c r="F2516" s="60" t="n">
        <f aca="false">F2507*Pressupostos!$C$65*F2513/365</f>
        <v>0.000887671232876712</v>
      </c>
      <c r="G2516" s="60" t="n">
        <f aca="false">G2507*Pressupostos!$C$65*G2513/365</f>
        <v>0.000887671232876712</v>
      </c>
      <c r="H2516" s="2" t="s">
        <v>1130</v>
      </c>
    </row>
    <row r="2517" customFormat="false" ht="15" hidden="false" customHeight="false" outlineLevel="1" collapsed="false">
      <c r="A2517" s="7" t="s">
        <v>636</v>
      </c>
      <c r="B2517" s="8" t="s">
        <v>59</v>
      </c>
      <c r="C2517" s="60" t="n">
        <f aca="false">Pressupostos!$C$40*Pressupostos!$C$66/(Pressupostos!$C$39*1000)</f>
        <v>0.03</v>
      </c>
      <c r="D2517" s="60" t="n">
        <f aca="false">Pressupostos!$C$40*Pressupostos!$C$66/(Pressupostos!$C$39*1000)</f>
        <v>0.03</v>
      </c>
      <c r="E2517" s="60" t="n">
        <f aca="false">Pressupostos!$C$40*Pressupostos!$C$66/(Pressupostos!$C$39*1000)</f>
        <v>0.03</v>
      </c>
      <c r="F2517" s="60" t="n">
        <f aca="false">Pressupostos!$C$40*Pressupostos!$C$66/(Pressupostos!$C$39*1000)</f>
        <v>0.03</v>
      </c>
      <c r="G2517" s="60" t="n">
        <f aca="false">Pressupostos!$C$40*Pressupostos!$C$66/(Pressupostos!$C$39*1000)</f>
        <v>0.03</v>
      </c>
      <c r="H2517" s="2" t="s">
        <v>1131</v>
      </c>
    </row>
    <row r="2518" customFormat="false" ht="15" hidden="false" customHeight="false" outlineLevel="1" collapsed="false">
      <c r="A2518" s="7" t="s">
        <v>473</v>
      </c>
      <c r="B2518" s="8" t="s">
        <v>59</v>
      </c>
      <c r="C2518" s="60" t="n">
        <f aca="false">Pressupostos!$C$67*C2507</f>
        <v>0.018</v>
      </c>
      <c r="D2518" s="60" t="n">
        <f aca="false">Pressupostos!$C$67*D2507</f>
        <v>0.018</v>
      </c>
      <c r="E2518" s="60" t="n">
        <f aca="false">Pressupostos!$C$67*E2507</f>
        <v>0.018</v>
      </c>
      <c r="F2518" s="60" t="n">
        <f aca="false">Pressupostos!$C$67*F2507</f>
        <v>0.018</v>
      </c>
      <c r="G2518" s="60" t="n">
        <f aca="false">Pressupostos!$C$67*G2507</f>
        <v>0.018</v>
      </c>
      <c r="H2518" s="2" t="s">
        <v>1132</v>
      </c>
    </row>
    <row r="2519" customFormat="false" ht="15" hidden="false" customHeight="false" outlineLevel="1" collapsed="false">
      <c r="A2519" s="7" t="s">
        <v>474</v>
      </c>
      <c r="B2519" s="8" t="s">
        <v>59</v>
      </c>
      <c r="C2519" s="60" t="n">
        <f aca="false">Pressupostos!$C$68*Pressupostos!$C$69*C2513/90</f>
        <v>0.018</v>
      </c>
      <c r="D2519" s="60" t="n">
        <f aca="false">Pressupostos!$C$68*Pressupostos!$C$69*D2513/90</f>
        <v>0.018</v>
      </c>
      <c r="E2519" s="60" t="n">
        <f aca="false">Pressupostos!$C$68*Pressupostos!$C$69*E2513/90</f>
        <v>0.0045</v>
      </c>
      <c r="F2519" s="60" t="n">
        <f aca="false">Pressupostos!$C$68*Pressupostos!$C$69*F2513/90</f>
        <v>0.0045</v>
      </c>
      <c r="G2519" s="60" t="n">
        <f aca="false">Pressupostos!$C$68*Pressupostos!$C$69*G2513/90</f>
        <v>0.0045</v>
      </c>
      <c r="H2519" s="2" t="s">
        <v>1133</v>
      </c>
    </row>
    <row r="2520" customFormat="false" ht="15" hidden="false" customHeight="false" outlineLevel="1" collapsed="false">
      <c r="A2520" s="7" t="s">
        <v>637</v>
      </c>
      <c r="B2520" s="8" t="s">
        <v>59</v>
      </c>
      <c r="C2520" s="60" t="n">
        <f aca="false">Pressupostos!$C$41/(Pressupostos!$C$39*1000)</f>
        <v>0.1</v>
      </c>
      <c r="D2520" s="60" t="n">
        <f aca="false">Pressupostos!$C$41/(Pressupostos!$C$39*1000)</f>
        <v>0.1</v>
      </c>
      <c r="E2520" s="60" t="n">
        <f aca="false">Pressupostos!$C$41/(Pressupostos!$C$39*1000)</f>
        <v>0.1</v>
      </c>
      <c r="F2520" s="60" t="n">
        <f aca="false">Pressupostos!$C$41/(Pressupostos!$C$39*1000)</f>
        <v>0.1</v>
      </c>
      <c r="G2520" s="60" t="n">
        <f aca="false">Pressupostos!$C$41/(Pressupostos!$C$39*1000)</f>
        <v>0.1</v>
      </c>
      <c r="H2520" s="2" t="s">
        <v>1134</v>
      </c>
    </row>
    <row r="2521" customFormat="false" ht="15" hidden="false" customHeight="false" outlineLevel="1" collapsed="false">
      <c r="A2521" s="7" t="s">
        <v>131</v>
      </c>
      <c r="B2521" s="8" t="s">
        <v>59</v>
      </c>
      <c r="C2521" s="63" t="n">
        <f aca="false">Pressupostos!$C$42</f>
        <v>0.01</v>
      </c>
      <c r="D2521" s="63" t="n">
        <f aca="false">Pressupostos!$C$42</f>
        <v>0.01</v>
      </c>
      <c r="E2521" s="63" t="n">
        <f aca="false">Pressupostos!$C$42</f>
        <v>0.01</v>
      </c>
      <c r="F2521" s="63" t="n">
        <f aca="false">Pressupostos!$C$42</f>
        <v>0.01</v>
      </c>
      <c r="G2521" s="63" t="n">
        <f aca="false">Pressupostos!$C$42</f>
        <v>0.01</v>
      </c>
      <c r="H2521" s="2" t="s">
        <v>1135</v>
      </c>
    </row>
    <row r="2522" customFormat="false" ht="15" hidden="false" customHeight="false" outlineLevel="1" collapsed="false">
      <c r="A2522" s="7" t="s">
        <v>76</v>
      </c>
      <c r="B2522" s="8" t="s">
        <v>59</v>
      </c>
      <c r="C2522" s="60" t="n">
        <f aca="false">Pressupostos!$D$18*C2509</f>
        <v>0.03051</v>
      </c>
      <c r="D2522" s="60" t="n">
        <f aca="false">Pressupostos!$D$18*D2509</f>
        <v>0.03051</v>
      </c>
      <c r="E2522" s="60" t="n">
        <f aca="false">Pressupostos!$D$18*E2509</f>
        <v>0.03051</v>
      </c>
      <c r="F2522" s="60" t="n">
        <f aca="false">Pressupostos!$D$18*F2509</f>
        <v>0.03051</v>
      </c>
      <c r="G2522" s="60" t="n">
        <f aca="false">Pressupostos!$D$18*G2509</f>
        <v>0.03051</v>
      </c>
      <c r="H2522" s="2" t="s">
        <v>1136</v>
      </c>
    </row>
    <row r="2523" customFormat="false" ht="15" hidden="false" customHeight="false" outlineLevel="1" collapsed="false">
      <c r="A2523" s="7" t="s">
        <v>638</v>
      </c>
      <c r="B2523" s="8" t="s">
        <v>59</v>
      </c>
      <c r="C2523" s="60" t="n">
        <f aca="false">Pressupostos!$C$71*C2509</f>
        <v>0</v>
      </c>
      <c r="D2523" s="60" t="n">
        <f aca="false">Pressupostos!$C$71*D2509</f>
        <v>0</v>
      </c>
      <c r="E2523" s="60" t="n">
        <f aca="false">Pressupostos!$C$71*E2509</f>
        <v>0</v>
      </c>
      <c r="F2523" s="60" t="n">
        <f aca="false">Pressupostos!$C$71*F2509</f>
        <v>0</v>
      </c>
      <c r="G2523" s="60" t="n">
        <f aca="false">Pressupostos!$C$71*G2509</f>
        <v>0</v>
      </c>
      <c r="H2523" s="2" t="s">
        <v>1137</v>
      </c>
    </row>
    <row r="2524" customFormat="false" ht="15" hidden="false" customHeight="false" outlineLevel="1" collapsed="false">
      <c r="A2524" s="7" t="s">
        <v>639</v>
      </c>
      <c r="B2524" s="8" t="s">
        <v>59</v>
      </c>
      <c r="C2524" s="60" t="n">
        <f aca="false">Pressupostos!$C$283*(C2507+C2510)*(C2513+C2514-Pressupostos!$C$70)/365*Pressupostos!$C$277/Pressupostos!$D$31</f>
        <v>0</v>
      </c>
      <c r="D2524" s="60" t="n">
        <f aca="false">Pressupostos!$D$283*(D2507+D2510)*(D2513+D2514-Pressupostos!$C$70)/365*Pressupostos!$D$277/Pressupostos!$D$31</f>
        <v>0.189308219178082</v>
      </c>
      <c r="E2524" s="60" t="n">
        <f aca="false">Pressupostos!$E$283*(E2507+E2510)*(E2513+E2514-Pressupostos!$C$70)/365*Pressupostos!$E$277/Pressupostos!$D$31</f>
        <v>0.0479666095890411</v>
      </c>
      <c r="F2524" s="60" t="n">
        <f aca="false">Pressupostos!$F$283*(F2507+F2510)*(F2513+F2514-Pressupostos!$C$70)/365*Pressupostos!$F$277/Pressupostos!$D$31</f>
        <v>0.0447688356164384</v>
      </c>
      <c r="G2524" s="60" t="n">
        <f aca="false">Pressupostos!$G$283*(G2507+G2510)*(G2513+G2514-Pressupostos!$C$70)/365*Pressupostos!$G$277/Pressupostos!$D$31</f>
        <v>0.0447688356164384</v>
      </c>
      <c r="H2524" s="2" t="s">
        <v>1138</v>
      </c>
    </row>
    <row r="2525" customFormat="false" ht="15" hidden="false" customHeight="false" outlineLevel="1" collapsed="false">
      <c r="A2525" s="7" t="s">
        <v>640</v>
      </c>
      <c r="B2525" s="8" t="s">
        <v>59</v>
      </c>
      <c r="C2525" s="60" t="n">
        <f aca="false">C2507+C2510+C2511+C2512+C2515+C2516+C2517+C2518+C2519+C2520+C2521+C2522+C2523+C2524</f>
        <v>4.74406068493151</v>
      </c>
      <c r="D2525" s="60" t="n">
        <f aca="false">D2507+D2510+D2511+D2512+D2515+D2516+D2517+D2518+D2519+D2520+D2521+D2522+D2523+D2524</f>
        <v>4.93336890410959</v>
      </c>
      <c r="E2525" s="60" t="n">
        <f aca="false">E2507+E2510+E2511+E2512+E2515+E2516+E2517+E2518+E2519+E2520+E2521+E2522+E2523+E2524</f>
        <v>4.73786428082192</v>
      </c>
      <c r="F2525" s="60" t="n">
        <f aca="false">F2507+F2510+F2511+F2512+F2515+F2516+F2517+F2518+F2519+F2520+F2521+F2522+F2523+F2524</f>
        <v>4.72466650684931</v>
      </c>
      <c r="G2525" s="60" t="n">
        <f aca="false">G2507+G2510+G2511+G2512+G2515+G2516+G2517+G2518+G2519+G2520+G2521+G2522+G2523+G2524</f>
        <v>4.72466650684931</v>
      </c>
      <c r="H2525" s="2" t="s">
        <v>1139</v>
      </c>
    </row>
    <row r="2526" customFormat="false" ht="15" hidden="false" customHeight="false" outlineLevel="1" collapsed="false">
      <c r="A2526" s="52" t="s">
        <v>641</v>
      </c>
      <c r="B2526" s="53" t="s">
        <v>59</v>
      </c>
      <c r="C2526" s="64" t="n">
        <f aca="false">C2509-C2525</f>
        <v>0.340939315068495</v>
      </c>
      <c r="D2526" s="64" t="n">
        <f aca="false">D2509-D2525</f>
        <v>0.151631095890413</v>
      </c>
      <c r="E2526" s="64" t="n">
        <f aca="false">E2509-E2525</f>
        <v>0.347135719178083</v>
      </c>
      <c r="F2526" s="64" t="n">
        <f aca="false">F2509-F2525</f>
        <v>0.360333493150686</v>
      </c>
      <c r="G2526" s="64" t="n">
        <f aca="false">G2509-G2525</f>
        <v>0.360333493150686</v>
      </c>
      <c r="H2526" s="2" t="s">
        <v>1140</v>
      </c>
    </row>
    <row r="2527" customFormat="false" ht="15" hidden="false" customHeight="false" outlineLevel="1" collapsed="false">
      <c r="A2527" s="7" t="s">
        <v>642</v>
      </c>
      <c r="B2527" s="8" t="s">
        <v>71</v>
      </c>
      <c r="C2527" s="55" t="n">
        <f aca="false">IF(C2509&gt;0,C2526/C2509,0)</f>
        <v>0.067048046227826</v>
      </c>
      <c r="D2527" s="55" t="n">
        <f aca="false">IF(D2509&gt;0,D2526/D2509,0)</f>
        <v>0.0298192912272199</v>
      </c>
      <c r="E2527" s="55" t="n">
        <f aca="false">IF(E2509&gt;0,E2526/E2509,0)</f>
        <v>0.0682666114411176</v>
      </c>
      <c r="F2527" s="55" t="n">
        <f aca="false">IF(F2509&gt;0,F2526/F2509,0)</f>
        <v>0.0708620438841074</v>
      </c>
      <c r="G2527" s="55" t="n">
        <f aca="false">IF(G2509&gt;0,G2526/G2509,0)</f>
        <v>0.0708620438841074</v>
      </c>
      <c r="H2527" s="2" t="s">
        <v>1141</v>
      </c>
    </row>
    <row r="2528" customFormat="false" ht="15" hidden="false" customHeight="false" outlineLevel="1" collapsed="false">
      <c r="A2528" s="7" t="s">
        <v>643</v>
      </c>
      <c r="B2528" s="8" t="s">
        <v>59</v>
      </c>
      <c r="C2528" s="60" t="n">
        <f aca="false">(C2507+C2510)*(C2513-Pressupostos!$C$70)/365+C2509*C2514/365</f>
        <v>2.19308219178082</v>
      </c>
      <c r="D2528" s="60" t="n">
        <f aca="false">(D2507+D2510)*(D2513-Pressupostos!$C$70)/365+D2509*D2514/365</f>
        <v>2.19308219178082</v>
      </c>
      <c r="E2528" s="60" t="n">
        <f aca="false">(E2507+E2510)*(E2513-Pressupostos!$C$70)/365+E2509*E2514/365</f>
        <v>0.658150684931507</v>
      </c>
      <c r="F2528" s="60" t="n">
        <f aca="false">(F2507+F2510)*(F2513-Pressupostos!$C$70)/365+F2509*F2514/365</f>
        <v>0.658150684931507</v>
      </c>
      <c r="G2528" s="60" t="n">
        <f aca="false">(G2507+G2510)*(G2513-Pressupostos!$C$70)/365+G2509*G2514/365</f>
        <v>0.658150684931507</v>
      </c>
      <c r="H2528" s="2" t="s">
        <v>1142</v>
      </c>
    </row>
    <row r="2529" customFormat="false" ht="15" hidden="false" customHeight="false" outlineLevel="0" collapsed="false">
      <c r="A2529" s="3" t="s">
        <v>1143</v>
      </c>
      <c r="B2529" s="4"/>
      <c r="C2529" s="4"/>
      <c r="D2529" s="4"/>
      <c r="E2529" s="4"/>
      <c r="F2529" s="4"/>
      <c r="G2529" s="4"/>
      <c r="H2529" s="4"/>
    </row>
    <row r="2530" customFormat="false" ht="15" hidden="false" customHeight="false" outlineLevel="1" collapsed="false">
      <c r="A2530" s="7" t="s">
        <v>633</v>
      </c>
      <c r="B2530" s="8" t="s">
        <v>59</v>
      </c>
      <c r="C2530" s="60" t="n">
        <f aca="false">Pressupostos!$D$10+Pressupostos!$D$12</f>
        <v>3.6</v>
      </c>
      <c r="D2530" s="60" t="n">
        <f aca="false">Pressupostos!$D$10+Pressupostos!$D$12</f>
        <v>3.6</v>
      </c>
      <c r="E2530" s="60" t="n">
        <f aca="false">Pressupostos!$D$10+Pressupostos!$D$12</f>
        <v>3.6</v>
      </c>
      <c r="F2530" s="60" t="n">
        <f aca="false">Pressupostos!$D$10+Pressupostos!$D$12</f>
        <v>3.6</v>
      </c>
      <c r="G2530" s="60" t="n">
        <f aca="false">Pressupostos!$D$10+Pressupostos!$D$12</f>
        <v>3.6</v>
      </c>
      <c r="H2530" s="2" t="s">
        <v>1144</v>
      </c>
    </row>
    <row r="2531" customFormat="false" ht="15" hidden="false" customHeight="false" outlineLevel="1" collapsed="false">
      <c r="A2531" s="7" t="s">
        <v>634</v>
      </c>
      <c r="B2531" s="8" t="s">
        <v>59</v>
      </c>
      <c r="C2531" s="60" t="n">
        <f aca="false">Pressupostos!$D$20+Pressupostos!$D$21</f>
        <v>4.35</v>
      </c>
      <c r="D2531" s="60" t="n">
        <f aca="false">Pressupostos!$D$20+Pressupostos!$D$21</f>
        <v>4.35</v>
      </c>
      <c r="E2531" s="60" t="n">
        <f aca="false">Pressupostos!$D$20+Pressupostos!$D$21</f>
        <v>4.35</v>
      </c>
      <c r="F2531" s="60" t="n">
        <f aca="false">Pressupostos!$D$20+Pressupostos!$D$21</f>
        <v>4.35</v>
      </c>
      <c r="G2531" s="60" t="n">
        <f aca="false">Pressupostos!$D$20+Pressupostos!$D$21</f>
        <v>4.35</v>
      </c>
      <c r="H2531" s="2" t="s">
        <v>1145</v>
      </c>
    </row>
    <row r="2532" customFormat="false" ht="15" hidden="false" customHeight="false" outlineLevel="1" collapsed="false">
      <c r="A2532" s="52" t="s">
        <v>635</v>
      </c>
      <c r="B2532" s="53" t="s">
        <v>59</v>
      </c>
      <c r="C2532" s="64" t="n">
        <f aca="false">C2531*(1-Pressupostos!$D$22)</f>
        <v>4.35</v>
      </c>
      <c r="D2532" s="64" t="n">
        <f aca="false">D2531*(1-Pressupostos!$D$22)</f>
        <v>4.35</v>
      </c>
      <c r="E2532" s="64" t="n">
        <f aca="false">E2531*(1-Pressupostos!$D$22)</f>
        <v>4.35</v>
      </c>
      <c r="F2532" s="64" t="n">
        <f aca="false">F2531*(1-Pressupostos!$D$22)</f>
        <v>4.35</v>
      </c>
      <c r="G2532" s="64" t="n">
        <f aca="false">G2531*(1-Pressupostos!$D$22)</f>
        <v>4.35</v>
      </c>
      <c r="H2532" s="2" t="s">
        <v>1146</v>
      </c>
    </row>
    <row r="2533" customFormat="false" ht="15" hidden="false" customHeight="false" outlineLevel="1" collapsed="false">
      <c r="A2533" s="7" t="s">
        <v>136</v>
      </c>
      <c r="B2533" s="8" t="s">
        <v>59</v>
      </c>
      <c r="C2533" s="63" t="n">
        <f aca="false">Pressupostos!$C$44</f>
        <v>0.45</v>
      </c>
      <c r="D2533" s="63" t="n">
        <f aca="false">Pressupostos!$C$44</f>
        <v>0.45</v>
      </c>
      <c r="E2533" s="63" t="n">
        <f aca="false">Pressupostos!$C$44</f>
        <v>0.45</v>
      </c>
      <c r="F2533" s="63" t="n">
        <f aca="false">Pressupostos!$C$44</f>
        <v>0.45</v>
      </c>
      <c r="G2533" s="63" t="n">
        <f aca="false">Pressupostos!$C$44</f>
        <v>0.45</v>
      </c>
      <c r="H2533" s="2" t="s">
        <v>1147</v>
      </c>
    </row>
    <row r="2534" customFormat="false" ht="15" hidden="false" customHeight="false" outlineLevel="1" collapsed="false">
      <c r="A2534" s="7" t="s">
        <v>205</v>
      </c>
      <c r="B2534" s="8" t="s">
        <v>59</v>
      </c>
      <c r="C2534" s="63" t="n">
        <f aca="false">Pressupostos!$C$245</f>
        <v>0.1</v>
      </c>
      <c r="D2534" s="63" t="n">
        <f aca="false">Pressupostos!$D$245</f>
        <v>0.1</v>
      </c>
      <c r="E2534" s="63" t="n">
        <f aca="false">Pressupostos!$E$245</f>
        <v>0.09</v>
      </c>
      <c r="F2534" s="63" t="n">
        <f aca="false">Pressupostos!$F$245</f>
        <v>0.09</v>
      </c>
      <c r="G2534" s="63" t="n">
        <f aca="false">Pressupostos!$G$245</f>
        <v>0.09</v>
      </c>
      <c r="H2534" s="2" t="s">
        <v>1148</v>
      </c>
    </row>
    <row r="2535" customFormat="false" ht="15" hidden="false" customHeight="false" outlineLevel="1" collapsed="false">
      <c r="A2535" s="7" t="s">
        <v>109</v>
      </c>
      <c r="B2535" s="8" t="s">
        <v>59</v>
      </c>
      <c r="C2535" s="63" t="n">
        <f aca="false">Pressupostos!$C$45</f>
        <v>0</v>
      </c>
      <c r="D2535" s="63" t="n">
        <f aca="false">Pressupostos!$C$45</f>
        <v>0</v>
      </c>
      <c r="E2535" s="63" t="n">
        <f aca="false">Pressupostos!$C$45</f>
        <v>0</v>
      </c>
      <c r="F2535" s="63" t="n">
        <f aca="false">Pressupostos!$C$45</f>
        <v>0</v>
      </c>
      <c r="G2535" s="63" t="n">
        <f aca="false">Pressupostos!$C$45</f>
        <v>0</v>
      </c>
      <c r="H2535" s="2" t="s">
        <v>1149</v>
      </c>
    </row>
    <row r="2536" customFormat="false" ht="15" hidden="false" customHeight="false" outlineLevel="1" collapsed="false">
      <c r="A2536" s="7" t="s">
        <v>86</v>
      </c>
      <c r="B2536" s="8" t="s">
        <v>74</v>
      </c>
      <c r="C2536" s="65" t="n">
        <f aca="false">Pressupostos!$D$23</f>
        <v>30</v>
      </c>
      <c r="D2536" s="65" t="n">
        <f aca="false">Pressupostos!$D$23</f>
        <v>30</v>
      </c>
      <c r="E2536" s="65" t="n">
        <f aca="false">Pressupostos!$D$23</f>
        <v>30</v>
      </c>
      <c r="F2536" s="65" t="n">
        <f aca="false">Pressupostos!$D$23</f>
        <v>30</v>
      </c>
      <c r="G2536" s="65" t="n">
        <f aca="false">Pressupostos!$D$23</f>
        <v>30</v>
      </c>
      <c r="H2536" s="2" t="s">
        <v>1150</v>
      </c>
    </row>
    <row r="2537" customFormat="false" ht="15" hidden="false" customHeight="false" outlineLevel="1" collapsed="false">
      <c r="A2537" s="7" t="s">
        <v>73</v>
      </c>
      <c r="B2537" s="8" t="s">
        <v>74</v>
      </c>
      <c r="C2537" s="65" t="n">
        <f aca="false">Pressupostos!$D$24</f>
        <v>45</v>
      </c>
      <c r="D2537" s="65" t="n">
        <f aca="false">Pressupostos!$D$24</f>
        <v>45</v>
      </c>
      <c r="E2537" s="65" t="n">
        <f aca="false">Pressupostos!$D$24</f>
        <v>45</v>
      </c>
      <c r="F2537" s="65" t="n">
        <f aca="false">Pressupostos!$D$24</f>
        <v>45</v>
      </c>
      <c r="G2537" s="65" t="n">
        <f aca="false">Pressupostos!$D$24</f>
        <v>45</v>
      </c>
      <c r="H2537" s="2" t="s">
        <v>1151</v>
      </c>
    </row>
    <row r="2538" customFormat="false" ht="15" hidden="false" customHeight="false" outlineLevel="1" collapsed="false">
      <c r="A2538" s="7" t="s">
        <v>471</v>
      </c>
      <c r="B2538" s="8" t="s">
        <v>59</v>
      </c>
      <c r="C2538" s="60" t="n">
        <f aca="false">Pressupostos!$C$64*C2536/30/1000</f>
        <v>0.004</v>
      </c>
      <c r="D2538" s="60" t="n">
        <f aca="false">Pressupostos!$C$64*D2536/30/1000</f>
        <v>0.004</v>
      </c>
      <c r="E2538" s="60" t="n">
        <f aca="false">Pressupostos!$C$64*E2536/30/1000</f>
        <v>0.004</v>
      </c>
      <c r="F2538" s="60" t="n">
        <f aca="false">Pressupostos!$C$64*F2536/30/1000</f>
        <v>0.004</v>
      </c>
      <c r="G2538" s="60" t="n">
        <f aca="false">Pressupostos!$C$64*G2536/30/1000</f>
        <v>0.004</v>
      </c>
      <c r="H2538" s="2" t="s">
        <v>1152</v>
      </c>
    </row>
    <row r="2539" customFormat="false" ht="15" hidden="false" customHeight="false" outlineLevel="1" collapsed="false">
      <c r="A2539" s="7" t="s">
        <v>154</v>
      </c>
      <c r="B2539" s="8" t="s">
        <v>59</v>
      </c>
      <c r="C2539" s="60" t="n">
        <f aca="false">C2530*Pressupostos!$C$65*C2536/365</f>
        <v>0.000591780821917808</v>
      </c>
      <c r="D2539" s="60" t="n">
        <f aca="false">D2530*Pressupostos!$C$65*D2536/365</f>
        <v>0.000591780821917808</v>
      </c>
      <c r="E2539" s="60" t="n">
        <f aca="false">E2530*Pressupostos!$C$65*E2536/365</f>
        <v>0.000591780821917808</v>
      </c>
      <c r="F2539" s="60" t="n">
        <f aca="false">F2530*Pressupostos!$C$65*F2536/365</f>
        <v>0.000591780821917808</v>
      </c>
      <c r="G2539" s="60" t="n">
        <f aca="false">G2530*Pressupostos!$C$65*G2536/365</f>
        <v>0.000591780821917808</v>
      </c>
      <c r="H2539" s="2" t="s">
        <v>1153</v>
      </c>
    </row>
    <row r="2540" customFormat="false" ht="15" hidden="false" customHeight="false" outlineLevel="1" collapsed="false">
      <c r="A2540" s="7" t="s">
        <v>636</v>
      </c>
      <c r="B2540" s="8" t="s">
        <v>59</v>
      </c>
      <c r="C2540" s="60" t="n">
        <f aca="false">Pressupostos!$C$47*Pressupostos!$C$66/(Pressupostos!$C$46*1000)</f>
        <v>0.02</v>
      </c>
      <c r="D2540" s="60" t="n">
        <f aca="false">Pressupostos!$C$47*Pressupostos!$C$66/(Pressupostos!$C$46*1000)</f>
        <v>0.02</v>
      </c>
      <c r="E2540" s="60" t="n">
        <f aca="false">Pressupostos!$C$47*Pressupostos!$C$66/(Pressupostos!$C$46*1000)</f>
        <v>0.02</v>
      </c>
      <c r="F2540" s="60" t="n">
        <f aca="false">Pressupostos!$C$47*Pressupostos!$C$66/(Pressupostos!$C$46*1000)</f>
        <v>0.02</v>
      </c>
      <c r="G2540" s="60" t="n">
        <f aca="false">Pressupostos!$C$47*Pressupostos!$C$66/(Pressupostos!$C$46*1000)</f>
        <v>0.02</v>
      </c>
      <c r="H2540" s="2" t="s">
        <v>1154</v>
      </c>
    </row>
    <row r="2541" customFormat="false" ht="15" hidden="false" customHeight="false" outlineLevel="1" collapsed="false">
      <c r="A2541" s="7" t="s">
        <v>473</v>
      </c>
      <c r="B2541" s="8" t="s">
        <v>59</v>
      </c>
      <c r="C2541" s="60" t="n">
        <f aca="false">Pressupostos!$C$67*C2530</f>
        <v>0.018</v>
      </c>
      <c r="D2541" s="60" t="n">
        <f aca="false">Pressupostos!$C$67*D2530</f>
        <v>0.018</v>
      </c>
      <c r="E2541" s="60" t="n">
        <f aca="false">Pressupostos!$C$67*E2530</f>
        <v>0.018</v>
      </c>
      <c r="F2541" s="60" t="n">
        <f aca="false">Pressupostos!$C$67*F2530</f>
        <v>0.018</v>
      </c>
      <c r="G2541" s="60" t="n">
        <f aca="false">Pressupostos!$C$67*G2530</f>
        <v>0.018</v>
      </c>
      <c r="H2541" s="2" t="s">
        <v>1155</v>
      </c>
    </row>
    <row r="2542" customFormat="false" ht="15" hidden="false" customHeight="false" outlineLevel="1" collapsed="false">
      <c r="A2542" s="7" t="s">
        <v>474</v>
      </c>
      <c r="B2542" s="8" t="s">
        <v>59</v>
      </c>
      <c r="C2542" s="60" t="n">
        <f aca="false">Pressupostos!$C$68*Pressupostos!$C$69*C2536/90</f>
        <v>0.003</v>
      </c>
      <c r="D2542" s="60" t="n">
        <f aca="false">Pressupostos!$C$68*Pressupostos!$C$69*D2536/90</f>
        <v>0.003</v>
      </c>
      <c r="E2542" s="60" t="n">
        <f aca="false">Pressupostos!$C$68*Pressupostos!$C$69*E2536/90</f>
        <v>0.003</v>
      </c>
      <c r="F2542" s="60" t="n">
        <f aca="false">Pressupostos!$C$68*Pressupostos!$C$69*F2536/90</f>
        <v>0.003</v>
      </c>
      <c r="G2542" s="60" t="n">
        <f aca="false">Pressupostos!$C$68*Pressupostos!$C$69*G2536/90</f>
        <v>0.003</v>
      </c>
      <c r="H2542" s="2" t="s">
        <v>1156</v>
      </c>
    </row>
    <row r="2543" customFormat="false" ht="15" hidden="false" customHeight="false" outlineLevel="1" collapsed="false">
      <c r="A2543" s="7" t="s">
        <v>637</v>
      </c>
      <c r="B2543" s="8" t="s">
        <v>59</v>
      </c>
      <c r="C2543" s="60" t="n">
        <f aca="false">Pressupostos!$C$48/(Pressupostos!$C$46*1000)</f>
        <v>0.04</v>
      </c>
      <c r="D2543" s="60" t="n">
        <f aca="false">Pressupostos!$C$48/(Pressupostos!$C$46*1000)</f>
        <v>0.04</v>
      </c>
      <c r="E2543" s="60" t="n">
        <f aca="false">Pressupostos!$C$48/(Pressupostos!$C$46*1000)</f>
        <v>0.04</v>
      </c>
      <c r="F2543" s="60" t="n">
        <f aca="false">Pressupostos!$C$48/(Pressupostos!$C$46*1000)</f>
        <v>0.04</v>
      </c>
      <c r="G2543" s="60" t="n">
        <f aca="false">Pressupostos!$C$48/(Pressupostos!$C$46*1000)</f>
        <v>0.04</v>
      </c>
      <c r="H2543" s="2" t="s">
        <v>1157</v>
      </c>
    </row>
    <row r="2544" customFormat="false" ht="15" hidden="false" customHeight="false" outlineLevel="1" collapsed="false">
      <c r="A2544" s="7" t="s">
        <v>131</v>
      </c>
      <c r="B2544" s="8" t="s">
        <v>59</v>
      </c>
      <c r="C2544" s="63" t="n">
        <f aca="false">Pressupostos!$C$49</f>
        <v>0.005</v>
      </c>
      <c r="D2544" s="63" t="n">
        <f aca="false">Pressupostos!$C$49</f>
        <v>0.005</v>
      </c>
      <c r="E2544" s="63" t="n">
        <f aca="false">Pressupostos!$C$49</f>
        <v>0.005</v>
      </c>
      <c r="F2544" s="63" t="n">
        <f aca="false">Pressupostos!$C$49</f>
        <v>0.005</v>
      </c>
      <c r="G2544" s="63" t="n">
        <f aca="false">Pressupostos!$C$49</f>
        <v>0.005</v>
      </c>
      <c r="H2544" s="2" t="s">
        <v>1158</v>
      </c>
    </row>
    <row r="2545" customFormat="false" ht="15" hidden="false" customHeight="false" outlineLevel="1" collapsed="false">
      <c r="A2545" s="7" t="s">
        <v>76</v>
      </c>
      <c r="B2545" s="8" t="s">
        <v>59</v>
      </c>
      <c r="C2545" s="60" t="n">
        <f aca="false">Pressupostos!$D$25*C2532</f>
        <v>0.01305</v>
      </c>
      <c r="D2545" s="60" t="n">
        <f aca="false">Pressupostos!$D$25*D2532</f>
        <v>0.01305</v>
      </c>
      <c r="E2545" s="60" t="n">
        <f aca="false">Pressupostos!$D$25*E2532</f>
        <v>0.01305</v>
      </c>
      <c r="F2545" s="60" t="n">
        <f aca="false">Pressupostos!$D$25*F2532</f>
        <v>0.01305</v>
      </c>
      <c r="G2545" s="60" t="n">
        <f aca="false">Pressupostos!$D$25*G2532</f>
        <v>0.01305</v>
      </c>
      <c r="H2545" s="2" t="s">
        <v>1159</v>
      </c>
    </row>
    <row r="2546" customFormat="false" ht="15" hidden="false" customHeight="false" outlineLevel="1" collapsed="false">
      <c r="A2546" s="7" t="s">
        <v>638</v>
      </c>
      <c r="B2546" s="8" t="s">
        <v>59</v>
      </c>
      <c r="C2546" s="60" t="n">
        <f aca="false">Pressupostos!$C$71*C2532</f>
        <v>0</v>
      </c>
      <c r="D2546" s="60" t="n">
        <f aca="false">Pressupostos!$C$71*D2532</f>
        <v>0</v>
      </c>
      <c r="E2546" s="60" t="n">
        <f aca="false">Pressupostos!$C$71*E2532</f>
        <v>0</v>
      </c>
      <c r="F2546" s="60" t="n">
        <f aca="false">Pressupostos!$C$71*F2532</f>
        <v>0</v>
      </c>
      <c r="G2546" s="60" t="n">
        <f aca="false">Pressupostos!$C$71*G2532</f>
        <v>0</v>
      </c>
      <c r="H2546" s="2" t="s">
        <v>1160</v>
      </c>
    </row>
    <row r="2547" customFormat="false" ht="15" hidden="false" customHeight="false" outlineLevel="1" collapsed="false">
      <c r="A2547" s="7" t="s">
        <v>639</v>
      </c>
      <c r="B2547" s="8" t="s">
        <v>59</v>
      </c>
      <c r="C2547" s="60" t="n">
        <f aca="false">Pressupostos!$C$283*(C2530+C2533)*(C2536+C2537-Pressupostos!$C$70)/365*Pressupostos!$C$277/Pressupostos!$D$31</f>
        <v>0</v>
      </c>
      <c r="D2547" s="60" t="n">
        <f aca="false">Pressupostos!$D$283*(D2530+D2533)*(D2536+D2537-Pressupostos!$C$70)/365*Pressupostos!$D$277/Pressupostos!$D$31</f>
        <v>0.0449383561643836</v>
      </c>
      <c r="E2547" s="60" t="n">
        <f aca="false">Pressupostos!$E$283*(E2530+E2533)*(E2536+E2537-Pressupostos!$C$70)/365*Pressupostos!$E$277/Pressupostos!$D$31</f>
        <v>0.0421297089041096</v>
      </c>
      <c r="F2547" s="60" t="n">
        <f aca="false">Pressupostos!$F$283*(F2530+F2533)*(F2536+F2537-Pressupostos!$C$70)/365*Pressupostos!$F$277/Pressupostos!$D$31</f>
        <v>0.0393210616438356</v>
      </c>
      <c r="G2547" s="60" t="n">
        <f aca="false">Pressupostos!$G$283*(G2530+G2533)*(G2536+G2537-Pressupostos!$C$70)/365*Pressupostos!$G$277/Pressupostos!$D$31</f>
        <v>0.0393210616438356</v>
      </c>
      <c r="H2547" s="2" t="s">
        <v>1161</v>
      </c>
    </row>
    <row r="2548" customFormat="false" ht="15" hidden="false" customHeight="false" outlineLevel="1" collapsed="false">
      <c r="A2548" s="7" t="s">
        <v>640</v>
      </c>
      <c r="B2548" s="8" t="s">
        <v>59</v>
      </c>
      <c r="C2548" s="60" t="n">
        <f aca="false">C2530+C2533+C2534+C2535+C2538+C2539+C2540+C2541+C2542+C2543+C2544+C2545+C2546+C2547</f>
        <v>4.25364178082192</v>
      </c>
      <c r="D2548" s="60" t="n">
        <f aca="false">D2530+D2533+D2534+D2535+D2538+D2539+D2540+D2541+D2542+D2543+D2544+D2545+D2546+D2547</f>
        <v>4.2985801369863</v>
      </c>
      <c r="E2548" s="60" t="n">
        <f aca="false">E2530+E2533+E2534+E2535+E2538+E2539+E2540+E2541+E2542+E2543+E2544+E2545+E2546+E2547</f>
        <v>4.28577148972603</v>
      </c>
      <c r="F2548" s="60" t="n">
        <f aca="false">F2530+F2533+F2534+F2535+F2538+F2539+F2540+F2541+F2542+F2543+F2544+F2545+F2546+F2547</f>
        <v>4.28296284246575</v>
      </c>
      <c r="G2548" s="60" t="n">
        <f aca="false">G2530+G2533+G2534+G2535+G2538+G2539+G2540+G2541+G2542+G2543+G2544+G2545+G2546+G2547</f>
        <v>4.28296284246575</v>
      </c>
      <c r="H2548" s="2" t="s">
        <v>1162</v>
      </c>
    </row>
    <row r="2549" customFormat="false" ht="15" hidden="false" customHeight="false" outlineLevel="1" collapsed="false">
      <c r="A2549" s="52" t="s">
        <v>641</v>
      </c>
      <c r="B2549" s="53" t="s">
        <v>59</v>
      </c>
      <c r="C2549" s="64" t="n">
        <f aca="false">C2532-C2548</f>
        <v>0.0963582191780832</v>
      </c>
      <c r="D2549" s="64" t="n">
        <f aca="false">D2532-D2548</f>
        <v>0.0514198630136997</v>
      </c>
      <c r="E2549" s="64" t="n">
        <f aca="false">E2532-E2548</f>
        <v>0.0642285102739733</v>
      </c>
      <c r="F2549" s="64" t="n">
        <f aca="false">F2532-F2548</f>
        <v>0.067037157534247</v>
      </c>
      <c r="G2549" s="64" t="n">
        <f aca="false">G2532-G2548</f>
        <v>0.067037157534247</v>
      </c>
      <c r="H2549" s="2" t="s">
        <v>1163</v>
      </c>
    </row>
    <row r="2550" customFormat="false" ht="15" hidden="false" customHeight="false" outlineLevel="1" collapsed="false">
      <c r="A2550" s="7" t="s">
        <v>642</v>
      </c>
      <c r="B2550" s="8" t="s">
        <v>71</v>
      </c>
      <c r="C2550" s="55" t="n">
        <f aca="false">IF(C2532&gt;0,C2549/C2532,0)</f>
        <v>0.0221513147535823</v>
      </c>
      <c r="D2550" s="55" t="n">
        <f aca="false">IF(D2532&gt;0,D2549/D2532,0)</f>
        <v>0.0118206581640689</v>
      </c>
      <c r="E2550" s="55" t="n">
        <f aca="false">IF(E2532&gt;0,E2549/E2532,0)</f>
        <v>0.014765174775626</v>
      </c>
      <c r="F2550" s="55" t="n">
        <f aca="false">IF(F2532&gt;0,F2549/F2532,0)</f>
        <v>0.0154108408124706</v>
      </c>
      <c r="G2550" s="55" t="n">
        <f aca="false">IF(G2532&gt;0,G2549/G2532,0)</f>
        <v>0.0154108408124706</v>
      </c>
      <c r="H2550" s="2" t="s">
        <v>1164</v>
      </c>
    </row>
    <row r="2551" customFormat="false" ht="15" hidden="false" customHeight="false" outlineLevel="1" collapsed="false">
      <c r="A2551" s="7" t="s">
        <v>643</v>
      </c>
      <c r="B2551" s="8" t="s">
        <v>59</v>
      </c>
      <c r="C2551" s="60" t="n">
        <f aca="false">(C2530+C2533)*(C2536-Pressupostos!$C$70)/365+C2532*C2537/365</f>
        <v>0.536301369863014</v>
      </c>
      <c r="D2551" s="60" t="n">
        <f aca="false">(D2530+D2533)*(D2536-Pressupostos!$C$70)/365+D2532*D2537/365</f>
        <v>0.536301369863014</v>
      </c>
      <c r="E2551" s="60" t="n">
        <f aca="false">(E2530+E2533)*(E2536-Pressupostos!$C$70)/365+E2532*E2537/365</f>
        <v>0.536301369863014</v>
      </c>
      <c r="F2551" s="60" t="n">
        <f aca="false">(F2530+F2533)*(F2536-Pressupostos!$C$70)/365+F2532*F2537/365</f>
        <v>0.536301369863014</v>
      </c>
      <c r="G2551" s="60" t="n">
        <f aca="false">(G2530+G2533)*(G2536-Pressupostos!$C$70)/365+G2532*G2537/365</f>
        <v>0.536301369863014</v>
      </c>
      <c r="H2551" s="2" t="s">
        <v>1165</v>
      </c>
    </row>
    <row r="2552" customFormat="false" ht="15" hidden="false" customHeight="false" outlineLevel="0" collapsed="false">
      <c r="A2552" s="3" t="s">
        <v>1166</v>
      </c>
      <c r="B2552" s="4"/>
      <c r="C2552" s="4"/>
      <c r="D2552" s="4"/>
      <c r="E2552" s="4"/>
      <c r="F2552" s="4"/>
      <c r="G2552" s="4"/>
      <c r="H2552" s="4"/>
    </row>
    <row r="2553" customFormat="false" ht="15" hidden="false" customHeight="false" outlineLevel="1" collapsed="false">
      <c r="A2553" s="7" t="s">
        <v>633</v>
      </c>
      <c r="B2553" s="8" t="s">
        <v>59</v>
      </c>
      <c r="C2553" s="60" t="n">
        <f aca="false">Pressupostos!$D$10+Pressupostos!$D$13</f>
        <v>3.5</v>
      </c>
      <c r="D2553" s="60" t="n">
        <f aca="false">Pressupostos!$D$10+Pressupostos!$D$13</f>
        <v>3.5</v>
      </c>
      <c r="E2553" s="60" t="n">
        <f aca="false">Pressupostos!$D$10+Pressupostos!$D$13</f>
        <v>3.5</v>
      </c>
      <c r="F2553" s="60" t="n">
        <f aca="false">Pressupostos!$D$10+Pressupostos!$D$13</f>
        <v>3.5</v>
      </c>
      <c r="G2553" s="60" t="n">
        <f aca="false">Pressupostos!$D$10+Pressupostos!$D$13</f>
        <v>3.5</v>
      </c>
      <c r="H2553" s="2" t="s">
        <v>1167</v>
      </c>
    </row>
    <row r="2554" customFormat="false" ht="15" hidden="false" customHeight="false" outlineLevel="1" collapsed="false">
      <c r="A2554" s="7" t="s">
        <v>634</v>
      </c>
      <c r="B2554" s="8" t="s">
        <v>59</v>
      </c>
      <c r="C2554" s="60" t="n">
        <f aca="false">Pressupostos!$D$10+Pressupostos!$C$51</f>
        <v>3.65</v>
      </c>
      <c r="D2554" s="60" t="n">
        <f aca="false">Pressupostos!$D$10+Pressupostos!$C$51</f>
        <v>3.65</v>
      </c>
      <c r="E2554" s="60" t="n">
        <f aca="false">Pressupostos!$D$10+Pressupostos!$C$51</f>
        <v>3.65</v>
      </c>
      <c r="F2554" s="60" t="n">
        <f aca="false">Pressupostos!$D$10+Pressupostos!$C$51</f>
        <v>3.65</v>
      </c>
      <c r="G2554" s="60" t="n">
        <f aca="false">Pressupostos!$D$10+Pressupostos!$C$51</f>
        <v>3.65</v>
      </c>
      <c r="H2554" s="2" t="s">
        <v>1168</v>
      </c>
    </row>
    <row r="2555" customFormat="false" ht="15" hidden="false" customHeight="false" outlineLevel="1" collapsed="false">
      <c r="A2555" s="52" t="s">
        <v>635</v>
      </c>
      <c r="B2555" s="53" t="s">
        <v>59</v>
      </c>
      <c r="C2555" s="64" t="n">
        <f aca="false">C2554*(1-Pressupostos!$C$52)</f>
        <v>3.65</v>
      </c>
      <c r="D2555" s="64" t="n">
        <f aca="false">D2554*(1-Pressupostos!$C$52)</f>
        <v>3.65</v>
      </c>
      <c r="E2555" s="64" t="n">
        <f aca="false">E2554*(1-Pressupostos!$C$52)</f>
        <v>3.65</v>
      </c>
      <c r="F2555" s="64" t="n">
        <f aca="false">F2554*(1-Pressupostos!$C$52)</f>
        <v>3.65</v>
      </c>
      <c r="G2555" s="64" t="n">
        <f aca="false">G2554*(1-Pressupostos!$C$52)</f>
        <v>3.65</v>
      </c>
      <c r="H2555" s="2" t="s">
        <v>1169</v>
      </c>
    </row>
    <row r="2556" customFormat="false" ht="15" hidden="false" customHeight="false" outlineLevel="1" collapsed="false">
      <c r="A2556" s="7" t="s">
        <v>136</v>
      </c>
      <c r="B2556" s="8" t="s">
        <v>59</v>
      </c>
      <c r="C2556" s="63" t="n">
        <f aca="false">Pressupostos!$C$53</f>
        <v>0</v>
      </c>
      <c r="D2556" s="63" t="n">
        <f aca="false">Pressupostos!$C$53</f>
        <v>0</v>
      </c>
      <c r="E2556" s="63" t="n">
        <f aca="false">Pressupostos!$C$53</f>
        <v>0</v>
      </c>
      <c r="F2556" s="63" t="n">
        <f aca="false">Pressupostos!$C$53</f>
        <v>0</v>
      </c>
      <c r="G2556" s="63" t="n">
        <f aca="false">Pressupostos!$C$53</f>
        <v>0</v>
      </c>
      <c r="H2556" s="2" t="s">
        <v>1170</v>
      </c>
    </row>
    <row r="2557" customFormat="false" ht="15" hidden="false" customHeight="false" outlineLevel="1" collapsed="false">
      <c r="A2557" s="7" t="s">
        <v>205</v>
      </c>
      <c r="B2557" s="8" t="s">
        <v>59</v>
      </c>
      <c r="C2557" s="63" t="n">
        <f aca="false">Pressupostos!$C$54</f>
        <v>0.04</v>
      </c>
      <c r="D2557" s="63" t="n">
        <f aca="false">Pressupostos!$C$54</f>
        <v>0.04</v>
      </c>
      <c r="E2557" s="63" t="n">
        <f aca="false">Pressupostos!$C$54</f>
        <v>0.04</v>
      </c>
      <c r="F2557" s="63" t="n">
        <f aca="false">Pressupostos!$C$54</f>
        <v>0.04</v>
      </c>
      <c r="G2557" s="63" t="n">
        <f aca="false">Pressupostos!$C$54</f>
        <v>0.04</v>
      </c>
      <c r="H2557" s="2" t="s">
        <v>1171</v>
      </c>
    </row>
    <row r="2558" customFormat="false" ht="15" hidden="false" customHeight="false" outlineLevel="1" collapsed="false">
      <c r="A2558" s="7" t="s">
        <v>109</v>
      </c>
      <c r="B2558" s="8" t="s">
        <v>59</v>
      </c>
      <c r="C2558" s="63" t="n">
        <f aca="false">Pressupostos!$C$55</f>
        <v>0</v>
      </c>
      <c r="D2558" s="63" t="n">
        <f aca="false">Pressupostos!$C$55</f>
        <v>0</v>
      </c>
      <c r="E2558" s="63" t="n">
        <f aca="false">Pressupostos!$C$55</f>
        <v>0</v>
      </c>
      <c r="F2558" s="63" t="n">
        <f aca="false">Pressupostos!$C$55</f>
        <v>0</v>
      </c>
      <c r="G2558" s="63" t="n">
        <f aca="false">Pressupostos!$C$55</f>
        <v>0</v>
      </c>
      <c r="H2558" s="2" t="s">
        <v>1172</v>
      </c>
    </row>
    <row r="2559" customFormat="false" ht="15" hidden="false" customHeight="false" outlineLevel="1" collapsed="false">
      <c r="A2559" s="7" t="s">
        <v>86</v>
      </c>
      <c r="B2559" s="8" t="s">
        <v>74</v>
      </c>
      <c r="C2559" s="65" t="n">
        <f aca="false">Pressupostos!$C$56</f>
        <v>15</v>
      </c>
      <c r="D2559" s="65" t="n">
        <f aca="false">Pressupostos!$C$56</f>
        <v>15</v>
      </c>
      <c r="E2559" s="65" t="n">
        <f aca="false">Pressupostos!$C$56</f>
        <v>15</v>
      </c>
      <c r="F2559" s="65" t="n">
        <f aca="false">Pressupostos!$C$56</f>
        <v>15</v>
      </c>
      <c r="G2559" s="65" t="n">
        <f aca="false">Pressupostos!$C$56</f>
        <v>15</v>
      </c>
      <c r="H2559" s="2" t="s">
        <v>1173</v>
      </c>
    </row>
    <row r="2560" customFormat="false" ht="15" hidden="false" customHeight="false" outlineLevel="1" collapsed="false">
      <c r="A2560" s="7" t="s">
        <v>73</v>
      </c>
      <c r="B2560" s="8" t="s">
        <v>74</v>
      </c>
      <c r="C2560" s="65" t="n">
        <f aca="false">Pressupostos!$C$57</f>
        <v>45</v>
      </c>
      <c r="D2560" s="65" t="n">
        <f aca="false">Pressupostos!$C$57</f>
        <v>45</v>
      </c>
      <c r="E2560" s="65" t="n">
        <f aca="false">Pressupostos!$C$57</f>
        <v>45</v>
      </c>
      <c r="F2560" s="65" t="n">
        <f aca="false">Pressupostos!$C$57</f>
        <v>45</v>
      </c>
      <c r="G2560" s="65" t="n">
        <f aca="false">Pressupostos!$C$57</f>
        <v>45</v>
      </c>
      <c r="H2560" s="2" t="s">
        <v>1174</v>
      </c>
    </row>
    <row r="2561" customFormat="false" ht="15" hidden="false" customHeight="false" outlineLevel="1" collapsed="false">
      <c r="A2561" s="7" t="s">
        <v>471</v>
      </c>
      <c r="B2561" s="8" t="s">
        <v>59</v>
      </c>
      <c r="C2561" s="60" t="n">
        <f aca="false">Pressupostos!$C$64*C2559/30/1000</f>
        <v>0.002</v>
      </c>
      <c r="D2561" s="60" t="n">
        <f aca="false">Pressupostos!$C$64*D2559/30/1000</f>
        <v>0.002</v>
      </c>
      <c r="E2561" s="60" t="n">
        <f aca="false">Pressupostos!$C$64*E2559/30/1000</f>
        <v>0.002</v>
      </c>
      <c r="F2561" s="60" t="n">
        <f aca="false">Pressupostos!$C$64*F2559/30/1000</f>
        <v>0.002</v>
      </c>
      <c r="G2561" s="60" t="n">
        <f aca="false">Pressupostos!$C$64*G2559/30/1000</f>
        <v>0.002</v>
      </c>
      <c r="H2561" s="2" t="s">
        <v>1175</v>
      </c>
    </row>
    <row r="2562" customFormat="false" ht="15" hidden="false" customHeight="false" outlineLevel="1" collapsed="false">
      <c r="A2562" s="7" t="s">
        <v>154</v>
      </c>
      <c r="B2562" s="8" t="s">
        <v>59</v>
      </c>
      <c r="C2562" s="60" t="n">
        <f aca="false">C2553*Pressupostos!$C$65*C2559/365</f>
        <v>0.000287671232876712</v>
      </c>
      <c r="D2562" s="60" t="n">
        <f aca="false">D2553*Pressupostos!$C$65*D2559/365</f>
        <v>0.000287671232876712</v>
      </c>
      <c r="E2562" s="60" t="n">
        <f aca="false">E2553*Pressupostos!$C$65*E2559/365</f>
        <v>0.000287671232876712</v>
      </c>
      <c r="F2562" s="60" t="n">
        <f aca="false">F2553*Pressupostos!$C$65*F2559/365</f>
        <v>0.000287671232876712</v>
      </c>
      <c r="G2562" s="60" t="n">
        <f aca="false">G2553*Pressupostos!$C$65*G2559/365</f>
        <v>0.000287671232876712</v>
      </c>
      <c r="H2562" s="2" t="s">
        <v>1176</v>
      </c>
    </row>
    <row r="2563" customFormat="false" ht="15" hidden="false" customHeight="false" outlineLevel="1" collapsed="false">
      <c r="A2563" s="7" t="s">
        <v>636</v>
      </c>
      <c r="B2563" s="8" t="s">
        <v>59</v>
      </c>
      <c r="C2563" s="60" t="n">
        <f aca="false">Pressupostos!$C$59*Pressupostos!$C$66/(Pressupostos!$C$58*1000)</f>
        <v>0.006</v>
      </c>
      <c r="D2563" s="60" t="n">
        <f aca="false">Pressupostos!$C$59*Pressupostos!$C$66/(Pressupostos!$C$58*1000)</f>
        <v>0.006</v>
      </c>
      <c r="E2563" s="60" t="n">
        <f aca="false">Pressupostos!$C$59*Pressupostos!$C$66/(Pressupostos!$C$58*1000)</f>
        <v>0.006</v>
      </c>
      <c r="F2563" s="60" t="n">
        <f aca="false">Pressupostos!$C$59*Pressupostos!$C$66/(Pressupostos!$C$58*1000)</f>
        <v>0.006</v>
      </c>
      <c r="G2563" s="60" t="n">
        <f aca="false">Pressupostos!$C$59*Pressupostos!$C$66/(Pressupostos!$C$58*1000)</f>
        <v>0.006</v>
      </c>
      <c r="H2563" s="2" t="s">
        <v>1177</v>
      </c>
    </row>
    <row r="2564" customFormat="false" ht="15" hidden="false" customHeight="false" outlineLevel="1" collapsed="false">
      <c r="A2564" s="7" t="s">
        <v>473</v>
      </c>
      <c r="B2564" s="8" t="s">
        <v>59</v>
      </c>
      <c r="C2564" s="60" t="n">
        <f aca="false">Pressupostos!$C$67*C2553</f>
        <v>0.0175</v>
      </c>
      <c r="D2564" s="60" t="n">
        <f aca="false">Pressupostos!$C$67*D2553</f>
        <v>0.0175</v>
      </c>
      <c r="E2564" s="60" t="n">
        <f aca="false">Pressupostos!$C$67*E2553</f>
        <v>0.0175</v>
      </c>
      <c r="F2564" s="60" t="n">
        <f aca="false">Pressupostos!$C$67*F2553</f>
        <v>0.0175</v>
      </c>
      <c r="G2564" s="60" t="n">
        <f aca="false">Pressupostos!$C$67*G2553</f>
        <v>0.0175</v>
      </c>
      <c r="H2564" s="2" t="s">
        <v>1178</v>
      </c>
    </row>
    <row r="2565" customFormat="false" ht="15" hidden="false" customHeight="false" outlineLevel="1" collapsed="false">
      <c r="A2565" s="7" t="s">
        <v>474</v>
      </c>
      <c r="B2565" s="8" t="s">
        <v>59</v>
      </c>
      <c r="C2565" s="60" t="n">
        <f aca="false">Pressupostos!$C$68*Pressupostos!$C$69*C2559/90</f>
        <v>0.0015</v>
      </c>
      <c r="D2565" s="60" t="n">
        <f aca="false">Pressupostos!$C$68*Pressupostos!$C$69*D2559/90</f>
        <v>0.0015</v>
      </c>
      <c r="E2565" s="60" t="n">
        <f aca="false">Pressupostos!$C$68*Pressupostos!$C$69*E2559/90</f>
        <v>0.0015</v>
      </c>
      <c r="F2565" s="60" t="n">
        <f aca="false">Pressupostos!$C$68*Pressupostos!$C$69*F2559/90</f>
        <v>0.0015</v>
      </c>
      <c r="G2565" s="60" t="n">
        <f aca="false">Pressupostos!$C$68*Pressupostos!$C$69*G2559/90</f>
        <v>0.0015</v>
      </c>
      <c r="H2565" s="2" t="s">
        <v>1179</v>
      </c>
    </row>
    <row r="2566" customFormat="false" ht="15" hidden="false" customHeight="false" outlineLevel="1" collapsed="false">
      <c r="A2566" s="7" t="s">
        <v>637</v>
      </c>
      <c r="B2566" s="8" t="s">
        <v>59</v>
      </c>
      <c r="C2566" s="60" t="n">
        <f aca="false">Pressupostos!$C$60/(Pressupostos!$C$58*1000)</f>
        <v>0.012</v>
      </c>
      <c r="D2566" s="60" t="n">
        <f aca="false">Pressupostos!$C$60/(Pressupostos!$C$58*1000)</f>
        <v>0.012</v>
      </c>
      <c r="E2566" s="60" t="n">
        <f aca="false">Pressupostos!$C$60/(Pressupostos!$C$58*1000)</f>
        <v>0.012</v>
      </c>
      <c r="F2566" s="60" t="n">
        <f aca="false">Pressupostos!$C$60/(Pressupostos!$C$58*1000)</f>
        <v>0.012</v>
      </c>
      <c r="G2566" s="60" t="n">
        <f aca="false">Pressupostos!$C$60/(Pressupostos!$C$58*1000)</f>
        <v>0.012</v>
      </c>
      <c r="H2566" s="2" t="s">
        <v>1180</v>
      </c>
    </row>
    <row r="2567" customFormat="false" ht="15" hidden="false" customHeight="false" outlineLevel="1" collapsed="false">
      <c r="A2567" s="7" t="s">
        <v>131</v>
      </c>
      <c r="B2567" s="8" t="s">
        <v>59</v>
      </c>
      <c r="C2567" s="63" t="n">
        <f aca="false">Pressupostos!$C$61</f>
        <v>0.001</v>
      </c>
      <c r="D2567" s="63" t="n">
        <f aca="false">Pressupostos!$C$61</f>
        <v>0.001</v>
      </c>
      <c r="E2567" s="63" t="n">
        <f aca="false">Pressupostos!$C$61</f>
        <v>0.001</v>
      </c>
      <c r="F2567" s="63" t="n">
        <f aca="false">Pressupostos!$C$61</f>
        <v>0.001</v>
      </c>
      <c r="G2567" s="63" t="n">
        <f aca="false">Pressupostos!$C$61</f>
        <v>0.001</v>
      </c>
      <c r="H2567" s="2" t="s">
        <v>1181</v>
      </c>
    </row>
    <row r="2568" customFormat="false" ht="15" hidden="false" customHeight="false" outlineLevel="1" collapsed="false">
      <c r="A2568" s="7" t="s">
        <v>76</v>
      </c>
      <c r="B2568" s="8" t="s">
        <v>59</v>
      </c>
      <c r="C2568" s="60" t="n">
        <f aca="false">Pressupostos!$C$62*C2555</f>
        <v>0.01095</v>
      </c>
      <c r="D2568" s="60" t="n">
        <f aca="false">Pressupostos!$C$62*D2555</f>
        <v>0.01095</v>
      </c>
      <c r="E2568" s="60" t="n">
        <f aca="false">Pressupostos!$C$62*E2555</f>
        <v>0.01095</v>
      </c>
      <c r="F2568" s="60" t="n">
        <f aca="false">Pressupostos!$C$62*F2555</f>
        <v>0.01095</v>
      </c>
      <c r="G2568" s="60" t="n">
        <f aca="false">Pressupostos!$C$62*G2555</f>
        <v>0.01095</v>
      </c>
      <c r="H2568" s="2" t="s">
        <v>1182</v>
      </c>
    </row>
    <row r="2569" customFormat="false" ht="15" hidden="false" customHeight="false" outlineLevel="1" collapsed="false">
      <c r="A2569" s="7" t="s">
        <v>638</v>
      </c>
      <c r="B2569" s="8" t="s">
        <v>59</v>
      </c>
      <c r="C2569" s="60" t="n">
        <f aca="false">Pressupostos!$C$71*C2555</f>
        <v>0</v>
      </c>
      <c r="D2569" s="60" t="n">
        <f aca="false">Pressupostos!$C$71*D2555</f>
        <v>0</v>
      </c>
      <c r="E2569" s="60" t="n">
        <f aca="false">Pressupostos!$C$71*E2555</f>
        <v>0</v>
      </c>
      <c r="F2569" s="60" t="n">
        <f aca="false">Pressupostos!$C$71*F2555</f>
        <v>0</v>
      </c>
      <c r="G2569" s="60" t="n">
        <f aca="false">Pressupostos!$C$71*G2555</f>
        <v>0</v>
      </c>
      <c r="H2569" s="2" t="s">
        <v>1183</v>
      </c>
    </row>
    <row r="2570" customFormat="false" ht="15" hidden="false" customHeight="false" outlineLevel="1" collapsed="false">
      <c r="A2570" s="7" t="s">
        <v>639</v>
      </c>
      <c r="B2570" s="8" t="s">
        <v>59</v>
      </c>
      <c r="C2570" s="60" t="n">
        <f aca="false">Pressupostos!$C$283*(C2553+C2556)*(C2559+C2560-Pressupostos!$C$70)/365*Pressupostos!$C$277/Pressupostos!$D$31</f>
        <v>0</v>
      </c>
      <c r="D2570" s="60" t="n">
        <f aca="false">Pressupostos!$D$283*(D2553+D2556)*(D2559+D2560-Pressupostos!$C$70)/365*Pressupostos!$D$277/Pressupostos!$D$31</f>
        <v>0.0258904109589041</v>
      </c>
      <c r="E2570" s="60" t="n">
        <f aca="false">Pressupostos!$E$283*(E2553+E2556)*(E2559+E2560-Pressupostos!$C$70)/365*Pressupostos!$E$277/Pressupostos!$D$31</f>
        <v>0.0242722602739726</v>
      </c>
      <c r="F2570" s="60" t="n">
        <f aca="false">Pressupostos!$F$283*(F2553+F2556)*(F2559+F2560-Pressupostos!$C$70)/365*Pressupostos!$F$277/Pressupostos!$D$31</f>
        <v>0.0226541095890411</v>
      </c>
      <c r="G2570" s="60" t="n">
        <f aca="false">Pressupostos!$G$283*(G2553+G2556)*(G2559+G2560-Pressupostos!$C$70)/365*Pressupostos!$G$277/Pressupostos!$D$31</f>
        <v>0.0226541095890411</v>
      </c>
      <c r="H2570" s="2" t="s">
        <v>1184</v>
      </c>
    </row>
    <row r="2571" customFormat="false" ht="15" hidden="false" customHeight="false" outlineLevel="1" collapsed="false">
      <c r="A2571" s="7" t="s">
        <v>640</v>
      </c>
      <c r="B2571" s="8" t="s">
        <v>59</v>
      </c>
      <c r="C2571" s="60" t="n">
        <f aca="false">C2553+C2556+C2557+C2558+C2561+C2562+C2563+C2564+C2565+C2566+C2567+C2568+C2569+C2570</f>
        <v>3.59123767123288</v>
      </c>
      <c r="D2571" s="60" t="n">
        <f aca="false">D2553+D2556+D2557+D2558+D2561+D2562+D2563+D2564+D2565+D2566+D2567+D2568+D2569+D2570</f>
        <v>3.61712808219178</v>
      </c>
      <c r="E2571" s="60" t="n">
        <f aca="false">E2553+E2556+E2557+E2558+E2561+E2562+E2563+E2564+E2565+E2566+E2567+E2568+E2569+E2570</f>
        <v>3.61550993150685</v>
      </c>
      <c r="F2571" s="60" t="n">
        <f aca="false">F2553+F2556+F2557+F2558+F2561+F2562+F2563+F2564+F2565+F2566+F2567+F2568+F2569+F2570</f>
        <v>3.61389178082192</v>
      </c>
      <c r="G2571" s="60" t="n">
        <f aca="false">G2553+G2556+G2557+G2558+G2561+G2562+G2563+G2564+G2565+G2566+G2567+G2568+G2569+G2570</f>
        <v>3.61389178082192</v>
      </c>
      <c r="H2571" s="2" t="s">
        <v>1185</v>
      </c>
    </row>
    <row r="2572" customFormat="false" ht="15" hidden="false" customHeight="false" outlineLevel="1" collapsed="false">
      <c r="A2572" s="52" t="s">
        <v>641</v>
      </c>
      <c r="B2572" s="53" t="s">
        <v>59</v>
      </c>
      <c r="C2572" s="64" t="n">
        <f aca="false">C2555-C2571</f>
        <v>0.058762328767124</v>
      </c>
      <c r="D2572" s="64" t="n">
        <f aca="false">D2555-D2571</f>
        <v>0.0328719178082197</v>
      </c>
      <c r="E2572" s="64" t="n">
        <f aca="false">E2555-E2571</f>
        <v>0.0344900684931515</v>
      </c>
      <c r="F2572" s="64" t="n">
        <f aca="false">F2555-F2571</f>
        <v>0.0361082191780828</v>
      </c>
      <c r="G2572" s="64" t="n">
        <f aca="false">G2555-G2571</f>
        <v>0.0361082191780828</v>
      </c>
      <c r="H2572" s="2" t="s">
        <v>1186</v>
      </c>
    </row>
    <row r="2573" customFormat="false" ht="15" hidden="false" customHeight="false" outlineLevel="1" collapsed="false">
      <c r="A2573" s="7" t="s">
        <v>642</v>
      </c>
      <c r="B2573" s="8" t="s">
        <v>71</v>
      </c>
      <c r="C2573" s="55" t="n">
        <f aca="false">IF(C2555&gt;0,C2572/C2555,0)</f>
        <v>0.0160992681553764</v>
      </c>
      <c r="D2573" s="55" t="n">
        <f aca="false">IF(D2555&gt;0,D2572/D2555,0)</f>
        <v>0.00900600487896431</v>
      </c>
      <c r="E2573" s="55" t="n">
        <f aca="false">IF(E2555&gt;0,E2572/E2555,0)</f>
        <v>0.00944933383374014</v>
      </c>
      <c r="F2573" s="55" t="n">
        <f aca="false">IF(F2555&gt;0,F2572/F2555,0)</f>
        <v>0.00989266278851584</v>
      </c>
      <c r="G2573" s="55" t="n">
        <f aca="false">IF(G2555&gt;0,G2572/G2555,0)</f>
        <v>0.00989266278851584</v>
      </c>
      <c r="H2573" s="2" t="s">
        <v>1187</v>
      </c>
    </row>
    <row r="2574" customFormat="false" ht="15" hidden="false" customHeight="false" outlineLevel="1" collapsed="false">
      <c r="A2574" s="7" t="s">
        <v>643</v>
      </c>
      <c r="B2574" s="8" t="s">
        <v>59</v>
      </c>
      <c r="C2574" s="60" t="n">
        <f aca="false">(C2553+C2556)*(C2559-Pressupostos!$C$70)/365+C2555*C2560/365</f>
        <v>0.306164383561644</v>
      </c>
      <c r="D2574" s="60" t="n">
        <f aca="false">(D2553+D2556)*(D2559-Pressupostos!$C$70)/365+D2555*D2560/365</f>
        <v>0.306164383561644</v>
      </c>
      <c r="E2574" s="60" t="n">
        <f aca="false">(E2553+E2556)*(E2559-Pressupostos!$C$70)/365+E2555*E2560/365</f>
        <v>0.306164383561644</v>
      </c>
      <c r="F2574" s="60" t="n">
        <f aca="false">(F2553+F2556)*(F2559-Pressupostos!$C$70)/365+F2555*F2560/365</f>
        <v>0.306164383561644</v>
      </c>
      <c r="G2574" s="60" t="n">
        <f aca="false">(G2553+G2556)*(G2559-Pressupostos!$C$70)/365+G2555*G2560/365</f>
        <v>0.306164383561644</v>
      </c>
      <c r="H2574" s="2" t="s">
        <v>1188</v>
      </c>
    </row>
    <row r="2575" customFormat="false" ht="15" hidden="false" customHeight="false" outlineLevel="0" collapsed="false">
      <c r="A2575" s="3" t="s">
        <v>1189</v>
      </c>
      <c r="B2575" s="4"/>
      <c r="C2575" s="4"/>
      <c r="D2575" s="4"/>
      <c r="E2575" s="4"/>
      <c r="F2575" s="4"/>
      <c r="G2575" s="4"/>
      <c r="H2575" s="4"/>
    </row>
    <row r="2576" customFormat="false" ht="15" hidden="false" customHeight="false" outlineLevel="1" collapsed="false">
      <c r="A2576" s="7" t="s">
        <v>575</v>
      </c>
      <c r="B2576" s="8" t="s">
        <v>10</v>
      </c>
      <c r="C2576" s="58" t="n">
        <f aca="false">C2491*1000*C2509</f>
        <v>52884</v>
      </c>
      <c r="D2576" s="58" t="n">
        <f aca="false">D2491*1000*D2509</f>
        <v>244588.5</v>
      </c>
      <c r="E2576" s="58" t="n">
        <f aca="false">E2491*1000*E2509</f>
        <v>879196.5</v>
      </c>
      <c r="F2576" s="58" t="n">
        <f aca="false">F2491*1000*F2509</f>
        <v>1765003.5</v>
      </c>
      <c r="G2576" s="58" t="n">
        <f aca="false">G2491*1000*G2509</f>
        <v>2710305</v>
      </c>
      <c r="H2576" s="2" t="s">
        <v>1190</v>
      </c>
    </row>
    <row r="2577" customFormat="false" ht="15" hidden="false" customHeight="false" outlineLevel="1" collapsed="false">
      <c r="A2577" s="7" t="s">
        <v>576</v>
      </c>
      <c r="B2577" s="8" t="s">
        <v>10</v>
      </c>
      <c r="C2577" s="58" t="n">
        <f aca="false">C2492*1000*C2532</f>
        <v>294060</v>
      </c>
      <c r="D2577" s="58" t="n">
        <f aca="false">D2492*1000*D2532</f>
        <v>2052765</v>
      </c>
      <c r="E2577" s="58" t="n">
        <f aca="false">E2492*1000*E2532</f>
        <v>4054635</v>
      </c>
      <c r="F2577" s="58" t="n">
        <f aca="false">F2492*1000*F2532</f>
        <v>6689865</v>
      </c>
      <c r="G2577" s="58" t="n">
        <f aca="false">G2492*1000*G2532</f>
        <v>10122450</v>
      </c>
      <c r="H2577" s="2" t="s">
        <v>1191</v>
      </c>
    </row>
    <row r="2578" customFormat="false" ht="15" hidden="false" customHeight="false" outlineLevel="1" collapsed="false">
      <c r="A2578" s="7" t="s">
        <v>577</v>
      </c>
      <c r="B2578" s="8" t="s">
        <v>10</v>
      </c>
      <c r="C2578" s="58" t="n">
        <f aca="false">C2493*1000*C2555</f>
        <v>0</v>
      </c>
      <c r="D2578" s="58" t="n">
        <f aca="false">D2493*1000*D2555</f>
        <v>0</v>
      </c>
      <c r="E2578" s="58" t="n">
        <f aca="false">E2493*1000*E2555</f>
        <v>0</v>
      </c>
      <c r="F2578" s="58" t="n">
        <f aca="false">F2493*1000*F2555</f>
        <v>0</v>
      </c>
      <c r="G2578" s="58" t="n">
        <f aca="false">G2493*1000*G2555</f>
        <v>0</v>
      </c>
      <c r="H2578" s="2" t="s">
        <v>1192</v>
      </c>
    </row>
    <row r="2579" customFormat="false" ht="15" hidden="false" customHeight="false" outlineLevel="1" collapsed="false">
      <c r="A2579" s="7" t="s">
        <v>578</v>
      </c>
      <c r="B2579" s="8" t="s">
        <v>10</v>
      </c>
      <c r="C2579" s="58" t="n">
        <f aca="false">C2576+C2577+C2578</f>
        <v>346944</v>
      </c>
      <c r="D2579" s="58" t="n">
        <f aca="false">D2576+D2577+D2578</f>
        <v>2297353.5</v>
      </c>
      <c r="E2579" s="58" t="n">
        <f aca="false">E2576+E2577+E2578</f>
        <v>4933831.5</v>
      </c>
      <c r="F2579" s="58" t="n">
        <f aca="false">F2576+F2577+F2578</f>
        <v>8454868.5</v>
      </c>
      <c r="G2579" s="58" t="n">
        <f aca="false">G2576+G2577+G2578</f>
        <v>12832755</v>
      </c>
      <c r="H2579" s="2" t="s">
        <v>1193</v>
      </c>
    </row>
    <row r="2580" customFormat="false" ht="15" hidden="false" customHeight="false" outlineLevel="1" collapsed="false">
      <c r="A2580" s="7" t="s">
        <v>579</v>
      </c>
      <c r="B2580" s="8" t="s">
        <v>10</v>
      </c>
      <c r="C2580" s="58" t="n">
        <f aca="false">C2502*1000*Pressupostos!$C$91</f>
        <v>0</v>
      </c>
      <c r="D2580" s="58" t="n">
        <f aca="false">D2502*1000*Pressupostos!$C$91</f>
        <v>0</v>
      </c>
      <c r="E2580" s="58" t="n">
        <f aca="false">E2502*1000*Pressupostos!$C$91</f>
        <v>306150</v>
      </c>
      <c r="F2580" s="58" t="n">
        <f aca="false">F2502*1000*Pressupostos!$C$91</f>
        <v>612300</v>
      </c>
      <c r="G2580" s="58" t="n">
        <f aca="false">G2502*1000*Pressupostos!$C$91</f>
        <v>1020500</v>
      </c>
      <c r="H2580" s="2" t="s">
        <v>1194</v>
      </c>
    </row>
    <row r="2581" customFormat="false" ht="15" hidden="false" customHeight="false" outlineLevel="1" collapsed="false">
      <c r="A2581" s="2" t="s">
        <v>580</v>
      </c>
      <c r="B2581" s="8" t="s">
        <v>10</v>
      </c>
      <c r="C2581" s="58" t="n">
        <f aca="false">C2500*Pressupostos!$C$78*(1-Pressupostos!$C$79)</f>
        <v>52650</v>
      </c>
      <c r="D2581" s="58" t="n">
        <f aca="false">D2500*Pressupostos!$C$78*(1-Pressupostos!$C$79)</f>
        <v>210600</v>
      </c>
      <c r="E2581" s="58" t="n">
        <f aca="false">E2500*Pressupostos!$C$78*(1-Pressupostos!$C$79)</f>
        <v>351000</v>
      </c>
      <c r="F2581" s="58" t="n">
        <f aca="false">F2500*Pressupostos!$C$78*(1-Pressupostos!$C$79)</f>
        <v>491400</v>
      </c>
      <c r="G2581" s="58" t="n">
        <f aca="false">G2500*Pressupostos!$C$78*(1-Pressupostos!$C$79)</f>
        <v>631800</v>
      </c>
      <c r="H2581" s="2" t="s">
        <v>1195</v>
      </c>
    </row>
    <row r="2582" customFormat="false" ht="15" hidden="false" customHeight="false" outlineLevel="1" collapsed="false">
      <c r="A2582" s="7" t="s">
        <v>581</v>
      </c>
      <c r="B2582" s="8" t="s">
        <v>10</v>
      </c>
      <c r="C2582" s="58" t="n">
        <f aca="false">C2581*Pressupostos!$D$27</f>
        <v>1053</v>
      </c>
      <c r="D2582" s="58" t="n">
        <f aca="false">D2581*Pressupostos!$D$27</f>
        <v>4212</v>
      </c>
      <c r="E2582" s="58" t="n">
        <f aca="false">E2581*Pressupostos!$D$27</f>
        <v>7020</v>
      </c>
      <c r="F2582" s="58" t="n">
        <f aca="false">F2581*Pressupostos!$D$27</f>
        <v>9828</v>
      </c>
      <c r="G2582" s="58" t="n">
        <f aca="false">G2581*Pressupostos!$D$27</f>
        <v>12636</v>
      </c>
      <c r="H2582" s="2" t="s">
        <v>1196</v>
      </c>
    </row>
    <row r="2583" customFormat="false" ht="15" hidden="false" customHeight="false" outlineLevel="1" collapsed="false">
      <c r="A2583" s="7" t="s">
        <v>582</v>
      </c>
      <c r="B2583" s="8" t="s">
        <v>10</v>
      </c>
      <c r="C2583" s="58" t="n">
        <f aca="false">C2504*(Pressupostos!$C$99*Pressupostos!$C$100+Pressupostos!$C$101)</f>
        <v>0</v>
      </c>
      <c r="D2583" s="58" t="n">
        <f aca="false">D2504*(Pressupostos!$C$99*Pressupostos!$C$100+Pressupostos!$C$101)</f>
        <v>10000</v>
      </c>
      <c r="E2583" s="58" t="n">
        <f aca="false">E2504*(Pressupostos!$C$99*Pressupostos!$C$100+Pressupostos!$C$101)</f>
        <v>30000</v>
      </c>
      <c r="F2583" s="58" t="n">
        <f aca="false">F2504*(Pressupostos!$C$99*Pressupostos!$C$100+Pressupostos!$C$101)</f>
        <v>60000</v>
      </c>
      <c r="G2583" s="58" t="n">
        <f aca="false">G2504*(Pressupostos!$C$99*Pressupostos!$C$100+Pressupostos!$C$101)</f>
        <v>100000</v>
      </c>
      <c r="H2583" s="2" t="s">
        <v>1197</v>
      </c>
    </row>
    <row r="2584" customFormat="false" ht="15" hidden="false" customHeight="false" outlineLevel="1" collapsed="false">
      <c r="A2584" s="7" t="s">
        <v>583</v>
      </c>
      <c r="B2584" s="8" t="s">
        <v>10</v>
      </c>
      <c r="C2584" s="50" t="n">
        <f aca="false">Pressupostos!$C$270</f>
        <v>0</v>
      </c>
      <c r="D2584" s="50" t="n">
        <f aca="false">Pressupostos!$D$270</f>
        <v>0</v>
      </c>
      <c r="E2584" s="50" t="n">
        <f aca="false">Pressupostos!$E$270</f>
        <v>0</v>
      </c>
      <c r="F2584" s="50" t="n">
        <f aca="false">Pressupostos!$F$270</f>
        <v>10000</v>
      </c>
      <c r="G2584" s="50" t="n">
        <f aca="false">Pressupostos!$G$270</f>
        <v>30000</v>
      </c>
      <c r="H2584" s="2" t="s">
        <v>1198</v>
      </c>
    </row>
    <row r="2585" customFormat="false" ht="15" hidden="false" customHeight="false" outlineLevel="1" collapsed="false">
      <c r="A2585" s="52" t="s">
        <v>584</v>
      </c>
      <c r="B2585" s="53" t="s">
        <v>10</v>
      </c>
      <c r="C2585" s="59" t="n">
        <f aca="false">C2579+C2580+C2582+C2583+C2584</f>
        <v>347997</v>
      </c>
      <c r="D2585" s="59" t="n">
        <f aca="false">D2579+D2580+D2582+D2583+D2584</f>
        <v>2311565.5</v>
      </c>
      <c r="E2585" s="59" t="n">
        <f aca="false">E2579+E2580+E2582+E2583+E2584</f>
        <v>5277001.5</v>
      </c>
      <c r="F2585" s="59" t="n">
        <f aca="false">F2579+F2580+F2582+F2583+F2584</f>
        <v>9146996.5</v>
      </c>
      <c r="G2585" s="59" t="n">
        <f aca="false">G2579+G2580+G2582+G2583+G2584</f>
        <v>13995891</v>
      </c>
      <c r="H2585" s="2" t="s">
        <v>1199</v>
      </c>
    </row>
    <row r="2586" customFormat="false" ht="15" hidden="false" customHeight="false" outlineLevel="0" collapsed="false">
      <c r="A2586" s="3" t="s">
        <v>1200</v>
      </c>
      <c r="B2586" s="4"/>
      <c r="C2586" s="4"/>
      <c r="D2586" s="4"/>
      <c r="E2586" s="4"/>
      <c r="F2586" s="4"/>
      <c r="G2586" s="4"/>
      <c r="H2586" s="4"/>
    </row>
    <row r="2587" customFormat="false" ht="15" hidden="false" customHeight="false" outlineLevel="1" collapsed="false">
      <c r="A2587" s="52" t="s">
        <v>586</v>
      </c>
      <c r="B2587" s="53" t="s">
        <v>10</v>
      </c>
      <c r="C2587" s="59" t="n">
        <f aca="false">C2579+C2580+C2581</f>
        <v>399594</v>
      </c>
      <c r="D2587" s="59" t="n">
        <f aca="false">D2579+D2580+D2581</f>
        <v>2507953.5</v>
      </c>
      <c r="E2587" s="59" t="n">
        <f aca="false">E2579+E2580+E2581</f>
        <v>5590981.5</v>
      </c>
      <c r="F2587" s="59" t="n">
        <f aca="false">F2579+F2580+F2581</f>
        <v>9558568.5</v>
      </c>
      <c r="G2587" s="59" t="n">
        <f aca="false">G2579+G2580+G2581</f>
        <v>14485055</v>
      </c>
      <c r="H2587" s="2" t="s">
        <v>1201</v>
      </c>
    </row>
    <row r="2588" customFormat="false" ht="15" hidden="false" customHeight="false" outlineLevel="1" collapsed="false">
      <c r="A2588" s="7" t="s">
        <v>587</v>
      </c>
      <c r="B2588" s="8" t="s">
        <v>10</v>
      </c>
      <c r="C2588" s="58" t="n">
        <f aca="false">C2491*1000*(C2507+C2510)+C2492*1000*(C2530+C2533)+C2493*1000*(C2553+C2556)+C2502*1000*Pressupostos!$C$90</f>
        <v>316940</v>
      </c>
      <c r="D2588" s="58" t="n">
        <f aca="false">D2491*1000*(D2507+D2510)+D2492*1000*(D2530+D2533)+D2493*1000*(D2553+D2556)+D2502*1000*Pressupostos!$C$90</f>
        <v>2110810</v>
      </c>
      <c r="E2588" s="58" t="n">
        <f aca="false">E2491*1000*(E2507+E2510)+E2492*1000*(E2530+E2533)+E2493*1000*(E2553+E2556)+E2502*1000*Pressupostos!$C$90</f>
        <v>4765540</v>
      </c>
      <c r="F2588" s="58" t="n">
        <f aca="false">F2491*1000*(F2507+F2510)+F2492*1000*(F2530+F2533)+F2493*1000*(F2553+F2556)+F2502*1000*Pressupostos!$C$90</f>
        <v>8214960</v>
      </c>
      <c r="G2588" s="58" t="n">
        <f aca="false">G2491*1000*(G2507+G2510)+G2492*1000*(G2530+G2533)+G2493*1000*(G2553+G2556)+G2502*1000*Pressupostos!$C$90</f>
        <v>12546300</v>
      </c>
      <c r="H2588" s="2" t="s">
        <v>1202</v>
      </c>
    </row>
    <row r="2589" customFormat="false" ht="15" hidden="false" customHeight="false" outlineLevel="1" collapsed="false">
      <c r="A2589" s="7" t="s">
        <v>588</v>
      </c>
      <c r="B2589" s="8" t="s">
        <v>10</v>
      </c>
      <c r="C2589" s="58" t="n">
        <f aca="false">C2588*Pressupostos!$C$277</f>
        <v>0</v>
      </c>
      <c r="D2589" s="58" t="n">
        <f aca="false">D2588*Pressupostos!$D$277</f>
        <v>1899729</v>
      </c>
      <c r="E2589" s="58" t="n">
        <f aca="false">E2588*Pressupostos!$E$277</f>
        <v>4288986</v>
      </c>
      <c r="F2589" s="58" t="n">
        <f aca="false">F2588*Pressupostos!$F$277</f>
        <v>7393464</v>
      </c>
      <c r="G2589" s="58" t="n">
        <f aca="false">G2588*Pressupostos!$G$277</f>
        <v>11291670</v>
      </c>
      <c r="H2589" s="2" t="s">
        <v>1203</v>
      </c>
    </row>
    <row r="2590" customFormat="false" ht="15" hidden="false" customHeight="false" outlineLevel="0" collapsed="false">
      <c r="A2590" s="3" t="s">
        <v>1204</v>
      </c>
      <c r="B2590" s="4"/>
      <c r="C2590" s="4"/>
      <c r="D2590" s="4"/>
      <c r="E2590" s="4"/>
      <c r="F2590" s="4"/>
      <c r="G2590" s="4"/>
      <c r="H2590" s="4"/>
    </row>
    <row r="2591" customFormat="false" ht="15" hidden="false" customHeight="false" outlineLevel="1" collapsed="false">
      <c r="A2591" s="7" t="s">
        <v>590</v>
      </c>
      <c r="B2591" s="8" t="s">
        <v>10</v>
      </c>
      <c r="C2591" s="58" t="n">
        <f aca="false">C2491*1000*C2526</f>
        <v>3545.76887671235</v>
      </c>
      <c r="D2591" s="58" t="n">
        <f aca="false">D2491*1000*D2526</f>
        <v>7293.45571232887</v>
      </c>
      <c r="E2591" s="58" t="n">
        <f aca="false">E2491*1000*E2526</f>
        <v>60019.7658458906</v>
      </c>
      <c r="F2591" s="58" t="n">
        <f aca="false">F2491*1000*F2526</f>
        <v>125071.755472603</v>
      </c>
      <c r="G2591" s="58" t="n">
        <f aca="false">G2491*1000*G2526</f>
        <v>192057.751849316</v>
      </c>
      <c r="H2591" s="2" t="s">
        <v>1205</v>
      </c>
    </row>
    <row r="2592" customFormat="false" ht="15" hidden="false" customHeight="false" outlineLevel="1" collapsed="false">
      <c r="A2592" s="7" t="s">
        <v>591</v>
      </c>
      <c r="B2592" s="8" t="s">
        <v>10</v>
      </c>
      <c r="C2592" s="58" t="n">
        <f aca="false">C2492*1000*C2549</f>
        <v>6513.81561643842</v>
      </c>
      <c r="D2592" s="58" t="n">
        <f aca="false">D2492*1000*D2549</f>
        <v>24265.0333561649</v>
      </c>
      <c r="E2592" s="58" t="n">
        <f aca="false">E2492*1000*E2549</f>
        <v>59867.3944263705</v>
      </c>
      <c r="F2592" s="58" t="n">
        <f aca="false">F2492*1000*F2549</f>
        <v>103096.444571918</v>
      </c>
      <c r="G2592" s="58" t="n">
        <f aca="false">G2492*1000*G2549</f>
        <v>155995.465582193</v>
      </c>
      <c r="H2592" s="2" t="s">
        <v>1206</v>
      </c>
    </row>
    <row r="2593" customFormat="false" ht="15" hidden="false" customHeight="false" outlineLevel="1" collapsed="false">
      <c r="A2593" s="7" t="s">
        <v>592</v>
      </c>
      <c r="B2593" s="8" t="s">
        <v>10</v>
      </c>
      <c r="C2593" s="58" t="n">
        <f aca="false">C2493*1000*C2572</f>
        <v>0</v>
      </c>
      <c r="D2593" s="58" t="n">
        <f aca="false">D2493*1000*D2572</f>
        <v>0</v>
      </c>
      <c r="E2593" s="58" t="n">
        <f aca="false">E2493*1000*E2572</f>
        <v>0</v>
      </c>
      <c r="F2593" s="58" t="n">
        <f aca="false">F2493*1000*F2572</f>
        <v>0</v>
      </c>
      <c r="G2593" s="58" t="n">
        <f aca="false">G2493*1000*G2572</f>
        <v>0</v>
      </c>
      <c r="H2593" s="2" t="s">
        <v>1207</v>
      </c>
    </row>
    <row r="2594" customFormat="false" ht="15" hidden="false" customHeight="false" outlineLevel="1" collapsed="false">
      <c r="A2594" s="7" t="s">
        <v>593</v>
      </c>
      <c r="B2594" s="8" t="s">
        <v>10</v>
      </c>
      <c r="C2594" s="58" t="n">
        <f aca="false">C2591+C2592+C2593</f>
        <v>10059.5844931508</v>
      </c>
      <c r="D2594" s="58" t="n">
        <f aca="false">D2591+D2592+D2593</f>
        <v>31558.4890684938</v>
      </c>
      <c r="E2594" s="58" t="n">
        <f aca="false">E2591+E2592+E2593</f>
        <v>119887.160272261</v>
      </c>
      <c r="F2594" s="58" t="n">
        <f aca="false">F2591+F2592+F2593</f>
        <v>228168.200044522</v>
      </c>
      <c r="G2594" s="58" t="n">
        <f aca="false">G2591+G2592+G2593</f>
        <v>348053.217431509</v>
      </c>
      <c r="H2594" s="2" t="s">
        <v>1208</v>
      </c>
    </row>
    <row r="2595" customFormat="false" ht="15" hidden="false" customHeight="false" outlineLevel="1" collapsed="false">
      <c r="A2595" s="7" t="s">
        <v>594</v>
      </c>
      <c r="B2595" s="8" t="s">
        <v>59</v>
      </c>
      <c r="C2595" s="60" t="n">
        <f aca="false">IF(C2494&gt;0,C2594/(C2494*1000),0)</f>
        <v>0.128969031963471</v>
      </c>
      <c r="D2595" s="60" t="n">
        <f aca="false">IF(D2494&gt;0,D2594/(D2494*1000),0)</f>
        <v>0.0606894020547957</v>
      </c>
      <c r="E2595" s="60" t="n">
        <f aca="false">IF(E2494&gt;0,E2594/(E2494*1000),0)</f>
        <v>0.108495167667205</v>
      </c>
      <c r="F2595" s="60" t="n">
        <f aca="false">IF(F2494&gt;0,F2594/(F2494*1000),0)</f>
        <v>0.121044137954653</v>
      </c>
      <c r="G2595" s="60" t="n">
        <f aca="false">IF(G2494&gt;0,G2594/(G2494*1000),0)</f>
        <v>0.121696929171856</v>
      </c>
      <c r="H2595" s="2" t="s">
        <v>1209</v>
      </c>
    </row>
    <row r="2596" customFormat="false" ht="15" hidden="false" customHeight="false" outlineLevel="1" collapsed="false">
      <c r="A2596" s="7" t="s">
        <v>595</v>
      </c>
      <c r="B2596" s="8" t="s">
        <v>71</v>
      </c>
      <c r="C2596" s="55" t="n">
        <f aca="false">IF(C2579&gt;0,C2594/C2579,0)</f>
        <v>0.0289948363227229</v>
      </c>
      <c r="D2596" s="55" t="n">
        <f aca="false">IF(D2579&gt;0,D2594/D2579,0)</f>
        <v>0.0137368885844054</v>
      </c>
      <c r="E2596" s="55" t="n">
        <f aca="false">IF(E2579&gt;0,E2594/E2579,0)</f>
        <v>0.0242989977003189</v>
      </c>
      <c r="F2596" s="55" t="n">
        <f aca="false">IF(F2579&gt;0,F2594/F2579,0)</f>
        <v>0.0269866054149182</v>
      </c>
      <c r="G2596" s="55" t="n">
        <f aca="false">IF(G2579&gt;0,G2594/G2579,0)</f>
        <v>0.0271222521922618</v>
      </c>
      <c r="H2596" s="2" t="s">
        <v>1210</v>
      </c>
    </row>
    <row r="2597" customFormat="false" ht="15" hidden="false" customHeight="false" outlineLevel="1" collapsed="false">
      <c r="A2597" s="2" t="s">
        <v>596</v>
      </c>
      <c r="B2597" s="8" t="s">
        <v>59</v>
      </c>
      <c r="C2597" s="60" t="n">
        <f aca="false">Pressupostos!$C$283*Pressupostos!$C$90*(Pressupostos!$C$93+Pressupostos!$C$94-Pressupostos!$C$95)/365*Pressupostos!$C$277/Pressupostos!$D$31</f>
        <v>0</v>
      </c>
      <c r="D2597" s="60" t="n">
        <f aca="false">Pressupostos!$D$283*Pressupostos!$C$90*(Pressupostos!$C$93+Pressupostos!$C$94-Pressupostos!$C$95)/365*Pressupostos!$D$277/Pressupostos!$D$31</f>
        <v>0.0776712328767123</v>
      </c>
      <c r="E2597" s="60" t="n">
        <f aca="false">Pressupostos!$E$283*Pressupostos!$C$90*(Pressupostos!$C$93+Pressupostos!$C$94-Pressupostos!$C$95)/365*Pressupostos!$E$277/Pressupostos!$D$31</f>
        <v>0.0728167808219178</v>
      </c>
      <c r="F2597" s="60" t="n">
        <f aca="false">Pressupostos!$F$283*Pressupostos!$C$90*(Pressupostos!$C$93+Pressupostos!$C$94-Pressupostos!$C$95)/365*Pressupostos!$F$277/Pressupostos!$D$31</f>
        <v>0.0679623287671233</v>
      </c>
      <c r="G2597" s="60" t="n">
        <f aca="false">Pressupostos!$G$283*Pressupostos!$C$90*(Pressupostos!$C$93+Pressupostos!$C$94-Pressupostos!$C$95)/365*Pressupostos!$G$277/Pressupostos!$D$31</f>
        <v>0.0679623287671233</v>
      </c>
      <c r="H2597" s="2" t="s">
        <v>1211</v>
      </c>
    </row>
    <row r="2598" customFormat="false" ht="15" hidden="false" customHeight="false" outlineLevel="1" collapsed="false">
      <c r="A2598" s="7" t="s">
        <v>567</v>
      </c>
      <c r="B2598" s="8" t="s">
        <v>10</v>
      </c>
      <c r="C2598" s="58" t="n">
        <f aca="false">C2502*1000*(Pressupostos!$C$91-Pressupostos!$C$90-Pressupostos!$C$92-C2597-Pressupostos!$C$96*Pressupostos!$C$91-Pressupostos!$C$97-Pressupostos!$D$29*Pressupostos!$C$90)</f>
        <v>0</v>
      </c>
      <c r="D2598" s="58" t="n">
        <f aca="false">D2502*1000*(Pressupostos!$C$91-Pressupostos!$C$90-Pressupostos!$C$92-D2597-Pressupostos!$C$96*Pressupostos!$C$91-Pressupostos!$C$97-Pressupostos!$D$29*Pressupostos!$C$90)</f>
        <v>0</v>
      </c>
      <c r="E2598" s="58" t="n">
        <f aca="false">E2502*1000*(Pressupostos!$C$91-Pressupostos!$C$90-Pressupostos!$C$92-E2597-Pressupostos!$C$96*Pressupostos!$C$91-Pressupostos!$C$97-Pressupostos!$D$29*Pressupostos!$C$90)</f>
        <v>21453.2455479452</v>
      </c>
      <c r="F2598" s="58" t="n">
        <f aca="false">F2502*1000*(Pressupostos!$C$91-Pressupostos!$C$90-Pressupostos!$C$92-F2597-Pressupostos!$C$96*Pressupostos!$C$91-Pressupostos!$C$97-Pressupostos!$D$29*Pressupostos!$C$90)</f>
        <v>43285.1383561644</v>
      </c>
      <c r="G2598" s="58" t="n">
        <f aca="false">G2502*1000*(Pressupostos!$C$91-Pressupostos!$C$90-Pressupostos!$C$92-G2597-Pressupostos!$C$96*Pressupostos!$C$91-Pressupostos!$C$97-Pressupostos!$D$29*Pressupostos!$C$90)</f>
        <v>72141.8972602739</v>
      </c>
      <c r="H2598" s="2" t="s">
        <v>1212</v>
      </c>
    </row>
    <row r="2599" customFormat="false" ht="15" hidden="false" customHeight="false" outlineLevel="1" collapsed="false">
      <c r="A2599" s="7" t="s">
        <v>597</v>
      </c>
      <c r="B2599" s="8" t="s">
        <v>10</v>
      </c>
      <c r="C2599" s="58" t="n">
        <f aca="false">C2582</f>
        <v>1053</v>
      </c>
      <c r="D2599" s="58" t="n">
        <f aca="false">D2582</f>
        <v>4212</v>
      </c>
      <c r="E2599" s="58" t="n">
        <f aca="false">E2582</f>
        <v>7020</v>
      </c>
      <c r="F2599" s="58" t="n">
        <f aca="false">F2582</f>
        <v>9828</v>
      </c>
      <c r="G2599" s="58" t="n">
        <f aca="false">G2582</f>
        <v>12636</v>
      </c>
      <c r="H2599" s="2" t="s">
        <v>1213</v>
      </c>
    </row>
    <row r="2600" customFormat="false" ht="15" hidden="false" customHeight="false" outlineLevel="1" collapsed="false">
      <c r="A2600" s="7" t="s">
        <v>598</v>
      </c>
      <c r="B2600" s="8" t="s">
        <v>10</v>
      </c>
      <c r="C2600" s="58" t="n">
        <f aca="false">C2583-C2615</f>
        <v>0</v>
      </c>
      <c r="D2600" s="58" t="n">
        <f aca="false">D2583-D2615</f>
        <v>1771.42857142857</v>
      </c>
      <c r="E2600" s="58" t="n">
        <f aca="false">E2583-E2615</f>
        <v>5314.28571428572</v>
      </c>
      <c r="F2600" s="58" t="n">
        <f aca="false">F2583-F2615</f>
        <v>10628.5714285714</v>
      </c>
      <c r="G2600" s="58" t="n">
        <f aca="false">G2583-G2615</f>
        <v>17714.2857142857</v>
      </c>
      <c r="H2600" s="2" t="s">
        <v>1214</v>
      </c>
    </row>
    <row r="2601" customFormat="false" ht="15" hidden="false" customHeight="false" outlineLevel="1" collapsed="false">
      <c r="A2601" s="7" t="s">
        <v>583</v>
      </c>
      <c r="B2601" s="8" t="s">
        <v>10</v>
      </c>
      <c r="C2601" s="58" t="n">
        <f aca="false">C2584</f>
        <v>0</v>
      </c>
      <c r="D2601" s="58" t="n">
        <f aca="false">D2584</f>
        <v>0</v>
      </c>
      <c r="E2601" s="58" t="n">
        <f aca="false">E2584</f>
        <v>0</v>
      </c>
      <c r="F2601" s="58" t="n">
        <f aca="false">F2584</f>
        <v>10000</v>
      </c>
      <c r="G2601" s="58" t="n">
        <f aca="false">G2584</f>
        <v>30000</v>
      </c>
      <c r="H2601" s="2" t="s">
        <v>1215</v>
      </c>
    </row>
    <row r="2602" customFormat="false" ht="15" hidden="false" customHeight="false" outlineLevel="1" collapsed="false">
      <c r="A2602" s="52" t="s">
        <v>599</v>
      </c>
      <c r="B2602" s="53" t="s">
        <v>10</v>
      </c>
      <c r="C2602" s="59" t="n">
        <f aca="false">C2594+C2598+C2599+C2600+C2601</f>
        <v>11112.5844931508</v>
      </c>
      <c r="D2602" s="59" t="n">
        <f aca="false">D2594+D2598+D2599+D2600+D2601</f>
        <v>37541.9176399223</v>
      </c>
      <c r="E2602" s="59" t="n">
        <f aca="false">E2594+E2598+E2599+E2600+E2601</f>
        <v>153674.691534492</v>
      </c>
      <c r="F2602" s="59" t="n">
        <f aca="false">F2594+F2598+F2599+F2600+F2601</f>
        <v>301909.909829257</v>
      </c>
      <c r="G2602" s="59" t="n">
        <f aca="false">G2594+G2598+G2599+G2600+G2601</f>
        <v>480545.400406068</v>
      </c>
      <c r="H2602" s="2" t="s">
        <v>1216</v>
      </c>
    </row>
    <row r="2603" customFormat="false" ht="15" hidden="false" customHeight="false" outlineLevel="0" collapsed="false">
      <c r="A2603" s="3" t="s">
        <v>1217</v>
      </c>
      <c r="B2603" s="4"/>
      <c r="C2603" s="4"/>
      <c r="D2603" s="4"/>
      <c r="E2603" s="4"/>
      <c r="F2603" s="4"/>
      <c r="G2603" s="4"/>
      <c r="H2603" s="4"/>
    </row>
    <row r="2604" customFormat="false" ht="15" hidden="false" customHeight="false" outlineLevel="1" collapsed="false">
      <c r="A2604" s="7" t="s">
        <v>647</v>
      </c>
      <c r="B2604" s="8" t="s">
        <v>10</v>
      </c>
      <c r="C2604" s="58" t="n">
        <f aca="false">C2491*1000*(C2507+C2510)+C2492*1000*(C2530+C2533)+C2493*1000*(C2553+C2556)</f>
        <v>316940</v>
      </c>
      <c r="D2604" s="58" t="n">
        <f aca="false">D2491*1000*(D2507+D2510)+D2492*1000*(D2530+D2533)+D2493*1000*(D2553+D2556)</f>
        <v>2110810</v>
      </c>
      <c r="E2604" s="58" t="n">
        <f aca="false">E2491*1000*(E2507+E2510)+E2492*1000*(E2530+E2533)+E2493*1000*(E2553+E2556)</f>
        <v>4492540</v>
      </c>
      <c r="F2604" s="58" t="n">
        <f aca="false">F2491*1000*(F2507+F2510)+F2492*1000*(F2530+F2533)+F2493*1000*(F2553+F2556)</f>
        <v>7668960</v>
      </c>
      <c r="G2604" s="58" t="n">
        <f aca="false">G2491*1000*(G2507+G2510)+G2492*1000*(G2530+G2533)+G2493*1000*(G2553+G2556)</f>
        <v>11636300</v>
      </c>
      <c r="H2604" s="2" t="s">
        <v>1218</v>
      </c>
    </row>
    <row r="2605" customFormat="false" ht="15" hidden="false" customHeight="false" outlineLevel="1" collapsed="false">
      <c r="A2605" s="7" t="s">
        <v>648</v>
      </c>
      <c r="B2605" s="8" t="s">
        <v>10</v>
      </c>
      <c r="C2605" s="58" t="n">
        <f aca="false">C2502*1000*Pressupostos!$C$90</f>
        <v>0</v>
      </c>
      <c r="D2605" s="58" t="n">
        <f aca="false">D2502*1000*Pressupostos!$C$90</f>
        <v>0</v>
      </c>
      <c r="E2605" s="58" t="n">
        <f aca="false">E2502*1000*Pressupostos!$C$90</f>
        <v>273000</v>
      </c>
      <c r="F2605" s="58" t="n">
        <f aca="false">F2502*1000*Pressupostos!$C$90</f>
        <v>546000</v>
      </c>
      <c r="G2605" s="58" t="n">
        <f aca="false">G2502*1000*Pressupostos!$C$90</f>
        <v>910000</v>
      </c>
      <c r="H2605" s="2" t="s">
        <v>1219</v>
      </c>
    </row>
    <row r="2606" customFormat="false" ht="15" hidden="false" customHeight="false" outlineLevel="1" collapsed="false">
      <c r="A2606" s="7" t="s">
        <v>649</v>
      </c>
      <c r="B2606" s="8" t="s">
        <v>10</v>
      </c>
      <c r="C2606" s="58" t="n">
        <f aca="false">C2604+C2605</f>
        <v>316940</v>
      </c>
      <c r="D2606" s="58" t="n">
        <f aca="false">D2604+D2605</f>
        <v>2110810</v>
      </c>
      <c r="E2606" s="58" t="n">
        <f aca="false">E2604+E2605</f>
        <v>4765540</v>
      </c>
      <c r="F2606" s="58" t="n">
        <f aca="false">F2604+F2605</f>
        <v>8214960</v>
      </c>
      <c r="G2606" s="58" t="n">
        <f aca="false">G2604+G2605</f>
        <v>12546300</v>
      </c>
      <c r="H2606" s="2" t="s">
        <v>1220</v>
      </c>
    </row>
    <row r="2607" customFormat="false" ht="15" hidden="false" customHeight="false" outlineLevel="1" collapsed="false">
      <c r="A2607" s="7" t="s">
        <v>205</v>
      </c>
      <c r="B2607" s="8" t="s">
        <v>10</v>
      </c>
      <c r="C2607" s="58" t="n">
        <f aca="false">C2491*1000*(C2511)+C2492*1000*(C2534)+C2493*1000*(C2557)+C2502*1000*Pressupostos!$C$92</f>
        <v>9880</v>
      </c>
      <c r="D2607" s="58" t="n">
        <f aca="false">D2491*1000*(D2511)+D2492*1000*(D2534)+D2493*1000*(D2557)+D2502*1000*Pressupostos!$C$92</f>
        <v>61620</v>
      </c>
      <c r="E2607" s="58" t="n">
        <f aca="false">E2491*1000*(E2511)+E2492*1000*(E2534)+E2493*1000*(E2557)+E2502*1000*Pressupostos!$C$92</f>
        <v>138151</v>
      </c>
      <c r="F2607" s="58" t="n">
        <f aca="false">F2491*1000*(F2511)+F2492*1000*(F2534)+F2493*1000*(F2557)+F2502*1000*Pressupostos!$C$92</f>
        <v>243828</v>
      </c>
      <c r="G2607" s="58" t="n">
        <f aca="false">G2491*1000*(G2511)+G2492*1000*(G2534)+G2493*1000*(G2557)+G2502*1000*Pressupostos!$C$92</f>
        <v>372840</v>
      </c>
      <c r="H2607" s="2" t="s">
        <v>1221</v>
      </c>
    </row>
    <row r="2608" customFormat="false" ht="15" hidden="false" customHeight="false" outlineLevel="1" collapsed="false">
      <c r="A2608" s="7" t="s">
        <v>109</v>
      </c>
      <c r="B2608" s="8" t="s">
        <v>10</v>
      </c>
      <c r="C2608" s="58" t="n">
        <f aca="false">C2491*1000*(C2512)+C2492*1000*(C2535)+C2493*1000*(C2558)</f>
        <v>624</v>
      </c>
      <c r="D2608" s="58" t="n">
        <f aca="false">D2491*1000*(D2512)+D2492*1000*(D2535)+D2493*1000*(D2558)</f>
        <v>2886</v>
      </c>
      <c r="E2608" s="58" t="n">
        <f aca="false">E2491*1000*(E2512)+E2492*1000*(E2535)+E2493*1000*(E2558)</f>
        <v>10374</v>
      </c>
      <c r="F2608" s="58" t="n">
        <f aca="false">F2491*1000*(F2512)+F2492*1000*(F2535)+F2493*1000*(F2558)</f>
        <v>20826</v>
      </c>
      <c r="G2608" s="58" t="n">
        <f aca="false">G2491*1000*(G2512)+G2492*1000*(G2535)+G2493*1000*(G2558)</f>
        <v>31980</v>
      </c>
      <c r="H2608" s="2" t="s">
        <v>1222</v>
      </c>
    </row>
    <row r="2609" customFormat="false" ht="15" hidden="false" customHeight="false" outlineLevel="1" collapsed="false">
      <c r="A2609" s="7" t="s">
        <v>650</v>
      </c>
      <c r="B2609" s="8" t="s">
        <v>10</v>
      </c>
      <c r="C2609" s="58" t="n">
        <f aca="false">C2491*1000*(C2515+C2516)+C2492*1000*(C2538+C2539)+C2493*1000*(C2561+C2562)</f>
        <v>596.931506849315</v>
      </c>
      <c r="D2609" s="58" t="n">
        <f aca="false">D2491*1000*(D2515+D2516)+D2492*1000*(D2538+D2539)+D2493*1000*(D2561+D2562)</f>
        <v>3492.04931506849</v>
      </c>
      <c r="E2609" s="58" t="n">
        <f aca="false">E2491*1000*(E2515+E2516)+E2492*1000*(E2538+E2539)+E2493*1000*(E2561+E2562)</f>
        <v>5470.87726027397</v>
      </c>
      <c r="F2609" s="58" t="n">
        <f aca="false">F2491*1000*(F2515+F2516)+F2492*1000*(F2538+F2539)+F2493*1000*(F2561+F2562)</f>
        <v>9452.4104109589</v>
      </c>
      <c r="G2609" s="58" t="n">
        <f aca="false">G2491*1000*(G2515+G2516)+G2492*1000*(G2538+G2539)+G2493*1000*(G2561+G2562)</f>
        <v>14356.202739726</v>
      </c>
      <c r="H2609" s="2" t="s">
        <v>1223</v>
      </c>
    </row>
    <row r="2610" customFormat="false" ht="15" hidden="false" customHeight="false" outlineLevel="1" collapsed="false">
      <c r="A2610" s="7" t="s">
        <v>651</v>
      </c>
      <c r="B2610" s="8" t="s">
        <v>10</v>
      </c>
      <c r="C2610" s="58" t="n">
        <f aca="false">C2491*1000*(C2517+C2518+C2519)+C2492*1000*(C2540+C2541+C2542)+C2493*1000*(C2563+C2564+C2565)</f>
        <v>3458</v>
      </c>
      <c r="D2610" s="58" t="n">
        <f aca="false">D2491*1000*(D2517+D2518+D2519)+D2492*1000*(D2540+D2541+D2542)+D2493*1000*(D2563+D2564+D2565)</f>
        <v>22522.5</v>
      </c>
      <c r="E2610" s="58" t="n">
        <f aca="false">E2491*1000*(E2517+E2518+E2519)+E2492*1000*(E2540+E2541+E2542)+E2493*1000*(E2563+E2564+E2565)</f>
        <v>47293.35</v>
      </c>
      <c r="F2610" s="58" t="n">
        <f aca="false">F2491*1000*(F2517+F2518+F2519)+F2492*1000*(F2540+F2541+F2542)+F2493*1000*(F2563+F2564+F2565)</f>
        <v>81276.65</v>
      </c>
      <c r="G2610" s="58" t="n">
        <f aca="false">G2491*1000*(G2517+G2518+G2519)+G2492*1000*(G2540+G2541+G2542)+G2493*1000*(G2563+G2564+G2565)</f>
        <v>123389.5</v>
      </c>
      <c r="H2610" s="2" t="s">
        <v>1224</v>
      </c>
    </row>
    <row r="2611" customFormat="false" ht="15" hidden="false" customHeight="false" outlineLevel="1" collapsed="false">
      <c r="A2611" s="7" t="s">
        <v>637</v>
      </c>
      <c r="B2611" s="8" t="s">
        <v>10</v>
      </c>
      <c r="C2611" s="58" t="n">
        <f aca="false">C2491*1000*(C2520)+C2492*1000*(C2543)+C2493*1000*(C2566)</f>
        <v>3744</v>
      </c>
      <c r="D2611" s="58" t="n">
        <f aca="false">D2491*1000*(D2520)+D2492*1000*(D2543)+D2493*1000*(D2566)</f>
        <v>23686</v>
      </c>
      <c r="E2611" s="58" t="n">
        <f aca="false">E2491*1000*(E2520)+E2492*1000*(E2543)+E2493*1000*(E2566)</f>
        <v>54574</v>
      </c>
      <c r="F2611" s="58" t="n">
        <f aca="false">F2491*1000*(F2520)+F2492*1000*(F2543)+F2493*1000*(F2566)</f>
        <v>96226</v>
      </c>
      <c r="G2611" s="58" t="n">
        <f aca="false">G2491*1000*(G2520)+G2492*1000*(G2543)+G2493*1000*(G2566)</f>
        <v>146380</v>
      </c>
      <c r="H2611" s="2" t="s">
        <v>1225</v>
      </c>
    </row>
    <row r="2612" customFormat="false" ht="15" hidden="false" customHeight="false" outlineLevel="1" collapsed="false">
      <c r="A2612" s="7" t="s">
        <v>652</v>
      </c>
      <c r="B2612" s="8" t="s">
        <v>10</v>
      </c>
      <c r="C2612" s="58" t="n">
        <f aca="false">C2491*1000*(C2521)+C2492*1000*(C2544)+C2493*1000*(C2567)+C2502*1000*Pressupostos!$C$97</f>
        <v>442</v>
      </c>
      <c r="D2612" s="58" t="n">
        <f aca="false">D2491*1000*(D2521)+D2492*1000*(D2544)+D2493*1000*(D2567)+D2502*1000*Pressupostos!$C$97</f>
        <v>2840.5</v>
      </c>
      <c r="E2612" s="58" t="n">
        <f aca="false">E2491*1000*(E2521)+E2492*1000*(E2544)+E2493*1000*(E2567)+E2502*1000*Pressupostos!$C$97</f>
        <v>7559.5</v>
      </c>
      <c r="F2612" s="58" t="n">
        <f aca="false">F2491*1000*(F2521)+F2492*1000*(F2544)+F2493*1000*(F2567)+F2502*1000*Pressupostos!$C$97</f>
        <v>13500.5</v>
      </c>
      <c r="G2612" s="58" t="n">
        <f aca="false">G2491*1000*(G2521)+G2492*1000*(G2544)+G2493*1000*(G2567)+G2502*1000*Pressupostos!$C$97</f>
        <v>20865</v>
      </c>
      <c r="H2612" s="2" t="s">
        <v>1226</v>
      </c>
    </row>
    <row r="2613" customFormat="false" ht="15" hidden="false" customHeight="false" outlineLevel="1" collapsed="false">
      <c r="A2613" s="7" t="s">
        <v>76</v>
      </c>
      <c r="B2613" s="8" t="s">
        <v>10</v>
      </c>
      <c r="C2613" s="58" t="n">
        <f aca="false">C2491*1000*(C2522)+C2492*1000*(C2545)+C2493*1000*(C2568)+C2502*1000*Pressupostos!$C$96*Pressupostos!$C$91</f>
        <v>1199.484</v>
      </c>
      <c r="D2613" s="58" t="n">
        <f aca="false">D2491*1000*(D2522)+D2492*1000*(D2545)+D2493*1000*(D2568)+D2502*1000*Pressupostos!$C$96*Pressupostos!$C$91</f>
        <v>7625.826</v>
      </c>
      <c r="E2613" s="58" t="n">
        <f aca="false">E2491*1000*(E2522)+E2492*1000*(E2545)+E2493*1000*(E2568)+E2502*1000*Pressupostos!$C$96*Pressupostos!$C$91</f>
        <v>19275.984</v>
      </c>
      <c r="F2613" s="58" t="n">
        <f aca="false">F2491*1000*(F2522)+F2492*1000*(F2545)+F2493*1000*(F2568)+F2502*1000*Pressupostos!$C$96*Pressupostos!$C$91</f>
        <v>34333.416</v>
      </c>
      <c r="G2613" s="58" t="n">
        <f aca="false">G2491*1000*(G2522)+G2492*1000*(G2545)+G2493*1000*(G2568)+G2502*1000*Pressupostos!$C$96*Pressupostos!$C$91</f>
        <v>52752.18</v>
      </c>
      <c r="H2613" s="2" t="s">
        <v>1227</v>
      </c>
    </row>
    <row r="2614" customFormat="false" ht="15" hidden="false" customHeight="false" outlineLevel="1" collapsed="false">
      <c r="A2614" s="7" t="s">
        <v>653</v>
      </c>
      <c r="B2614" s="8" t="s">
        <v>10</v>
      </c>
      <c r="C2614" s="58" t="n">
        <f aca="false">C2491*1000*(C2523)+C2492*1000*(C2546)+C2493*1000*(C2569)+C2502*1000*Pressupostos!$D$29*Pressupostos!$C$90</f>
        <v>0</v>
      </c>
      <c r="D2614" s="58" t="n">
        <f aca="false">D2491*1000*(D2523)+D2492*1000*(D2546)+D2493*1000*(D2569)+D2502*1000*Pressupostos!$D$29*Pressupostos!$C$90</f>
        <v>0</v>
      </c>
      <c r="E2614" s="58" t="n">
        <f aca="false">E2491*1000*(E2523)+E2492*1000*(E2546)+E2493*1000*(E2569)+E2502*1000*Pressupostos!$D$29*Pressupostos!$C$90</f>
        <v>0</v>
      </c>
      <c r="F2614" s="58" t="n">
        <f aca="false">F2491*1000*(F2523)+F2492*1000*(F2546)+F2493*1000*(F2569)+F2502*1000*Pressupostos!$D$29*Pressupostos!$C$90</f>
        <v>0</v>
      </c>
      <c r="G2614" s="58" t="n">
        <f aca="false">G2491*1000*(G2523)+G2492*1000*(G2546)+G2493*1000*(G2569)+G2502*1000*Pressupostos!$D$29*Pressupostos!$C$90</f>
        <v>0</v>
      </c>
      <c r="H2614" s="2" t="s">
        <v>1228</v>
      </c>
    </row>
    <row r="2615" customFormat="false" ht="15" hidden="false" customHeight="false" outlineLevel="1" collapsed="false">
      <c r="A2615" s="7" t="s">
        <v>654</v>
      </c>
      <c r="B2615" s="8" t="s">
        <v>10</v>
      </c>
      <c r="C2615" s="58" t="n">
        <f aca="false">C2505*1000*Pressupostos!$C$102*Pressupostos!$D$30</f>
        <v>0</v>
      </c>
      <c r="D2615" s="58" t="n">
        <f aca="false">D2505*1000*Pressupostos!$C$102*Pressupostos!$D$30</f>
        <v>8228.57142857143</v>
      </c>
      <c r="E2615" s="58" t="n">
        <f aca="false">E2505*1000*Pressupostos!$C$102*Pressupostos!$D$30</f>
        <v>24685.7142857143</v>
      </c>
      <c r="F2615" s="58" t="n">
        <f aca="false">F2505*1000*Pressupostos!$C$102*Pressupostos!$D$30</f>
        <v>49371.4285714286</v>
      </c>
      <c r="G2615" s="58" t="n">
        <f aca="false">G2505*1000*Pressupostos!$C$102*Pressupostos!$D$30</f>
        <v>82285.7142857143</v>
      </c>
      <c r="H2615" s="2" t="s">
        <v>1229</v>
      </c>
    </row>
    <row r="2616" customFormat="false" ht="15" hidden="false" customHeight="false" outlineLevel="1" collapsed="false">
      <c r="A2616" s="7" t="s">
        <v>655</v>
      </c>
      <c r="B2616" s="8" t="s">
        <v>10</v>
      </c>
      <c r="C2616" s="58" t="n">
        <f aca="false">C2607+C2608+C2609+C2610+C2611+C2612+C2613+C2614+C2615</f>
        <v>19944.4155068493</v>
      </c>
      <c r="D2616" s="58" t="n">
        <f aca="false">D2607+D2608+D2609+D2610+D2611+D2612+D2613+D2614+D2615</f>
        <v>132901.44674364</v>
      </c>
      <c r="E2616" s="58" t="n">
        <f aca="false">E2607+E2608+E2609+E2610+E2611+E2612+E2613+E2614+E2615</f>
        <v>307384.425545988</v>
      </c>
      <c r="F2616" s="58" t="n">
        <f aca="false">F2607+F2608+F2609+F2610+F2611+F2612+F2613+F2614+F2615</f>
        <v>548814.404982388</v>
      </c>
      <c r="G2616" s="58" t="n">
        <f aca="false">G2607+G2608+G2609+G2610+G2611+G2612+G2613+G2614+G2615</f>
        <v>844848.59702544</v>
      </c>
      <c r="H2616" s="2" t="s">
        <v>1230</v>
      </c>
    </row>
    <row r="2617" customFormat="false" ht="15" hidden="false" customHeight="false" outlineLevel="1" collapsed="false">
      <c r="A2617" s="7" t="s">
        <v>656</v>
      </c>
      <c r="B2617" s="8" t="s">
        <v>10</v>
      </c>
      <c r="C2617" s="58" t="n">
        <f aca="false">C2491*1000*(C2524)+C2492*1000*(C2547)+C2493*1000*(C2570)</f>
        <v>0</v>
      </c>
      <c r="D2617" s="58" t="n">
        <f aca="false">D2491*1000*(D2524)+D2492*1000*(D2547)+D2493*1000*(D2570)</f>
        <v>30312.1356164384</v>
      </c>
      <c r="E2617" s="58" t="n">
        <f aca="false">E2491*1000*(E2524)+E2492*1000*(E2547)+E2493*1000*(E2570)</f>
        <v>47562.5284674658</v>
      </c>
      <c r="F2617" s="58" t="n">
        <f aca="false">F2491*1000*(F2524)+F2492*1000*(F2547)+F2493*1000*(F2570)</f>
        <v>76011.1235445206</v>
      </c>
      <c r="G2617" s="58" t="n">
        <f aca="false">G2491*1000*(G2524)+G2492*1000*(G2547)+G2493*1000*(G2570)</f>
        <v>115361.899828767</v>
      </c>
      <c r="H2617" s="2" t="s">
        <v>1231</v>
      </c>
    </row>
    <row r="2618" customFormat="false" ht="15" hidden="false" customHeight="false" outlineLevel="1" collapsed="false">
      <c r="A2618" s="7" t="s">
        <v>657</v>
      </c>
      <c r="B2618" s="8" t="s">
        <v>10</v>
      </c>
      <c r="C2618" s="58" t="n">
        <f aca="false">C2502*1000*C2597</f>
        <v>0</v>
      </c>
      <c r="D2618" s="58" t="n">
        <f aca="false">D2502*1000*D2597</f>
        <v>0</v>
      </c>
      <c r="E2618" s="58" t="n">
        <f aca="false">E2502*1000*E2597</f>
        <v>2839.85445205479</v>
      </c>
      <c r="F2618" s="58" t="n">
        <f aca="false">F2502*1000*F2597</f>
        <v>5301.06164383562</v>
      </c>
      <c r="G2618" s="58" t="n">
        <f aca="false">G2502*1000*G2597</f>
        <v>8835.10273972603</v>
      </c>
      <c r="H2618" s="2" t="s">
        <v>1232</v>
      </c>
    </row>
    <row r="2619" customFormat="false" ht="15" hidden="false" customHeight="false" outlineLevel="1" collapsed="false">
      <c r="A2619" s="7" t="s">
        <v>658</v>
      </c>
      <c r="B2619" s="8" t="s">
        <v>10</v>
      </c>
      <c r="C2619" s="58" t="n">
        <f aca="false">C2617+C2618</f>
        <v>0</v>
      </c>
      <c r="D2619" s="58" t="n">
        <f aca="false">D2617+D2618</f>
        <v>30312.1356164384</v>
      </c>
      <c r="E2619" s="58" t="n">
        <f aca="false">E2617+E2618</f>
        <v>50402.3829195206</v>
      </c>
      <c r="F2619" s="58" t="n">
        <f aca="false">F2617+F2618</f>
        <v>81312.1851883562</v>
      </c>
      <c r="G2619" s="58" t="n">
        <f aca="false">G2617+G2618</f>
        <v>124197.002568493</v>
      </c>
      <c r="H2619" s="2" t="s">
        <v>1233</v>
      </c>
    </row>
    <row r="2620" customFormat="false" ht="15" hidden="false" customHeight="false" outlineLevel="1" collapsed="false">
      <c r="A2620" s="8" t="s">
        <v>659</v>
      </c>
      <c r="B2620" s="8" t="s">
        <v>10</v>
      </c>
      <c r="C2620" s="66" t="n">
        <f aca="false">ROUND(C2585-C2606-C2616-C2619-C2602,6)</f>
        <v>-0</v>
      </c>
      <c r="D2620" s="66" t="n">
        <f aca="false">ROUND(D2585-D2606-D2616-D2619-D2602,6)</f>
        <v>-0</v>
      </c>
      <c r="E2620" s="66" t="n">
        <f aca="false">ROUND(E2585-E2606-E2616-E2619-E2602,6)</f>
        <v>-0</v>
      </c>
      <c r="F2620" s="66" t="n">
        <f aca="false">ROUND(F2585-F2606-F2616-F2619-F2602,6)</f>
        <v>-0</v>
      </c>
      <c r="G2620" s="66" t="n">
        <f aca="false">ROUND(G2585-G2606-G2616-G2619-G2602,6)</f>
        <v>-0</v>
      </c>
      <c r="H2620" s="2" t="s">
        <v>1234</v>
      </c>
    </row>
    <row r="2621" customFormat="false" ht="15" hidden="false" customHeight="false" outlineLevel="0" collapsed="false">
      <c r="A2621" s="3" t="s">
        <v>1235</v>
      </c>
      <c r="B2621" s="4"/>
      <c r="C2621" s="4"/>
      <c r="D2621" s="4"/>
      <c r="E2621" s="4"/>
      <c r="F2621" s="4"/>
      <c r="G2621" s="4"/>
      <c r="H2621" s="4"/>
    </row>
    <row r="2622" customFormat="false" ht="15" hidden="false" customHeight="false" outlineLevel="1" collapsed="false">
      <c r="A2622" s="7" t="s">
        <v>602</v>
      </c>
      <c r="B2622" s="8" t="s">
        <v>413</v>
      </c>
      <c r="C2622" s="61" t="n">
        <f aca="false">Pressupostos!$C$315</f>
        <v>1</v>
      </c>
      <c r="D2622" s="61" t="n">
        <f aca="false">Pressupostos!$D$315</f>
        <v>1</v>
      </c>
      <c r="E2622" s="61" t="n">
        <f aca="false">Pressupostos!$E$315</f>
        <v>1</v>
      </c>
      <c r="F2622" s="61" t="n">
        <f aca="false">Pressupostos!$F$315</f>
        <v>1</v>
      </c>
      <c r="G2622" s="61" t="n">
        <f aca="false">Pressupostos!$G$315</f>
        <v>1</v>
      </c>
      <c r="H2622" s="2" t="s">
        <v>1236</v>
      </c>
    </row>
    <row r="2623" customFormat="false" ht="15" hidden="false" customHeight="false" outlineLevel="1" collapsed="false">
      <c r="A2623" s="7" t="s">
        <v>603</v>
      </c>
      <c r="B2623" s="8" t="s">
        <v>413</v>
      </c>
      <c r="C2623" s="61" t="n">
        <f aca="false">Pressupostos!$C$321</f>
        <v>1</v>
      </c>
      <c r="D2623" s="61" t="n">
        <f aca="false">Pressupostos!$D$321</f>
        <v>1</v>
      </c>
      <c r="E2623" s="61" t="n">
        <f aca="false">Pressupostos!$E$321</f>
        <v>1</v>
      </c>
      <c r="F2623" s="61" t="n">
        <f aca="false">Pressupostos!$F$321</f>
        <v>1</v>
      </c>
      <c r="G2623" s="61" t="n">
        <f aca="false">Pressupostos!$G$321</f>
        <v>1</v>
      </c>
      <c r="H2623" s="2" t="s">
        <v>1237</v>
      </c>
    </row>
    <row r="2624" customFormat="false" ht="15" hidden="false" customHeight="false" outlineLevel="1" collapsed="false">
      <c r="A2624" s="7" t="s">
        <v>604</v>
      </c>
      <c r="B2624" s="8" t="s">
        <v>413</v>
      </c>
      <c r="C2624" s="61" t="n">
        <f aca="false">Pressupostos!$C$327</f>
        <v>1</v>
      </c>
      <c r="D2624" s="61" t="n">
        <f aca="false">Pressupostos!$D$327</f>
        <v>1</v>
      </c>
      <c r="E2624" s="61" t="n">
        <f aca="false">Pressupostos!$E$327</f>
        <v>2</v>
      </c>
      <c r="F2624" s="61" t="n">
        <f aca="false">Pressupostos!$F$327</f>
        <v>2</v>
      </c>
      <c r="G2624" s="61" t="n">
        <f aca="false">Pressupostos!$G$327</f>
        <v>2</v>
      </c>
      <c r="H2624" s="2" t="s">
        <v>1238</v>
      </c>
    </row>
    <row r="2625" customFormat="false" ht="15" hidden="false" customHeight="false" outlineLevel="1" collapsed="false">
      <c r="A2625" s="7" t="s">
        <v>605</v>
      </c>
      <c r="B2625" s="8" t="s">
        <v>413</v>
      </c>
      <c r="C2625" s="61" t="n">
        <f aca="false">Pressupostos!$C$333</f>
        <v>1</v>
      </c>
      <c r="D2625" s="61" t="n">
        <f aca="false">Pressupostos!$D$333</f>
        <v>1</v>
      </c>
      <c r="E2625" s="61" t="n">
        <f aca="false">Pressupostos!$E$333</f>
        <v>1</v>
      </c>
      <c r="F2625" s="61" t="n">
        <f aca="false">Pressupostos!$F$333</f>
        <v>1</v>
      </c>
      <c r="G2625" s="61" t="n">
        <f aca="false">Pressupostos!$G$333</f>
        <v>1</v>
      </c>
      <c r="H2625" s="2" t="s">
        <v>1239</v>
      </c>
    </row>
    <row r="2626" customFormat="false" ht="15" hidden="false" customHeight="false" outlineLevel="1" collapsed="false">
      <c r="A2626" s="7" t="s">
        <v>606</v>
      </c>
      <c r="B2626" s="8" t="s">
        <v>413</v>
      </c>
      <c r="C2626" s="61" t="n">
        <f aca="false">Pressupostos!$C$339</f>
        <v>0.5</v>
      </c>
      <c r="D2626" s="61" t="n">
        <f aca="false">Pressupostos!$D$339</f>
        <v>1</v>
      </c>
      <c r="E2626" s="61" t="n">
        <f aca="false">Pressupostos!$E$339</f>
        <v>1</v>
      </c>
      <c r="F2626" s="61" t="n">
        <f aca="false">Pressupostos!$F$339</f>
        <v>1</v>
      </c>
      <c r="G2626" s="61" t="n">
        <f aca="false">Pressupostos!$G$339</f>
        <v>1</v>
      </c>
      <c r="H2626" s="2" t="s">
        <v>1240</v>
      </c>
    </row>
    <row r="2627" customFormat="false" ht="15" hidden="false" customHeight="false" outlineLevel="1" collapsed="false">
      <c r="A2627" s="7" t="s">
        <v>607</v>
      </c>
      <c r="B2627" s="8" t="s">
        <v>413</v>
      </c>
      <c r="C2627" s="61" t="n">
        <f aca="false">Pressupostos!$C$345</f>
        <v>1</v>
      </c>
      <c r="D2627" s="61" t="n">
        <f aca="false">Pressupostos!$D$345</f>
        <v>1</v>
      </c>
      <c r="E2627" s="61" t="n">
        <f aca="false">Pressupostos!$E$345</f>
        <v>1</v>
      </c>
      <c r="F2627" s="61" t="n">
        <f aca="false">Pressupostos!$F$345</f>
        <v>2</v>
      </c>
      <c r="G2627" s="61" t="n">
        <f aca="false">Pressupostos!$G$345</f>
        <v>2</v>
      </c>
      <c r="H2627" s="2" t="s">
        <v>1241</v>
      </c>
    </row>
    <row r="2628" customFormat="false" ht="15" hidden="false" customHeight="false" outlineLevel="1" collapsed="false">
      <c r="A2628" s="7" t="s">
        <v>608</v>
      </c>
      <c r="B2628" s="8" t="s">
        <v>413</v>
      </c>
      <c r="C2628" s="61" t="n">
        <f aca="false">Pressupostos!$C$351</f>
        <v>0.5</v>
      </c>
      <c r="D2628" s="61" t="n">
        <f aca="false">Pressupostos!$D$351</f>
        <v>1</v>
      </c>
      <c r="E2628" s="61" t="n">
        <f aca="false">Pressupostos!$E$351</f>
        <v>1</v>
      </c>
      <c r="F2628" s="61" t="n">
        <f aca="false">Pressupostos!$F$351</f>
        <v>1</v>
      </c>
      <c r="G2628" s="61" t="n">
        <f aca="false">Pressupostos!$G$351</f>
        <v>1</v>
      </c>
      <c r="H2628" s="2" t="s">
        <v>1242</v>
      </c>
    </row>
    <row r="2629" customFormat="false" ht="15" hidden="false" customHeight="false" outlineLevel="1" collapsed="false">
      <c r="A2629" s="7" t="s">
        <v>609</v>
      </c>
      <c r="B2629" s="8" t="s">
        <v>413</v>
      </c>
      <c r="C2629" s="61" t="n">
        <f aca="false">Pressupostos!$C$357</f>
        <v>1</v>
      </c>
      <c r="D2629" s="61" t="n">
        <f aca="false">Pressupostos!$D$357</f>
        <v>1</v>
      </c>
      <c r="E2629" s="61" t="n">
        <f aca="false">Pressupostos!$E$357</f>
        <v>2</v>
      </c>
      <c r="F2629" s="61" t="n">
        <f aca="false">Pressupostos!$F$357</f>
        <v>3</v>
      </c>
      <c r="G2629" s="61" t="n">
        <f aca="false">Pressupostos!$G$357</f>
        <v>5</v>
      </c>
      <c r="H2629" s="2" t="s">
        <v>1243</v>
      </c>
    </row>
    <row r="2630" customFormat="false" ht="15" hidden="false" customHeight="false" outlineLevel="1" collapsed="false">
      <c r="A2630" s="7" t="s">
        <v>610</v>
      </c>
      <c r="B2630" s="8" t="s">
        <v>413</v>
      </c>
      <c r="C2630" s="61" t="n">
        <f aca="false">Pressupostos!$C$363</f>
        <v>0</v>
      </c>
      <c r="D2630" s="61" t="n">
        <f aca="false">Pressupostos!$D$363</f>
        <v>0</v>
      </c>
      <c r="E2630" s="61" t="n">
        <f aca="false">Pressupostos!$E$363</f>
        <v>0</v>
      </c>
      <c r="F2630" s="61" t="n">
        <f aca="false">Pressupostos!$F$363</f>
        <v>1</v>
      </c>
      <c r="G2630" s="61" t="n">
        <f aca="false">Pressupostos!$G$363</f>
        <v>1</v>
      </c>
      <c r="H2630" s="2" t="s">
        <v>1244</v>
      </c>
    </row>
    <row r="2631" customFormat="false" ht="15" hidden="false" customHeight="false" outlineLevel="1" collapsed="false">
      <c r="A2631" s="7" t="s">
        <v>611</v>
      </c>
      <c r="B2631" s="8" t="s">
        <v>413</v>
      </c>
      <c r="C2631" s="61" t="n">
        <f aca="false">Pressupostos!$C$369</f>
        <v>0</v>
      </c>
      <c r="D2631" s="61" t="n">
        <f aca="false">Pressupostos!$D$369</f>
        <v>0</v>
      </c>
      <c r="E2631" s="61" t="n">
        <f aca="false">Pressupostos!$E$369</f>
        <v>0</v>
      </c>
      <c r="F2631" s="61" t="n">
        <f aca="false">Pressupostos!$F$369</f>
        <v>0</v>
      </c>
      <c r="G2631" s="61" t="n">
        <f aca="false">Pressupostos!$G$369</f>
        <v>1</v>
      </c>
      <c r="H2631" s="2" t="s">
        <v>1245</v>
      </c>
    </row>
    <row r="2632" customFormat="false" ht="15" hidden="false" customHeight="false" outlineLevel="1" collapsed="false">
      <c r="A2632" s="7" t="s">
        <v>612</v>
      </c>
      <c r="B2632" s="8" t="s">
        <v>413</v>
      </c>
      <c r="C2632" s="61" t="n">
        <f aca="false">Pressupostos!$C$375</f>
        <v>0</v>
      </c>
      <c r="D2632" s="61" t="n">
        <f aca="false">Pressupostos!$D$375</f>
        <v>0</v>
      </c>
      <c r="E2632" s="61" t="n">
        <f aca="false">Pressupostos!$E$375</f>
        <v>1</v>
      </c>
      <c r="F2632" s="61" t="n">
        <f aca="false">Pressupostos!$F$375</f>
        <v>1</v>
      </c>
      <c r="G2632" s="61" t="n">
        <f aca="false">Pressupostos!$G$375</f>
        <v>1</v>
      </c>
      <c r="H2632" s="2" t="s">
        <v>1246</v>
      </c>
    </row>
    <row r="2633" customFormat="false" ht="15" hidden="false" customHeight="false" outlineLevel="1" collapsed="false">
      <c r="A2633" s="7" t="s">
        <v>613</v>
      </c>
      <c r="B2633" s="8" t="s">
        <v>413</v>
      </c>
      <c r="C2633" s="61" t="n">
        <f aca="false">Pressupostos!$C$381</f>
        <v>0</v>
      </c>
      <c r="D2633" s="61" t="n">
        <f aca="false">Pressupostos!$D$381</f>
        <v>0</v>
      </c>
      <c r="E2633" s="61" t="n">
        <f aca="false">Pressupostos!$E$381</f>
        <v>0</v>
      </c>
      <c r="F2633" s="61" t="n">
        <f aca="false">Pressupostos!$F$381</f>
        <v>0</v>
      </c>
      <c r="G2633" s="61" t="n">
        <f aca="false">Pressupostos!$G$381</f>
        <v>0</v>
      </c>
      <c r="H2633" s="2" t="s">
        <v>1247</v>
      </c>
    </row>
    <row r="2634" customFormat="false" ht="15" hidden="false" customHeight="false" outlineLevel="1" collapsed="false">
      <c r="A2634" s="52" t="s">
        <v>614</v>
      </c>
      <c r="B2634" s="53" t="s">
        <v>413</v>
      </c>
      <c r="C2634" s="62" t="n">
        <f aca="false">C2622+C2623+C2624+C2625+C2626+C2627+C2628+C2629+C2630+C2631+C2632+C2633</f>
        <v>7</v>
      </c>
      <c r="D2634" s="62" t="n">
        <f aca="false">D2622+D2623+D2624+D2625+D2626+D2627+D2628+D2629+D2630+D2631+D2632+D2633</f>
        <v>8</v>
      </c>
      <c r="E2634" s="62" t="n">
        <f aca="false">E2622+E2623+E2624+E2625+E2626+E2627+E2628+E2629+E2630+E2631+E2632+E2633</f>
        <v>11</v>
      </c>
      <c r="F2634" s="62" t="n">
        <f aca="false">F2622+F2623+F2624+F2625+F2626+F2627+F2628+F2629+F2630+F2631+F2632+F2633</f>
        <v>14</v>
      </c>
      <c r="G2634" s="62" t="n">
        <f aca="false">G2622+G2623+G2624+G2625+G2626+G2627+G2628+G2629+G2630+G2631+G2632+G2633</f>
        <v>17</v>
      </c>
      <c r="H2634" s="2" t="s">
        <v>1248</v>
      </c>
    </row>
    <row r="2635" customFormat="false" ht="15" hidden="false" customHeight="false" outlineLevel="0" collapsed="false">
      <c r="A2635" s="3" t="s">
        <v>1249</v>
      </c>
      <c r="B2635" s="4"/>
      <c r="C2635" s="4"/>
      <c r="D2635" s="4"/>
      <c r="E2635" s="4"/>
      <c r="F2635" s="4"/>
      <c r="G2635" s="4"/>
      <c r="H2635" s="4"/>
    </row>
    <row r="2636" customFormat="false" ht="15" hidden="false" customHeight="false" outlineLevel="1" collapsed="false">
      <c r="A2636" s="7" t="s">
        <v>602</v>
      </c>
      <c r="B2636" s="8" t="s">
        <v>10</v>
      </c>
      <c r="C2636" s="58" t="n">
        <f aca="false">C2622*Pressupostos!$C$129*(1+Pressupostos!$C$125)^0*(1+Pressupostos!$C$130)*Pressupostos!$C$126</f>
        <v>43998</v>
      </c>
      <c r="D2636" s="58" t="n">
        <f aca="false">D2622*Pressupostos!$C$129*(1+Pressupostos!$C$125)^1*(1+Pressupostos!$C$130)</f>
        <v>61800</v>
      </c>
      <c r="E2636" s="58" t="n">
        <f aca="false">E2622*Pressupostos!$C$129*(1+Pressupostos!$C$125)^2*(1+Pressupostos!$C$130)</f>
        <v>63654</v>
      </c>
      <c r="F2636" s="58" t="n">
        <f aca="false">F2622*Pressupostos!$C$129*(1+Pressupostos!$C$125)^3*(1+Pressupostos!$C$130)</f>
        <v>65563.62</v>
      </c>
      <c r="G2636" s="58" t="n">
        <f aca="false">G2622*Pressupostos!$C$129*(1+Pressupostos!$C$125)^4*(1+Pressupostos!$C$130)</f>
        <v>67530.5286</v>
      </c>
      <c r="H2636" s="2" t="s">
        <v>1250</v>
      </c>
    </row>
    <row r="2637" customFormat="false" ht="15" hidden="false" customHeight="false" outlineLevel="1" collapsed="false">
      <c r="A2637" s="7" t="s">
        <v>603</v>
      </c>
      <c r="B2637" s="8" t="s">
        <v>10</v>
      </c>
      <c r="C2637" s="58" t="n">
        <f aca="false">C2623*Pressupostos!$C$131*(1+Pressupostos!$C$125)^0*(1+Pressupostos!$C$132)*Pressupostos!$C$126</f>
        <v>47664.5</v>
      </c>
      <c r="D2637" s="58" t="n">
        <f aca="false">D2623*Pressupostos!$C$131*(1+Pressupostos!$C$125)^1*(1+Pressupostos!$C$132)</f>
        <v>66950</v>
      </c>
      <c r="E2637" s="58" t="n">
        <f aca="false">E2623*Pressupostos!$C$131*(1+Pressupostos!$C$125)^2*(1+Pressupostos!$C$132)</f>
        <v>68958.5</v>
      </c>
      <c r="F2637" s="58" t="n">
        <f aca="false">F2623*Pressupostos!$C$131*(1+Pressupostos!$C$125)^3*(1+Pressupostos!$C$132)</f>
        <v>71027.255</v>
      </c>
      <c r="G2637" s="58" t="n">
        <f aca="false">G2623*Pressupostos!$C$131*(1+Pressupostos!$C$125)^4*(1+Pressupostos!$C$132)</f>
        <v>73158.07265</v>
      </c>
      <c r="H2637" s="2" t="s">
        <v>1251</v>
      </c>
    </row>
    <row r="2638" customFormat="false" ht="15" hidden="false" customHeight="false" outlineLevel="1" collapsed="false">
      <c r="A2638" s="7" t="s">
        <v>604</v>
      </c>
      <c r="B2638" s="8" t="s">
        <v>10</v>
      </c>
      <c r="C2638" s="58" t="n">
        <f aca="false">C2624*Pressupostos!$C$133*(1+Pressupostos!$C$125)^0*(1+Pressupostos!$C$134)</f>
        <v>45000</v>
      </c>
      <c r="D2638" s="58" t="n">
        <f aca="false">D2624*Pressupostos!$C$133*(1+Pressupostos!$C$125)^1*(1+Pressupostos!$C$134)</f>
        <v>46350</v>
      </c>
      <c r="E2638" s="58" t="n">
        <f aca="false">E2624*Pressupostos!$C$133*(1+Pressupostos!$C$125)^2*(1+Pressupostos!$C$134)</f>
        <v>95481</v>
      </c>
      <c r="F2638" s="58" t="n">
        <f aca="false">F2624*Pressupostos!$C$133*(1+Pressupostos!$C$125)^3*(1+Pressupostos!$C$134)</f>
        <v>98345.43</v>
      </c>
      <c r="G2638" s="58" t="n">
        <f aca="false">G2624*Pressupostos!$C$133*(1+Pressupostos!$C$125)^4*(1+Pressupostos!$C$134)</f>
        <v>101295.7929</v>
      </c>
      <c r="H2638" s="2" t="s">
        <v>1252</v>
      </c>
    </row>
    <row r="2639" customFormat="false" ht="15" hidden="false" customHeight="false" outlineLevel="1" collapsed="false">
      <c r="A2639" s="7" t="s">
        <v>605</v>
      </c>
      <c r="B2639" s="8" t="s">
        <v>10</v>
      </c>
      <c r="C2639" s="58" t="n">
        <f aca="false">C2625*Pressupostos!$C$135*(1+Pressupostos!$C$125)^0*(1+Pressupostos!$C$136)</f>
        <v>60000</v>
      </c>
      <c r="D2639" s="58" t="n">
        <f aca="false">D2625*Pressupostos!$C$135*(1+Pressupostos!$C$125)^1*(1+Pressupostos!$C$136)</f>
        <v>61800</v>
      </c>
      <c r="E2639" s="58" t="n">
        <f aca="false">E2625*Pressupostos!$C$135*(1+Pressupostos!$C$125)^2*(1+Pressupostos!$C$136)</f>
        <v>63654</v>
      </c>
      <c r="F2639" s="58" t="n">
        <f aca="false">F2625*Pressupostos!$C$135*(1+Pressupostos!$C$125)^3*(1+Pressupostos!$C$136)</f>
        <v>65563.62</v>
      </c>
      <c r="G2639" s="58" t="n">
        <f aca="false">G2625*Pressupostos!$C$135*(1+Pressupostos!$C$125)^4*(1+Pressupostos!$C$136)</f>
        <v>67530.5286</v>
      </c>
      <c r="H2639" s="2" t="s">
        <v>1253</v>
      </c>
    </row>
    <row r="2640" customFormat="false" ht="15" hidden="false" customHeight="false" outlineLevel="1" collapsed="false">
      <c r="A2640" s="7" t="s">
        <v>606</v>
      </c>
      <c r="B2640" s="8" t="s">
        <v>10</v>
      </c>
      <c r="C2640" s="58" t="n">
        <f aca="false">C2626*Pressupostos!$C$137*(1+Pressupostos!$C$125)^0*(1+Pressupostos!$C$138)</f>
        <v>22500</v>
      </c>
      <c r="D2640" s="58" t="n">
        <f aca="false">D2626*Pressupostos!$C$137*(1+Pressupostos!$C$125)^1*(1+Pressupostos!$C$138)</f>
        <v>46350</v>
      </c>
      <c r="E2640" s="58" t="n">
        <f aca="false">E2626*Pressupostos!$C$137*(1+Pressupostos!$C$125)^2*(1+Pressupostos!$C$138)</f>
        <v>47740.5</v>
      </c>
      <c r="F2640" s="58" t="n">
        <f aca="false">F2626*Pressupostos!$C$137*(1+Pressupostos!$C$125)^3*(1+Pressupostos!$C$138)</f>
        <v>49172.715</v>
      </c>
      <c r="G2640" s="58" t="n">
        <f aca="false">G2626*Pressupostos!$C$137*(1+Pressupostos!$C$125)^4*(1+Pressupostos!$C$138)</f>
        <v>50647.89645</v>
      </c>
      <c r="H2640" s="2" t="s">
        <v>1254</v>
      </c>
    </row>
    <row r="2641" customFormat="false" ht="15" hidden="false" customHeight="false" outlineLevel="1" collapsed="false">
      <c r="A2641" s="7" t="s">
        <v>607</v>
      </c>
      <c r="B2641" s="8" t="s">
        <v>10</v>
      </c>
      <c r="C2641" s="58" t="n">
        <f aca="false">C2627*Pressupostos!$C$139*(1+Pressupostos!$C$125)^0*(1+Pressupostos!$C$140)</f>
        <v>38000</v>
      </c>
      <c r="D2641" s="58" t="n">
        <f aca="false">D2627*Pressupostos!$C$139*(1+Pressupostos!$C$125)^1*(1+Pressupostos!$C$140)</f>
        <v>39140</v>
      </c>
      <c r="E2641" s="58" t="n">
        <f aca="false">E2627*Pressupostos!$C$139*(1+Pressupostos!$C$125)^2*(1+Pressupostos!$C$140)</f>
        <v>40314.2</v>
      </c>
      <c r="F2641" s="58" t="n">
        <f aca="false">F2627*Pressupostos!$C$139*(1+Pressupostos!$C$125)^3*(1+Pressupostos!$C$140)</f>
        <v>83047.252</v>
      </c>
      <c r="G2641" s="58" t="n">
        <f aca="false">G2627*Pressupostos!$C$139*(1+Pressupostos!$C$125)^4*(1+Pressupostos!$C$140)</f>
        <v>85538.66956</v>
      </c>
      <c r="H2641" s="2" t="s">
        <v>1255</v>
      </c>
    </row>
    <row r="2642" customFormat="false" ht="15" hidden="false" customHeight="false" outlineLevel="1" collapsed="false">
      <c r="A2642" s="7" t="s">
        <v>608</v>
      </c>
      <c r="B2642" s="8" t="s">
        <v>10</v>
      </c>
      <c r="C2642" s="58" t="n">
        <f aca="false">C2628*Pressupostos!$C$141*(1+Pressupostos!$C$125)^0*(1+Pressupostos!$C$142)</f>
        <v>16000</v>
      </c>
      <c r="D2642" s="58" t="n">
        <f aca="false">D2628*Pressupostos!$C$141*(1+Pressupostos!$C$125)^1*(1+Pressupostos!$C$142)</f>
        <v>32960</v>
      </c>
      <c r="E2642" s="58" t="n">
        <f aca="false">E2628*Pressupostos!$C$141*(1+Pressupostos!$C$125)^2*(1+Pressupostos!$C$142)</f>
        <v>33948.8</v>
      </c>
      <c r="F2642" s="58" t="n">
        <f aca="false">F2628*Pressupostos!$C$141*(1+Pressupostos!$C$125)^3*(1+Pressupostos!$C$142)</f>
        <v>34967.264</v>
      </c>
      <c r="G2642" s="58" t="n">
        <f aca="false">G2628*Pressupostos!$C$141*(1+Pressupostos!$C$125)^4*(1+Pressupostos!$C$142)</f>
        <v>36016.28192</v>
      </c>
      <c r="H2642" s="2" t="s">
        <v>1256</v>
      </c>
    </row>
    <row r="2643" customFormat="false" ht="15" hidden="false" customHeight="false" outlineLevel="1" collapsed="false">
      <c r="A2643" s="7" t="s">
        <v>609</v>
      </c>
      <c r="B2643" s="8" t="s">
        <v>10</v>
      </c>
      <c r="C2643" s="58" t="n">
        <f aca="false">C2629*Pressupostos!$C$143*(1+Pressupostos!$C$125)^0*(1+Pressupostos!$C$144)</f>
        <v>34500</v>
      </c>
      <c r="D2643" s="58" t="n">
        <f aca="false">D2629*Pressupostos!$C$143*(1+Pressupostos!$C$125)^1*(1+Pressupostos!$C$144)</f>
        <v>35535</v>
      </c>
      <c r="E2643" s="58" t="n">
        <f aca="false">E2629*Pressupostos!$C$143*(1+Pressupostos!$C$125)^2*(1+Pressupostos!$C$144)</f>
        <v>73202.1</v>
      </c>
      <c r="F2643" s="58" t="n">
        <f aca="false">F2629*Pressupostos!$C$143*(1+Pressupostos!$C$125)^3*(1+Pressupostos!$C$144)</f>
        <v>113097.2445</v>
      </c>
      <c r="G2643" s="58" t="n">
        <f aca="false">G2629*Pressupostos!$C$143*(1+Pressupostos!$C$125)^4*(1+Pressupostos!$C$144)</f>
        <v>194150.269725</v>
      </c>
      <c r="H2643" s="2" t="s">
        <v>1257</v>
      </c>
    </row>
    <row r="2644" customFormat="false" ht="15" hidden="false" customHeight="false" outlineLevel="1" collapsed="false">
      <c r="A2644" s="7" t="s">
        <v>610</v>
      </c>
      <c r="B2644" s="8" t="s">
        <v>10</v>
      </c>
      <c r="C2644" s="58" t="n">
        <f aca="false">C2630*Pressupostos!$C$145*(1+Pressupostos!$C$125)^0*(1+Pressupostos!$C$146)</f>
        <v>0</v>
      </c>
      <c r="D2644" s="58" t="n">
        <f aca="false">D2630*Pressupostos!$C$145*(1+Pressupostos!$C$125)^1*(1+Pressupostos!$C$146)</f>
        <v>0</v>
      </c>
      <c r="E2644" s="58" t="n">
        <f aca="false">E2630*Pressupostos!$C$145*(1+Pressupostos!$C$125)^2*(1+Pressupostos!$C$146)</f>
        <v>0</v>
      </c>
      <c r="F2644" s="58" t="n">
        <f aca="false">F2630*Pressupostos!$C$145*(1+Pressupostos!$C$125)^3*(1+Pressupostos!$C$146)</f>
        <v>49172.715</v>
      </c>
      <c r="G2644" s="58" t="n">
        <f aca="false">G2630*Pressupostos!$C$145*(1+Pressupostos!$C$125)^4*(1+Pressupostos!$C$146)</f>
        <v>50647.89645</v>
      </c>
      <c r="H2644" s="2" t="s">
        <v>1258</v>
      </c>
    </row>
    <row r="2645" customFormat="false" ht="15" hidden="false" customHeight="false" outlineLevel="1" collapsed="false">
      <c r="A2645" s="7" t="s">
        <v>611</v>
      </c>
      <c r="B2645" s="8" t="s">
        <v>10</v>
      </c>
      <c r="C2645" s="58" t="n">
        <f aca="false">C2631*Pressupostos!$C$147*(1+Pressupostos!$C$125)^0*(1+Pressupostos!$C$148)</f>
        <v>0</v>
      </c>
      <c r="D2645" s="58" t="n">
        <f aca="false">D2631*Pressupostos!$C$147*(1+Pressupostos!$C$125)^1*(1+Pressupostos!$C$148)</f>
        <v>0</v>
      </c>
      <c r="E2645" s="58" t="n">
        <f aca="false">E2631*Pressupostos!$C$147*(1+Pressupostos!$C$125)^2*(1+Pressupostos!$C$148)</f>
        <v>0</v>
      </c>
      <c r="F2645" s="58" t="n">
        <f aca="false">F2631*Pressupostos!$C$147*(1+Pressupostos!$C$125)^3*(1+Pressupostos!$C$148)</f>
        <v>0</v>
      </c>
      <c r="G2645" s="58" t="n">
        <f aca="false">G2631*Pressupostos!$C$147*(1+Pressupostos!$C$125)^4*(1+Pressupostos!$C$148)</f>
        <v>45020.3524</v>
      </c>
      <c r="H2645" s="2" t="s">
        <v>1259</v>
      </c>
    </row>
    <row r="2646" customFormat="false" ht="15" hidden="false" customHeight="false" outlineLevel="1" collapsed="false">
      <c r="A2646" s="7" t="s">
        <v>612</v>
      </c>
      <c r="B2646" s="8" t="s">
        <v>10</v>
      </c>
      <c r="C2646" s="58" t="n">
        <f aca="false">C2632*Pressupostos!$C$149*(1+Pressupostos!$C$125)^0*(1+Pressupostos!$C$150)</f>
        <v>0</v>
      </c>
      <c r="D2646" s="58" t="n">
        <f aca="false">D2632*Pressupostos!$C$149*(1+Pressupostos!$C$125)^1*(1+Pressupostos!$C$150)</f>
        <v>0</v>
      </c>
      <c r="E2646" s="58" t="n">
        <f aca="false">E2632*Pressupostos!$C$149*(1+Pressupostos!$C$125)^2*(1+Pressupostos!$C$150)</f>
        <v>25461.6</v>
      </c>
      <c r="F2646" s="58" t="n">
        <f aca="false">F2632*Pressupostos!$C$149*(1+Pressupostos!$C$125)^3*(1+Pressupostos!$C$150)</f>
        <v>26225.448</v>
      </c>
      <c r="G2646" s="58" t="n">
        <f aca="false">G2632*Pressupostos!$C$149*(1+Pressupostos!$C$125)^4*(1+Pressupostos!$C$150)</f>
        <v>27012.21144</v>
      </c>
      <c r="H2646" s="2" t="s">
        <v>1260</v>
      </c>
    </row>
    <row r="2647" customFormat="false" ht="15" hidden="false" customHeight="false" outlineLevel="1" collapsed="false">
      <c r="A2647" s="7" t="s">
        <v>613</v>
      </c>
      <c r="B2647" s="8" t="s">
        <v>10</v>
      </c>
      <c r="C2647" s="58" t="n">
        <f aca="false">C2633*Pressupostos!$C$151*(1+Pressupostos!$C$125)^0*(1+Pressupostos!$C$152)</f>
        <v>0</v>
      </c>
      <c r="D2647" s="58" t="n">
        <f aca="false">D2633*Pressupostos!$C$151*(1+Pressupostos!$C$125)^1*(1+Pressupostos!$C$152)</f>
        <v>0</v>
      </c>
      <c r="E2647" s="58" t="n">
        <f aca="false">E2633*Pressupostos!$C$151*(1+Pressupostos!$C$125)^2*(1+Pressupostos!$C$152)</f>
        <v>0</v>
      </c>
      <c r="F2647" s="58" t="n">
        <f aca="false">F2633*Pressupostos!$C$151*(1+Pressupostos!$C$125)^3*(1+Pressupostos!$C$152)</f>
        <v>0</v>
      </c>
      <c r="G2647" s="58" t="n">
        <f aca="false">G2633*Pressupostos!$C$151*(1+Pressupostos!$C$125)^4*(1+Pressupostos!$C$152)</f>
        <v>0</v>
      </c>
      <c r="H2647" s="2" t="s">
        <v>1261</v>
      </c>
    </row>
    <row r="2648" customFormat="false" ht="15" hidden="false" customHeight="false" outlineLevel="1" collapsed="false">
      <c r="A2648" s="7" t="s">
        <v>616</v>
      </c>
      <c r="B2648" s="8" t="s">
        <v>10</v>
      </c>
      <c r="C2648" s="58" t="n">
        <f aca="false">C2636+C2637+C2638+C2639+C2640+C2641+C2642+C2643+C2644+C2645+C2646+C2647</f>
        <v>307662.5</v>
      </c>
      <c r="D2648" s="58" t="n">
        <f aca="false">D2636+D2637+D2638+D2639+D2640+D2641+D2642+D2643+D2644+D2645+D2646+D2647</f>
        <v>390885</v>
      </c>
      <c r="E2648" s="58" t="n">
        <f aca="false">E2636+E2637+E2638+E2639+E2640+E2641+E2642+E2643+E2644+E2645+E2646+E2647</f>
        <v>512414.7</v>
      </c>
      <c r="F2648" s="58" t="n">
        <f aca="false">F2636+F2637+F2638+F2639+F2640+F2641+F2642+F2643+F2644+F2645+F2646+F2647</f>
        <v>656182.5635</v>
      </c>
      <c r="G2648" s="58" t="n">
        <f aca="false">G2636+G2637+G2638+G2639+G2640+G2641+G2642+G2643+G2644+G2645+G2646+G2647</f>
        <v>798548.500695</v>
      </c>
      <c r="H2648" s="2" t="s">
        <v>1262</v>
      </c>
    </row>
    <row r="2649" customFormat="false" ht="15" hidden="false" customHeight="false" outlineLevel="1" collapsed="false">
      <c r="A2649" s="7" t="s">
        <v>617</v>
      </c>
      <c r="B2649" s="8" t="s">
        <v>10</v>
      </c>
      <c r="C2649" s="58" t="n">
        <f aca="false">C2648*(Pressupostos!$C$122+Pressupostos!$C$123)</f>
        <v>79223.09375</v>
      </c>
      <c r="D2649" s="58" t="n">
        <f aca="false">D2648*(Pressupostos!$C$122+Pressupostos!$C$123)</f>
        <v>100652.8875</v>
      </c>
      <c r="E2649" s="58" t="n">
        <f aca="false">E2648*(Pressupostos!$C$122+Pressupostos!$C$123)</f>
        <v>131946.78525</v>
      </c>
      <c r="F2649" s="58" t="n">
        <f aca="false">F2648*(Pressupostos!$C$122+Pressupostos!$C$123)</f>
        <v>168967.01010125</v>
      </c>
      <c r="G2649" s="58" t="n">
        <f aca="false">G2648*(Pressupostos!$C$122+Pressupostos!$C$123)</f>
        <v>205626.238928963</v>
      </c>
      <c r="H2649" s="2" t="s">
        <v>1263</v>
      </c>
    </row>
    <row r="2650" customFormat="false" ht="15" hidden="false" customHeight="false" outlineLevel="1" collapsed="false">
      <c r="A2650" s="7" t="s">
        <v>618</v>
      </c>
      <c r="B2650" s="8" t="s">
        <v>10</v>
      </c>
      <c r="C2650" s="58" t="n">
        <f aca="false">C2634*Pressupostos!$C$124*(1+Pressupostos!$C$125)^0</f>
        <v>14000</v>
      </c>
      <c r="D2650" s="58" t="n">
        <f aca="false">D2634*Pressupostos!$C$124*(1+Pressupostos!$C$125)^1</f>
        <v>16480</v>
      </c>
      <c r="E2650" s="58" t="n">
        <f aca="false">E2634*Pressupostos!$C$124*(1+Pressupostos!$C$125)^2</f>
        <v>23339.8</v>
      </c>
      <c r="F2650" s="58" t="n">
        <f aca="false">F2634*Pressupostos!$C$124*(1+Pressupostos!$C$125)^3</f>
        <v>30596.356</v>
      </c>
      <c r="G2650" s="58" t="n">
        <f aca="false">G2634*Pressupostos!$C$124*(1+Pressupostos!$C$125)^4</f>
        <v>38267.29954</v>
      </c>
      <c r="H2650" s="2" t="s">
        <v>1264</v>
      </c>
    </row>
    <row r="2651" customFormat="false" ht="15" hidden="false" customHeight="false" outlineLevel="1" collapsed="false">
      <c r="A2651" s="52" t="s">
        <v>619</v>
      </c>
      <c r="B2651" s="53" t="s">
        <v>10</v>
      </c>
      <c r="C2651" s="59" t="n">
        <f aca="false">C2648+C2649+C2650</f>
        <v>400885.59375</v>
      </c>
      <c r="D2651" s="59" t="n">
        <f aca="false">D2648+D2649+D2650</f>
        <v>508017.8875</v>
      </c>
      <c r="E2651" s="59" t="n">
        <f aca="false">E2648+E2649+E2650</f>
        <v>667701.28525</v>
      </c>
      <c r="F2651" s="59" t="n">
        <f aca="false">F2648+F2649+F2650</f>
        <v>855745.92960125</v>
      </c>
      <c r="G2651" s="59" t="n">
        <f aca="false">G2648+G2649+G2650</f>
        <v>1042442.03916396</v>
      </c>
      <c r="H2651" s="2" t="s">
        <v>1265</v>
      </c>
    </row>
    <row r="2652" customFormat="false" ht="15" hidden="false" customHeight="false" outlineLevel="1" collapsed="false">
      <c r="A2652" s="2" t="s">
        <v>620</v>
      </c>
      <c r="B2652" s="8" t="s">
        <v>10</v>
      </c>
      <c r="C2652" s="58" t="n">
        <f aca="false">IF(C2634&gt;0,C2651/C2634,0)</f>
        <v>57269.3705357143</v>
      </c>
      <c r="D2652" s="58" t="n">
        <f aca="false">IF(D2634&gt;0,D2651/D2634,0)</f>
        <v>63502.2359375</v>
      </c>
      <c r="E2652" s="58" t="n">
        <f aca="false">IF(E2634&gt;0,E2651/E2634,0)</f>
        <v>60700.1168409091</v>
      </c>
      <c r="F2652" s="58" t="n">
        <f aca="false">IF(F2634&gt;0,F2651/F2634,0)</f>
        <v>61124.7092572321</v>
      </c>
      <c r="G2652" s="58" t="n">
        <f aca="false">IF(G2634&gt;0,G2651/G2634,0)</f>
        <v>61320.1199508213</v>
      </c>
      <c r="H2652" s="2" t="s">
        <v>1266</v>
      </c>
    </row>
    <row r="2653" customFormat="false" ht="15" hidden="false" customHeight="false" outlineLevel="0" collapsed="false">
      <c r="A2653" s="3" t="s">
        <v>1267</v>
      </c>
      <c r="B2653" s="4"/>
      <c r="C2653" s="4"/>
      <c r="D2653" s="4"/>
      <c r="E2653" s="4"/>
      <c r="F2653" s="4"/>
      <c r="G2653" s="4"/>
      <c r="H2653" s="4"/>
    </row>
    <row r="2654" customFormat="false" ht="15" hidden="false" customHeight="false" outlineLevel="1" collapsed="false">
      <c r="A2654" s="7" t="s">
        <v>430</v>
      </c>
      <c r="B2654" s="8" t="s">
        <v>10</v>
      </c>
      <c r="C2654" s="58" t="n">
        <f aca="false">Pressupostos!$C$388*(1+Pressupostos!$C$154)*(1+Pressupostos!$C$155)^0</f>
        <v>94500</v>
      </c>
      <c r="D2654" s="58" t="n">
        <f aca="false">Pressupostos!$D$388*(1+Pressupostos!$C$154)*(1+Pressupostos!$C$155)^1</f>
        <v>53550</v>
      </c>
      <c r="E2654" s="58" t="n">
        <f aca="false">Pressupostos!$E$388*(1+Pressupostos!$C$154)*(1+Pressupostos!$C$155)^2</f>
        <v>49158.9</v>
      </c>
      <c r="F2654" s="58" t="n">
        <f aca="false">Pressupostos!$F$388*(1+Pressupostos!$C$154)*(1+Pressupostos!$C$155)^3</f>
        <v>50142.078</v>
      </c>
      <c r="G2654" s="58" t="n">
        <f aca="false">Pressupostos!$G$388*(1+Pressupostos!$C$154)*(1+Pressupostos!$C$155)^4</f>
        <v>51144.91956</v>
      </c>
      <c r="H2654" s="2" t="s">
        <v>1268</v>
      </c>
    </row>
    <row r="2655" customFormat="false" ht="15" hidden="false" customHeight="false" outlineLevel="1" collapsed="false">
      <c r="A2655" s="7" t="s">
        <v>432</v>
      </c>
      <c r="B2655" s="8" t="s">
        <v>10</v>
      </c>
      <c r="C2655" s="58" t="n">
        <f aca="false">Pressupostos!$C$394*(1+Pressupostos!$C$154)*(1+Pressupostos!$C$155)^0</f>
        <v>10500</v>
      </c>
      <c r="D2655" s="58" t="n">
        <f aca="false">Pressupostos!$D$394*(1+Pressupostos!$C$154)*(1+Pressupostos!$C$155)^1</f>
        <v>10710</v>
      </c>
      <c r="E2655" s="58" t="n">
        <f aca="false">Pressupostos!$E$394*(1+Pressupostos!$C$154)*(1+Pressupostos!$C$155)^2</f>
        <v>10924.2</v>
      </c>
      <c r="F2655" s="58" t="n">
        <f aca="false">Pressupostos!$F$394*(1+Pressupostos!$C$154)*(1+Pressupostos!$C$155)^3</f>
        <v>11142.684</v>
      </c>
      <c r="G2655" s="58" t="n">
        <f aca="false">Pressupostos!$G$394*(1+Pressupostos!$C$154)*(1+Pressupostos!$C$155)^4</f>
        <v>11365.53768</v>
      </c>
      <c r="H2655" s="2" t="s">
        <v>1269</v>
      </c>
    </row>
    <row r="2656" customFormat="false" ht="15" hidden="false" customHeight="false" outlineLevel="1" collapsed="false">
      <c r="A2656" s="7" t="s">
        <v>433</v>
      </c>
      <c r="B2656" s="8" t="s">
        <v>10</v>
      </c>
      <c r="C2656" s="58" t="n">
        <f aca="false">Pressupostos!$C$400*(1+Pressupostos!$C$154)*(1+Pressupostos!$C$155)^0</f>
        <v>12600</v>
      </c>
      <c r="D2656" s="58" t="n">
        <f aca="false">Pressupostos!$D$400*(1+Pressupostos!$C$154)*(1+Pressupostos!$C$155)^1</f>
        <v>12852</v>
      </c>
      <c r="E2656" s="58" t="n">
        <f aca="false">Pressupostos!$E$400*(1+Pressupostos!$C$154)*(1+Pressupostos!$C$155)^2</f>
        <v>13109.04</v>
      </c>
      <c r="F2656" s="58" t="n">
        <f aca="false">Pressupostos!$F$400*(1+Pressupostos!$C$154)*(1+Pressupostos!$C$155)^3</f>
        <v>0</v>
      </c>
      <c r="G2656" s="58" t="n">
        <f aca="false">Pressupostos!$G$400*(1+Pressupostos!$C$154)*(1+Pressupostos!$C$155)^4</f>
        <v>0</v>
      </c>
      <c r="H2656" s="2" t="s">
        <v>1270</v>
      </c>
    </row>
    <row r="2657" customFormat="false" ht="15" hidden="false" customHeight="false" outlineLevel="1" collapsed="false">
      <c r="A2657" s="7" t="s">
        <v>435</v>
      </c>
      <c r="B2657" s="8" t="s">
        <v>10</v>
      </c>
      <c r="C2657" s="58" t="n">
        <f aca="false">Pressupostos!$C$406*(1+Pressupostos!$C$154)*(1+Pressupostos!$C$155)^0</f>
        <v>31500</v>
      </c>
      <c r="D2657" s="58" t="n">
        <f aca="false">Pressupostos!$D$406*(1+Pressupostos!$C$154)*(1+Pressupostos!$C$155)^1</f>
        <v>42840</v>
      </c>
      <c r="E2657" s="58" t="n">
        <f aca="false">Pressupostos!$E$406*(1+Pressupostos!$C$154)*(1+Pressupostos!$C$155)^2</f>
        <v>60083.1</v>
      </c>
      <c r="F2657" s="58" t="n">
        <f aca="false">Pressupostos!$F$406*(1+Pressupostos!$C$154)*(1+Pressupostos!$C$155)^3</f>
        <v>77998.788</v>
      </c>
      <c r="G2657" s="58" t="n">
        <f aca="false">Pressupostos!$G$406*(1+Pressupostos!$C$154)*(1+Pressupostos!$C$155)^4</f>
        <v>96607.07028</v>
      </c>
      <c r="H2657" s="2" t="s">
        <v>1271</v>
      </c>
    </row>
    <row r="2658" customFormat="false" ht="15" hidden="false" customHeight="false" outlineLevel="1" collapsed="false">
      <c r="A2658" s="7" t="s">
        <v>437</v>
      </c>
      <c r="B2658" s="8" t="s">
        <v>10</v>
      </c>
      <c r="C2658" s="58" t="n">
        <f aca="false">Pressupostos!$C$412*(1+Pressupostos!$C$154)*(1+Pressupostos!$C$155)^0</f>
        <v>15750</v>
      </c>
      <c r="D2658" s="58" t="n">
        <f aca="false">Pressupostos!$D$412*(1+Pressupostos!$C$154)*(1+Pressupostos!$C$155)^1</f>
        <v>16065</v>
      </c>
      <c r="E2658" s="58" t="n">
        <f aca="false">Pressupostos!$E$412*(1+Pressupostos!$C$154)*(1+Pressupostos!$C$155)^2</f>
        <v>38234.7</v>
      </c>
      <c r="F2658" s="58" t="n">
        <f aca="false">Pressupostos!$F$412*(1+Pressupostos!$C$154)*(1+Pressupostos!$C$155)^3</f>
        <v>22285.368</v>
      </c>
      <c r="G2658" s="58" t="n">
        <f aca="false">Pressupostos!$G$412*(1+Pressupostos!$C$154)*(1+Pressupostos!$C$155)^4</f>
        <v>22731.07536</v>
      </c>
      <c r="H2658" s="2" t="s">
        <v>1272</v>
      </c>
    </row>
    <row r="2659" customFormat="false" ht="15" hidden="false" customHeight="false" outlineLevel="1" collapsed="false">
      <c r="A2659" s="7" t="s">
        <v>439</v>
      </c>
      <c r="B2659" s="8" t="s">
        <v>10</v>
      </c>
      <c r="C2659" s="58" t="n">
        <f aca="false">Pressupostos!$C$418*(1+Pressupostos!$C$154)*(1+Pressupostos!$C$155)^0</f>
        <v>10500</v>
      </c>
      <c r="D2659" s="58" t="n">
        <f aca="false">Pressupostos!$D$418*(1+Pressupostos!$C$154)*(1+Pressupostos!$C$155)^1</f>
        <v>12852</v>
      </c>
      <c r="E2659" s="58" t="n">
        <f aca="false">Pressupostos!$E$418*(1+Pressupostos!$C$154)*(1+Pressupostos!$C$155)^2</f>
        <v>16386.3</v>
      </c>
      <c r="F2659" s="58" t="n">
        <f aca="false">Pressupostos!$F$418*(1+Pressupostos!$C$154)*(1+Pressupostos!$C$155)^3</f>
        <v>20056.8312</v>
      </c>
      <c r="G2659" s="58" t="n">
        <f aca="false">Pressupostos!$G$418*(1+Pressupostos!$C$154)*(1+Pressupostos!$C$155)^4</f>
        <v>22731.07536</v>
      </c>
      <c r="H2659" s="2" t="s">
        <v>1273</v>
      </c>
    </row>
    <row r="2660" customFormat="false" ht="15" hidden="false" customHeight="false" outlineLevel="1" collapsed="false">
      <c r="A2660" s="7" t="s">
        <v>440</v>
      </c>
      <c r="B2660" s="8" t="s">
        <v>10</v>
      </c>
      <c r="C2660" s="58" t="n">
        <f aca="false">Pressupostos!$C$424*(1+Pressupostos!$C$154)*(1+Pressupostos!$C$155)^0</f>
        <v>42000</v>
      </c>
      <c r="D2660" s="58" t="n">
        <f aca="false">Pressupostos!$D$424*(1+Pressupostos!$C$154)*(1+Pressupostos!$C$155)^1</f>
        <v>53550</v>
      </c>
      <c r="E2660" s="58" t="n">
        <f aca="false">Pressupostos!$E$424*(1+Pressupostos!$C$154)*(1+Pressupostos!$C$155)^2</f>
        <v>76469.4</v>
      </c>
      <c r="F2660" s="58" t="n">
        <f aca="false">Pressupostos!$F$424*(1+Pressupostos!$C$154)*(1+Pressupostos!$C$155)^3</f>
        <v>100284.156</v>
      </c>
      <c r="G2660" s="58" t="n">
        <f aca="false">Pressupostos!$G$424*(1+Pressupostos!$C$154)*(1+Pressupostos!$C$155)^4</f>
        <v>125020.91448</v>
      </c>
      <c r="H2660" s="2" t="s">
        <v>1274</v>
      </c>
    </row>
    <row r="2661" customFormat="false" ht="15" hidden="false" customHeight="false" outlineLevel="1" collapsed="false">
      <c r="A2661" s="7" t="s">
        <v>442</v>
      </c>
      <c r="B2661" s="8" t="s">
        <v>10</v>
      </c>
      <c r="C2661" s="58" t="n">
        <f aca="false">Pressupostos!$C$430*(1+Pressupostos!$C$154)*(1+Pressupostos!$C$155)^0</f>
        <v>12600</v>
      </c>
      <c r="D2661" s="58" t="n">
        <f aca="false">Pressupostos!$D$430*(1+Pressupostos!$C$154)*(1+Pressupostos!$C$155)^1</f>
        <v>16065</v>
      </c>
      <c r="E2661" s="58" t="n">
        <f aca="false">Pressupostos!$E$430*(1+Pressupostos!$C$154)*(1+Pressupostos!$C$155)^2</f>
        <v>26218.08</v>
      </c>
      <c r="F2661" s="58" t="n">
        <f aca="false">Pressupostos!$F$430*(1+Pressupostos!$C$154)*(1+Pressupostos!$C$155)^3</f>
        <v>33428.052</v>
      </c>
      <c r="G2661" s="58" t="n">
        <f aca="false">Pressupostos!$G$430*(1+Pressupostos!$C$154)*(1+Pressupostos!$C$155)^4</f>
        <v>40915.935648</v>
      </c>
      <c r="H2661" s="2" t="s">
        <v>1275</v>
      </c>
    </row>
    <row r="2662" customFormat="false" ht="15" hidden="false" customHeight="false" outlineLevel="1" collapsed="false">
      <c r="A2662" s="7" t="s">
        <v>444</v>
      </c>
      <c r="B2662" s="8" t="s">
        <v>10</v>
      </c>
      <c r="C2662" s="58" t="n">
        <f aca="false">Pressupostos!$C$436*(1+Pressupostos!$C$154)*(1+Pressupostos!$C$155)^0</f>
        <v>18900</v>
      </c>
      <c r="D2662" s="58" t="n">
        <f aca="false">Pressupostos!$D$436*(1+Pressupostos!$C$154)*(1+Pressupostos!$C$155)^1</f>
        <v>23562</v>
      </c>
      <c r="E2662" s="58" t="n">
        <f aca="false">Pressupostos!$E$436*(1+Pressupostos!$C$154)*(1+Pressupostos!$C$155)^2</f>
        <v>32772.6</v>
      </c>
      <c r="F2662" s="58" t="n">
        <f aca="false">Pressupostos!$F$436*(1+Pressupostos!$C$154)*(1+Pressupostos!$C$155)^3</f>
        <v>42342.1992</v>
      </c>
      <c r="G2662" s="58" t="n">
        <f aca="false">Pressupostos!$G$436*(1+Pressupostos!$C$154)*(1+Pressupostos!$C$155)^4</f>
        <v>51144.91956</v>
      </c>
      <c r="H2662" s="2" t="s">
        <v>1276</v>
      </c>
    </row>
    <row r="2663" customFormat="false" ht="15" hidden="false" customHeight="false" outlineLevel="1" collapsed="false">
      <c r="A2663" s="7" t="s">
        <v>445</v>
      </c>
      <c r="B2663" s="8" t="s">
        <v>10</v>
      </c>
      <c r="C2663" s="58" t="n">
        <f aca="false">Pressupostos!$C$442*(1+Pressupostos!$C$154)*(1+Pressupostos!$C$155)^0</f>
        <v>5250</v>
      </c>
      <c r="D2663" s="58" t="n">
        <f aca="false">Pressupostos!$D$442*(1+Pressupostos!$C$154)*(1+Pressupostos!$C$155)^1</f>
        <v>8568</v>
      </c>
      <c r="E2663" s="58" t="n">
        <f aca="false">Pressupostos!$E$442*(1+Pressupostos!$C$154)*(1+Pressupostos!$C$155)^2</f>
        <v>13109.04</v>
      </c>
      <c r="F2663" s="58" t="n">
        <f aca="false">Pressupostos!$F$442*(1+Pressupostos!$C$154)*(1+Pressupostos!$C$155)^3</f>
        <v>16714.026</v>
      </c>
      <c r="G2663" s="58" t="n">
        <f aca="false">Pressupostos!$G$442*(1+Pressupostos!$C$154)*(1+Pressupostos!$C$155)^4</f>
        <v>17048.30652</v>
      </c>
      <c r="H2663" s="2" t="s">
        <v>1277</v>
      </c>
    </row>
    <row r="2664" customFormat="false" ht="15" hidden="false" customHeight="false" outlineLevel="1" collapsed="false">
      <c r="A2664" s="7" t="s">
        <v>661</v>
      </c>
      <c r="B2664" s="8" t="s">
        <v>10</v>
      </c>
      <c r="C2664" s="58" t="n">
        <f aca="false">C2654+C2655+C2656+C2657+C2658+C2659+C2660+C2661+C2662+C2663</f>
        <v>254100</v>
      </c>
      <c r="D2664" s="58" t="n">
        <f aca="false">D2654+D2655+D2656+D2657+D2658+D2659+D2660+D2661+D2662+D2663</f>
        <v>250614</v>
      </c>
      <c r="E2664" s="58" t="n">
        <f aca="false">E2654+E2655+E2656+E2657+E2658+E2659+E2660+E2661+E2662+E2663</f>
        <v>336465.36</v>
      </c>
      <c r="F2664" s="58" t="n">
        <f aca="false">F2654+F2655+F2656+F2657+F2658+F2659+F2660+F2661+F2662+F2663</f>
        <v>374394.1824</v>
      </c>
      <c r="G2664" s="58" t="n">
        <f aca="false">G2654+G2655+G2656+G2657+G2658+G2659+G2660+G2661+G2662+G2663</f>
        <v>438709.754448</v>
      </c>
      <c r="H2664" s="2" t="s">
        <v>1278</v>
      </c>
    </row>
    <row r="2665" customFormat="false" ht="15" hidden="false" customHeight="false" outlineLevel="1" collapsed="false">
      <c r="A2665" s="7" t="s">
        <v>662</v>
      </c>
      <c r="B2665" s="8" t="s">
        <v>10</v>
      </c>
      <c r="C2665" s="58" t="n">
        <f aca="false">Pressupostos!$C$112+Pressupostos!$C$113+Pressupostos!$C$114*Pressupostos!$C$289+Pressupostos!$C$449</f>
        <v>65000</v>
      </c>
      <c r="D2665" s="58" t="n">
        <f aca="false">Pressupostos!$C$113+Pressupostos!$C$114*Pressupostos!$D$289+Pressupostos!$D$449</f>
        <v>65000</v>
      </c>
      <c r="E2665" s="58" t="n">
        <f aca="false">Pressupostos!$C$113+Pressupostos!$C$114*Pressupostos!$E$289+Pressupostos!$E$449</f>
        <v>70000</v>
      </c>
      <c r="F2665" s="58" t="n">
        <f aca="false">Pressupostos!$C$113+Pressupostos!$C$114*Pressupostos!$F$289+Pressupostos!$F$449</f>
        <v>75000</v>
      </c>
      <c r="G2665" s="58" t="n">
        <f aca="false">Pressupostos!$C$113+Pressupostos!$C$114*Pressupostos!$G$289+Pressupostos!$G$449</f>
        <v>80000</v>
      </c>
      <c r="H2665" s="2" t="s">
        <v>1279</v>
      </c>
    </row>
    <row r="2666" customFormat="false" ht="15" hidden="false" customHeight="false" outlineLevel="1" collapsed="false">
      <c r="A2666" s="7" t="s">
        <v>663</v>
      </c>
      <c r="B2666" s="8" t="s">
        <v>10</v>
      </c>
      <c r="C2666" s="58" t="n">
        <f aca="false">IF(C2488&lt;Pressupostos!$C$118,0,MAX(Pressupostos!$C$295,Pressupostos!$C$116*(C2576+C2577)+Pressupostos!$C$117*C2578))</f>
        <v>0</v>
      </c>
      <c r="D2666" s="58" t="n">
        <f aca="false">IF(D2488&lt;Pressupostos!$C$118,0,MAX(Pressupostos!$D$295,Pressupostos!$C$116*(D2576+D2577)+Pressupostos!$C$117*D2578))</f>
        <v>9189.414</v>
      </c>
      <c r="E2666" s="58" t="n">
        <f aca="false">IF(E2488&lt;Pressupostos!$C$118,0,MAX(Pressupostos!$E$295,Pressupostos!$C$116*(E2576+E2577)+Pressupostos!$C$117*E2578))</f>
        <v>19735.326</v>
      </c>
      <c r="F2666" s="58" t="n">
        <f aca="false">IF(F2488&lt;Pressupostos!$C$118,0,MAX(Pressupostos!$F$295,Pressupostos!$C$116*(F2576+F2577)+Pressupostos!$C$117*F2578))</f>
        <v>33819.474</v>
      </c>
      <c r="G2666" s="58" t="n">
        <f aca="false">IF(G2488&lt;Pressupostos!$C$118,0,MAX(Pressupostos!$G$295,Pressupostos!$C$116*(G2576+G2577)+Pressupostos!$C$117*G2578))</f>
        <v>51331.02</v>
      </c>
      <c r="H2666" s="2" t="s">
        <v>1280</v>
      </c>
    </row>
    <row r="2667" customFormat="false" ht="15" hidden="false" customHeight="false" outlineLevel="1" collapsed="false">
      <c r="A2667" s="52" t="s">
        <v>664</v>
      </c>
      <c r="B2667" s="53" t="s">
        <v>10</v>
      </c>
      <c r="C2667" s="59" t="n">
        <f aca="false">C2664+C2665+C2666</f>
        <v>319100</v>
      </c>
      <c r="D2667" s="59" t="n">
        <f aca="false">D2664+D2665+D2666</f>
        <v>324803.414</v>
      </c>
      <c r="E2667" s="59" t="n">
        <f aca="false">E2664+E2665+E2666</f>
        <v>426200.686</v>
      </c>
      <c r="F2667" s="59" t="n">
        <f aca="false">F2664+F2665+F2666</f>
        <v>483213.6564</v>
      </c>
      <c r="G2667" s="59" t="n">
        <f aca="false">G2664+G2665+G2666</f>
        <v>570040.774448</v>
      </c>
      <c r="H2667" s="2" t="s">
        <v>1281</v>
      </c>
    </row>
    <row r="2668" customFormat="false" ht="15" hidden="false" customHeight="false" outlineLevel="0" collapsed="false">
      <c r="A2668" s="3" t="s">
        <v>1282</v>
      </c>
      <c r="B2668" s="4"/>
      <c r="C2668" s="4"/>
      <c r="D2668" s="4"/>
      <c r="E2668" s="4"/>
      <c r="F2668" s="4"/>
      <c r="G2668" s="4"/>
      <c r="H2668" s="4"/>
    </row>
    <row r="2669" customFormat="false" ht="15" hidden="false" customHeight="false" outlineLevel="1" collapsed="false">
      <c r="A2669" s="7" t="s">
        <v>666</v>
      </c>
      <c r="B2669" s="8" t="s">
        <v>10</v>
      </c>
      <c r="C2669" s="58" t="n">
        <f aca="false">Pressupostos!$C$163*Pressupostos!$C$302</f>
        <v>18000</v>
      </c>
      <c r="D2669" s="58" t="n">
        <f aca="false">Pressupostos!$C$163*Pressupostos!$D$302</f>
        <v>12000</v>
      </c>
      <c r="E2669" s="58" t="n">
        <f aca="false">Pressupostos!$C$163*Pressupostos!$E$302</f>
        <v>12000</v>
      </c>
      <c r="F2669" s="58" t="n">
        <f aca="false">Pressupostos!$C$163*Pressupostos!$F$302</f>
        <v>12000</v>
      </c>
      <c r="G2669" s="58" t="n">
        <f aca="false">Pressupostos!$C$163*Pressupostos!$G$302</f>
        <v>12000</v>
      </c>
      <c r="H2669" s="2" t="s">
        <v>1283</v>
      </c>
    </row>
    <row r="2670" customFormat="false" ht="15" hidden="false" customHeight="false" outlineLevel="1" collapsed="false">
      <c r="A2670" s="7" t="s">
        <v>667</v>
      </c>
      <c r="B2670" s="8" t="s">
        <v>10</v>
      </c>
      <c r="C2670" s="50" t="n">
        <f aca="false">Pressupostos!$C$308</f>
        <v>60000</v>
      </c>
      <c r="D2670" s="50" t="n">
        <f aca="false">Pressupostos!$D$308</f>
        <v>30000</v>
      </c>
      <c r="E2670" s="50" t="n">
        <f aca="false">Pressupostos!$E$308</f>
        <v>30000</v>
      </c>
      <c r="F2670" s="50" t="n">
        <f aca="false">Pressupostos!$F$308</f>
        <v>20000</v>
      </c>
      <c r="G2670" s="50" t="n">
        <f aca="false">Pressupostos!$G$308</f>
        <v>20000</v>
      </c>
      <c r="H2670" s="2" t="s">
        <v>1284</v>
      </c>
    </row>
    <row r="2671" customFormat="false" ht="15" hidden="false" customHeight="false" outlineLevel="1" collapsed="false">
      <c r="A2671" s="7" t="s">
        <v>668</v>
      </c>
      <c r="B2671" s="8" t="s">
        <v>10</v>
      </c>
      <c r="C2671" s="58" t="n">
        <f aca="false">Pressupostos!$C$164*MAX(0,C2634)</f>
        <v>14000</v>
      </c>
      <c r="D2671" s="58" t="n">
        <f aca="false">Pressupostos!$C$164*MAX(0,D2634-C2634)</f>
        <v>2000</v>
      </c>
      <c r="E2671" s="58" t="n">
        <f aca="false">Pressupostos!$C$164*MAX(0,E2634-D2634)</f>
        <v>6000</v>
      </c>
      <c r="F2671" s="58" t="n">
        <f aca="false">Pressupostos!$C$164*MAX(0,F2634-E2634)</f>
        <v>6000</v>
      </c>
      <c r="G2671" s="58" t="n">
        <f aca="false">Pressupostos!$C$164*MAX(0,G2634-F2634)</f>
        <v>6000</v>
      </c>
      <c r="H2671" s="2" t="s">
        <v>1285</v>
      </c>
    </row>
    <row r="2672" customFormat="false" ht="15" hidden="false" customHeight="false" outlineLevel="1" collapsed="false">
      <c r="A2672" s="7" t="s">
        <v>407</v>
      </c>
      <c r="B2672" s="8" t="s">
        <v>10</v>
      </c>
      <c r="C2672" s="58" t="n">
        <f aca="false">C2669+C2670+C2671</f>
        <v>92000</v>
      </c>
      <c r="D2672" s="58" t="n">
        <f aca="false">D2669+D2670+D2671</f>
        <v>44000</v>
      </c>
      <c r="E2672" s="58" t="n">
        <f aca="false">E2669+E2670+E2671</f>
        <v>48000</v>
      </c>
      <c r="F2672" s="58" t="n">
        <f aca="false">F2669+F2670+F2671</f>
        <v>38000</v>
      </c>
      <c r="G2672" s="58" t="n">
        <f aca="false">G2669+G2670+G2671</f>
        <v>38000</v>
      </c>
      <c r="H2672" s="2" t="s">
        <v>1286</v>
      </c>
    </row>
    <row r="2673" customFormat="false" ht="15" hidden="false" customHeight="false" outlineLevel="1" collapsed="false">
      <c r="A2673" s="7" t="s">
        <v>669</v>
      </c>
      <c r="B2673" s="8" t="s">
        <v>10</v>
      </c>
      <c r="C2673" s="58" t="n">
        <f aca="false">(C2670*((0)&lt;Pressupostos!$C$165))/Pressupostos!$C$165</f>
        <v>20000</v>
      </c>
      <c r="D2673" s="58" t="n">
        <f aca="false">(C2670*((1)&lt;Pressupostos!$C$165)+D2670*((0)&lt;Pressupostos!$C$165))/Pressupostos!$C$165</f>
        <v>30000</v>
      </c>
      <c r="E2673" s="58" t="n">
        <f aca="false">(C2670*((2)&lt;Pressupostos!$C$165)+D2670*((1)&lt;Pressupostos!$C$165)+E2670*((0)&lt;Pressupostos!$C$165))/Pressupostos!$C$165</f>
        <v>40000</v>
      </c>
      <c r="F2673" s="58" t="n">
        <f aca="false">(C2670*((3)&lt;Pressupostos!$C$165)+D2670*((2)&lt;Pressupostos!$C$165)+E2670*((1)&lt;Pressupostos!$C$165)+F2670*((0)&lt;Pressupostos!$C$165))/Pressupostos!$C$165</f>
        <v>26666.6666666667</v>
      </c>
      <c r="G2673" s="58" t="n">
        <f aca="false">(C2670*((4)&lt;Pressupostos!$C$165)+D2670*((3)&lt;Pressupostos!$C$165)+E2670*((2)&lt;Pressupostos!$C$165)+F2670*((1)&lt;Pressupostos!$C$165)+G2670*((0)&lt;Pressupostos!$C$165))/Pressupostos!$C$165</f>
        <v>23333.3333333333</v>
      </c>
      <c r="H2673" s="2" t="s">
        <v>1287</v>
      </c>
    </row>
    <row r="2674" customFormat="false" ht="15" hidden="false" customHeight="false" outlineLevel="1" collapsed="false">
      <c r="A2674" s="7" t="s">
        <v>670</v>
      </c>
      <c r="B2674" s="8" t="s">
        <v>10</v>
      </c>
      <c r="C2674" s="58" t="n">
        <f aca="false">(C2669*((0)&lt;Pressupostos!$C$167))/Pressupostos!$C$167</f>
        <v>3600</v>
      </c>
      <c r="D2674" s="58" t="n">
        <f aca="false">(C2669*((1)&lt;Pressupostos!$C$167)+D2669*((0)&lt;Pressupostos!$C$167))/Pressupostos!$C$167</f>
        <v>6000</v>
      </c>
      <c r="E2674" s="58" t="n">
        <f aca="false">(C2669*((2)&lt;Pressupostos!$C$167)+D2669*((1)&lt;Pressupostos!$C$167)+E2669*((0)&lt;Pressupostos!$C$167))/Pressupostos!$C$167</f>
        <v>8400</v>
      </c>
      <c r="F2674" s="58" t="n">
        <f aca="false">(C2669*((3)&lt;Pressupostos!$C$167)+D2669*((2)&lt;Pressupostos!$C$167)+E2669*((1)&lt;Pressupostos!$C$167)+F2669*((0)&lt;Pressupostos!$C$167))/Pressupostos!$C$167</f>
        <v>10800</v>
      </c>
      <c r="G2674" s="58" t="n">
        <f aca="false">(C2669*((4)&lt;Pressupostos!$C$167)+D2669*((3)&lt;Pressupostos!$C$167)+E2669*((2)&lt;Pressupostos!$C$167)+F2669*((1)&lt;Pressupostos!$C$167)+G2669*((0)&lt;Pressupostos!$C$167))/Pressupostos!$C$167</f>
        <v>13200</v>
      </c>
      <c r="H2674" s="2" t="s">
        <v>1288</v>
      </c>
    </row>
    <row r="2675" customFormat="false" ht="15" hidden="false" customHeight="false" outlineLevel="1" collapsed="false">
      <c r="A2675" s="7" t="s">
        <v>671</v>
      </c>
      <c r="B2675" s="8" t="s">
        <v>10</v>
      </c>
      <c r="C2675" s="58" t="n">
        <f aca="false">(C2671*((0)&lt;Pressupostos!$C$166))/Pressupostos!$C$166</f>
        <v>3500</v>
      </c>
      <c r="D2675" s="58" t="n">
        <f aca="false">(C2671*((1)&lt;Pressupostos!$C$166)+D2671*((0)&lt;Pressupostos!$C$166))/Pressupostos!$C$166</f>
        <v>4000</v>
      </c>
      <c r="E2675" s="58" t="n">
        <f aca="false">(C2671*((2)&lt;Pressupostos!$C$166)+D2671*((1)&lt;Pressupostos!$C$166)+E2671*((0)&lt;Pressupostos!$C$166))/Pressupostos!$C$166</f>
        <v>5500</v>
      </c>
      <c r="F2675" s="58" t="n">
        <f aca="false">(C2671*((3)&lt;Pressupostos!$C$166)+D2671*((2)&lt;Pressupostos!$C$166)+E2671*((1)&lt;Pressupostos!$C$166)+F2671*((0)&lt;Pressupostos!$C$166))/Pressupostos!$C$166</f>
        <v>7000</v>
      </c>
      <c r="G2675" s="58" t="n">
        <f aca="false">(C2671*((4)&lt;Pressupostos!$C$166)+D2671*((3)&lt;Pressupostos!$C$166)+E2671*((2)&lt;Pressupostos!$C$166)+F2671*((1)&lt;Pressupostos!$C$166)+G2671*((0)&lt;Pressupostos!$C$166))/Pressupostos!$C$166</f>
        <v>5000</v>
      </c>
      <c r="H2675" s="2" t="s">
        <v>1289</v>
      </c>
    </row>
    <row r="2676" customFormat="false" ht="15" hidden="false" customHeight="false" outlineLevel="1" collapsed="false">
      <c r="A2676" s="7" t="s">
        <v>672</v>
      </c>
      <c r="B2676" s="8" t="s">
        <v>10</v>
      </c>
      <c r="C2676" s="58" t="n">
        <f aca="false">C2673+C2674+C2675</f>
        <v>27100</v>
      </c>
      <c r="D2676" s="58" t="n">
        <f aca="false">D2673+D2674+D2675</f>
        <v>40000</v>
      </c>
      <c r="E2676" s="58" t="n">
        <f aca="false">E2673+E2674+E2675</f>
        <v>53900</v>
      </c>
      <c r="F2676" s="58" t="n">
        <f aca="false">F2673+F2674+F2675</f>
        <v>44466.6666666667</v>
      </c>
      <c r="G2676" s="58" t="n">
        <f aca="false">G2673+G2674+G2675</f>
        <v>41533.3333333333</v>
      </c>
      <c r="H2676" s="2" t="s">
        <v>1290</v>
      </c>
    </row>
    <row r="2677" customFormat="false" ht="15" hidden="false" customHeight="false" outlineLevel="0" collapsed="false">
      <c r="A2677" s="3" t="s">
        <v>1291</v>
      </c>
      <c r="B2677" s="4"/>
      <c r="C2677" s="4"/>
      <c r="D2677" s="4"/>
      <c r="E2677" s="4"/>
      <c r="F2677" s="4"/>
      <c r="G2677" s="4"/>
      <c r="H2677" s="4"/>
    </row>
    <row r="2678" customFormat="false" ht="15" hidden="false" customHeight="false" outlineLevel="1" collapsed="false">
      <c r="A2678" s="52" t="s">
        <v>676</v>
      </c>
      <c r="B2678" s="53" t="s">
        <v>10</v>
      </c>
      <c r="C2678" s="59" t="n">
        <f aca="false">C2585</f>
        <v>347997</v>
      </c>
      <c r="D2678" s="59" t="n">
        <f aca="false">D2585</f>
        <v>2311565.5</v>
      </c>
      <c r="E2678" s="59" t="n">
        <f aca="false">E2585</f>
        <v>5277001.5</v>
      </c>
      <c r="F2678" s="59" t="n">
        <f aca="false">F2585</f>
        <v>9146996.5</v>
      </c>
      <c r="G2678" s="59" t="n">
        <f aca="false">G2585</f>
        <v>13995891</v>
      </c>
      <c r="H2678" s="2" t="s">
        <v>1292</v>
      </c>
    </row>
    <row r="2679" customFormat="false" ht="15" hidden="false" customHeight="false" outlineLevel="1" collapsed="false">
      <c r="A2679" s="7" t="s">
        <v>649</v>
      </c>
      <c r="B2679" s="8" t="s">
        <v>10</v>
      </c>
      <c r="C2679" s="58" t="n">
        <f aca="false">-C2606</f>
        <v>-316940</v>
      </c>
      <c r="D2679" s="58" t="n">
        <f aca="false">-D2606</f>
        <v>-2110810</v>
      </c>
      <c r="E2679" s="58" t="n">
        <f aca="false">-E2606</f>
        <v>-4765540</v>
      </c>
      <c r="F2679" s="58" t="n">
        <f aca="false">-F2606</f>
        <v>-8214960</v>
      </c>
      <c r="G2679" s="58" t="n">
        <f aca="false">-G2606</f>
        <v>-12546300</v>
      </c>
      <c r="H2679" s="2" t="s">
        <v>1293</v>
      </c>
    </row>
    <row r="2680" customFormat="false" ht="15" hidden="false" customHeight="false" outlineLevel="1" collapsed="false">
      <c r="A2680" s="52" t="s">
        <v>677</v>
      </c>
      <c r="B2680" s="53" t="s">
        <v>10</v>
      </c>
      <c r="C2680" s="59" t="n">
        <f aca="false">C2678+C2679</f>
        <v>31057</v>
      </c>
      <c r="D2680" s="59" t="n">
        <f aca="false">D2678+D2679</f>
        <v>200755.5</v>
      </c>
      <c r="E2680" s="59" t="n">
        <f aca="false">E2678+E2679</f>
        <v>511461.5</v>
      </c>
      <c r="F2680" s="59" t="n">
        <f aca="false">F2678+F2679</f>
        <v>932036.5</v>
      </c>
      <c r="G2680" s="59" t="n">
        <f aca="false">G2678+G2679</f>
        <v>1449591</v>
      </c>
      <c r="H2680" s="2" t="s">
        <v>1294</v>
      </c>
    </row>
    <row r="2681" customFormat="false" ht="15" hidden="false" customHeight="false" outlineLevel="1" collapsed="false">
      <c r="A2681" s="2" t="s">
        <v>678</v>
      </c>
      <c r="B2681" s="8" t="s">
        <v>71</v>
      </c>
      <c r="C2681" s="55" t="n">
        <f aca="false">IF(C2678&gt;0,C2680/C2678,0)</f>
        <v>0.0892450222272031</v>
      </c>
      <c r="D2681" s="55" t="n">
        <f aca="false">IF(D2678&gt;0,D2680/D2678,0)</f>
        <v>0.0868482852854481</v>
      </c>
      <c r="E2681" s="55" t="n">
        <f aca="false">IF(E2678&gt;0,E2680/E2678,0)</f>
        <v>0.0969227505430878</v>
      </c>
      <c r="F2681" s="55" t="n">
        <f aca="false">IF(F2678&gt;0,F2680/F2678,0)</f>
        <v>0.101895359859381</v>
      </c>
      <c r="G2681" s="55" t="n">
        <f aca="false">IF(G2678&gt;0,G2680/G2678,0)</f>
        <v>0.103572612847585</v>
      </c>
      <c r="H2681" s="2" t="s">
        <v>1295</v>
      </c>
    </row>
    <row r="2682" customFormat="false" ht="15" hidden="false" customHeight="false" outlineLevel="1" collapsed="false">
      <c r="A2682" s="7" t="s">
        <v>679</v>
      </c>
      <c r="B2682" s="8" t="s">
        <v>10</v>
      </c>
      <c r="C2682" s="58" t="n">
        <f aca="false">-C2616</f>
        <v>-19944.4155068493</v>
      </c>
      <c r="D2682" s="58" t="n">
        <f aca="false">-D2616</f>
        <v>-132901.44674364</v>
      </c>
      <c r="E2682" s="58" t="n">
        <f aca="false">-E2616</f>
        <v>-307384.425545988</v>
      </c>
      <c r="F2682" s="58" t="n">
        <f aca="false">-F2616</f>
        <v>-548814.404982388</v>
      </c>
      <c r="G2682" s="58" t="n">
        <f aca="false">-G2616</f>
        <v>-844848.59702544</v>
      </c>
      <c r="H2682" s="2" t="s">
        <v>1296</v>
      </c>
    </row>
    <row r="2683" customFormat="false" ht="15" hidden="false" customHeight="false" outlineLevel="1" collapsed="false">
      <c r="A2683" s="7" t="s">
        <v>658</v>
      </c>
      <c r="B2683" s="8" t="s">
        <v>10</v>
      </c>
      <c r="C2683" s="58" t="n">
        <f aca="false">-C2619</f>
        <v>-0</v>
      </c>
      <c r="D2683" s="58" t="n">
        <f aca="false">-D2619</f>
        <v>-30312.1356164384</v>
      </c>
      <c r="E2683" s="58" t="n">
        <f aca="false">-E2619</f>
        <v>-50402.3829195206</v>
      </c>
      <c r="F2683" s="58" t="n">
        <f aca="false">-F2619</f>
        <v>-81312.1851883562</v>
      </c>
      <c r="G2683" s="58" t="n">
        <f aca="false">-G2619</f>
        <v>-124197.002568493</v>
      </c>
      <c r="H2683" s="2" t="s">
        <v>1297</v>
      </c>
    </row>
    <row r="2684" customFormat="false" ht="15" hidden="false" customHeight="false" outlineLevel="1" collapsed="false">
      <c r="A2684" s="52" t="s">
        <v>641</v>
      </c>
      <c r="B2684" s="53" t="s">
        <v>10</v>
      </c>
      <c r="C2684" s="59" t="n">
        <f aca="false">C2680+C2682+C2683</f>
        <v>11112.5844931507</v>
      </c>
      <c r="D2684" s="59" t="n">
        <f aca="false">D2680+D2682+D2683</f>
        <v>37541.9176399212</v>
      </c>
      <c r="E2684" s="59" t="n">
        <f aca="false">E2680+E2682+E2683</f>
        <v>153674.691534491</v>
      </c>
      <c r="F2684" s="59" t="n">
        <f aca="false">F2680+F2682+F2683</f>
        <v>301909.909829256</v>
      </c>
      <c r="G2684" s="59" t="n">
        <f aca="false">G2680+G2682+G2683</f>
        <v>480545.400406066</v>
      </c>
      <c r="H2684" s="2" t="s">
        <v>1298</v>
      </c>
    </row>
    <row r="2685" customFormat="false" ht="15" hidden="false" customHeight="false" outlineLevel="1" collapsed="false">
      <c r="A2685" s="7" t="s">
        <v>251</v>
      </c>
      <c r="B2685" s="8" t="s">
        <v>10</v>
      </c>
      <c r="C2685" s="58" t="n">
        <f aca="false">-C2651</f>
        <v>-400885.59375</v>
      </c>
      <c r="D2685" s="58" t="n">
        <f aca="false">-D2651</f>
        <v>-508017.8875</v>
      </c>
      <c r="E2685" s="58" t="n">
        <f aca="false">-E2651</f>
        <v>-667701.28525</v>
      </c>
      <c r="F2685" s="58" t="n">
        <f aca="false">-F2651</f>
        <v>-855745.92960125</v>
      </c>
      <c r="G2685" s="58" t="n">
        <f aca="false">-G2651</f>
        <v>-1042442.03916396</v>
      </c>
      <c r="H2685" s="2" t="s">
        <v>1299</v>
      </c>
    </row>
    <row r="2686" customFormat="false" ht="15" hidden="false" customHeight="false" outlineLevel="1" collapsed="false">
      <c r="A2686" s="7" t="s">
        <v>680</v>
      </c>
      <c r="B2686" s="8" t="s">
        <v>10</v>
      </c>
      <c r="C2686" s="58" t="n">
        <f aca="false">-C2667</f>
        <v>-319100</v>
      </c>
      <c r="D2686" s="58" t="n">
        <f aca="false">-D2667</f>
        <v>-324803.414</v>
      </c>
      <c r="E2686" s="58" t="n">
        <f aca="false">-E2667</f>
        <v>-426200.686</v>
      </c>
      <c r="F2686" s="58" t="n">
        <f aca="false">-F2667</f>
        <v>-483213.6564</v>
      </c>
      <c r="G2686" s="58" t="n">
        <f aca="false">-G2667</f>
        <v>-570040.774448</v>
      </c>
      <c r="H2686" s="2" t="s">
        <v>1300</v>
      </c>
    </row>
    <row r="2687" customFormat="false" ht="15" hidden="false" customHeight="false" outlineLevel="1" collapsed="false">
      <c r="A2687" s="52" t="s">
        <v>681</v>
      </c>
      <c r="B2687" s="53" t="s">
        <v>10</v>
      </c>
      <c r="C2687" s="59" t="n">
        <f aca="false">C2684+C2685+C2686</f>
        <v>-708873.009256849</v>
      </c>
      <c r="D2687" s="59" t="n">
        <f aca="false">D2684+D2685+D2686</f>
        <v>-795279.383860079</v>
      </c>
      <c r="E2687" s="59" t="n">
        <f aca="false">E2684+E2685+E2686</f>
        <v>-940227.279715509</v>
      </c>
      <c r="F2687" s="59" t="n">
        <f aca="false">F2684+F2685+F2686</f>
        <v>-1037049.67617199</v>
      </c>
      <c r="G2687" s="59" t="n">
        <f aca="false">G2684+G2685+G2686</f>
        <v>-1131937.4132059</v>
      </c>
      <c r="H2687" s="2" t="s">
        <v>1301</v>
      </c>
    </row>
    <row r="2688" customFormat="false" ht="15" hidden="false" customHeight="false" outlineLevel="1" collapsed="false">
      <c r="A2688" s="2" t="s">
        <v>683</v>
      </c>
      <c r="B2688" s="8" t="s">
        <v>71</v>
      </c>
      <c r="C2688" s="55" t="n">
        <f aca="false">IF(C2678&gt;0,C2687/C2678,0)</f>
        <v>-2.03700896633261</v>
      </c>
      <c r="D2688" s="55" t="n">
        <f aca="false">IF(D2678&gt;0,D2687/D2678,0)</f>
        <v>-0.344043629246101</v>
      </c>
      <c r="E2688" s="55" t="n">
        <f aca="false">IF(E2678&gt;0,E2687/E2678,0)</f>
        <v>-0.178174533343511</v>
      </c>
      <c r="F2688" s="55" t="n">
        <f aca="false">IF(F2678&gt;0,F2687/F2678,0)</f>
        <v>-0.113375978242912</v>
      </c>
      <c r="G2688" s="55" t="n">
        <f aca="false">IF(G2678&gt;0,G2687/G2678,0)</f>
        <v>-0.0808764095980668</v>
      </c>
      <c r="H2688" s="2" t="s">
        <v>1302</v>
      </c>
    </row>
    <row r="2689" customFormat="false" ht="15" hidden="false" customHeight="false" outlineLevel="1" collapsed="false">
      <c r="A2689" s="2" t="s">
        <v>684</v>
      </c>
      <c r="B2689" s="8" t="s">
        <v>10</v>
      </c>
      <c r="C2689" s="58" t="n">
        <f aca="false">C2687+C2619</f>
        <v>-708873.009256849</v>
      </c>
      <c r="D2689" s="58" t="n">
        <f aca="false">D2687+D2619</f>
        <v>-764967.24824364</v>
      </c>
      <c r="E2689" s="58" t="n">
        <f aca="false">E2687+E2619</f>
        <v>-889824.896795988</v>
      </c>
      <c r="F2689" s="58" t="n">
        <f aca="false">F2687+F2619</f>
        <v>-955737.490983638</v>
      </c>
      <c r="G2689" s="58" t="n">
        <f aca="false">G2687+G2619</f>
        <v>-1007740.4106374</v>
      </c>
      <c r="H2689" s="2" t="s">
        <v>1303</v>
      </c>
    </row>
    <row r="2690" customFormat="false" ht="15" hidden="false" customHeight="false" outlineLevel="1" collapsed="false">
      <c r="A2690" s="7" t="s">
        <v>672</v>
      </c>
      <c r="B2690" s="8" t="s">
        <v>10</v>
      </c>
      <c r="C2690" s="58" t="n">
        <f aca="false">-C2676</f>
        <v>-27100</v>
      </c>
      <c r="D2690" s="58" t="n">
        <f aca="false">-D2676</f>
        <v>-40000</v>
      </c>
      <c r="E2690" s="58" t="n">
        <f aca="false">-E2676</f>
        <v>-53900</v>
      </c>
      <c r="F2690" s="58" t="n">
        <f aca="false">-F2676</f>
        <v>-44466.6666666667</v>
      </c>
      <c r="G2690" s="58" t="n">
        <f aca="false">-G2676</f>
        <v>-41533.3333333333</v>
      </c>
      <c r="H2690" s="2" t="s">
        <v>1304</v>
      </c>
    </row>
    <row r="2691" customFormat="false" ht="15" hidden="false" customHeight="false" outlineLevel="1" collapsed="false">
      <c r="A2691" s="52" t="s">
        <v>685</v>
      </c>
      <c r="B2691" s="53" t="s">
        <v>10</v>
      </c>
      <c r="C2691" s="59" t="n">
        <f aca="false">C2687+C2690</f>
        <v>-735973.009256849</v>
      </c>
      <c r="D2691" s="59" t="n">
        <f aca="false">D2687+D2690</f>
        <v>-835279.383860079</v>
      </c>
      <c r="E2691" s="59" t="n">
        <f aca="false">E2687+E2690</f>
        <v>-994127.279715509</v>
      </c>
      <c r="F2691" s="59" t="n">
        <f aca="false">F2687+F2690</f>
        <v>-1081516.34283866</v>
      </c>
      <c r="G2691" s="59" t="n">
        <f aca="false">G2687+G2690</f>
        <v>-1173470.74653923</v>
      </c>
      <c r="H2691" s="2" t="s">
        <v>1305</v>
      </c>
    </row>
    <row r="2692" customFormat="false" ht="15" hidden="false" customHeight="false" outlineLevel="0" collapsed="false">
      <c r="A2692" s="3" t="s">
        <v>1306</v>
      </c>
      <c r="B2692" s="4"/>
      <c r="C2692" s="4"/>
      <c r="D2692" s="4"/>
      <c r="E2692" s="4"/>
      <c r="F2692" s="4"/>
      <c r="G2692" s="4"/>
      <c r="H2692" s="4"/>
    </row>
    <row r="2693" customFormat="false" ht="15" hidden="false" customHeight="false" outlineLevel="1" collapsed="false">
      <c r="A2693" s="7" t="s">
        <v>687</v>
      </c>
      <c r="B2693" s="8" t="s">
        <v>10</v>
      </c>
      <c r="C2693" s="58" t="n">
        <f aca="false">C2691</f>
        <v>-735973.009256849</v>
      </c>
      <c r="D2693" s="58" t="n">
        <f aca="false">D2691</f>
        <v>-835279.383860079</v>
      </c>
      <c r="E2693" s="58" t="n">
        <f aca="false">E2691</f>
        <v>-994127.279715509</v>
      </c>
      <c r="F2693" s="58" t="n">
        <f aca="false">F2691</f>
        <v>-1081516.34283866</v>
      </c>
      <c r="G2693" s="58" t="n">
        <f aca="false">G2691</f>
        <v>-1173470.74653923</v>
      </c>
      <c r="H2693" s="2" t="s">
        <v>1307</v>
      </c>
    </row>
    <row r="2694" customFormat="false" ht="15" hidden="false" customHeight="false" outlineLevel="1" collapsed="false">
      <c r="A2694" s="7" t="s">
        <v>688</v>
      </c>
      <c r="B2694" s="8" t="s">
        <v>10</v>
      </c>
      <c r="C2694" s="58" t="n">
        <f aca="false">0</f>
        <v>0</v>
      </c>
      <c r="D2694" s="58" t="n">
        <f aca="false">C2697</f>
        <v>735973.009256849</v>
      </c>
      <c r="E2694" s="58" t="n">
        <f aca="false">D2697</f>
        <v>1571252.39311693</v>
      </c>
      <c r="F2694" s="58" t="n">
        <f aca="false">E2697</f>
        <v>2565379.67283244</v>
      </c>
      <c r="G2694" s="58" t="n">
        <f aca="false">F2697</f>
        <v>3646896.0156711</v>
      </c>
      <c r="H2694" s="2" t="s">
        <v>1308</v>
      </c>
    </row>
    <row r="2695" customFormat="false" ht="15" hidden="false" customHeight="false" outlineLevel="1" collapsed="false">
      <c r="A2695" s="7" t="s">
        <v>689</v>
      </c>
      <c r="B2695" s="8" t="s">
        <v>10</v>
      </c>
      <c r="C2695" s="58" t="n">
        <f aca="false">MAX(0,-C2693)</f>
        <v>735973.009256849</v>
      </c>
      <c r="D2695" s="58" t="n">
        <f aca="false">MAX(0,-D2693)</f>
        <v>835279.383860079</v>
      </c>
      <c r="E2695" s="58" t="n">
        <f aca="false">MAX(0,-E2693)</f>
        <v>994127.279715509</v>
      </c>
      <c r="F2695" s="58" t="n">
        <f aca="false">MAX(0,-F2693)</f>
        <v>1081516.34283866</v>
      </c>
      <c r="G2695" s="58" t="n">
        <f aca="false">MAX(0,-G2693)</f>
        <v>1173470.74653923</v>
      </c>
      <c r="H2695" s="2" t="s">
        <v>1309</v>
      </c>
    </row>
    <row r="2696" customFormat="false" ht="15" hidden="false" customHeight="false" outlineLevel="1" collapsed="false">
      <c r="A2696" s="7" t="s">
        <v>690</v>
      </c>
      <c r="B2696" s="8" t="s">
        <v>10</v>
      </c>
      <c r="C2696" s="58" t="n">
        <f aca="false">MIN(C2694,Pressupostos!$C$179*MAX(0,C2693))</f>
        <v>0</v>
      </c>
      <c r="D2696" s="58" t="n">
        <f aca="false">MIN(D2694,Pressupostos!$C$179*MAX(0,D2693))</f>
        <v>0</v>
      </c>
      <c r="E2696" s="58" t="n">
        <f aca="false">MIN(E2694,Pressupostos!$C$179*MAX(0,E2693))</f>
        <v>0</v>
      </c>
      <c r="F2696" s="58" t="n">
        <f aca="false">MIN(F2694,Pressupostos!$C$179*MAX(0,F2693))</f>
        <v>0</v>
      </c>
      <c r="G2696" s="58" t="n">
        <f aca="false">MIN(G2694,Pressupostos!$C$179*MAX(0,G2693))</f>
        <v>0</v>
      </c>
      <c r="H2696" s="2" t="s">
        <v>1310</v>
      </c>
    </row>
    <row r="2697" customFormat="false" ht="15" hidden="false" customHeight="false" outlineLevel="1" collapsed="false">
      <c r="A2697" s="7" t="s">
        <v>691</v>
      </c>
      <c r="B2697" s="8" t="s">
        <v>10</v>
      </c>
      <c r="C2697" s="58" t="n">
        <f aca="false">C2694+C2695-C2696</f>
        <v>735973.009256849</v>
      </c>
      <c r="D2697" s="58" t="n">
        <f aca="false">D2694+D2695-D2696</f>
        <v>1571252.39311693</v>
      </c>
      <c r="E2697" s="58" t="n">
        <f aca="false">E2694+E2695-E2696</f>
        <v>2565379.67283244</v>
      </c>
      <c r="F2697" s="58" t="n">
        <f aca="false">F2694+F2695-F2696</f>
        <v>3646896.0156711</v>
      </c>
      <c r="G2697" s="58" t="n">
        <f aca="false">G2694+G2695-G2696</f>
        <v>4820366.76221033</v>
      </c>
      <c r="H2697" s="2" t="s">
        <v>1311</v>
      </c>
    </row>
    <row r="2698" customFormat="false" ht="15" hidden="false" customHeight="false" outlineLevel="1" collapsed="false">
      <c r="A2698" s="7" t="s">
        <v>692</v>
      </c>
      <c r="B2698" s="8" t="s">
        <v>10</v>
      </c>
      <c r="C2698" s="58" t="n">
        <f aca="false">MAX(0,C2693)-C2696</f>
        <v>0</v>
      </c>
      <c r="D2698" s="58" t="n">
        <f aca="false">MAX(0,D2693)-D2696</f>
        <v>0</v>
      </c>
      <c r="E2698" s="58" t="n">
        <f aca="false">MAX(0,E2693)-E2696</f>
        <v>0</v>
      </c>
      <c r="F2698" s="58" t="n">
        <f aca="false">MAX(0,F2693)-F2696</f>
        <v>0</v>
      </c>
      <c r="G2698" s="58" t="n">
        <f aca="false">MAX(0,G2693)-G2696</f>
        <v>0</v>
      </c>
      <c r="H2698" s="2" t="s">
        <v>1312</v>
      </c>
    </row>
    <row r="2699" customFormat="false" ht="15" hidden="false" customHeight="false" outlineLevel="1" collapsed="false">
      <c r="A2699" s="7" t="s">
        <v>693</v>
      </c>
      <c r="B2699" s="8" t="s">
        <v>10</v>
      </c>
      <c r="C2699" s="58" t="n">
        <f aca="false">Pressupostos!$C$170*MIN(C2698,Pressupostos!$C$171)+Pressupostos!$C$450*MAX(0,C2698-Pressupostos!$C$171)</f>
        <v>0</v>
      </c>
      <c r="D2699" s="58" t="n">
        <f aca="false">Pressupostos!$C$170*MIN(D2698,Pressupostos!$C$171)+Pressupostos!$D$450*MAX(0,D2698-Pressupostos!$C$171)</f>
        <v>0</v>
      </c>
      <c r="E2699" s="58" t="n">
        <f aca="false">Pressupostos!$C$170*MIN(E2698,Pressupostos!$C$171)+Pressupostos!$E$450*MAX(0,E2698-Pressupostos!$C$171)</f>
        <v>0</v>
      </c>
      <c r="F2699" s="58" t="n">
        <f aca="false">Pressupostos!$C$170*MIN(F2698,Pressupostos!$C$171)+Pressupostos!$F$450*MAX(0,F2698-Pressupostos!$C$171)</f>
        <v>0</v>
      </c>
      <c r="G2699" s="58" t="n">
        <f aca="false">Pressupostos!$C$170*MIN(G2698,Pressupostos!$C$171)+Pressupostos!$G$450*MAX(0,G2698-Pressupostos!$C$171)</f>
        <v>0</v>
      </c>
      <c r="H2699" s="2" t="s">
        <v>1313</v>
      </c>
    </row>
    <row r="2700" customFormat="false" ht="15" hidden="false" customHeight="false" outlineLevel="1" collapsed="false">
      <c r="A2700" s="7" t="s">
        <v>694</v>
      </c>
      <c r="B2700" s="8" t="s">
        <v>10</v>
      </c>
      <c r="C2700" s="58" t="n">
        <f aca="false">Pressupostos!$C$172*MAX(0,C2693)</f>
        <v>0</v>
      </c>
      <c r="D2700" s="58" t="n">
        <f aca="false">Pressupostos!$C$172*MAX(0,D2693)</f>
        <v>0</v>
      </c>
      <c r="E2700" s="58" t="n">
        <f aca="false">Pressupostos!$C$172*MAX(0,E2693)</f>
        <v>0</v>
      </c>
      <c r="F2700" s="58" t="n">
        <f aca="false">Pressupostos!$C$172*MAX(0,F2693)</f>
        <v>0</v>
      </c>
      <c r="G2700" s="58" t="n">
        <f aca="false">Pressupostos!$C$172*MAX(0,G2693)</f>
        <v>0</v>
      </c>
      <c r="H2700" s="2" t="s">
        <v>1314</v>
      </c>
    </row>
    <row r="2701" customFormat="false" ht="15" hidden="false" customHeight="false" outlineLevel="1" collapsed="false">
      <c r="A2701" s="7" t="s">
        <v>695</v>
      </c>
      <c r="B2701" s="8" t="s">
        <v>10</v>
      </c>
      <c r="C2701" s="58" t="n">
        <f aca="false">Pressupostos!$C$174*MAX(0,MIN(C2693,Pressupostos!$C$175)-Pressupostos!$C$173)+Pressupostos!$C$176*MAX(0,MIN(C2693,Pressupostos!$C$177)-Pressupostos!$C$175)+Pressupostos!$C$178*MAX(0,C2693-Pressupostos!$C$177)</f>
        <v>0</v>
      </c>
      <c r="D2701" s="58" t="n">
        <f aca="false">Pressupostos!$C$174*MAX(0,MIN(D2693,Pressupostos!$C$175)-Pressupostos!$C$173)+Pressupostos!$C$176*MAX(0,MIN(D2693,Pressupostos!$C$177)-Pressupostos!$C$175)+Pressupostos!$C$178*MAX(0,D2693-Pressupostos!$C$177)</f>
        <v>0</v>
      </c>
      <c r="E2701" s="58" t="n">
        <f aca="false">Pressupostos!$C$174*MAX(0,MIN(E2693,Pressupostos!$C$175)-Pressupostos!$C$173)+Pressupostos!$C$176*MAX(0,MIN(E2693,Pressupostos!$C$177)-Pressupostos!$C$175)+Pressupostos!$C$178*MAX(0,E2693-Pressupostos!$C$177)</f>
        <v>0</v>
      </c>
      <c r="F2701" s="58" t="n">
        <f aca="false">Pressupostos!$C$174*MAX(0,MIN(F2693,Pressupostos!$C$175)-Pressupostos!$C$173)+Pressupostos!$C$176*MAX(0,MIN(F2693,Pressupostos!$C$177)-Pressupostos!$C$175)+Pressupostos!$C$178*MAX(0,F2693-Pressupostos!$C$177)</f>
        <v>0</v>
      </c>
      <c r="G2701" s="58" t="n">
        <f aca="false">Pressupostos!$C$174*MAX(0,MIN(G2693,Pressupostos!$C$175)-Pressupostos!$C$173)+Pressupostos!$C$176*MAX(0,MIN(G2693,Pressupostos!$C$177)-Pressupostos!$C$175)+Pressupostos!$C$178*MAX(0,G2693-Pressupostos!$C$177)</f>
        <v>0</v>
      </c>
      <c r="H2701" s="2" t="s">
        <v>1315</v>
      </c>
    </row>
    <row r="2702" customFormat="false" ht="15" hidden="false" customHeight="false" outlineLevel="1" collapsed="false">
      <c r="A2702" s="7" t="s">
        <v>696</v>
      </c>
      <c r="B2702" s="8" t="s">
        <v>10</v>
      </c>
      <c r="C2702" s="58" t="n">
        <f aca="false">C2699+C2700+C2701</f>
        <v>0</v>
      </c>
      <c r="D2702" s="58" t="n">
        <f aca="false">D2699+D2700+D2701</f>
        <v>0</v>
      </c>
      <c r="E2702" s="58" t="n">
        <f aca="false">E2699+E2700+E2701</f>
        <v>0</v>
      </c>
      <c r="F2702" s="58" t="n">
        <f aca="false">F2699+F2700+F2701</f>
        <v>0</v>
      </c>
      <c r="G2702" s="58" t="n">
        <f aca="false">G2699+G2700+G2701</f>
        <v>0</v>
      </c>
      <c r="H2702" s="2" t="s">
        <v>1316</v>
      </c>
    </row>
    <row r="2703" customFormat="false" ht="15" hidden="false" customHeight="false" outlineLevel="0" collapsed="false">
      <c r="A2703" s="3" t="s">
        <v>1317</v>
      </c>
      <c r="B2703" s="4"/>
      <c r="C2703" s="4"/>
      <c r="D2703" s="4"/>
      <c r="E2703" s="4"/>
      <c r="F2703" s="4"/>
      <c r="G2703" s="4"/>
      <c r="H2703" s="4"/>
    </row>
    <row r="2704" customFormat="false" ht="15" hidden="false" customHeight="false" outlineLevel="1" collapsed="false">
      <c r="A2704" s="7" t="s">
        <v>696</v>
      </c>
      <c r="B2704" s="8" t="s">
        <v>10</v>
      </c>
      <c r="C2704" s="58" t="n">
        <f aca="false">-C2702</f>
        <v>-0</v>
      </c>
      <c r="D2704" s="58" t="n">
        <f aca="false">-D2702</f>
        <v>-0</v>
      </c>
      <c r="E2704" s="58" t="n">
        <f aca="false">-E2702</f>
        <v>-0</v>
      </c>
      <c r="F2704" s="58" t="n">
        <f aca="false">-F2702</f>
        <v>-0</v>
      </c>
      <c r="G2704" s="58" t="n">
        <f aca="false">-G2702</f>
        <v>-0</v>
      </c>
      <c r="H2704" s="2" t="s">
        <v>1318</v>
      </c>
    </row>
    <row r="2705" customFormat="false" ht="15" hidden="false" customHeight="false" outlineLevel="1" collapsed="false">
      <c r="A2705" s="52" t="s">
        <v>698</v>
      </c>
      <c r="B2705" s="53" t="s">
        <v>10</v>
      </c>
      <c r="C2705" s="59" t="n">
        <f aca="false">C2691+C2704</f>
        <v>-735973.009256849</v>
      </c>
      <c r="D2705" s="59" t="n">
        <f aca="false">D2691+D2704</f>
        <v>-835279.383860079</v>
      </c>
      <c r="E2705" s="59" t="n">
        <f aca="false">E2691+E2704</f>
        <v>-994127.279715509</v>
      </c>
      <c r="F2705" s="59" t="n">
        <f aca="false">F2691+F2704</f>
        <v>-1081516.34283866</v>
      </c>
      <c r="G2705" s="59" t="n">
        <f aca="false">G2691+G2704</f>
        <v>-1173470.74653923</v>
      </c>
      <c r="H2705" s="2" t="s">
        <v>1319</v>
      </c>
    </row>
    <row r="2706" customFormat="false" ht="15" hidden="false" customHeight="false" outlineLevel="0" collapsed="false">
      <c r="A2706" s="3" t="s">
        <v>1320</v>
      </c>
      <c r="B2706" s="4"/>
      <c r="C2706" s="4"/>
      <c r="D2706" s="4"/>
      <c r="E2706" s="4"/>
      <c r="F2706" s="4"/>
      <c r="G2706" s="4"/>
      <c r="H2706" s="4"/>
    </row>
    <row r="2707" customFormat="false" ht="15" hidden="false" customHeight="false" outlineLevel="1" collapsed="false">
      <c r="A2707" s="7" t="s">
        <v>702</v>
      </c>
      <c r="B2707" s="8" t="s">
        <v>10</v>
      </c>
      <c r="C2707" s="58" t="n">
        <f aca="false">C2491*1000*((C2507+C2510)*C2513/365)+C2492*1000*((C2530+C2533)*C2536/365)+C2493*1000*((C2553+C2556)*C2559/365)</f>
        <v>43786.8493150685</v>
      </c>
      <c r="D2707" s="58" t="n">
        <f aca="false">D2491*1000*((D2507+D2510)*D2513/365)+D2492*1000*((D2530+D2533)*D2536/365)+D2493*1000*((D2553+D2556)*D2559/365)</f>
        <v>255524.794520548</v>
      </c>
      <c r="E2707" s="58" t="n">
        <f aca="false">E2491*1000*((E2507+E2510)*E2513/365)+E2492*1000*((E2530+E2533)*E2536/365)+E2493*1000*((E2553+E2556)*E2559/365)</f>
        <v>398737.602739726</v>
      </c>
      <c r="F2707" s="58" t="n">
        <f aca="false">F2491*1000*((F2507+F2510)*F2513/365)+F2492*1000*((F2530+F2533)*F2536/365)+F2493*1000*((F2553+F2556)*F2559/365)</f>
        <v>689522.671232877</v>
      </c>
      <c r="G2707" s="58" t="n">
        <f aca="false">G2491*1000*((G2507+G2510)*G2513/365)+G2492*1000*((G2530+G2533)*G2536/365)+G2493*1000*((G2553+G2556)*G2559/365)</f>
        <v>1047310.2739726</v>
      </c>
      <c r="H2707" s="2" t="s">
        <v>1321</v>
      </c>
    </row>
    <row r="2708" customFormat="false" ht="15" hidden="false" customHeight="false" outlineLevel="1" collapsed="false">
      <c r="A2708" s="7" t="s">
        <v>703</v>
      </c>
      <c r="B2708" s="8" t="s">
        <v>10</v>
      </c>
      <c r="C2708" s="58" t="n">
        <f aca="false">C2707+C2502*1000*Pressupostos!$C$90*Pressupostos!$C$93/365</f>
        <v>43786.8493150685</v>
      </c>
      <c r="D2708" s="58" t="n">
        <f aca="false">D2707+D2502*1000*Pressupostos!$C$90*Pressupostos!$C$93/365</f>
        <v>255524.794520548</v>
      </c>
      <c r="E2708" s="58" t="n">
        <f aca="false">E2707+E2502*1000*Pressupostos!$C$90*Pressupostos!$C$93/365</f>
        <v>432395.136986301</v>
      </c>
      <c r="F2708" s="58" t="n">
        <f aca="false">F2707+F2502*1000*Pressupostos!$C$90*Pressupostos!$C$93/365</f>
        <v>756837.739726028</v>
      </c>
      <c r="G2708" s="58" t="n">
        <f aca="false">G2707+G2502*1000*Pressupostos!$C$90*Pressupostos!$C$93/365</f>
        <v>1159502.05479452</v>
      </c>
      <c r="H2708" s="2" t="s">
        <v>1322</v>
      </c>
    </row>
    <row r="2709" customFormat="false" ht="15" hidden="false" customHeight="false" outlineLevel="1" collapsed="false">
      <c r="A2709" s="7" t="s">
        <v>704</v>
      </c>
      <c r="B2709" s="8" t="s">
        <v>10</v>
      </c>
      <c r="C2709" s="58" t="n">
        <f aca="false">C2491*1000*(C2509*C2514/365)+C2492*1000*(C2532*C2537/365)+C2493*1000*(C2555*C2560/365)+C2580*Pressupostos!$C$94/365+C2582*Pressupostos!$C$80/365</f>
        <v>41411.5890410959</v>
      </c>
      <c r="D2709" s="58" t="n">
        <f aca="false">D2491*1000*(D2509*D2514/365)+D2492*1000*(D2532*D2537/365)+D2493*1000*(D2555*D2560/365)+D2580*Pressupostos!$C$94/365+D2582*Pressupostos!$C$80/365</f>
        <v>276880.5</v>
      </c>
      <c r="E2709" s="58" t="n">
        <f aca="false">E2491*1000*(E2509*E2514/365)+E2492*1000*(E2532*E2537/365)+E2493*1000*(E2555*E2560/365)+E2580*Pressupostos!$C$94/365+E2582*Pressupostos!$C$80/365</f>
        <v>609933.020547945</v>
      </c>
      <c r="F2709" s="58" t="n">
        <f aca="false">F2491*1000*(F2509*F2514/365)+F2492*1000*(F2532*F2537/365)+F2493*1000*(F2555*F2560/365)+F2580*Pressupostos!$C$94/365+F2582*Pressupostos!$C$80/365</f>
        <v>1045158.59589041</v>
      </c>
      <c r="G2709" s="58" t="n">
        <f aca="false">G2491*1000*(G2509*G2514/365)+G2492*1000*(G2532*G2537/365)+G2493*1000*(G2555*G2560/365)+G2580*Pressupostos!$C$94/365+G2582*Pressupostos!$C$80/365</f>
        <v>1592780.83561644</v>
      </c>
      <c r="H2709" s="2" t="s">
        <v>1323</v>
      </c>
    </row>
    <row r="2710" customFormat="false" ht="15" hidden="false" customHeight="false" outlineLevel="1" collapsed="false">
      <c r="A2710" s="7" t="s">
        <v>705</v>
      </c>
      <c r="B2710" s="8" t="s">
        <v>10</v>
      </c>
      <c r="C2710" s="58" t="n">
        <f aca="false">C2491*1000*((C2507+C2510)*Pressupostos!$C$70/365)+C2492*1000*((C2530+C2533)*Pressupostos!$C$70/365)+C2493*1000*((C2553+C2556)*Pressupostos!$C$70/365)+C2502*1000*Pressupostos!$C$90*Pressupostos!$C$95/365</f>
        <v>26049.8630136986</v>
      </c>
      <c r="D2710" s="58" t="n">
        <f aca="false">D2491*1000*((D2507+D2510)*Pressupostos!$C$70/365)+D2492*1000*((D2530+D2533)*Pressupostos!$C$70/365)+D2493*1000*((D2553+D2556)*Pressupostos!$C$70/365)+D2502*1000*Pressupostos!$C$90*Pressupostos!$C$95/365</f>
        <v>173491.232876712</v>
      </c>
      <c r="E2710" s="58" t="n">
        <f aca="false">E2491*1000*((E2507+E2510)*Pressupostos!$C$70/365)+E2492*1000*((E2530+E2533)*Pressupostos!$C$70/365)+E2493*1000*((E2553+E2556)*Pressupostos!$C$70/365)+E2502*1000*Pressupostos!$C$90*Pressupostos!$C$95/365</f>
        <v>391688.219178082</v>
      </c>
      <c r="F2710" s="58" t="n">
        <f aca="false">F2491*1000*((F2507+F2510)*Pressupostos!$C$70/365)+F2492*1000*((F2530+F2533)*Pressupostos!$C$70/365)+F2493*1000*((F2553+F2556)*Pressupostos!$C$70/365)+F2502*1000*Pressupostos!$C$90*Pressupostos!$C$95/365</f>
        <v>675202.191780822</v>
      </c>
      <c r="G2710" s="58" t="n">
        <f aca="false">G2491*1000*((G2507+G2510)*Pressupostos!$C$70/365)+G2492*1000*((G2530+G2533)*Pressupostos!$C$70/365)+G2493*1000*((G2553+G2556)*Pressupostos!$C$70/365)+G2502*1000*Pressupostos!$C$90*Pressupostos!$C$95/365</f>
        <v>1031202.73972603</v>
      </c>
      <c r="H2710" s="2" t="s">
        <v>1324</v>
      </c>
    </row>
    <row r="2711" customFormat="false" ht="15" hidden="false" customHeight="false" outlineLevel="1" collapsed="false">
      <c r="A2711" s="52" t="s">
        <v>706</v>
      </c>
      <c r="B2711" s="53" t="s">
        <v>10</v>
      </c>
      <c r="C2711" s="59" t="n">
        <f aca="false">C2708+C2709-C2710</f>
        <v>59148.5753424658</v>
      </c>
      <c r="D2711" s="59" t="n">
        <f aca="false">D2708+D2709-D2710</f>
        <v>358914.061643836</v>
      </c>
      <c r="E2711" s="59" t="n">
        <f aca="false">E2708+E2709-E2710</f>
        <v>650639.938356164</v>
      </c>
      <c r="F2711" s="59" t="n">
        <f aca="false">F2708+F2709-F2710</f>
        <v>1126794.14383562</v>
      </c>
      <c r="G2711" s="59" t="n">
        <f aca="false">G2708+G2709-G2710</f>
        <v>1721080.15068493</v>
      </c>
      <c r="H2711" s="2" t="s">
        <v>1325</v>
      </c>
    </row>
    <row r="2712" customFormat="false" ht="15" hidden="false" customHeight="false" outlineLevel="0" collapsed="false">
      <c r="A2712" s="3" t="s">
        <v>1326</v>
      </c>
      <c r="B2712" s="4"/>
      <c r="C2712" s="4"/>
      <c r="D2712" s="4"/>
      <c r="E2712" s="4"/>
      <c r="F2712" s="4"/>
      <c r="G2712" s="4"/>
      <c r="H2712" s="4"/>
    </row>
    <row r="2713" customFormat="false" ht="15" hidden="false" customHeight="false" outlineLevel="1" collapsed="false">
      <c r="A2713" s="52" t="s">
        <v>708</v>
      </c>
      <c r="B2713" s="53" t="s">
        <v>10</v>
      </c>
      <c r="C2713" s="59" t="n">
        <f aca="false">Pressupostos!$C$277*C2711/Pressupostos!$D$31</f>
        <v>0</v>
      </c>
      <c r="D2713" s="59" t="n">
        <f aca="false">Pressupostos!$D$277*D2711/Pressupostos!$D$31</f>
        <v>403778.319349315</v>
      </c>
      <c r="E2713" s="59" t="n">
        <f aca="false">Pressupostos!$E$277*E2711/Pressupostos!$D$31</f>
        <v>731969.930650685</v>
      </c>
      <c r="F2713" s="59" t="n">
        <f aca="false">Pressupostos!$F$277*F2711/Pressupostos!$D$31</f>
        <v>1267643.41181507</v>
      </c>
      <c r="G2713" s="59" t="n">
        <f aca="false">Pressupostos!$G$277*G2711/Pressupostos!$D$31</f>
        <v>1936215.16952055</v>
      </c>
      <c r="H2713" s="2" t="s">
        <v>1327</v>
      </c>
    </row>
    <row r="2714" customFormat="false" ht="15" hidden="false" customHeight="false" outlineLevel="1" collapsed="false">
      <c r="A2714" s="7" t="s">
        <v>709</v>
      </c>
      <c r="B2714" s="8" t="s">
        <v>10</v>
      </c>
      <c r="C2714" s="58" t="n">
        <f aca="false">Pressupostos!$C$277*C2711</f>
        <v>0</v>
      </c>
      <c r="D2714" s="58" t="n">
        <f aca="false">Pressupostos!$D$277*D2711</f>
        <v>323022.655479452</v>
      </c>
      <c r="E2714" s="58" t="n">
        <f aca="false">Pressupostos!$E$277*E2711</f>
        <v>585575.944520548</v>
      </c>
      <c r="F2714" s="58" t="n">
        <f aca="false">Pressupostos!$F$277*F2711</f>
        <v>1014114.72945205</v>
      </c>
      <c r="G2714" s="58" t="n">
        <f aca="false">Pressupostos!$G$277*G2711</f>
        <v>1548972.13561644</v>
      </c>
      <c r="H2714" s="2" t="s">
        <v>1328</v>
      </c>
    </row>
    <row r="2715" customFormat="false" ht="15" hidden="false" customHeight="false" outlineLevel="1" collapsed="false">
      <c r="A2715" s="7" t="s">
        <v>710</v>
      </c>
      <c r="B2715" s="8" t="s">
        <v>10</v>
      </c>
      <c r="C2715" s="58" t="n">
        <f aca="false">C2713-C2714</f>
        <v>0</v>
      </c>
      <c r="D2715" s="58" t="n">
        <f aca="false">D2713-D2714</f>
        <v>80755.663869863</v>
      </c>
      <c r="E2715" s="58" t="n">
        <f aca="false">E2713-E2714</f>
        <v>146393.986130137</v>
      </c>
      <c r="F2715" s="58" t="n">
        <f aca="false">F2713-F2714</f>
        <v>253528.682363014</v>
      </c>
      <c r="G2715" s="58" t="n">
        <f aca="false">G2713-G2714</f>
        <v>387243.033904109</v>
      </c>
      <c r="H2715" s="2" t="s">
        <v>1329</v>
      </c>
    </row>
    <row r="2716" customFormat="false" ht="15" hidden="false" customHeight="false" outlineLevel="1" collapsed="false">
      <c r="A2716" s="7" t="s">
        <v>711</v>
      </c>
      <c r="B2716" s="8" t="s">
        <v>10</v>
      </c>
      <c r="C2716" s="58" t="n">
        <f aca="false">C2711-C2714</f>
        <v>59148.5753424658</v>
      </c>
      <c r="D2716" s="58" t="n">
        <f aca="false">D2711-D2714</f>
        <v>35891.4061643836</v>
      </c>
      <c r="E2716" s="58" t="n">
        <f aca="false">E2711-E2714</f>
        <v>65063.9938356164</v>
      </c>
      <c r="F2716" s="58" t="n">
        <f aca="false">F2711-F2714</f>
        <v>112679.414383562</v>
      </c>
      <c r="G2716" s="58" t="n">
        <f aca="false">G2711-G2714</f>
        <v>172108.015068493</v>
      </c>
      <c r="H2716" s="2" t="s">
        <v>1330</v>
      </c>
    </row>
    <row r="2717" customFormat="false" ht="15" hidden="false" customHeight="false" outlineLevel="1" collapsed="false">
      <c r="A2717" s="7" t="s">
        <v>712</v>
      </c>
      <c r="B2717" s="8" t="s">
        <v>10</v>
      </c>
      <c r="C2717" s="58" t="n">
        <f aca="false">MAX(0,Pressupostos!$C$106-C2716)</f>
        <v>0</v>
      </c>
      <c r="D2717" s="58" t="n">
        <f aca="false">MAX(0,Pressupostos!$C$106-D2716)</f>
        <v>14108.5938356164</v>
      </c>
      <c r="E2717" s="58" t="n">
        <f aca="false">MAX(0,Pressupostos!$C$106-E2716)</f>
        <v>0</v>
      </c>
      <c r="F2717" s="58" t="n">
        <f aca="false">MAX(0,Pressupostos!$C$106-F2716)</f>
        <v>0</v>
      </c>
      <c r="G2717" s="58" t="n">
        <f aca="false">MAX(0,Pressupostos!$C$106-G2716)</f>
        <v>0</v>
      </c>
      <c r="H2717" s="2" t="s">
        <v>1331</v>
      </c>
    </row>
    <row r="2718" customFormat="false" ht="15" hidden="false" customHeight="false" outlineLevel="1" collapsed="false">
      <c r="A2718" s="7" t="s">
        <v>713</v>
      </c>
      <c r="B2718" s="8" t="s">
        <v>10</v>
      </c>
      <c r="C2718" s="58" t="n">
        <f aca="false">Pressupostos!$C$107*C2713</f>
        <v>0</v>
      </c>
      <c r="D2718" s="58" t="n">
        <f aca="false">Pressupostos!$C$107*D2713</f>
        <v>20188.9159674658</v>
      </c>
      <c r="E2718" s="58" t="n">
        <f aca="false">Pressupostos!$C$107*E2713</f>
        <v>36598.4965325342</v>
      </c>
      <c r="F2718" s="58" t="n">
        <f aca="false">Pressupostos!$C$107*F2713</f>
        <v>63382.1705907534</v>
      </c>
      <c r="G2718" s="58" t="n">
        <f aca="false">Pressupostos!$C$107*G2713</f>
        <v>96810.7584760274</v>
      </c>
      <c r="H2718" s="2" t="s">
        <v>1332</v>
      </c>
    </row>
    <row r="2719" customFormat="false" ht="15" hidden="false" customHeight="false" outlineLevel="1" collapsed="false">
      <c r="A2719" s="2" t="s">
        <v>714</v>
      </c>
      <c r="B2719" s="8" t="s">
        <v>115</v>
      </c>
      <c r="C2719" s="58" t="n">
        <f aca="false">C2713/Pressupostos!$C$110</f>
        <v>0</v>
      </c>
      <c r="D2719" s="58" t="n">
        <f aca="false">D2713/Pressupostos!$C$110</f>
        <v>8.0755663869863</v>
      </c>
      <c r="E2719" s="58" t="n">
        <f aca="false">E2713/Pressupostos!$C$110</f>
        <v>14.6393986130137</v>
      </c>
      <c r="F2719" s="58" t="n">
        <f aca="false">F2713/Pressupostos!$C$110</f>
        <v>25.3528682363014</v>
      </c>
      <c r="G2719" s="58" t="n">
        <f aca="false">G2713/Pressupostos!$C$110</f>
        <v>38.724303390411</v>
      </c>
      <c r="H2719" s="2" t="s">
        <v>1333</v>
      </c>
    </row>
    <row r="2720" customFormat="false" ht="15" hidden="false" customHeight="false" outlineLevel="0" collapsed="false">
      <c r="A2720" s="3" t="s">
        <v>1334</v>
      </c>
      <c r="B2720" s="4"/>
      <c r="C2720" s="4"/>
      <c r="D2720" s="4"/>
      <c r="E2720" s="4"/>
      <c r="F2720" s="4"/>
      <c r="G2720" s="4"/>
      <c r="H2720" s="4"/>
    </row>
    <row r="2721" customFormat="false" ht="15" hidden="false" customHeight="false" outlineLevel="1" collapsed="false">
      <c r="A2721" s="7" t="s">
        <v>681</v>
      </c>
      <c r="B2721" s="8" t="s">
        <v>10</v>
      </c>
      <c r="C2721" s="58" t="n">
        <f aca="false">C2687</f>
        <v>-708873.009256849</v>
      </c>
      <c r="D2721" s="58" t="n">
        <f aca="false">D2687</f>
        <v>-795279.383860079</v>
      </c>
      <c r="E2721" s="58" t="n">
        <f aca="false">E2687</f>
        <v>-940227.279715509</v>
      </c>
      <c r="F2721" s="58" t="n">
        <f aca="false">F2687</f>
        <v>-1037049.67617199</v>
      </c>
      <c r="G2721" s="58" t="n">
        <f aca="false">G2687</f>
        <v>-1131937.4132059</v>
      </c>
      <c r="H2721" s="2" t="s">
        <v>1335</v>
      </c>
    </row>
    <row r="2722" customFormat="false" ht="15" hidden="false" customHeight="false" outlineLevel="1" collapsed="false">
      <c r="A2722" s="7" t="s">
        <v>716</v>
      </c>
      <c r="B2722" s="8" t="s">
        <v>10</v>
      </c>
      <c r="C2722" s="58" t="n">
        <f aca="false">-C2702</f>
        <v>-0</v>
      </c>
      <c r="D2722" s="58" t="n">
        <f aca="false">-D2702</f>
        <v>-0</v>
      </c>
      <c r="E2722" s="58" t="n">
        <f aca="false">-E2702</f>
        <v>-0</v>
      </c>
      <c r="F2722" s="58" t="n">
        <f aca="false">-F2702</f>
        <v>-0</v>
      </c>
      <c r="G2722" s="58" t="n">
        <f aca="false">-G2702</f>
        <v>-0</v>
      </c>
      <c r="H2722" s="2" t="s">
        <v>1336</v>
      </c>
    </row>
    <row r="2723" customFormat="false" ht="15" hidden="false" customHeight="false" outlineLevel="1" collapsed="false">
      <c r="A2723" s="7" t="s">
        <v>717</v>
      </c>
      <c r="B2723" s="8" t="s">
        <v>10</v>
      </c>
      <c r="C2723" s="58" t="n">
        <f aca="false">-C2711</f>
        <v>-59148.5753424658</v>
      </c>
      <c r="D2723" s="58" t="n">
        <f aca="false">-(D2711-C2711)</f>
        <v>-299765.48630137</v>
      </c>
      <c r="E2723" s="58" t="n">
        <f aca="false">-(E2711-D2711)</f>
        <v>-291725.876712329</v>
      </c>
      <c r="F2723" s="58" t="n">
        <f aca="false">-(F2711-E2711)</f>
        <v>-476154.205479452</v>
      </c>
      <c r="G2723" s="58" t="n">
        <f aca="false">-(G2711-F2711)</f>
        <v>-594286.006849315</v>
      </c>
      <c r="H2723" s="2" t="s">
        <v>1337</v>
      </c>
    </row>
    <row r="2724" customFormat="false" ht="15" hidden="false" customHeight="false" outlineLevel="1" collapsed="false">
      <c r="A2724" s="7" t="s">
        <v>407</v>
      </c>
      <c r="B2724" s="8" t="s">
        <v>10</v>
      </c>
      <c r="C2724" s="58" t="n">
        <f aca="false">-C2672</f>
        <v>-92000</v>
      </c>
      <c r="D2724" s="58" t="n">
        <f aca="false">-D2672</f>
        <v>-44000</v>
      </c>
      <c r="E2724" s="58" t="n">
        <f aca="false">-E2672</f>
        <v>-48000</v>
      </c>
      <c r="F2724" s="58" t="n">
        <f aca="false">-F2672</f>
        <v>-38000</v>
      </c>
      <c r="G2724" s="58" t="n">
        <f aca="false">-G2672</f>
        <v>-38000</v>
      </c>
      <c r="H2724" s="2" t="s">
        <v>1338</v>
      </c>
    </row>
    <row r="2725" customFormat="false" ht="15" hidden="false" customHeight="false" outlineLevel="1" collapsed="false">
      <c r="A2725" s="7" t="s">
        <v>718</v>
      </c>
      <c r="B2725" s="8" t="s">
        <v>10</v>
      </c>
      <c r="C2725" s="58" t="n">
        <f aca="false">C2721+C2722+C2723+C2724</f>
        <v>-860021.584599315</v>
      </c>
      <c r="D2725" s="58" t="n">
        <f aca="false">D2721+D2722+D2723+D2724</f>
        <v>-1139044.87016145</v>
      </c>
      <c r="E2725" s="58" t="n">
        <f aca="false">E2721+E2722+E2723+E2724</f>
        <v>-1279953.15642784</v>
      </c>
      <c r="F2725" s="58" t="n">
        <f aca="false">F2721+F2722+F2723+F2724</f>
        <v>-1551203.88165145</v>
      </c>
      <c r="G2725" s="58" t="n">
        <f aca="false">G2721+G2722+G2723+G2724</f>
        <v>-1764223.42005521</v>
      </c>
      <c r="H2725" s="2" t="s">
        <v>1339</v>
      </c>
    </row>
    <row r="2726" customFormat="false" ht="15" hidden="false" customHeight="false" outlineLevel="1" collapsed="false">
      <c r="A2726" s="7" t="s">
        <v>719</v>
      </c>
      <c r="B2726" s="8" t="s">
        <v>10</v>
      </c>
      <c r="C2726" s="58" t="n">
        <f aca="false">C2713</f>
        <v>0</v>
      </c>
      <c r="D2726" s="58" t="n">
        <f aca="false">D2713-C2713</f>
        <v>403778.319349315</v>
      </c>
      <c r="E2726" s="58" t="n">
        <f aca="false">E2713-D2713</f>
        <v>328191.61130137</v>
      </c>
      <c r="F2726" s="58" t="n">
        <f aca="false">F2713-E2713</f>
        <v>535673.481164384</v>
      </c>
      <c r="G2726" s="58" t="n">
        <f aca="false">G2713-F2713</f>
        <v>668571.757705479</v>
      </c>
      <c r="H2726" s="2" t="s">
        <v>1340</v>
      </c>
    </row>
    <row r="2727" customFormat="false" ht="15" hidden="false" customHeight="false" outlineLevel="1" collapsed="false">
      <c r="A2727" s="7" t="s">
        <v>720</v>
      </c>
      <c r="B2727" s="8" t="s">
        <v>10</v>
      </c>
      <c r="C2727" s="58" t="n">
        <f aca="false">-C2715</f>
        <v>-0</v>
      </c>
      <c r="D2727" s="58" t="n">
        <f aca="false">-(D2715-C2715)</f>
        <v>-80755.663869863</v>
      </c>
      <c r="E2727" s="58" t="n">
        <f aca="false">-(E2715-D2715)</f>
        <v>-65638.3222602739</v>
      </c>
      <c r="F2727" s="58" t="n">
        <f aca="false">-(F2715-E2715)</f>
        <v>-107134.696232877</v>
      </c>
      <c r="G2727" s="58" t="n">
        <f aca="false">-(G2715-F2715)</f>
        <v>-133714.351541096</v>
      </c>
      <c r="H2727" s="2" t="s">
        <v>1341</v>
      </c>
    </row>
    <row r="2728" customFormat="false" ht="15" hidden="false" customHeight="false" outlineLevel="1" collapsed="false">
      <c r="A2728" s="7" t="s">
        <v>721</v>
      </c>
      <c r="B2728" s="8" t="s">
        <v>10</v>
      </c>
      <c r="C2728" s="58" t="n">
        <f aca="false">-C2718</f>
        <v>-0</v>
      </c>
      <c r="D2728" s="58" t="n">
        <f aca="false">-(D2718-C2718)</f>
        <v>-20188.9159674658</v>
      </c>
      <c r="E2728" s="58" t="n">
        <f aca="false">-(E2718-D2718)</f>
        <v>-16409.5805650685</v>
      </c>
      <c r="F2728" s="58" t="n">
        <f aca="false">-(F2718-E2718)</f>
        <v>-26783.6740582192</v>
      </c>
      <c r="G2728" s="58" t="n">
        <f aca="false">-(G2718-F2718)</f>
        <v>-33428.587885274</v>
      </c>
      <c r="H2728" s="2" t="s">
        <v>1342</v>
      </c>
    </row>
    <row r="2729" customFormat="false" ht="15" hidden="false" customHeight="false" outlineLevel="1" collapsed="false">
      <c r="A2729" s="7" t="s">
        <v>722</v>
      </c>
      <c r="B2729" s="8" t="s">
        <v>10</v>
      </c>
      <c r="C2729" s="58" t="n">
        <f aca="false">-(C2717-Pressupostos!$C$106)</f>
        <v>50000</v>
      </c>
      <c r="D2729" s="58" t="n">
        <f aca="false">-(D2717-C2717)</f>
        <v>-14108.5938356164</v>
      </c>
      <c r="E2729" s="58" t="n">
        <f aca="false">-(E2717-D2717)</f>
        <v>14108.5938356164</v>
      </c>
      <c r="F2729" s="58" t="n">
        <f aca="false">-(F2717-E2717)</f>
        <v>-0</v>
      </c>
      <c r="G2729" s="58" t="n">
        <f aca="false">-(G2717-F2717)</f>
        <v>-0</v>
      </c>
      <c r="H2729" s="2" t="s">
        <v>1343</v>
      </c>
    </row>
    <row r="2730" customFormat="false" ht="15" hidden="false" customHeight="false" outlineLevel="1" collapsed="false">
      <c r="A2730" s="52" t="s">
        <v>723</v>
      </c>
      <c r="B2730" s="53" t="s">
        <v>10</v>
      </c>
      <c r="C2730" s="59" t="n">
        <f aca="false">C2725+C2726+C2727+C2728+C2729</f>
        <v>-810021.584599315</v>
      </c>
      <c r="D2730" s="59" t="n">
        <f aca="false">D2725+D2726+D2727+D2728+D2729</f>
        <v>-850319.724485079</v>
      </c>
      <c r="E2730" s="59" t="n">
        <f aca="false">E2725+E2726+E2727+E2728+E2729</f>
        <v>-1019700.85411619</v>
      </c>
      <c r="F2730" s="59" t="n">
        <f aca="false">F2725+F2726+F2727+F2728+F2729</f>
        <v>-1149448.77077816</v>
      </c>
      <c r="G2730" s="59" t="n">
        <f aca="false">G2725+G2726+G2727+G2728+G2729</f>
        <v>-1262794.6017761</v>
      </c>
      <c r="H2730" s="2" t="s">
        <v>1344</v>
      </c>
    </row>
    <row r="2731" customFormat="false" ht="15" hidden="false" customHeight="false" outlineLevel="1" collapsed="false">
      <c r="A2731" s="52" t="s">
        <v>724</v>
      </c>
      <c r="B2731" s="53" t="s">
        <v>10</v>
      </c>
      <c r="C2731" s="59" t="n">
        <f aca="false">C2730</f>
        <v>-810021.584599315</v>
      </c>
      <c r="D2731" s="59" t="n">
        <f aca="false">C2731+D2730</f>
        <v>-1660341.30908439</v>
      </c>
      <c r="E2731" s="59" t="n">
        <f aca="false">D2731+E2730</f>
        <v>-2680042.16320059</v>
      </c>
      <c r="F2731" s="59" t="n">
        <f aca="false">E2731+F2730</f>
        <v>-3829490.93397875</v>
      </c>
      <c r="G2731" s="59" t="n">
        <f aca="false">F2731+G2730</f>
        <v>-5092285.53575485</v>
      </c>
      <c r="H2731" s="2" t="s">
        <v>1345</v>
      </c>
    </row>
    <row r="2732" customFormat="false" ht="15" hidden="false" customHeight="false" outlineLevel="1" collapsed="false">
      <c r="A2732" s="8" t="s">
        <v>725</v>
      </c>
      <c r="B2732" s="8" t="s">
        <v>10</v>
      </c>
      <c r="C2732" s="66" t="n">
        <f aca="false">ROUND(C2687-C2672-C2702-(MAX(C2716,Pressupostos!$C$106)-Pressupostos!$C$106)-(C2718)-C2730,6)</f>
        <v>0</v>
      </c>
      <c r="D2732" s="66" t="n">
        <f aca="false">ROUND(D2687-D2672-D2702-(MAX(D2716,Pressupostos!$C$106)-MAX(C2716,Pressupostos!$C$106))-(D2718-C2718)-D2730,6)</f>
        <v>0</v>
      </c>
      <c r="E2732" s="66" t="n">
        <f aca="false">ROUND(E2687-E2672-E2702-(MAX(E2716,Pressupostos!$C$106)-MAX(D2716,Pressupostos!$C$106))-(E2718-D2718)-E2730,6)</f>
        <v>0</v>
      </c>
      <c r="F2732" s="66" t="n">
        <f aca="false">ROUND(F2687-F2672-F2702-(MAX(F2716,Pressupostos!$C$106)-MAX(E2716,Pressupostos!$C$106))-(F2718-E2718)-F2730,6)</f>
        <v>0</v>
      </c>
      <c r="G2732" s="66" t="n">
        <f aca="false">ROUND(G2687-G2672-G2702-(MAX(G2716,Pressupostos!$C$106)-MAX(F2716,Pressupostos!$C$106))-(G2718-F2718)-G2730,6)</f>
        <v>0</v>
      </c>
      <c r="H2732" s="2" t="s">
        <v>1346</v>
      </c>
    </row>
    <row r="2733" customFormat="false" ht="15" hidden="false" customHeight="false" outlineLevel="0" collapsed="false">
      <c r="A2733" s="3" t="s">
        <v>1347</v>
      </c>
      <c r="B2733" s="4"/>
      <c r="C2733" s="4"/>
      <c r="D2733" s="4"/>
      <c r="E2733" s="4"/>
      <c r="F2733" s="4"/>
      <c r="G2733" s="4"/>
      <c r="H2733" s="4"/>
    </row>
    <row r="2734" customFormat="false" ht="15" hidden="false" customHeight="false" outlineLevel="1" collapsed="false">
      <c r="A2734" s="7" t="s">
        <v>727</v>
      </c>
      <c r="B2734" s="8" t="s">
        <v>10</v>
      </c>
      <c r="C2734" s="58" t="n">
        <f aca="false">0</f>
        <v>0</v>
      </c>
      <c r="D2734" s="58" t="n">
        <f aca="false">C2739</f>
        <v>150000</v>
      </c>
      <c r="E2734" s="58" t="n">
        <f aca="false">D2739</f>
        <v>150000</v>
      </c>
      <c r="F2734" s="58" t="n">
        <f aca="false">E2739</f>
        <v>150000</v>
      </c>
      <c r="G2734" s="58" t="n">
        <f aca="false">F2739</f>
        <v>150000</v>
      </c>
      <c r="H2734" s="2" t="s">
        <v>1348</v>
      </c>
    </row>
    <row r="2735" customFormat="false" ht="15" hidden="false" customHeight="false" outlineLevel="1" collapsed="false">
      <c r="A2735" s="7" t="s">
        <v>728</v>
      </c>
      <c r="B2735" s="8" t="s">
        <v>10</v>
      </c>
      <c r="C2735" s="58" t="n">
        <f aca="false">-(Pressupostos!$C$157+Pressupostos!$C$158+Pressupostos!$C$159+Pressupostos!$C$160+Pressupostos!$C$161+Pressupostos!$C$106)</f>
        <v>-145000</v>
      </c>
      <c r="D2735" s="58" t="n">
        <f aca="false">0</f>
        <v>0</v>
      </c>
      <c r="E2735" s="58" t="n">
        <f aca="false">0</f>
        <v>0</v>
      </c>
      <c r="F2735" s="58" t="n">
        <f aca="false">0</f>
        <v>0</v>
      </c>
      <c r="G2735" s="58" t="n">
        <f aca="false">0</f>
        <v>0</v>
      </c>
      <c r="H2735" s="2" t="s">
        <v>1349</v>
      </c>
    </row>
    <row r="2736" customFormat="false" ht="15" hidden="false" customHeight="false" outlineLevel="1" collapsed="false">
      <c r="A2736" s="7" t="s">
        <v>729</v>
      </c>
      <c r="B2736" s="8" t="s">
        <v>10</v>
      </c>
      <c r="C2736" s="50" t="n">
        <f aca="false">Pressupostos!$D$32</f>
        <v>1100000</v>
      </c>
      <c r="D2736" s="58" t="n">
        <f aca="false">0</f>
        <v>0</v>
      </c>
      <c r="E2736" s="58" t="n">
        <f aca="false">0</f>
        <v>0</v>
      </c>
      <c r="F2736" s="58" t="n">
        <f aca="false">0</f>
        <v>0</v>
      </c>
      <c r="G2736" s="58" t="n">
        <f aca="false">0</f>
        <v>0</v>
      </c>
      <c r="H2736" s="2" t="s">
        <v>1350</v>
      </c>
    </row>
    <row r="2737" customFormat="false" ht="15" hidden="false" customHeight="false" outlineLevel="1" collapsed="false">
      <c r="A2737" s="7" t="s">
        <v>730</v>
      </c>
      <c r="B2737" s="8" t="s">
        <v>10</v>
      </c>
      <c r="C2737" s="58" t="n">
        <f aca="false">C2734+C2735+C2736+C2730</f>
        <v>144978.415400685</v>
      </c>
      <c r="D2737" s="58" t="n">
        <f aca="false">D2734+D2735+D2736+D2730</f>
        <v>-700319.724485079</v>
      </c>
      <c r="E2737" s="58" t="n">
        <f aca="false">E2734+E2735+E2736+E2730</f>
        <v>-869700.854116194</v>
      </c>
      <c r="F2737" s="58" t="n">
        <f aca="false">F2734+F2735+F2736+F2730</f>
        <v>-999448.770778158</v>
      </c>
      <c r="G2737" s="58" t="n">
        <f aca="false">G2734+G2735+G2736+G2730</f>
        <v>-1112794.6017761</v>
      </c>
      <c r="H2737" s="2" t="s">
        <v>1351</v>
      </c>
    </row>
    <row r="2738" customFormat="false" ht="15" hidden="false" customHeight="false" outlineLevel="1" collapsed="false">
      <c r="A2738" s="52" t="s">
        <v>731</v>
      </c>
      <c r="B2738" s="53" t="s">
        <v>10</v>
      </c>
      <c r="C2738" s="59" t="n">
        <f aca="false">MAX(0,Pressupostos!$C$168-C2737)</f>
        <v>5021.58459931507</v>
      </c>
      <c r="D2738" s="59" t="n">
        <f aca="false">MAX(0,Pressupostos!$C$168-D2737)</f>
        <v>850319.724485079</v>
      </c>
      <c r="E2738" s="59" t="n">
        <f aca="false">MAX(0,Pressupostos!$C$168-E2737)</f>
        <v>1019700.85411619</v>
      </c>
      <c r="F2738" s="59" t="n">
        <f aca="false">MAX(0,Pressupostos!$C$168-F2737)</f>
        <v>1149448.77077816</v>
      </c>
      <c r="G2738" s="59" t="n">
        <f aca="false">MAX(0,Pressupostos!$C$168-G2737)</f>
        <v>1262794.6017761</v>
      </c>
      <c r="H2738" s="2" t="s">
        <v>1352</v>
      </c>
    </row>
    <row r="2739" customFormat="false" ht="15" hidden="false" customHeight="false" outlineLevel="1" collapsed="false">
      <c r="A2739" s="52" t="s">
        <v>732</v>
      </c>
      <c r="B2739" s="53" t="s">
        <v>10</v>
      </c>
      <c r="C2739" s="59" t="n">
        <f aca="false">C2737+C2738</f>
        <v>150000</v>
      </c>
      <c r="D2739" s="59" t="n">
        <f aca="false">D2737+D2738</f>
        <v>150000</v>
      </c>
      <c r="E2739" s="59" t="n">
        <f aca="false">E2737+E2738</f>
        <v>150000</v>
      </c>
      <c r="F2739" s="59" t="n">
        <f aca="false">F2737+F2738</f>
        <v>150000</v>
      </c>
      <c r="G2739" s="59" t="n">
        <f aca="false">G2737+G2738</f>
        <v>150000</v>
      </c>
      <c r="H2739" s="2" t="s">
        <v>1353</v>
      </c>
    </row>
    <row r="2740" customFormat="false" ht="15" hidden="false" customHeight="false" outlineLevel="1" collapsed="false">
      <c r="A2740" s="7" t="s">
        <v>733</v>
      </c>
      <c r="B2740" s="8" t="s">
        <v>10</v>
      </c>
      <c r="C2740" s="58" t="n">
        <f aca="false">C2715+C2718+C2717</f>
        <v>0</v>
      </c>
      <c r="D2740" s="58" t="n">
        <f aca="false">D2715+D2718+D2717</f>
        <v>115053.173672945</v>
      </c>
      <c r="E2740" s="58" t="n">
        <f aca="false">E2715+E2718+E2717</f>
        <v>182992.482662671</v>
      </c>
      <c r="F2740" s="58" t="n">
        <f aca="false">F2715+F2718+F2717</f>
        <v>316910.852953767</v>
      </c>
      <c r="G2740" s="58" t="n">
        <f aca="false">G2715+G2718+G2717</f>
        <v>484053.792380137</v>
      </c>
      <c r="H2740" s="2" t="s">
        <v>1354</v>
      </c>
    </row>
    <row r="2741" customFormat="false" ht="15" hidden="false" customHeight="false" outlineLevel="1" collapsed="false">
      <c r="A2741" s="7" t="s">
        <v>734</v>
      </c>
      <c r="B2741" s="8" t="s">
        <v>10</v>
      </c>
      <c r="C2741" s="58" t="n">
        <f aca="false">C2739+C2740</f>
        <v>150000</v>
      </c>
      <c r="D2741" s="58" t="n">
        <f aca="false">D2739+D2740</f>
        <v>265053.173672945</v>
      </c>
      <c r="E2741" s="58" t="n">
        <f aca="false">E2739+E2740</f>
        <v>332992.482662671</v>
      </c>
      <c r="F2741" s="58" t="n">
        <f aca="false">F2739+F2740</f>
        <v>466910.852953767</v>
      </c>
      <c r="G2741" s="58" t="n">
        <f aca="false">G2739+G2740</f>
        <v>634053.792380137</v>
      </c>
      <c r="H2741" s="2" t="s">
        <v>1355</v>
      </c>
    </row>
    <row r="2742" customFormat="false" ht="15" hidden="false" customHeight="false" outlineLevel="1" collapsed="false">
      <c r="A2742" s="7" t="s">
        <v>735</v>
      </c>
      <c r="B2742" s="8" t="s">
        <v>10</v>
      </c>
      <c r="C2742" s="58" t="n">
        <f aca="false">C2736+C2738</f>
        <v>1105021.58459932</v>
      </c>
      <c r="D2742" s="58" t="n">
        <f aca="false">C2742+D2736+D2738</f>
        <v>1955341.30908439</v>
      </c>
      <c r="E2742" s="58" t="n">
        <f aca="false">D2742+E2736+E2738</f>
        <v>2975042.16320059</v>
      </c>
      <c r="F2742" s="58" t="n">
        <f aca="false">E2742+F2736+F2738</f>
        <v>4124490.93397875</v>
      </c>
      <c r="G2742" s="58" t="n">
        <f aca="false">F2742+G2736+G2738</f>
        <v>5387285.53575485</v>
      </c>
      <c r="H2742" s="2" t="s">
        <v>1356</v>
      </c>
    </row>
    <row r="2743" customFormat="false" ht="15" hidden="false" customHeight="false" outlineLevel="0" collapsed="false">
      <c r="A2743" s="3" t="s">
        <v>1357</v>
      </c>
      <c r="B2743" s="4"/>
      <c r="C2743" s="4"/>
      <c r="D2743" s="4"/>
      <c r="E2743" s="4"/>
      <c r="F2743" s="4"/>
      <c r="G2743" s="4"/>
      <c r="H2743" s="4"/>
    </row>
    <row r="2744" customFormat="false" ht="15" hidden="false" customHeight="false" outlineLevel="1" collapsed="false">
      <c r="A2744" s="7" t="s">
        <v>739</v>
      </c>
      <c r="B2744" s="8" t="s">
        <v>10</v>
      </c>
      <c r="C2744" s="68" t="n">
        <f aca="false">Pressupostos!$C$157+Pressupostos!$C$158+Pressupostos!$C$159+Pressupostos!$C$160+Pressupostos!$C$161</f>
        <v>95000</v>
      </c>
      <c r="H2744" s="2" t="s">
        <v>1358</v>
      </c>
    </row>
    <row r="2745" customFormat="false" ht="15" hidden="false" customHeight="false" outlineLevel="1" collapsed="false">
      <c r="A2745" s="7" t="s">
        <v>740</v>
      </c>
      <c r="B2745" s="8" t="s">
        <v>10</v>
      </c>
      <c r="C2745" s="69" t="n">
        <f aca="false">Pressupostos!$C$106</f>
        <v>50000</v>
      </c>
      <c r="H2745" s="2" t="s">
        <v>1359</v>
      </c>
    </row>
    <row r="2746" customFormat="false" ht="15" hidden="false" customHeight="false" outlineLevel="1" collapsed="false">
      <c r="A2746" s="7" t="s">
        <v>312</v>
      </c>
      <c r="B2746" s="8" t="s">
        <v>10</v>
      </c>
      <c r="C2746" s="69" t="n">
        <f aca="false">Pressupostos!$C$168</f>
        <v>150000</v>
      </c>
      <c r="H2746" s="2" t="s">
        <v>1360</v>
      </c>
    </row>
    <row r="2747" customFormat="false" ht="15" hidden="false" customHeight="false" outlineLevel="1" collapsed="false">
      <c r="A2747" s="7" t="s">
        <v>741</v>
      </c>
      <c r="B2747" s="8" t="s">
        <v>10</v>
      </c>
      <c r="C2747" s="68" t="n">
        <f aca="false">MAX(0,-MIN($C$2731:$G$2731))</f>
        <v>5092285.53575485</v>
      </c>
      <c r="H2747" s="2" t="s">
        <v>1361</v>
      </c>
    </row>
    <row r="2748" customFormat="false" ht="15" hidden="false" customHeight="false" outlineLevel="1" collapsed="false">
      <c r="A2748" s="52" t="s">
        <v>14</v>
      </c>
      <c r="B2748" s="53" t="s">
        <v>10</v>
      </c>
      <c r="C2748" s="70" t="n">
        <f aca="false">C2744+C2745+C2746+C2747</f>
        <v>5387285.53575485</v>
      </c>
      <c r="H2748" s="2" t="s">
        <v>1362</v>
      </c>
    </row>
    <row r="2749" customFormat="false" ht="15" hidden="false" customHeight="false" outlineLevel="1" collapsed="false">
      <c r="A2749" s="7" t="s">
        <v>742</v>
      </c>
      <c r="B2749" s="8" t="s">
        <v>18</v>
      </c>
      <c r="C2749" s="71" t="n">
        <f aca="false">INDEX($C$2488:$G$2488,1,MATCH(MIN($C$2731:$G$2731),$C$2731:$G$2731,0))</f>
        <v>2031</v>
      </c>
      <c r="H2749" s="2" t="s">
        <v>1363</v>
      </c>
    </row>
    <row r="2750" customFormat="false" ht="15" hidden="false" customHeight="false" outlineLevel="1" collapsed="false">
      <c r="A2750" s="7" t="s">
        <v>743</v>
      </c>
      <c r="B2750" s="8"/>
      <c r="C2750" s="72" t="str">
        <f aca="false">IF(G2730&lt;0,"sim","não")</f>
        <v>sim</v>
      </c>
      <c r="H2750" s="2" t="s">
        <v>1364</v>
      </c>
    </row>
    <row r="2751" customFormat="false" ht="15" hidden="false" customHeight="false" outlineLevel="1" collapsed="false">
      <c r="A2751" s="7" t="s">
        <v>744</v>
      </c>
      <c r="B2751" s="8" t="s">
        <v>10</v>
      </c>
      <c r="C2751" s="68" t="n">
        <f aca="false">G2742</f>
        <v>5387285.53575485</v>
      </c>
      <c r="H2751" s="2" t="s">
        <v>1365</v>
      </c>
    </row>
    <row r="2752" customFormat="false" ht="15" hidden="false" customHeight="false" outlineLevel="0" collapsed="false">
      <c r="A2752" s="3" t="s">
        <v>1366</v>
      </c>
      <c r="B2752" s="4"/>
      <c r="C2752" s="4"/>
      <c r="D2752" s="4"/>
      <c r="E2752" s="4"/>
      <c r="F2752" s="4"/>
      <c r="G2752" s="4"/>
      <c r="H2752" s="4"/>
    </row>
    <row r="2753" customFormat="false" ht="15" hidden="false" customHeight="false" outlineLevel="1" collapsed="false">
      <c r="A2753" s="7" t="s">
        <v>746</v>
      </c>
      <c r="B2753" s="8" t="s">
        <v>10</v>
      </c>
      <c r="C2753" s="68" t="n">
        <f aca="false">C2744+C2745</f>
        <v>145000</v>
      </c>
      <c r="H2753" s="2" t="s">
        <v>1367</v>
      </c>
    </row>
    <row r="2754" customFormat="false" ht="15" hidden="false" customHeight="false" outlineLevel="1" collapsed="false">
      <c r="A2754" s="7" t="s">
        <v>747</v>
      </c>
      <c r="B2754" s="8" t="s">
        <v>10</v>
      </c>
      <c r="C2754" s="68" t="n">
        <f aca="false">-SUMPRODUCT(($C$2488:$G$2488&lt;=C2749)*$C$2687:$G$2687)</f>
        <v>4613366.76221033</v>
      </c>
      <c r="H2754" s="2" t="s">
        <v>1368</v>
      </c>
    </row>
    <row r="2755" customFormat="false" ht="15" hidden="false" customHeight="false" outlineLevel="1" collapsed="false">
      <c r="A2755" s="7" t="s">
        <v>407</v>
      </c>
      <c r="B2755" s="8" t="s">
        <v>10</v>
      </c>
      <c r="C2755" s="68" t="n">
        <f aca="false">SUMPRODUCT(($C$2488:$G$2488&lt;=C2749)*$C$2672:$G$2672)</f>
        <v>260000</v>
      </c>
      <c r="H2755" s="2" t="s">
        <v>1369</v>
      </c>
    </row>
    <row r="2756" customFormat="false" ht="15" hidden="false" customHeight="false" outlineLevel="1" collapsed="false">
      <c r="A2756" s="7" t="s">
        <v>748</v>
      </c>
      <c r="B2756" s="8" t="s">
        <v>10</v>
      </c>
      <c r="C2756" s="68" t="n">
        <f aca="false">SUMPRODUCT(($C$2488:$G$2488&lt;=C2749)*$C$2702:$G$2702)</f>
        <v>0</v>
      </c>
      <c r="H2756" s="2" t="s">
        <v>1370</v>
      </c>
    </row>
    <row r="2757" customFormat="false" ht="15" hidden="false" customHeight="false" outlineLevel="1" collapsed="false">
      <c r="A2757" s="7" t="s">
        <v>749</v>
      </c>
      <c r="B2757" s="8" t="s">
        <v>10</v>
      </c>
      <c r="C2757" s="68" t="n">
        <f aca="false">C2747-C2754-C2755-C2756</f>
        <v>218918.77354452</v>
      </c>
      <c r="H2757" s="2" t="s">
        <v>1371</v>
      </c>
    </row>
    <row r="2758" customFormat="false" ht="15" hidden="false" customHeight="false" outlineLevel="1" collapsed="false">
      <c r="A2758" s="7" t="s">
        <v>312</v>
      </c>
      <c r="B2758" s="8" t="s">
        <v>10</v>
      </c>
      <c r="C2758" s="68" t="n">
        <f aca="false">C2746</f>
        <v>150000</v>
      </c>
      <c r="H2758" s="2" t="s">
        <v>1372</v>
      </c>
    </row>
    <row r="2759" customFormat="false" ht="15" hidden="false" customHeight="false" outlineLevel="1" collapsed="false">
      <c r="A2759" s="52" t="s">
        <v>750</v>
      </c>
      <c r="B2759" s="53" t="s">
        <v>10</v>
      </c>
      <c r="C2759" s="70" t="n">
        <f aca="false">C2753+C2754+C2755+C2756+C2757+C2758</f>
        <v>5387285.53575485</v>
      </c>
      <c r="H2759" s="2" t="s">
        <v>1373</v>
      </c>
    </row>
    <row r="2760" customFormat="false" ht="15" hidden="false" customHeight="false" outlineLevel="0" collapsed="false">
      <c r="A2760" s="3" t="s">
        <v>1374</v>
      </c>
      <c r="B2760" s="4"/>
      <c r="C2760" s="4"/>
      <c r="D2760" s="4"/>
      <c r="E2760" s="4"/>
      <c r="F2760" s="4"/>
      <c r="G2760" s="4"/>
      <c r="H2760" s="4"/>
    </row>
    <row r="2761" customFormat="false" ht="15" hidden="false" customHeight="false" outlineLevel="1" collapsed="false">
      <c r="A2761" s="7" t="s">
        <v>729</v>
      </c>
      <c r="B2761" s="8" t="s">
        <v>10</v>
      </c>
      <c r="C2761" s="69" t="n">
        <f aca="false">Pressupostos!$D$32</f>
        <v>1100000</v>
      </c>
      <c r="H2761" s="2" t="s">
        <v>1375</v>
      </c>
    </row>
    <row r="2762" customFormat="false" ht="15" hidden="false" customHeight="false" outlineLevel="1" collapsed="false">
      <c r="A2762" s="7" t="s">
        <v>752</v>
      </c>
      <c r="B2762" s="8" t="s">
        <v>10</v>
      </c>
      <c r="C2762" s="68" t="n">
        <f aca="false">C2744+Pressupostos!$C$106+Pressupostos!$C$128/12*((C2648-C2636-C2637+(C2636+C2637)/Pressupostos!$C$126*Pressupostos!$C$127)*(1+Pressupostos!$C$122+Pressupostos!$C$123)+C2634*Pressupostos!$C$124+C2667)+C2672+MAX(0,Pressupostos!$C$181*1000*(C2507+C2510)+Pressupostos!$C$182*1000*(C2530+C2533)-Pressupostos!$C$106)</f>
        <v>734421.666666667</v>
      </c>
      <c r="H2762" s="2" t="s">
        <v>1376</v>
      </c>
    </row>
    <row r="2763" customFormat="false" ht="15" hidden="false" customHeight="false" outlineLevel="1" collapsed="false">
      <c r="A2763" s="7" t="s">
        <v>754</v>
      </c>
      <c r="B2763" s="8" t="s">
        <v>10</v>
      </c>
      <c r="C2763" s="68" t="n">
        <f aca="false">C2744+Pressupostos!$C$106-C2730</f>
        <v>955021.584599315</v>
      </c>
      <c r="H2763" s="2" t="s">
        <v>1377</v>
      </c>
    </row>
    <row r="2764" customFormat="false" ht="15" hidden="false" customHeight="false" outlineLevel="1" collapsed="false">
      <c r="A2764" s="7" t="s">
        <v>755</v>
      </c>
      <c r="B2764" s="8" t="s">
        <v>10</v>
      </c>
      <c r="C2764" s="58" t="n">
        <f aca="false">Pressupostos!$D$32-C2744-Pressupostos!$C$106+C2731</f>
        <v>144978.415400685</v>
      </c>
      <c r="D2764" s="58" t="n">
        <f aca="false">Pressupostos!$D$32-C2744-Pressupostos!$C$106+D2731</f>
        <v>-705341.309084394</v>
      </c>
      <c r="E2764" s="58" t="n">
        <f aca="false">Pressupostos!$D$32-C2744-Pressupostos!$C$106+E2731</f>
        <v>-1725042.16320059</v>
      </c>
      <c r="F2764" s="58" t="n">
        <f aca="false">Pressupostos!$D$32-C2744-Pressupostos!$C$106+F2731</f>
        <v>-2874490.93397875</v>
      </c>
      <c r="G2764" s="58" t="n">
        <f aca="false">Pressupostos!$D$32-C2744-Pressupostos!$C$106+G2731</f>
        <v>-4137285.53575485</v>
      </c>
      <c r="H2764" s="2" t="s">
        <v>1378</v>
      </c>
    </row>
    <row r="2765" customFormat="false" ht="15" hidden="false" customHeight="false" outlineLevel="1" collapsed="false">
      <c r="A2765" s="7" t="s">
        <v>756</v>
      </c>
      <c r="B2765" s="8" t="s">
        <v>16</v>
      </c>
      <c r="C2765" s="73" t="str">
        <f aca="false">IF(AND(Pressupostos!$D$32-C2744-Pressupostos!$C$106&gt;0,C2764&lt;=0),12*(Pressupostos!$D$32-C2744-Pressupostos!$C$106)/(Pressupostos!$D$32-C2744-Pressupostos!$C$106-C2764),"")</f>
        <v/>
      </c>
      <c r="D2765" s="73" t="n">
        <f aca="false">IF(AND(C2764&gt;0,D2764&lt;=0),12+12*C2764/(C2764-D2764),"")</f>
        <v>14.045984509958</v>
      </c>
      <c r="E2765" s="73" t="str">
        <f aca="false">IF(AND(D2764&gt;0,E2764&lt;=0),24+12*D2764/(D2764-E2764),"")</f>
        <v/>
      </c>
      <c r="F2765" s="73" t="str">
        <f aca="false">IF(AND(E2764&gt;0,F2764&lt;=0),36+12*E2764/(E2764-F2764),"")</f>
        <v/>
      </c>
      <c r="G2765" s="73" t="str">
        <f aca="false">IF(AND(F2764&gt;0,G2764&lt;=0),48+12*F2764/(F2764-G2764),"")</f>
        <v/>
      </c>
      <c r="H2765" s="2" t="s">
        <v>1379</v>
      </c>
    </row>
    <row r="2766" customFormat="false" ht="15" hidden="false" customHeight="false" outlineLevel="1" collapsed="false">
      <c r="A2766" s="52" t="s">
        <v>757</v>
      </c>
      <c r="B2766" s="53" t="s">
        <v>264</v>
      </c>
      <c r="C2766" s="74" t="n">
        <f aca="false">IF(COUNT($C$2765:$G$2765)=0,"&gt; 60",MIN($C$2765:$G$2765))</f>
        <v>14.045984509958</v>
      </c>
      <c r="H2766" s="2" t="s">
        <v>1380</v>
      </c>
    </row>
    <row r="2767" customFormat="false" ht="15" hidden="false" customHeight="false" outlineLevel="0" collapsed="false">
      <c r="A2767" s="3" t="s">
        <v>1381</v>
      </c>
      <c r="B2767" s="4"/>
      <c r="C2767" s="4"/>
      <c r="D2767" s="4"/>
      <c r="E2767" s="4"/>
      <c r="F2767" s="4"/>
      <c r="G2767" s="4"/>
      <c r="H2767" s="4"/>
    </row>
    <row r="2768" customFormat="false" ht="15" hidden="false" customHeight="false" outlineLevel="1" collapsed="false">
      <c r="A2768" s="7" t="s">
        <v>759</v>
      </c>
      <c r="B2768" s="8" t="s">
        <v>16</v>
      </c>
      <c r="C2768" s="73" t="str">
        <f aca="false">IF(C2687&gt;=0,1,"")</f>
        <v/>
      </c>
      <c r="D2768" s="73" t="str">
        <f aca="false">IF(AND(C2687&lt;0,D2687&gt;=0),6.5+12*(-C2687)/(D2687-C2687),"")</f>
        <v/>
      </c>
      <c r="E2768" s="73" t="str">
        <f aca="false">IF(AND(D2687&lt;0,E2687&gt;=0),18.5+12*(-D2687)/(E2687-D2687),"")</f>
        <v/>
      </c>
      <c r="F2768" s="73" t="str">
        <f aca="false">IF(AND(E2687&lt;0,F2687&gt;=0),30.5+12*(-E2687)/(F2687-E2687),"")</f>
        <v/>
      </c>
      <c r="G2768" s="73" t="str">
        <f aca="false">IF(AND(F2687&lt;0,G2687&gt;=0),42.5+12*(-F2687)/(G2687-F2687),"")</f>
        <v/>
      </c>
      <c r="H2768" s="2" t="s">
        <v>1382</v>
      </c>
    </row>
    <row r="2769" customFormat="false" ht="15" hidden="false" customHeight="false" outlineLevel="1" collapsed="false">
      <c r="A2769" s="7" t="s">
        <v>760</v>
      </c>
      <c r="B2769" s="8" t="s">
        <v>16</v>
      </c>
      <c r="C2769" s="75" t="str">
        <f aca="false">IF(COUNT($C$2768:$G$2768)=0,"não atinge até 2031",ROUNDUP(MIN($C$2768:$G$2768),0))</f>
        <v>não atinge até 2031</v>
      </c>
      <c r="H2769" s="2" t="s">
        <v>1383</v>
      </c>
    </row>
    <row r="2770" customFormat="false" ht="15" hidden="false" customHeight="false" outlineLevel="1" collapsed="false">
      <c r="A2770" s="52" t="s">
        <v>761</v>
      </c>
      <c r="B2770" s="53" t="s">
        <v>762</v>
      </c>
      <c r="C2770" s="76" t="str">
        <f aca="false">IF(ISNUMBER(C2769),DATE(2027,C2769,1),"não atinge até 2031")</f>
        <v>não atinge até 2031</v>
      </c>
      <c r="H2770" s="2" t="s">
        <v>1384</v>
      </c>
    </row>
    <row r="2771" customFormat="false" ht="15" hidden="false" customHeight="false" outlineLevel="1" collapsed="false">
      <c r="A2771" s="7" t="s">
        <v>763</v>
      </c>
      <c r="B2771" s="8" t="s">
        <v>18</v>
      </c>
      <c r="C2771" s="77" t="str">
        <f aca="false">IF(C2687&gt;=0,C2488,"")</f>
        <v/>
      </c>
      <c r="D2771" s="77" t="str">
        <f aca="false">IF(D2687&gt;=0,D2488,"")</f>
        <v/>
      </c>
      <c r="E2771" s="77" t="str">
        <f aca="false">IF(E2687&gt;=0,E2488,"")</f>
        <v/>
      </c>
      <c r="F2771" s="77" t="str">
        <f aca="false">IF(F2687&gt;=0,F2488,"")</f>
        <v/>
      </c>
      <c r="G2771" s="77" t="str">
        <f aca="false">IF(G2687&gt;=0,G2488,"")</f>
        <v/>
      </c>
      <c r="H2771" s="2" t="s">
        <v>1385</v>
      </c>
    </row>
    <row r="2772" customFormat="false" ht="15" hidden="false" customHeight="false" outlineLevel="1" collapsed="false">
      <c r="A2772" s="7" t="s">
        <v>764</v>
      </c>
      <c r="B2772" s="8" t="s">
        <v>18</v>
      </c>
      <c r="C2772" s="71" t="str">
        <f aca="false">IF(COUNT($C$2771:$G$2771)=0,"não atinge até 2031",MIN($C$2771:$G$2771))</f>
        <v>não atinge até 2031</v>
      </c>
      <c r="H2772" s="2" t="s">
        <v>1386</v>
      </c>
    </row>
    <row r="2773" customFormat="false" ht="15" hidden="false" customHeight="false" outlineLevel="1" collapsed="false">
      <c r="A2773" s="7" t="s">
        <v>765</v>
      </c>
      <c r="B2773" s="8" t="s">
        <v>18</v>
      </c>
      <c r="C2773" s="77" t="str">
        <f aca="false">IF(C2705&gt;=0,C2488,"")</f>
        <v/>
      </c>
      <c r="D2773" s="77" t="str">
        <f aca="false">IF(D2705&gt;=0,D2488,"")</f>
        <v/>
      </c>
      <c r="E2773" s="77" t="str">
        <f aca="false">IF(E2705&gt;=0,E2488,"")</f>
        <v/>
      </c>
      <c r="F2773" s="77" t="str">
        <f aca="false">IF(F2705&gt;=0,F2488,"")</f>
        <v/>
      </c>
      <c r="G2773" s="77" t="str">
        <f aca="false">IF(G2705&gt;=0,G2488,"")</f>
        <v/>
      </c>
      <c r="H2773" s="2" t="s">
        <v>1387</v>
      </c>
    </row>
    <row r="2774" customFormat="false" ht="15" hidden="false" customHeight="false" outlineLevel="1" collapsed="false">
      <c r="A2774" s="7" t="s">
        <v>766</v>
      </c>
      <c r="B2774" s="8" t="s">
        <v>18</v>
      </c>
      <c r="C2774" s="71" t="str">
        <f aca="false">IF(COUNT($C$2773:$G$2773)=0,"não atinge até 2031",MIN($C$2773:$G$2773))</f>
        <v>não atinge até 2031</v>
      </c>
      <c r="H2774" s="2" t="s">
        <v>1388</v>
      </c>
    </row>
    <row r="2775" customFormat="false" ht="15" hidden="false" customHeight="false" outlineLevel="1" collapsed="false">
      <c r="A2775" s="7" t="s">
        <v>767</v>
      </c>
      <c r="B2775" s="8" t="s">
        <v>18</v>
      </c>
      <c r="C2775" s="77" t="str">
        <f aca="false">IF(C2730&gt;=0,C2488,"")</f>
        <v/>
      </c>
      <c r="D2775" s="77" t="str">
        <f aca="false">IF(D2730&gt;=0,D2488,"")</f>
        <v/>
      </c>
      <c r="E2775" s="77" t="str">
        <f aca="false">IF(E2730&gt;=0,E2488,"")</f>
        <v/>
      </c>
      <c r="F2775" s="77" t="str">
        <f aca="false">IF(F2730&gt;=0,F2488,"")</f>
        <v/>
      </c>
      <c r="G2775" s="77" t="str">
        <f aca="false">IF(G2730&gt;=0,G2488,"")</f>
        <v/>
      </c>
      <c r="H2775" s="2" t="s">
        <v>1389</v>
      </c>
    </row>
    <row r="2776" customFormat="false" ht="15" hidden="false" customHeight="false" outlineLevel="1" collapsed="false">
      <c r="A2776" s="7" t="s">
        <v>17</v>
      </c>
      <c r="B2776" s="8" t="s">
        <v>18</v>
      </c>
      <c r="C2776" s="71" t="str">
        <f aca="false">IF(COUNT($C$2775:$G$2775)=0,"não atinge até 2031",MIN($C$2775:$G$2775))</f>
        <v>não atinge até 2031</v>
      </c>
      <c r="H2776" s="2" t="s">
        <v>1390</v>
      </c>
    </row>
    <row r="2777" customFormat="false" ht="15" hidden="false" customHeight="false" outlineLevel="0" collapsed="false">
      <c r="A2777" s="3" t="s">
        <v>1391</v>
      </c>
      <c r="B2777" s="4"/>
      <c r="C2777" s="4"/>
      <c r="D2777" s="4"/>
      <c r="E2777" s="4"/>
      <c r="F2777" s="4"/>
      <c r="G2777" s="4"/>
      <c r="H2777" s="4"/>
    </row>
    <row r="2778" customFormat="false" ht="15" hidden="false" customHeight="false" outlineLevel="1" collapsed="false">
      <c r="A2778" s="7" t="s">
        <v>769</v>
      </c>
      <c r="B2778" s="8" t="s">
        <v>10</v>
      </c>
      <c r="C2778" s="58" t="n">
        <f aca="false">C2713</f>
        <v>0</v>
      </c>
      <c r="D2778" s="58" t="n">
        <f aca="false">D2713</f>
        <v>403778.319349315</v>
      </c>
      <c r="E2778" s="58" t="n">
        <f aca="false">E2713</f>
        <v>731969.930650685</v>
      </c>
      <c r="F2778" s="58" t="n">
        <f aca="false">F2713</f>
        <v>1267643.41181507</v>
      </c>
      <c r="G2778" s="58" t="n">
        <f aca="false">G2713</f>
        <v>1936215.16952055</v>
      </c>
      <c r="H2778" s="2" t="s">
        <v>1392</v>
      </c>
    </row>
    <row r="2779" customFormat="false" ht="15" hidden="false" customHeight="false" outlineLevel="1" collapsed="false">
      <c r="A2779" s="7" t="s">
        <v>487</v>
      </c>
      <c r="B2779" s="8" t="s">
        <v>71</v>
      </c>
      <c r="C2779" s="78" t="n">
        <f aca="false">Pressupostos!$C$283</f>
        <v>0.08</v>
      </c>
      <c r="D2779" s="78" t="n">
        <f aca="false">Pressupostos!$D$283</f>
        <v>0.08</v>
      </c>
      <c r="E2779" s="78" t="n">
        <f aca="false">Pressupostos!$E$283</f>
        <v>0.075</v>
      </c>
      <c r="F2779" s="78" t="n">
        <f aca="false">Pressupostos!$F$283</f>
        <v>0.07</v>
      </c>
      <c r="G2779" s="78" t="n">
        <f aca="false">Pressupostos!$G$283</f>
        <v>0.07</v>
      </c>
      <c r="H2779" s="2" t="s">
        <v>1393</v>
      </c>
    </row>
    <row r="2780" customFormat="false" ht="15" hidden="false" customHeight="false" outlineLevel="1" collapsed="false">
      <c r="A2780" s="7" t="s">
        <v>770</v>
      </c>
      <c r="B2780" s="8" t="s">
        <v>71</v>
      </c>
      <c r="C2780" s="56" t="n">
        <f aca="false">Pressupostos!$C$283*(1-Pressupostos!$C$109)</f>
        <v>0.0576</v>
      </c>
      <c r="D2780" s="56" t="n">
        <f aca="false">Pressupostos!$D$283*(1-Pressupostos!$C$109)</f>
        <v>0.0576</v>
      </c>
      <c r="E2780" s="56" t="n">
        <f aca="false">Pressupostos!$E$283*(1-Pressupostos!$C$109)</f>
        <v>0.054</v>
      </c>
      <c r="F2780" s="56" t="n">
        <f aca="false">Pressupostos!$F$283*(1-Pressupostos!$C$109)</f>
        <v>0.0504</v>
      </c>
      <c r="G2780" s="56" t="n">
        <f aca="false">Pressupostos!$G$283*(1-Pressupostos!$C$109)</f>
        <v>0.0504</v>
      </c>
      <c r="H2780" s="2" t="s">
        <v>1394</v>
      </c>
    </row>
    <row r="2781" customFormat="false" ht="15" hidden="false" customHeight="false" outlineLevel="1" collapsed="false">
      <c r="A2781" s="7" t="s">
        <v>771</v>
      </c>
      <c r="B2781" s="8" t="s">
        <v>10</v>
      </c>
      <c r="C2781" s="58" t="n">
        <f aca="false">C2619</f>
        <v>0</v>
      </c>
      <c r="D2781" s="58" t="n">
        <f aca="false">D2619</f>
        <v>30312.1356164384</v>
      </c>
      <c r="E2781" s="58" t="n">
        <f aca="false">E2619</f>
        <v>50402.3829195206</v>
      </c>
      <c r="F2781" s="58" t="n">
        <f aca="false">F2619</f>
        <v>81312.1851883562</v>
      </c>
      <c r="G2781" s="58" t="n">
        <f aca="false">G2619</f>
        <v>124197.002568493</v>
      </c>
      <c r="H2781" s="2" t="s">
        <v>1395</v>
      </c>
    </row>
    <row r="2782" customFormat="false" ht="15" hidden="false" customHeight="false" outlineLevel="1" collapsed="false">
      <c r="A2782" s="7" t="s">
        <v>772</v>
      </c>
      <c r="B2782" s="8" t="s">
        <v>71</v>
      </c>
      <c r="C2782" s="55" t="n">
        <f aca="false">IF(C2713&gt;0,(C2716+C2718)/C2713,0)</f>
        <v>0</v>
      </c>
      <c r="D2782" s="55" t="n">
        <f aca="false">IF(D2713&gt;0,(D2716+D2718)/D2713,0)</f>
        <v>0.138888888888889</v>
      </c>
      <c r="E2782" s="55" t="n">
        <f aca="false">IF(E2713&gt;0,(E2716+E2718)/E2713,0)</f>
        <v>0.138888888888889</v>
      </c>
      <c r="F2782" s="55" t="n">
        <f aca="false">IF(F2713&gt;0,(F2716+F2718)/F2713,0)</f>
        <v>0.138888888888889</v>
      </c>
      <c r="G2782" s="55" t="n">
        <f aca="false">IF(G2713&gt;0,(G2716+G2718)/G2713,0)</f>
        <v>0.138888888888889</v>
      </c>
      <c r="H2782" s="2" t="s">
        <v>1396</v>
      </c>
    </row>
    <row r="2783" customFormat="false" ht="15" hidden="false" customHeight="false" outlineLevel="1" collapsed="false">
      <c r="A2783" s="7" t="s">
        <v>773</v>
      </c>
      <c r="B2783" s="8" t="s">
        <v>115</v>
      </c>
      <c r="C2783" s="58" t="n">
        <f aca="false">C2719</f>
        <v>0</v>
      </c>
      <c r="D2783" s="58" t="n">
        <f aca="false">D2719</f>
        <v>8.0755663869863</v>
      </c>
      <c r="E2783" s="58" t="n">
        <f aca="false">E2719</f>
        <v>14.6393986130137</v>
      </c>
      <c r="F2783" s="58" t="n">
        <f aca="false">F2719</f>
        <v>25.3528682363014</v>
      </c>
      <c r="G2783" s="58" t="n">
        <f aca="false">G2719</f>
        <v>38.724303390411</v>
      </c>
      <c r="H2783" s="2" t="s">
        <v>1397</v>
      </c>
    </row>
    <row r="2784" customFormat="false" ht="15" hidden="false" customHeight="false" outlineLevel="0" collapsed="false">
      <c r="A2784" s="3" t="s">
        <v>1398</v>
      </c>
      <c r="B2784" s="4"/>
      <c r="C2784" s="4"/>
      <c r="D2784" s="4"/>
      <c r="E2784" s="4"/>
      <c r="F2784" s="4"/>
      <c r="G2784" s="4"/>
      <c r="H2784" s="4"/>
    </row>
    <row r="2785" customFormat="false" ht="15" hidden="false" customHeight="false" outlineLevel="1" collapsed="false">
      <c r="A2785" s="7" t="s">
        <v>775</v>
      </c>
      <c r="B2785" s="8" t="s">
        <v>10</v>
      </c>
      <c r="C2785" s="58" t="n">
        <f aca="false">MAX(0,-C2687)</f>
        <v>708873.009256849</v>
      </c>
      <c r="D2785" s="58" t="n">
        <f aca="false">MAX(0,-D2687)</f>
        <v>795279.383860079</v>
      </c>
      <c r="E2785" s="58" t="n">
        <f aca="false">MAX(0,-E2687)</f>
        <v>940227.279715509</v>
      </c>
      <c r="F2785" s="58" t="n">
        <f aca="false">MAX(0,-F2687)</f>
        <v>1037049.67617199</v>
      </c>
      <c r="G2785" s="58" t="n">
        <f aca="false">MAX(0,-G2687)</f>
        <v>1131937.4132059</v>
      </c>
      <c r="H2785" s="2" t="s">
        <v>1399</v>
      </c>
    </row>
    <row r="2786" customFormat="false" ht="15" hidden="false" customHeight="false" outlineLevel="1" collapsed="false">
      <c r="A2786" s="2" t="s">
        <v>776</v>
      </c>
      <c r="B2786" s="8"/>
      <c r="C2786" s="58" t="n">
        <f aca="false">IF(AND(C2488&gt;=Pressupostos!$C$118,Pressupostos!$C$116*(C2576+C2577)+Pressupostos!$C$117*C2578&gt;Pressupostos!$C$295),1,0)</f>
        <v>0</v>
      </c>
      <c r="D2786" s="58" t="n">
        <f aca="false">IF(AND(D2488&gt;=Pressupostos!$C$118,Pressupostos!$C$116*(D2576+D2577)+Pressupostos!$C$117*D2578&gt;Pressupostos!$D$295),1,0)</f>
        <v>1</v>
      </c>
      <c r="E2786" s="58" t="n">
        <f aca="false">IF(AND(E2488&gt;=Pressupostos!$C$118,Pressupostos!$C$116*(E2576+E2577)+Pressupostos!$C$117*E2578&gt;Pressupostos!$E$295),1,0)</f>
        <v>1</v>
      </c>
      <c r="F2786" s="58" t="n">
        <f aca="false">IF(AND(F2488&gt;=Pressupostos!$C$118,Pressupostos!$C$116*(F2576+F2577)+Pressupostos!$C$117*F2578&gt;Pressupostos!$F$295),1,0)</f>
        <v>1</v>
      </c>
      <c r="G2786" s="58" t="n">
        <f aca="false">IF(AND(G2488&gt;=Pressupostos!$C$118,Pressupostos!$C$116*(G2576+G2577)+Pressupostos!$C$117*G2578&gt;Pressupostos!$G$295),1,0)</f>
        <v>1</v>
      </c>
      <c r="H2786" s="2" t="s">
        <v>1400</v>
      </c>
    </row>
    <row r="2787" customFormat="false" ht="15" hidden="false" customHeight="false" outlineLevel="1" collapsed="false">
      <c r="A2787" s="7" t="s">
        <v>777</v>
      </c>
      <c r="B2787" s="8" t="s">
        <v>59</v>
      </c>
      <c r="C2787" s="60" t="n">
        <f aca="false">IF(C2492&gt;0,C2785/(C2492*1000*(1-Pressupostos!$D$22)*(1-Pressupostos!$D$25-C2786*Pressupostos!$C$116)),"n/a")</f>
        <v>10.5178406411075</v>
      </c>
      <c r="D2787" s="60" t="n">
        <f aca="false">IF(D2492&gt;0,D2785/(D2492*1000*(1-Pressupostos!$D$22)*(1-Pressupostos!$D$25-D2786*Pressupostos!$C$116)),"n/a")</f>
        <v>1.69715105518259</v>
      </c>
      <c r="E2787" s="60" t="n">
        <f aca="false">IF(E2492&gt;0,E2785/(E2492*1000*(1-Pressupostos!$D$22)*(1-Pressupostos!$D$25-E2786*Pressupostos!$C$116)),"n/a")</f>
        <v>1.01583013258404</v>
      </c>
      <c r="F2787" s="60" t="n">
        <f aca="false">IF(F2492&gt;0,F2785/(F2492*1000*(1-Pressupostos!$D$22)*(1-Pressupostos!$D$25-F2786*Pressupostos!$C$116)),"n/a")</f>
        <v>0.679081993338239</v>
      </c>
      <c r="G2787" s="60" t="n">
        <f aca="false">IF(G2492&gt;0,G2785/(G2492*1000*(1-Pressupostos!$D$22)*(1-Pressupostos!$D$25-G2786*Pressupostos!$C$116)),"n/a")</f>
        <v>0.48986541943406</v>
      </c>
      <c r="H2787" s="2" t="s">
        <v>1401</v>
      </c>
    </row>
    <row r="2788" customFormat="false" ht="15" hidden="false" customHeight="false" outlineLevel="1" collapsed="false">
      <c r="A2788" s="7" t="s">
        <v>778</v>
      </c>
      <c r="B2788" s="8" t="s">
        <v>59</v>
      </c>
      <c r="C2788" s="60" t="n">
        <f aca="false">IF(C2491&gt;0,Pressupostos!$D$15+C2785/(C2491*1000*(1-Pressupostos!$D$16)*(1-Pressupostos!$D$18-C2786*Pressupostos!$C$116)),"n/a")</f>
        <v>81.8414445279422</v>
      </c>
      <c r="D2788" s="60" t="n">
        <f aca="false">IF(D2491&gt;0,Pressupostos!$D$15+D2785/(D2491*1000*(1-Pressupostos!$D$16)*(1-Pressupostos!$D$18-D2786*Pressupostos!$C$116)),"n/a")</f>
        <v>24.2065375132727</v>
      </c>
      <c r="E2788" s="60" t="n">
        <f aca="false">IF(E2491&gt;0,Pressupostos!$D$15+E2785/(E2491*1000*(1-Pressupostos!$D$16)*(1-Pressupostos!$D$18-E2786*Pressupostos!$C$116)),"n/a")</f>
        <v>11.7532358136698</v>
      </c>
      <c r="F2788" s="60" t="n">
        <f aca="false">IF(F2491&gt;0,Pressupostos!$D$15+F2785/(F2491*1000*(1-Pressupostos!$D$16)*(1-Pressupostos!$D$18-F2786*Pressupostos!$C$116)),"n/a")</f>
        <v>9.00326010892236</v>
      </c>
      <c r="G2788" s="60" t="n">
        <f aca="false">IF(G2491&gt;0,Pressupostos!$D$15+G2785/(G2491*1000*(1-Pressupostos!$D$16)*(1-Pressupostos!$D$18-G2786*Pressupostos!$C$116)),"n/a")</f>
        <v>8.03351287148301</v>
      </c>
      <c r="H2788" s="2" t="s">
        <v>1402</v>
      </c>
    </row>
    <row r="2789" customFormat="false" ht="15" hidden="false" customHeight="false" outlineLevel="1" collapsed="false">
      <c r="A2789" s="7" t="s">
        <v>779</v>
      </c>
      <c r="B2789" s="8" t="s">
        <v>59</v>
      </c>
      <c r="C2789" s="60" t="n">
        <f aca="false">C2572-C2786*Pressupostos!$C$117*C2555</f>
        <v>0.058762328767124</v>
      </c>
      <c r="D2789" s="60" t="n">
        <f aca="false">D2572-D2786*Pressupostos!$C$117*D2555</f>
        <v>0.0255719178082197</v>
      </c>
      <c r="E2789" s="60" t="n">
        <f aca="false">E2572-E2786*Pressupostos!$C$117*E2555</f>
        <v>0.0271900684931515</v>
      </c>
      <c r="F2789" s="60" t="n">
        <f aca="false">F2572-F2786*Pressupostos!$C$117*F2555</f>
        <v>0.0288082191780828</v>
      </c>
      <c r="G2789" s="60" t="n">
        <f aca="false">G2572-G2786*Pressupostos!$C$117*G2555</f>
        <v>0.0288082191780828</v>
      </c>
      <c r="H2789" s="2" t="s">
        <v>1403</v>
      </c>
    </row>
    <row r="2790" customFormat="false" ht="15" hidden="false" customHeight="false" outlineLevel="1" collapsed="false">
      <c r="A2790" s="7" t="s">
        <v>780</v>
      </c>
      <c r="B2790" s="8" t="s">
        <v>112</v>
      </c>
      <c r="C2790" s="57" t="n">
        <f aca="false">IF(C2789&gt;0,C2493+C2785/(C2789*1000),"n/a")</f>
        <v>12063.392042649</v>
      </c>
      <c r="D2790" s="57" t="n">
        <f aca="false">IF(D2789&gt;0,D2493+D2785/(D2789*1000),"n/a")</f>
        <v>31099.7160957731</v>
      </c>
      <c r="E2790" s="57" t="n">
        <f aca="false">IF(E2789&gt;0,E2493+E2785/(E2789*1000),"n/a")</f>
        <v>34579.8054886227</v>
      </c>
      <c r="F2790" s="57" t="n">
        <f aca="false">IF(F2789&gt;0,F2493+F2785/(F2789*1000),"n/a")</f>
        <v>35998.3957967446</v>
      </c>
      <c r="G2790" s="57" t="n">
        <f aca="false">IF(G2789&gt;0,G2493+G2785/(G2789*1000),"n/a")</f>
        <v>39292.1688844644</v>
      </c>
      <c r="H2790" s="2" t="s">
        <v>1404</v>
      </c>
    </row>
    <row r="2791" customFormat="false" ht="15" hidden="false" customHeight="false" outlineLevel="1" collapsed="false">
      <c r="A2791" s="7" t="s">
        <v>781</v>
      </c>
      <c r="B2791" s="8" t="s">
        <v>71</v>
      </c>
      <c r="C2791" s="55" t="n">
        <f aca="false">C2785/(C2651+C2664+C2665)</f>
        <v>0.984565546047565</v>
      </c>
      <c r="D2791" s="55" t="n">
        <f aca="false">D2785/(D2651+D2664+D2665)</f>
        <v>0.965576243379818</v>
      </c>
      <c r="E2791" s="55" t="n">
        <f aca="false">E2785/(E2651+E2664+E2665)</f>
        <v>0.875308578862716</v>
      </c>
      <c r="F2791" s="55" t="n">
        <f aca="false">F2785/(F2651+F2664+F2665)</f>
        <v>0.794588769922812</v>
      </c>
      <c r="G2791" s="55" t="n">
        <f aca="false">G2785/(G2651+G2664+G2665)</f>
        <v>0.725065568791992</v>
      </c>
      <c r="H2791" s="2" t="s">
        <v>1405</v>
      </c>
    </row>
    <row r="2792" customFormat="false" ht="15" hidden="false" customHeight="false" outlineLevel="1" collapsed="false">
      <c r="A2792" s="2" t="s">
        <v>782</v>
      </c>
      <c r="B2792" s="8" t="s">
        <v>71</v>
      </c>
      <c r="C2792" s="56" t="n">
        <f aca="false">Pressupostos!$C$99*Pressupostos!$C$100+Pressupostos!$C$101-Pressupostos!$D$30*Pressupostos!$C$102*Pressupostos!$C$100/(Pressupostos!$C$103*Pressupostos!$C$104)</f>
        <v>0.00354285714285715</v>
      </c>
      <c r="D2792" s="56" t="n">
        <f aca="false">Pressupostos!$C$99*Pressupostos!$C$100+Pressupostos!$C$101-Pressupostos!$D$30*Pressupostos!$C$102*Pressupostos!$C$100/(Pressupostos!$C$103*Pressupostos!$C$104)</f>
        <v>0.00354285714285715</v>
      </c>
      <c r="E2792" s="56" t="n">
        <f aca="false">Pressupostos!$C$99*Pressupostos!$C$100+Pressupostos!$C$101-Pressupostos!$D$30*Pressupostos!$C$102*Pressupostos!$C$100/(Pressupostos!$C$103*Pressupostos!$C$104)</f>
        <v>0.00354285714285715</v>
      </c>
      <c r="F2792" s="56" t="n">
        <f aca="false">Pressupostos!$C$99*Pressupostos!$C$100+Pressupostos!$C$101-Pressupostos!$D$30*Pressupostos!$C$102*Pressupostos!$C$100/(Pressupostos!$C$103*Pressupostos!$C$104)</f>
        <v>0.00354285714285715</v>
      </c>
      <c r="G2792" s="56" t="n">
        <f aca="false">Pressupostos!$C$99*Pressupostos!$C$100+Pressupostos!$C$101-Pressupostos!$D$30*Pressupostos!$C$102*Pressupostos!$C$100/(Pressupostos!$C$103*Pressupostos!$C$104)</f>
        <v>0.00354285714285715</v>
      </c>
      <c r="H2792" s="2" t="s">
        <v>1406</v>
      </c>
    </row>
    <row r="2793" customFormat="false" ht="15" hidden="false" customHeight="false" outlineLevel="1" collapsed="false">
      <c r="A2793" s="7" t="s">
        <v>783</v>
      </c>
      <c r="B2793" s="8" t="s">
        <v>10</v>
      </c>
      <c r="C2793" s="58" t="n">
        <f aca="false">IF(C2792&gt;0,C2504+C2785/C2792,"n/a")</f>
        <v>200085123.580562</v>
      </c>
      <c r="D2793" s="58" t="n">
        <f aca="false">IF(D2792&gt;0,D2504+D2785/D2792,"n/a")</f>
        <v>224974019.637925</v>
      </c>
      <c r="E2793" s="58" t="n">
        <f aca="false">IF(E2792&gt;0,E2504+E2785/E2792,"n/a")</f>
        <v>266886732.177764</v>
      </c>
      <c r="F2793" s="58" t="n">
        <f aca="false">IF(F2792&gt;0,F2504+F2785/F2792,"n/a")</f>
        <v>295715634.403385</v>
      </c>
      <c r="G2793" s="58" t="n">
        <f aca="false">IF(G2792&gt;0,G2504+G2785/G2792,"n/a")</f>
        <v>324498463.40489</v>
      </c>
      <c r="H2793" s="2" t="s">
        <v>1407</v>
      </c>
    </row>
    <row r="2796" customFormat="false" ht="15" hidden="false" customHeight="false" outlineLevel="0" collapsed="false">
      <c r="A2796" s="104" t="s">
        <v>1416</v>
      </c>
      <c r="B2796" s="105"/>
      <c r="C2796" s="105"/>
      <c r="D2796" s="105"/>
      <c r="E2796" s="105"/>
      <c r="F2796" s="105"/>
      <c r="G2796" s="105"/>
      <c r="H2796" s="105"/>
    </row>
    <row r="2797" customFormat="false" ht="15" hidden="false" customHeight="false" outlineLevel="0" collapsed="false">
      <c r="A2797" s="3" t="s">
        <v>1102</v>
      </c>
      <c r="B2797" s="4"/>
      <c r="C2797" s="4"/>
      <c r="D2797" s="4"/>
      <c r="E2797" s="4"/>
      <c r="F2797" s="4"/>
      <c r="G2797" s="4"/>
      <c r="H2797" s="4"/>
    </row>
    <row r="2798" customFormat="false" ht="15" hidden="false" customHeight="false" outlineLevel="1" collapsed="false">
      <c r="A2798" s="7" t="s">
        <v>557</v>
      </c>
      <c r="B2798" s="8"/>
      <c r="C2798" s="49" t="n">
        <v>2027</v>
      </c>
      <c r="D2798" s="49" t="n">
        <v>2028</v>
      </c>
      <c r="E2798" s="49" t="n">
        <v>2029</v>
      </c>
      <c r="F2798" s="49" t="n">
        <v>2030</v>
      </c>
      <c r="G2798" s="49" t="n">
        <v>2031</v>
      </c>
      <c r="H2798" s="2" t="s">
        <v>18</v>
      </c>
    </row>
    <row r="2799" customFormat="false" ht="15" hidden="false" customHeight="false" outlineLevel="0" collapsed="false">
      <c r="A2799" s="3" t="s">
        <v>1103</v>
      </c>
      <c r="B2799" s="4"/>
      <c r="C2799" s="4"/>
      <c r="D2799" s="4"/>
      <c r="E2799" s="4"/>
      <c r="F2799" s="4"/>
      <c r="G2799" s="4"/>
      <c r="H2799" s="4"/>
    </row>
    <row r="2800" customFormat="false" ht="15" hidden="false" customHeight="false" outlineLevel="1" collapsed="false">
      <c r="A2800" s="7" t="s">
        <v>372</v>
      </c>
      <c r="B2800" s="8" t="s">
        <v>115</v>
      </c>
      <c r="C2800" s="50" t="n">
        <f aca="false">Pressupostos!$C$208</f>
        <v>40</v>
      </c>
      <c r="D2800" s="50" t="n">
        <f aca="false">Pressupostos!$D$208</f>
        <v>180</v>
      </c>
      <c r="E2800" s="50" t="n">
        <f aca="false">Pressupostos!$E$208</f>
        <v>650</v>
      </c>
      <c r="F2800" s="50" t="n">
        <f aca="false">Pressupostos!$F$208</f>
        <v>1300</v>
      </c>
      <c r="G2800" s="50" t="n">
        <f aca="false">Pressupostos!$G$208</f>
        <v>2000</v>
      </c>
      <c r="H2800" s="2" t="s">
        <v>1104</v>
      </c>
    </row>
    <row r="2801" customFormat="false" ht="15" hidden="false" customHeight="false" outlineLevel="1" collapsed="false">
      <c r="A2801" s="7" t="s">
        <v>559</v>
      </c>
      <c r="B2801" s="8" t="s">
        <v>112</v>
      </c>
      <c r="C2801" s="51" t="n">
        <f aca="false">Pressupostos!$C$214</f>
        <v>8</v>
      </c>
      <c r="D2801" s="51" t="n">
        <f aca="false">Pressupostos!$D$214</f>
        <v>37</v>
      </c>
      <c r="E2801" s="51" t="n">
        <f aca="false">Pressupostos!$E$214</f>
        <v>133</v>
      </c>
      <c r="F2801" s="51" t="n">
        <f aca="false">Pressupostos!$F$214</f>
        <v>267</v>
      </c>
      <c r="G2801" s="51" t="n">
        <f aca="false">Pressupostos!$G$214</f>
        <v>410</v>
      </c>
      <c r="H2801" s="2" t="s">
        <v>1105</v>
      </c>
    </row>
    <row r="2802" customFormat="false" ht="15" hidden="false" customHeight="false" outlineLevel="1" collapsed="false">
      <c r="A2802" s="7" t="s">
        <v>560</v>
      </c>
      <c r="B2802" s="8" t="s">
        <v>112</v>
      </c>
      <c r="C2802" s="51" t="n">
        <f aca="false">Pressupostos!$C$220</f>
        <v>52</v>
      </c>
      <c r="D2802" s="51" t="n">
        <f aca="false">Pressupostos!$D$220</f>
        <v>363</v>
      </c>
      <c r="E2802" s="51" t="n">
        <f aca="false">Pressupostos!$E$220</f>
        <v>717</v>
      </c>
      <c r="F2802" s="51" t="n">
        <f aca="false">Pressupostos!$F$220</f>
        <v>1183</v>
      </c>
      <c r="G2802" s="51" t="n">
        <f aca="false">Pressupostos!$G$220</f>
        <v>1790</v>
      </c>
      <c r="H2802" s="2" t="s">
        <v>1106</v>
      </c>
    </row>
    <row r="2803" customFormat="false" ht="15" hidden="false" customHeight="false" outlineLevel="1" collapsed="false">
      <c r="A2803" s="7" t="s">
        <v>383</v>
      </c>
      <c r="B2803" s="8" t="s">
        <v>112</v>
      </c>
      <c r="C2803" s="51" t="n">
        <f aca="false">Pressupostos!$C$226</f>
        <v>0</v>
      </c>
      <c r="D2803" s="51" t="n">
        <f aca="false">Pressupostos!$D$226</f>
        <v>0</v>
      </c>
      <c r="E2803" s="51" t="n">
        <f aca="false">Pressupostos!$E$226</f>
        <v>0</v>
      </c>
      <c r="F2803" s="51" t="n">
        <f aca="false">Pressupostos!$F$226</f>
        <v>0</v>
      </c>
      <c r="G2803" s="51" t="n">
        <f aca="false">Pressupostos!$G$226</f>
        <v>0</v>
      </c>
      <c r="H2803" s="2" t="s">
        <v>1107</v>
      </c>
    </row>
    <row r="2804" customFormat="false" ht="15" hidden="false" customHeight="false" outlineLevel="1" collapsed="false">
      <c r="A2804" s="52" t="s">
        <v>561</v>
      </c>
      <c r="B2804" s="53" t="s">
        <v>112</v>
      </c>
      <c r="C2804" s="54" t="n">
        <f aca="false">C2801+C2802+C2803</f>
        <v>60</v>
      </c>
      <c r="D2804" s="54" t="n">
        <f aca="false">D2801+D2802+D2803</f>
        <v>400</v>
      </c>
      <c r="E2804" s="54" t="n">
        <f aca="false">E2801+E2802+E2803</f>
        <v>850</v>
      </c>
      <c r="F2804" s="54" t="n">
        <f aca="false">F2801+F2802+F2803</f>
        <v>1450</v>
      </c>
      <c r="G2804" s="54" t="n">
        <f aca="false">G2801+G2802+G2803</f>
        <v>2200</v>
      </c>
      <c r="H2804" s="2" t="s">
        <v>1108</v>
      </c>
    </row>
    <row r="2805" customFormat="false" ht="15" hidden="false" customHeight="false" outlineLevel="1" collapsed="false">
      <c r="A2805" s="7" t="s">
        <v>562</v>
      </c>
      <c r="B2805" s="8" t="s">
        <v>71</v>
      </c>
      <c r="C2805" s="55" t="n">
        <f aca="false">IF(C2804&gt;0,C2801/C2804,0)</f>
        <v>0.133333333333333</v>
      </c>
      <c r="D2805" s="55" t="n">
        <f aca="false">IF(D2804&gt;0,D2801/D2804,0)</f>
        <v>0.0925</v>
      </c>
      <c r="E2805" s="55" t="n">
        <f aca="false">IF(E2804&gt;0,E2801/E2804,0)</f>
        <v>0.156470588235294</v>
      </c>
      <c r="F2805" s="55" t="n">
        <f aca="false">IF(F2804&gt;0,F2801/F2804,0)</f>
        <v>0.184137931034483</v>
      </c>
      <c r="G2805" s="55" t="n">
        <f aca="false">IF(G2804&gt;0,G2801/G2804,0)</f>
        <v>0.186363636363636</v>
      </c>
      <c r="H2805" s="2" t="s">
        <v>1109</v>
      </c>
    </row>
    <row r="2806" customFormat="false" ht="15" hidden="false" customHeight="false" outlineLevel="1" collapsed="false">
      <c r="A2806" s="7" t="s">
        <v>563</v>
      </c>
      <c r="B2806" s="8" t="s">
        <v>71</v>
      </c>
      <c r="C2806" s="56" t="n">
        <f aca="false">C2804/(Pressupostos!$C$74*1000)</f>
        <v>0.000342857142857143</v>
      </c>
      <c r="D2806" s="56" t="n">
        <f aca="false">D2804/(Pressupostos!$C$74*1000)</f>
        <v>0.00228571428571429</v>
      </c>
      <c r="E2806" s="56" t="n">
        <f aca="false">E2804/(Pressupostos!$C$74*1000)</f>
        <v>0.00485714285714286</v>
      </c>
      <c r="F2806" s="56" t="n">
        <f aca="false">F2804/(Pressupostos!$C$74*1000)</f>
        <v>0.00828571428571429</v>
      </c>
      <c r="G2806" s="56" t="n">
        <f aca="false">G2804/(Pressupostos!$C$74*1000)</f>
        <v>0.0125714285714286</v>
      </c>
      <c r="H2806" s="2" t="s">
        <v>1110</v>
      </c>
    </row>
    <row r="2807" customFormat="false" ht="15" hidden="false" customHeight="false" outlineLevel="1" collapsed="false">
      <c r="A2807" s="7" t="s">
        <v>564</v>
      </c>
      <c r="B2807" s="8" t="s">
        <v>115</v>
      </c>
      <c r="C2807" s="57" t="n">
        <f aca="false">C2801/Pressupostos!$C$39+C2802/Pressupostos!$C$46+C2803/Pressupostos!$C$58</f>
        <v>2.13333333333333</v>
      </c>
      <c r="D2807" s="57" t="n">
        <f aca="false">D2801/Pressupostos!$C$39+D2802/Pressupostos!$C$46+D2803/Pressupostos!$C$58</f>
        <v>13.95</v>
      </c>
      <c r="E2807" s="57" t="n">
        <f aca="false">E2801/Pressupostos!$C$39+E2802/Pressupostos!$C$46+E2803/Pressupostos!$C$58</f>
        <v>30.55</v>
      </c>
      <c r="F2807" s="57" t="n">
        <f aca="false">F2801/Pressupostos!$C$39+F2802/Pressupostos!$C$46+F2803/Pressupostos!$C$58</f>
        <v>52.7833333333333</v>
      </c>
      <c r="G2807" s="57" t="n">
        <f aca="false">G2801/Pressupostos!$C$39+G2802/Pressupostos!$C$46+G2803/Pressupostos!$C$58</f>
        <v>80.1666666666667</v>
      </c>
      <c r="H2807" s="2" t="s">
        <v>1111</v>
      </c>
    </row>
    <row r="2808" customFormat="false" ht="15" hidden="false" customHeight="false" outlineLevel="0" collapsed="false">
      <c r="A2808" s="3" t="s">
        <v>1112</v>
      </c>
      <c r="B2808" s="4"/>
      <c r="C2808" s="4"/>
      <c r="D2808" s="4"/>
      <c r="E2808" s="4"/>
      <c r="F2808" s="4"/>
      <c r="G2808" s="4"/>
      <c r="H2808" s="4"/>
    </row>
    <row r="2809" customFormat="false" ht="15" hidden="false" customHeight="false" outlineLevel="1" collapsed="false">
      <c r="A2809" s="7" t="s">
        <v>566</v>
      </c>
      <c r="B2809" s="8" t="s">
        <v>192</v>
      </c>
      <c r="C2809" s="50" t="n">
        <f aca="false">Pressupostos!$C$252</f>
        <v>150</v>
      </c>
      <c r="D2809" s="50" t="n">
        <f aca="false">Pressupostos!$D$252</f>
        <v>600</v>
      </c>
      <c r="E2809" s="50" t="n">
        <f aca="false">Pressupostos!$E$252</f>
        <v>1000</v>
      </c>
      <c r="F2809" s="50" t="n">
        <f aca="false">Pressupostos!$F$252</f>
        <v>1400</v>
      </c>
      <c r="G2809" s="50" t="n">
        <f aca="false">Pressupostos!$G$252</f>
        <v>1800</v>
      </c>
      <c r="H2809" s="2" t="s">
        <v>1113</v>
      </c>
    </row>
    <row r="2810" customFormat="false" ht="15" hidden="false" customHeight="false" outlineLevel="1" collapsed="false">
      <c r="A2810" s="7" t="s">
        <v>566</v>
      </c>
      <c r="B2810" s="8" t="s">
        <v>179</v>
      </c>
      <c r="C2810" s="58" t="n">
        <f aca="false">C2809*Pressupostos!$C$76</f>
        <v>112500</v>
      </c>
      <c r="D2810" s="58" t="n">
        <f aca="false">D2809*Pressupostos!$C$76</f>
        <v>450000</v>
      </c>
      <c r="E2810" s="58" t="n">
        <f aca="false">E2809*Pressupostos!$C$76</f>
        <v>750000</v>
      </c>
      <c r="F2810" s="58" t="n">
        <f aca="false">F2809*Pressupostos!$C$76</f>
        <v>1050000</v>
      </c>
      <c r="G2810" s="58" t="n">
        <f aca="false">G2809*Pressupostos!$C$76</f>
        <v>1350000</v>
      </c>
      <c r="H2810" s="2" t="s">
        <v>1114</v>
      </c>
    </row>
    <row r="2811" customFormat="false" ht="15" hidden="false" customHeight="false" outlineLevel="0" collapsed="false">
      <c r="A2811" s="3" t="s">
        <v>1115</v>
      </c>
      <c r="B2811" s="4"/>
      <c r="C2811" s="4"/>
      <c r="D2811" s="4"/>
      <c r="E2811" s="4"/>
      <c r="F2811" s="4"/>
      <c r="G2811" s="4"/>
      <c r="H2811" s="4"/>
    </row>
    <row r="2812" customFormat="false" ht="15" hidden="false" customHeight="false" outlineLevel="1" collapsed="false">
      <c r="A2812" s="7" t="s">
        <v>568</v>
      </c>
      <c r="B2812" s="8" t="s">
        <v>112</v>
      </c>
      <c r="C2812" s="57" t="n">
        <f aca="false">IF(C2798&lt;Pressupostos!$D$28,0,Pressupostos!$C$258)</f>
        <v>0</v>
      </c>
      <c r="D2812" s="57" t="n">
        <f aca="false">IF(D2798&lt;Pressupostos!$D$28,0,Pressupostos!$D$258)</f>
        <v>0</v>
      </c>
      <c r="E2812" s="57" t="n">
        <f aca="false">IF(E2798&lt;Pressupostos!$D$28,0,Pressupostos!$E$258)</f>
        <v>30</v>
      </c>
      <c r="F2812" s="57" t="n">
        <f aca="false">IF(F2798&lt;Pressupostos!$D$28,0,Pressupostos!$F$258)</f>
        <v>60</v>
      </c>
      <c r="G2812" s="57" t="n">
        <f aca="false">IF(G2798&lt;Pressupostos!$D$28,0,Pressupostos!$G$258)</f>
        <v>100</v>
      </c>
      <c r="H2812" s="2" t="s">
        <v>1116</v>
      </c>
    </row>
    <row r="2813" customFormat="false" ht="15" hidden="false" customHeight="false" outlineLevel="0" collapsed="false">
      <c r="A2813" s="3" t="s">
        <v>1117</v>
      </c>
      <c r="B2813" s="4"/>
      <c r="C2813" s="4"/>
      <c r="D2813" s="4"/>
      <c r="E2813" s="4"/>
      <c r="F2813" s="4"/>
      <c r="G2813" s="4"/>
      <c r="H2813" s="4"/>
    </row>
    <row r="2814" customFormat="false" ht="15" hidden="false" customHeight="false" outlineLevel="1" collapsed="false">
      <c r="A2814" s="7" t="s">
        <v>570</v>
      </c>
      <c r="B2814" s="8" t="s">
        <v>10</v>
      </c>
      <c r="C2814" s="50" t="n">
        <f aca="false">Pressupostos!$C$264</f>
        <v>0</v>
      </c>
      <c r="D2814" s="50" t="n">
        <f aca="false">Pressupostos!$D$264</f>
        <v>500000</v>
      </c>
      <c r="E2814" s="50" t="n">
        <f aca="false">Pressupostos!$E$264</f>
        <v>1500000</v>
      </c>
      <c r="F2814" s="50" t="n">
        <f aca="false">Pressupostos!$F$264</f>
        <v>3000000</v>
      </c>
      <c r="G2814" s="50" t="n">
        <f aca="false">Pressupostos!$G$264</f>
        <v>5000000</v>
      </c>
      <c r="H2814" s="2" t="s">
        <v>1118</v>
      </c>
    </row>
    <row r="2815" customFormat="false" ht="15" hidden="false" customHeight="false" outlineLevel="1" collapsed="false">
      <c r="A2815" s="7" t="s">
        <v>571</v>
      </c>
      <c r="B2815" s="8" t="s">
        <v>112</v>
      </c>
      <c r="C2815" s="57" t="n">
        <f aca="false">C2814/(Pressupostos!$C$103*Pressupostos!$C$104)*Pressupostos!$C$100/1000</f>
        <v>0</v>
      </c>
      <c r="D2815" s="57" t="n">
        <f aca="false">D2814/(Pressupostos!$C$103*Pressupostos!$C$104)*Pressupostos!$C$100/1000</f>
        <v>457.142857142857</v>
      </c>
      <c r="E2815" s="57" t="n">
        <f aca="false">E2814/(Pressupostos!$C$103*Pressupostos!$C$104)*Pressupostos!$C$100/1000</f>
        <v>1371.42857142857</v>
      </c>
      <c r="F2815" s="57" t="n">
        <f aca="false">F2814/(Pressupostos!$C$103*Pressupostos!$C$104)*Pressupostos!$C$100/1000</f>
        <v>2742.85714285714</v>
      </c>
      <c r="G2815" s="57" t="n">
        <f aca="false">G2814/(Pressupostos!$C$103*Pressupostos!$C$104)*Pressupostos!$C$100/1000</f>
        <v>4571.42857142857</v>
      </c>
      <c r="H2815" s="2" t="s">
        <v>1119</v>
      </c>
    </row>
    <row r="2816" customFormat="false" ht="15" hidden="false" customHeight="false" outlineLevel="0" collapsed="false">
      <c r="A2816" s="3" t="s">
        <v>1120</v>
      </c>
      <c r="B2816" s="4"/>
      <c r="C2816" s="4"/>
      <c r="D2816" s="4"/>
      <c r="E2816" s="4"/>
      <c r="F2816" s="4"/>
      <c r="G2816" s="4"/>
      <c r="H2816" s="4"/>
    </row>
    <row r="2817" customFormat="false" ht="15" hidden="false" customHeight="false" outlineLevel="1" collapsed="false">
      <c r="A2817" s="7" t="s">
        <v>633</v>
      </c>
      <c r="B2817" s="8" t="s">
        <v>59</v>
      </c>
      <c r="C2817" s="60" t="n">
        <f aca="false">(Pressupostos!$D$10*(1+Pressupostos!$C$195))+Pressupostos!$D$11</f>
        <v>2.55</v>
      </c>
      <c r="D2817" s="60" t="n">
        <f aca="false">(Pressupostos!$D$10*(1+Pressupostos!$C$195))+Pressupostos!$D$11</f>
        <v>2.55</v>
      </c>
      <c r="E2817" s="60" t="n">
        <f aca="false">(Pressupostos!$D$10*(1+Pressupostos!$C$195))+Pressupostos!$D$11</f>
        <v>2.55</v>
      </c>
      <c r="F2817" s="60" t="n">
        <f aca="false">(Pressupostos!$D$10*(1+Pressupostos!$C$195))+Pressupostos!$D$11</f>
        <v>2.55</v>
      </c>
      <c r="G2817" s="60" t="n">
        <f aca="false">(Pressupostos!$D$10*(1+Pressupostos!$C$195))+Pressupostos!$D$11</f>
        <v>2.55</v>
      </c>
      <c r="H2817" s="2" t="s">
        <v>1121</v>
      </c>
    </row>
    <row r="2818" customFormat="false" ht="15" hidden="false" customHeight="false" outlineLevel="1" collapsed="false">
      <c r="A2818" s="7" t="s">
        <v>634</v>
      </c>
      <c r="B2818" s="8" t="s">
        <v>59</v>
      </c>
      <c r="C2818" s="60" t="n">
        <f aca="false">(Pressupostos!$D$15*(1+Pressupostos!$C$195))</f>
        <v>3.955</v>
      </c>
      <c r="D2818" s="60" t="n">
        <f aca="false">(Pressupostos!$D$15*(1+Pressupostos!$C$195))</f>
        <v>3.955</v>
      </c>
      <c r="E2818" s="60" t="n">
        <f aca="false">(Pressupostos!$D$15*(1+Pressupostos!$C$195))</f>
        <v>3.955</v>
      </c>
      <c r="F2818" s="60" t="n">
        <f aca="false">(Pressupostos!$D$15*(1+Pressupostos!$C$195))</f>
        <v>3.955</v>
      </c>
      <c r="G2818" s="60" t="n">
        <f aca="false">(Pressupostos!$D$15*(1+Pressupostos!$C$195))</f>
        <v>3.955</v>
      </c>
      <c r="H2818" s="2" t="s">
        <v>1122</v>
      </c>
    </row>
    <row r="2819" customFormat="false" ht="15" hidden="false" customHeight="false" outlineLevel="1" collapsed="false">
      <c r="A2819" s="52" t="s">
        <v>635</v>
      </c>
      <c r="B2819" s="53" t="s">
        <v>59</v>
      </c>
      <c r="C2819" s="64" t="n">
        <f aca="false">C2818*(1-Pressupostos!$D$16)</f>
        <v>3.5595</v>
      </c>
      <c r="D2819" s="64" t="n">
        <f aca="false">D2818*(1-Pressupostos!$D$16)</f>
        <v>3.5595</v>
      </c>
      <c r="E2819" s="64" t="n">
        <f aca="false">E2818*(1-Pressupostos!$D$16)</f>
        <v>3.5595</v>
      </c>
      <c r="F2819" s="64" t="n">
        <f aca="false">F2818*(1-Pressupostos!$D$16)</f>
        <v>3.5595</v>
      </c>
      <c r="G2819" s="64" t="n">
        <f aca="false">G2818*(1-Pressupostos!$D$16)</f>
        <v>3.5595</v>
      </c>
      <c r="H2819" s="2" t="s">
        <v>1123</v>
      </c>
    </row>
    <row r="2820" customFormat="false" ht="15" hidden="false" customHeight="false" outlineLevel="1" collapsed="false">
      <c r="A2820" s="7" t="s">
        <v>136</v>
      </c>
      <c r="B2820" s="8" t="s">
        <v>59</v>
      </c>
      <c r="C2820" s="63" t="n">
        <f aca="false">Pressupostos!$C$37</f>
        <v>0.55</v>
      </c>
      <c r="D2820" s="63" t="n">
        <f aca="false">Pressupostos!$C$37</f>
        <v>0.55</v>
      </c>
      <c r="E2820" s="63" t="n">
        <f aca="false">Pressupostos!$C$37</f>
        <v>0.55</v>
      </c>
      <c r="F2820" s="63" t="n">
        <f aca="false">Pressupostos!$C$37</f>
        <v>0.55</v>
      </c>
      <c r="G2820" s="63" t="n">
        <f aca="false">Pressupostos!$C$37</f>
        <v>0.55</v>
      </c>
      <c r="H2820" s="2" t="s">
        <v>1124</v>
      </c>
    </row>
    <row r="2821" customFormat="false" ht="15" hidden="false" customHeight="false" outlineLevel="1" collapsed="false">
      <c r="A2821" s="7" t="s">
        <v>205</v>
      </c>
      <c r="B2821" s="8" t="s">
        <v>59</v>
      </c>
      <c r="C2821" s="63" t="n">
        <f aca="false">Pressupostos!$C$233</f>
        <v>0.3</v>
      </c>
      <c r="D2821" s="63" t="n">
        <f aca="false">Pressupostos!$D$233</f>
        <v>0.3</v>
      </c>
      <c r="E2821" s="63" t="n">
        <f aca="false">Pressupostos!$E$233</f>
        <v>0.28</v>
      </c>
      <c r="F2821" s="63" t="n">
        <f aca="false">Pressupostos!$F$233</f>
        <v>0.27</v>
      </c>
      <c r="G2821" s="63" t="n">
        <f aca="false">Pressupostos!$G$233</f>
        <v>0.27</v>
      </c>
      <c r="H2821" s="2" t="s">
        <v>1125</v>
      </c>
    </row>
    <row r="2822" customFormat="false" ht="15" hidden="false" customHeight="false" outlineLevel="1" collapsed="false">
      <c r="A2822" s="7" t="s">
        <v>109</v>
      </c>
      <c r="B2822" s="8" t="s">
        <v>59</v>
      </c>
      <c r="C2822" s="63" t="n">
        <f aca="false">Pressupostos!$C$38</f>
        <v>0.06</v>
      </c>
      <c r="D2822" s="63" t="n">
        <f aca="false">Pressupostos!$C$38</f>
        <v>0.06</v>
      </c>
      <c r="E2822" s="63" t="n">
        <f aca="false">Pressupostos!$C$38</f>
        <v>0.06</v>
      </c>
      <c r="F2822" s="63" t="n">
        <f aca="false">Pressupostos!$C$38</f>
        <v>0.06</v>
      </c>
      <c r="G2822" s="63" t="n">
        <f aca="false">Pressupostos!$C$38</f>
        <v>0.06</v>
      </c>
      <c r="H2822" s="2" t="s">
        <v>1126</v>
      </c>
    </row>
    <row r="2823" customFormat="false" ht="15" hidden="false" customHeight="false" outlineLevel="1" collapsed="false">
      <c r="A2823" s="7" t="s">
        <v>86</v>
      </c>
      <c r="B2823" s="8" t="s">
        <v>74</v>
      </c>
      <c r="C2823" s="65" t="n">
        <f aca="false">Pressupostos!$C$239</f>
        <v>180</v>
      </c>
      <c r="D2823" s="65" t="n">
        <f aca="false">Pressupostos!$D$239</f>
        <v>180</v>
      </c>
      <c r="E2823" s="65" t="n">
        <f aca="false">Pressupostos!$E$239</f>
        <v>45</v>
      </c>
      <c r="F2823" s="65" t="n">
        <f aca="false">Pressupostos!$F$239</f>
        <v>45</v>
      </c>
      <c r="G2823" s="65" t="n">
        <f aca="false">Pressupostos!$G$239</f>
        <v>45</v>
      </c>
      <c r="H2823" s="2" t="s">
        <v>1127</v>
      </c>
    </row>
    <row r="2824" customFormat="false" ht="15" hidden="false" customHeight="false" outlineLevel="1" collapsed="false">
      <c r="A2824" s="7" t="s">
        <v>73</v>
      </c>
      <c r="B2824" s="8" t="s">
        <v>74</v>
      </c>
      <c r="C2824" s="65" t="n">
        <f aca="false">Pressupostos!$D$17</f>
        <v>35</v>
      </c>
      <c r="D2824" s="65" t="n">
        <f aca="false">Pressupostos!$D$17</f>
        <v>35</v>
      </c>
      <c r="E2824" s="65" t="n">
        <f aca="false">Pressupostos!$D$17</f>
        <v>35</v>
      </c>
      <c r="F2824" s="65" t="n">
        <f aca="false">Pressupostos!$D$17</f>
        <v>35</v>
      </c>
      <c r="G2824" s="65" t="n">
        <f aca="false">Pressupostos!$D$17</f>
        <v>35</v>
      </c>
      <c r="H2824" s="2" t="s">
        <v>1128</v>
      </c>
    </row>
    <row r="2825" customFormat="false" ht="15" hidden="false" customHeight="false" outlineLevel="1" collapsed="false">
      <c r="A2825" s="7" t="s">
        <v>471</v>
      </c>
      <c r="B2825" s="8" t="s">
        <v>59</v>
      </c>
      <c r="C2825" s="60" t="n">
        <f aca="false">Pressupostos!$C$64*C2823/30/1000</f>
        <v>0.024</v>
      </c>
      <c r="D2825" s="60" t="n">
        <f aca="false">Pressupostos!$C$64*D2823/30/1000</f>
        <v>0.024</v>
      </c>
      <c r="E2825" s="60" t="n">
        <f aca="false">Pressupostos!$C$64*E2823/30/1000</f>
        <v>0.006</v>
      </c>
      <c r="F2825" s="60" t="n">
        <f aca="false">Pressupostos!$C$64*F2823/30/1000</f>
        <v>0.006</v>
      </c>
      <c r="G2825" s="60" t="n">
        <f aca="false">Pressupostos!$C$64*G2823/30/1000</f>
        <v>0.006</v>
      </c>
      <c r="H2825" s="2" t="s">
        <v>1129</v>
      </c>
    </row>
    <row r="2826" customFormat="false" ht="15" hidden="false" customHeight="false" outlineLevel="1" collapsed="false">
      <c r="A2826" s="7" t="s">
        <v>154</v>
      </c>
      <c r="B2826" s="8" t="s">
        <v>59</v>
      </c>
      <c r="C2826" s="60" t="n">
        <f aca="false">C2817*Pressupostos!$C$65*C2823/365</f>
        <v>0.00251506849315069</v>
      </c>
      <c r="D2826" s="60" t="n">
        <f aca="false">D2817*Pressupostos!$C$65*D2823/365</f>
        <v>0.00251506849315069</v>
      </c>
      <c r="E2826" s="60" t="n">
        <f aca="false">E2817*Pressupostos!$C$65*E2823/365</f>
        <v>0.000628767123287671</v>
      </c>
      <c r="F2826" s="60" t="n">
        <f aca="false">F2817*Pressupostos!$C$65*F2823/365</f>
        <v>0.000628767123287671</v>
      </c>
      <c r="G2826" s="60" t="n">
        <f aca="false">G2817*Pressupostos!$C$65*G2823/365</f>
        <v>0.000628767123287671</v>
      </c>
      <c r="H2826" s="2" t="s">
        <v>1130</v>
      </c>
    </row>
    <row r="2827" customFormat="false" ht="15" hidden="false" customHeight="false" outlineLevel="1" collapsed="false">
      <c r="A2827" s="7" t="s">
        <v>636</v>
      </c>
      <c r="B2827" s="8" t="s">
        <v>59</v>
      </c>
      <c r="C2827" s="60" t="n">
        <f aca="false">Pressupostos!$C$40*Pressupostos!$C$66/(Pressupostos!$C$39*1000)</f>
        <v>0.03</v>
      </c>
      <c r="D2827" s="60" t="n">
        <f aca="false">Pressupostos!$C$40*Pressupostos!$C$66/(Pressupostos!$C$39*1000)</f>
        <v>0.03</v>
      </c>
      <c r="E2827" s="60" t="n">
        <f aca="false">Pressupostos!$C$40*Pressupostos!$C$66/(Pressupostos!$C$39*1000)</f>
        <v>0.03</v>
      </c>
      <c r="F2827" s="60" t="n">
        <f aca="false">Pressupostos!$C$40*Pressupostos!$C$66/(Pressupostos!$C$39*1000)</f>
        <v>0.03</v>
      </c>
      <c r="G2827" s="60" t="n">
        <f aca="false">Pressupostos!$C$40*Pressupostos!$C$66/(Pressupostos!$C$39*1000)</f>
        <v>0.03</v>
      </c>
      <c r="H2827" s="2" t="s">
        <v>1131</v>
      </c>
    </row>
    <row r="2828" customFormat="false" ht="15" hidden="false" customHeight="false" outlineLevel="1" collapsed="false">
      <c r="A2828" s="7" t="s">
        <v>473</v>
      </c>
      <c r="B2828" s="8" t="s">
        <v>59</v>
      </c>
      <c r="C2828" s="60" t="n">
        <f aca="false">Pressupostos!$C$67*C2817</f>
        <v>0.01275</v>
      </c>
      <c r="D2828" s="60" t="n">
        <f aca="false">Pressupostos!$C$67*D2817</f>
        <v>0.01275</v>
      </c>
      <c r="E2828" s="60" t="n">
        <f aca="false">Pressupostos!$C$67*E2817</f>
        <v>0.01275</v>
      </c>
      <c r="F2828" s="60" t="n">
        <f aca="false">Pressupostos!$C$67*F2817</f>
        <v>0.01275</v>
      </c>
      <c r="G2828" s="60" t="n">
        <f aca="false">Pressupostos!$C$67*G2817</f>
        <v>0.01275</v>
      </c>
      <c r="H2828" s="2" t="s">
        <v>1132</v>
      </c>
    </row>
    <row r="2829" customFormat="false" ht="15" hidden="false" customHeight="false" outlineLevel="1" collapsed="false">
      <c r="A2829" s="7" t="s">
        <v>474</v>
      </c>
      <c r="B2829" s="8" t="s">
        <v>59</v>
      </c>
      <c r="C2829" s="60" t="n">
        <f aca="false">Pressupostos!$C$68*Pressupostos!$C$69*C2823/90</f>
        <v>0.018</v>
      </c>
      <c r="D2829" s="60" t="n">
        <f aca="false">Pressupostos!$C$68*Pressupostos!$C$69*D2823/90</f>
        <v>0.018</v>
      </c>
      <c r="E2829" s="60" t="n">
        <f aca="false">Pressupostos!$C$68*Pressupostos!$C$69*E2823/90</f>
        <v>0.0045</v>
      </c>
      <c r="F2829" s="60" t="n">
        <f aca="false">Pressupostos!$C$68*Pressupostos!$C$69*F2823/90</f>
        <v>0.0045</v>
      </c>
      <c r="G2829" s="60" t="n">
        <f aca="false">Pressupostos!$C$68*Pressupostos!$C$69*G2823/90</f>
        <v>0.0045</v>
      </c>
      <c r="H2829" s="2" t="s">
        <v>1133</v>
      </c>
    </row>
    <row r="2830" customFormat="false" ht="15" hidden="false" customHeight="false" outlineLevel="1" collapsed="false">
      <c r="A2830" s="7" t="s">
        <v>637</v>
      </c>
      <c r="B2830" s="8" t="s">
        <v>59</v>
      </c>
      <c r="C2830" s="60" t="n">
        <f aca="false">Pressupostos!$C$41/(Pressupostos!$C$39*1000)</f>
        <v>0.1</v>
      </c>
      <c r="D2830" s="60" t="n">
        <f aca="false">Pressupostos!$C$41/(Pressupostos!$C$39*1000)</f>
        <v>0.1</v>
      </c>
      <c r="E2830" s="60" t="n">
        <f aca="false">Pressupostos!$C$41/(Pressupostos!$C$39*1000)</f>
        <v>0.1</v>
      </c>
      <c r="F2830" s="60" t="n">
        <f aca="false">Pressupostos!$C$41/(Pressupostos!$C$39*1000)</f>
        <v>0.1</v>
      </c>
      <c r="G2830" s="60" t="n">
        <f aca="false">Pressupostos!$C$41/(Pressupostos!$C$39*1000)</f>
        <v>0.1</v>
      </c>
      <c r="H2830" s="2" t="s">
        <v>1134</v>
      </c>
    </row>
    <row r="2831" customFormat="false" ht="15" hidden="false" customHeight="false" outlineLevel="1" collapsed="false">
      <c r="A2831" s="7" t="s">
        <v>131</v>
      </c>
      <c r="B2831" s="8" t="s">
        <v>59</v>
      </c>
      <c r="C2831" s="63" t="n">
        <f aca="false">Pressupostos!$C$42</f>
        <v>0.01</v>
      </c>
      <c r="D2831" s="63" t="n">
        <f aca="false">Pressupostos!$C$42</f>
        <v>0.01</v>
      </c>
      <c r="E2831" s="63" t="n">
        <f aca="false">Pressupostos!$C$42</f>
        <v>0.01</v>
      </c>
      <c r="F2831" s="63" t="n">
        <f aca="false">Pressupostos!$C$42</f>
        <v>0.01</v>
      </c>
      <c r="G2831" s="63" t="n">
        <f aca="false">Pressupostos!$C$42</f>
        <v>0.01</v>
      </c>
      <c r="H2831" s="2" t="s">
        <v>1135</v>
      </c>
    </row>
    <row r="2832" customFormat="false" ht="15" hidden="false" customHeight="false" outlineLevel="1" collapsed="false">
      <c r="A2832" s="7" t="s">
        <v>76</v>
      </c>
      <c r="B2832" s="8" t="s">
        <v>59</v>
      </c>
      <c r="C2832" s="60" t="n">
        <f aca="false">Pressupostos!$D$18*C2819</f>
        <v>0.021357</v>
      </c>
      <c r="D2832" s="60" t="n">
        <f aca="false">Pressupostos!$D$18*D2819</f>
        <v>0.021357</v>
      </c>
      <c r="E2832" s="60" t="n">
        <f aca="false">Pressupostos!$D$18*E2819</f>
        <v>0.021357</v>
      </c>
      <c r="F2832" s="60" t="n">
        <f aca="false">Pressupostos!$D$18*F2819</f>
        <v>0.021357</v>
      </c>
      <c r="G2832" s="60" t="n">
        <f aca="false">Pressupostos!$D$18*G2819</f>
        <v>0.021357</v>
      </c>
      <c r="H2832" s="2" t="s">
        <v>1136</v>
      </c>
    </row>
    <row r="2833" customFormat="false" ht="15" hidden="false" customHeight="false" outlineLevel="1" collapsed="false">
      <c r="A2833" s="7" t="s">
        <v>638</v>
      </c>
      <c r="B2833" s="8" t="s">
        <v>59</v>
      </c>
      <c r="C2833" s="60" t="n">
        <f aca="false">Pressupostos!$C$71*C2819</f>
        <v>0</v>
      </c>
      <c r="D2833" s="60" t="n">
        <f aca="false">Pressupostos!$C$71*D2819</f>
        <v>0</v>
      </c>
      <c r="E2833" s="60" t="n">
        <f aca="false">Pressupostos!$C$71*E2819</f>
        <v>0</v>
      </c>
      <c r="F2833" s="60" t="n">
        <f aca="false">Pressupostos!$C$71*F2819</f>
        <v>0</v>
      </c>
      <c r="G2833" s="60" t="n">
        <f aca="false">Pressupostos!$C$71*G2819</f>
        <v>0</v>
      </c>
      <c r="H2833" s="2" t="s">
        <v>1137</v>
      </c>
    </row>
    <row r="2834" customFormat="false" ht="15" hidden="false" customHeight="false" outlineLevel="1" collapsed="false">
      <c r="A2834" s="7" t="s">
        <v>639</v>
      </c>
      <c r="B2834" s="8" t="s">
        <v>59</v>
      </c>
      <c r="C2834" s="60" t="n">
        <f aca="false">Pressupostos!$C$283*(C2817+C2820)*(C2823+C2824-Pressupostos!$C$70)/365*Pressupostos!$C$277/Pressupostos!$D$31</f>
        <v>0</v>
      </c>
      <c r="D2834" s="60" t="n">
        <f aca="false">Pressupostos!$D$283*(D2817+D2820)*(D2823+D2824-Pressupostos!$C$70)/365*Pressupostos!$D$277/Pressupostos!$D$31</f>
        <v>0.14141095890411</v>
      </c>
      <c r="E2834" s="60" t="n">
        <f aca="false">Pressupostos!$E$283*(E2817+E2820)*(E2823+E2824-Pressupostos!$C$70)/365*Pressupostos!$E$277/Pressupostos!$D$31</f>
        <v>0.0358304794520548</v>
      </c>
      <c r="F2834" s="60" t="n">
        <f aca="false">Pressupostos!$F$283*(F2817+F2820)*(F2823+F2824-Pressupostos!$C$70)/365*Pressupostos!$F$277/Pressupostos!$D$31</f>
        <v>0.0334417808219178</v>
      </c>
      <c r="G2834" s="60" t="n">
        <f aca="false">Pressupostos!$G$283*(G2817+G2820)*(G2823+G2824-Pressupostos!$C$70)/365*Pressupostos!$G$277/Pressupostos!$D$31</f>
        <v>0.0334417808219178</v>
      </c>
      <c r="H2834" s="2" t="s">
        <v>1138</v>
      </c>
    </row>
    <row r="2835" customFormat="false" ht="15" hidden="false" customHeight="false" outlineLevel="1" collapsed="false">
      <c r="A2835" s="7" t="s">
        <v>640</v>
      </c>
      <c r="B2835" s="8" t="s">
        <v>59</v>
      </c>
      <c r="C2835" s="60" t="n">
        <f aca="false">C2817+C2820+C2821+C2822+C2825+C2826+C2827+C2828+C2829+C2830+C2831+C2832+C2833+C2834</f>
        <v>3.67862206849315</v>
      </c>
      <c r="D2835" s="60" t="n">
        <f aca="false">D2817+D2820+D2821+D2822+D2825+D2826+D2827+D2828+D2829+D2830+D2831+D2832+D2833+D2834</f>
        <v>3.82003302739726</v>
      </c>
      <c r="E2835" s="60" t="n">
        <f aca="false">E2817+E2820+E2821+E2822+E2825+E2826+E2827+E2828+E2829+E2830+E2831+E2832+E2833+E2834</f>
        <v>3.66106624657534</v>
      </c>
      <c r="F2835" s="60" t="n">
        <f aca="false">F2817+F2820+F2821+F2822+F2825+F2826+F2827+F2828+F2829+F2830+F2831+F2832+F2833+F2834</f>
        <v>3.64867754794521</v>
      </c>
      <c r="G2835" s="60" t="n">
        <f aca="false">G2817+G2820+G2821+G2822+G2825+G2826+G2827+G2828+G2829+G2830+G2831+G2832+G2833+G2834</f>
        <v>3.64867754794521</v>
      </c>
      <c r="H2835" s="2" t="s">
        <v>1139</v>
      </c>
    </row>
    <row r="2836" customFormat="false" ht="15" hidden="false" customHeight="false" outlineLevel="1" collapsed="false">
      <c r="A2836" s="52" t="s">
        <v>641</v>
      </c>
      <c r="B2836" s="53" t="s">
        <v>59</v>
      </c>
      <c r="C2836" s="64" t="n">
        <f aca="false">C2819-C2835</f>
        <v>-0.119122068493149</v>
      </c>
      <c r="D2836" s="64" t="n">
        <f aca="false">D2819-D2835</f>
        <v>-0.260533027397259</v>
      </c>
      <c r="E2836" s="64" t="n">
        <f aca="false">E2819-E2835</f>
        <v>-0.101566246575342</v>
      </c>
      <c r="F2836" s="64" t="n">
        <f aca="false">F2819-F2835</f>
        <v>-0.0891775479452046</v>
      </c>
      <c r="G2836" s="64" t="n">
        <f aca="false">G2819-G2835</f>
        <v>-0.0891775479452046</v>
      </c>
      <c r="H2836" s="2" t="s">
        <v>1140</v>
      </c>
    </row>
    <row r="2837" customFormat="false" ht="15" hidden="false" customHeight="false" outlineLevel="1" collapsed="false">
      <c r="A2837" s="7" t="s">
        <v>642</v>
      </c>
      <c r="B2837" s="8" t="s">
        <v>71</v>
      </c>
      <c r="C2837" s="55" t="n">
        <f aca="false">IF(C2819&gt;0,C2836/C2819,0)</f>
        <v>-0.0334659554693494</v>
      </c>
      <c r="D2837" s="55" t="n">
        <f aca="false">IF(D2819&gt;0,D2836/D2819,0)</f>
        <v>-0.0731937146782579</v>
      </c>
      <c r="E2837" s="55" t="n">
        <f aca="false">IF(E2819&gt;0,E2836/E2819,0)</f>
        <v>-0.0285338521071336</v>
      </c>
      <c r="F2837" s="55" t="n">
        <f aca="false">IF(F2819&gt;0,F2836/F2819,0)</f>
        <v>-0.0250533917531127</v>
      </c>
      <c r="G2837" s="55" t="n">
        <f aca="false">IF(G2819&gt;0,G2836/G2819,0)</f>
        <v>-0.0250533917531127</v>
      </c>
      <c r="H2837" s="2" t="s">
        <v>1141</v>
      </c>
    </row>
    <row r="2838" customFormat="false" ht="15" hidden="false" customHeight="false" outlineLevel="1" collapsed="false">
      <c r="A2838" s="7" t="s">
        <v>643</v>
      </c>
      <c r="B2838" s="8" t="s">
        <v>59</v>
      </c>
      <c r="C2838" s="60" t="n">
        <f aca="false">(C2817+C2820)*(C2823-Pressupostos!$C$70)/365+C2819*C2824/365</f>
        <v>1.61529452054795</v>
      </c>
      <c r="D2838" s="60" t="n">
        <f aca="false">(D2817+D2820)*(D2823-Pressupostos!$C$70)/365+D2819*D2824/365</f>
        <v>1.61529452054795</v>
      </c>
      <c r="E2838" s="60" t="n">
        <f aca="false">(E2817+E2820)*(E2823-Pressupostos!$C$70)/365+E2819*E2824/365</f>
        <v>0.468719178082192</v>
      </c>
      <c r="F2838" s="60" t="n">
        <f aca="false">(F2817+F2820)*(F2823-Pressupostos!$C$70)/365+F2819*F2824/365</f>
        <v>0.468719178082192</v>
      </c>
      <c r="G2838" s="60" t="n">
        <f aca="false">(G2817+G2820)*(G2823-Pressupostos!$C$70)/365+G2819*G2824/365</f>
        <v>0.468719178082192</v>
      </c>
      <c r="H2838" s="2" t="s">
        <v>1142</v>
      </c>
    </row>
    <row r="2839" customFormat="false" ht="15" hidden="false" customHeight="false" outlineLevel="0" collapsed="false">
      <c r="A2839" s="3" t="s">
        <v>1143</v>
      </c>
      <c r="B2839" s="4"/>
      <c r="C2839" s="4"/>
      <c r="D2839" s="4"/>
      <c r="E2839" s="4"/>
      <c r="F2839" s="4"/>
      <c r="G2839" s="4"/>
      <c r="H2839" s="4"/>
    </row>
    <row r="2840" customFormat="false" ht="15" hidden="false" customHeight="false" outlineLevel="1" collapsed="false">
      <c r="A2840" s="7" t="s">
        <v>633</v>
      </c>
      <c r="B2840" s="8" t="s">
        <v>59</v>
      </c>
      <c r="C2840" s="60" t="n">
        <f aca="false">(Pressupostos!$D$10*(1+Pressupostos!$C$195))+Pressupostos!$D$12</f>
        <v>2.55</v>
      </c>
      <c r="D2840" s="60" t="n">
        <f aca="false">(Pressupostos!$D$10*(1+Pressupostos!$C$195))+Pressupostos!$D$12</f>
        <v>2.55</v>
      </c>
      <c r="E2840" s="60" t="n">
        <f aca="false">(Pressupostos!$D$10*(1+Pressupostos!$C$195))+Pressupostos!$D$12</f>
        <v>2.55</v>
      </c>
      <c r="F2840" s="60" t="n">
        <f aca="false">(Pressupostos!$D$10*(1+Pressupostos!$C$195))+Pressupostos!$D$12</f>
        <v>2.55</v>
      </c>
      <c r="G2840" s="60" t="n">
        <f aca="false">(Pressupostos!$D$10*(1+Pressupostos!$C$195))+Pressupostos!$D$12</f>
        <v>2.55</v>
      </c>
      <c r="H2840" s="2" t="s">
        <v>1144</v>
      </c>
    </row>
    <row r="2841" customFormat="false" ht="15" hidden="false" customHeight="false" outlineLevel="1" collapsed="false">
      <c r="A2841" s="7" t="s">
        <v>634</v>
      </c>
      <c r="B2841" s="8" t="s">
        <v>59</v>
      </c>
      <c r="C2841" s="60" t="n">
        <f aca="false">(Pressupostos!$D$20*(1+Pressupostos!$C$195))+Pressupostos!$D$21</f>
        <v>3.045</v>
      </c>
      <c r="D2841" s="60" t="n">
        <f aca="false">(Pressupostos!$D$20*(1+Pressupostos!$C$195))+Pressupostos!$D$21</f>
        <v>3.045</v>
      </c>
      <c r="E2841" s="60" t="n">
        <f aca="false">(Pressupostos!$D$20*(1+Pressupostos!$C$195))+Pressupostos!$D$21</f>
        <v>3.045</v>
      </c>
      <c r="F2841" s="60" t="n">
        <f aca="false">(Pressupostos!$D$20*(1+Pressupostos!$C$195))+Pressupostos!$D$21</f>
        <v>3.045</v>
      </c>
      <c r="G2841" s="60" t="n">
        <f aca="false">(Pressupostos!$D$20*(1+Pressupostos!$C$195))+Pressupostos!$D$21</f>
        <v>3.045</v>
      </c>
      <c r="H2841" s="2" t="s">
        <v>1145</v>
      </c>
    </row>
    <row r="2842" customFormat="false" ht="15" hidden="false" customHeight="false" outlineLevel="1" collapsed="false">
      <c r="A2842" s="52" t="s">
        <v>635</v>
      </c>
      <c r="B2842" s="53" t="s">
        <v>59</v>
      </c>
      <c r="C2842" s="64" t="n">
        <f aca="false">C2841*(1-Pressupostos!$D$22)</f>
        <v>3.045</v>
      </c>
      <c r="D2842" s="64" t="n">
        <f aca="false">D2841*(1-Pressupostos!$D$22)</f>
        <v>3.045</v>
      </c>
      <c r="E2842" s="64" t="n">
        <f aca="false">E2841*(1-Pressupostos!$D$22)</f>
        <v>3.045</v>
      </c>
      <c r="F2842" s="64" t="n">
        <f aca="false">F2841*(1-Pressupostos!$D$22)</f>
        <v>3.045</v>
      </c>
      <c r="G2842" s="64" t="n">
        <f aca="false">G2841*(1-Pressupostos!$D$22)</f>
        <v>3.045</v>
      </c>
      <c r="H2842" s="2" t="s">
        <v>1146</v>
      </c>
    </row>
    <row r="2843" customFormat="false" ht="15" hidden="false" customHeight="false" outlineLevel="1" collapsed="false">
      <c r="A2843" s="7" t="s">
        <v>136</v>
      </c>
      <c r="B2843" s="8" t="s">
        <v>59</v>
      </c>
      <c r="C2843" s="63" t="n">
        <f aca="false">Pressupostos!$C$44</f>
        <v>0.45</v>
      </c>
      <c r="D2843" s="63" t="n">
        <f aca="false">Pressupostos!$C$44</f>
        <v>0.45</v>
      </c>
      <c r="E2843" s="63" t="n">
        <f aca="false">Pressupostos!$C$44</f>
        <v>0.45</v>
      </c>
      <c r="F2843" s="63" t="n">
        <f aca="false">Pressupostos!$C$44</f>
        <v>0.45</v>
      </c>
      <c r="G2843" s="63" t="n">
        <f aca="false">Pressupostos!$C$44</f>
        <v>0.45</v>
      </c>
      <c r="H2843" s="2" t="s">
        <v>1147</v>
      </c>
    </row>
    <row r="2844" customFormat="false" ht="15" hidden="false" customHeight="false" outlineLevel="1" collapsed="false">
      <c r="A2844" s="7" t="s">
        <v>205</v>
      </c>
      <c r="B2844" s="8" t="s">
        <v>59</v>
      </c>
      <c r="C2844" s="63" t="n">
        <f aca="false">Pressupostos!$C$245</f>
        <v>0.1</v>
      </c>
      <c r="D2844" s="63" t="n">
        <f aca="false">Pressupostos!$D$245</f>
        <v>0.1</v>
      </c>
      <c r="E2844" s="63" t="n">
        <f aca="false">Pressupostos!$E$245</f>
        <v>0.09</v>
      </c>
      <c r="F2844" s="63" t="n">
        <f aca="false">Pressupostos!$F$245</f>
        <v>0.09</v>
      </c>
      <c r="G2844" s="63" t="n">
        <f aca="false">Pressupostos!$G$245</f>
        <v>0.09</v>
      </c>
      <c r="H2844" s="2" t="s">
        <v>1148</v>
      </c>
    </row>
    <row r="2845" customFormat="false" ht="15" hidden="false" customHeight="false" outlineLevel="1" collapsed="false">
      <c r="A2845" s="7" t="s">
        <v>109</v>
      </c>
      <c r="B2845" s="8" t="s">
        <v>59</v>
      </c>
      <c r="C2845" s="63" t="n">
        <f aca="false">Pressupostos!$C$45</f>
        <v>0</v>
      </c>
      <c r="D2845" s="63" t="n">
        <f aca="false">Pressupostos!$C$45</f>
        <v>0</v>
      </c>
      <c r="E2845" s="63" t="n">
        <f aca="false">Pressupostos!$C$45</f>
        <v>0</v>
      </c>
      <c r="F2845" s="63" t="n">
        <f aca="false">Pressupostos!$C$45</f>
        <v>0</v>
      </c>
      <c r="G2845" s="63" t="n">
        <f aca="false">Pressupostos!$C$45</f>
        <v>0</v>
      </c>
      <c r="H2845" s="2" t="s">
        <v>1149</v>
      </c>
    </row>
    <row r="2846" customFormat="false" ht="15" hidden="false" customHeight="false" outlineLevel="1" collapsed="false">
      <c r="A2846" s="7" t="s">
        <v>86</v>
      </c>
      <c r="B2846" s="8" t="s">
        <v>74</v>
      </c>
      <c r="C2846" s="65" t="n">
        <f aca="false">Pressupostos!$D$23</f>
        <v>30</v>
      </c>
      <c r="D2846" s="65" t="n">
        <f aca="false">Pressupostos!$D$23</f>
        <v>30</v>
      </c>
      <c r="E2846" s="65" t="n">
        <f aca="false">Pressupostos!$D$23</f>
        <v>30</v>
      </c>
      <c r="F2846" s="65" t="n">
        <f aca="false">Pressupostos!$D$23</f>
        <v>30</v>
      </c>
      <c r="G2846" s="65" t="n">
        <f aca="false">Pressupostos!$D$23</f>
        <v>30</v>
      </c>
      <c r="H2846" s="2" t="s">
        <v>1150</v>
      </c>
    </row>
    <row r="2847" customFormat="false" ht="15" hidden="false" customHeight="false" outlineLevel="1" collapsed="false">
      <c r="A2847" s="7" t="s">
        <v>73</v>
      </c>
      <c r="B2847" s="8" t="s">
        <v>74</v>
      </c>
      <c r="C2847" s="65" t="n">
        <f aca="false">Pressupostos!$D$24</f>
        <v>45</v>
      </c>
      <c r="D2847" s="65" t="n">
        <f aca="false">Pressupostos!$D$24</f>
        <v>45</v>
      </c>
      <c r="E2847" s="65" t="n">
        <f aca="false">Pressupostos!$D$24</f>
        <v>45</v>
      </c>
      <c r="F2847" s="65" t="n">
        <f aca="false">Pressupostos!$D$24</f>
        <v>45</v>
      </c>
      <c r="G2847" s="65" t="n">
        <f aca="false">Pressupostos!$D$24</f>
        <v>45</v>
      </c>
      <c r="H2847" s="2" t="s">
        <v>1151</v>
      </c>
    </row>
    <row r="2848" customFormat="false" ht="15" hidden="false" customHeight="false" outlineLevel="1" collapsed="false">
      <c r="A2848" s="7" t="s">
        <v>471</v>
      </c>
      <c r="B2848" s="8" t="s">
        <v>59</v>
      </c>
      <c r="C2848" s="60" t="n">
        <f aca="false">Pressupostos!$C$64*C2846/30/1000</f>
        <v>0.004</v>
      </c>
      <c r="D2848" s="60" t="n">
        <f aca="false">Pressupostos!$C$64*D2846/30/1000</f>
        <v>0.004</v>
      </c>
      <c r="E2848" s="60" t="n">
        <f aca="false">Pressupostos!$C$64*E2846/30/1000</f>
        <v>0.004</v>
      </c>
      <c r="F2848" s="60" t="n">
        <f aca="false">Pressupostos!$C$64*F2846/30/1000</f>
        <v>0.004</v>
      </c>
      <c r="G2848" s="60" t="n">
        <f aca="false">Pressupostos!$C$64*G2846/30/1000</f>
        <v>0.004</v>
      </c>
      <c r="H2848" s="2" t="s">
        <v>1152</v>
      </c>
    </row>
    <row r="2849" customFormat="false" ht="15" hidden="false" customHeight="false" outlineLevel="1" collapsed="false">
      <c r="A2849" s="7" t="s">
        <v>154</v>
      </c>
      <c r="B2849" s="8" t="s">
        <v>59</v>
      </c>
      <c r="C2849" s="60" t="n">
        <f aca="false">C2840*Pressupostos!$C$65*C2846/365</f>
        <v>0.000419178082191781</v>
      </c>
      <c r="D2849" s="60" t="n">
        <f aca="false">D2840*Pressupostos!$C$65*D2846/365</f>
        <v>0.000419178082191781</v>
      </c>
      <c r="E2849" s="60" t="n">
        <f aca="false">E2840*Pressupostos!$C$65*E2846/365</f>
        <v>0.000419178082191781</v>
      </c>
      <c r="F2849" s="60" t="n">
        <f aca="false">F2840*Pressupostos!$C$65*F2846/365</f>
        <v>0.000419178082191781</v>
      </c>
      <c r="G2849" s="60" t="n">
        <f aca="false">G2840*Pressupostos!$C$65*G2846/365</f>
        <v>0.000419178082191781</v>
      </c>
      <c r="H2849" s="2" t="s">
        <v>1153</v>
      </c>
    </row>
    <row r="2850" customFormat="false" ht="15" hidden="false" customHeight="false" outlineLevel="1" collapsed="false">
      <c r="A2850" s="7" t="s">
        <v>636</v>
      </c>
      <c r="B2850" s="8" t="s">
        <v>59</v>
      </c>
      <c r="C2850" s="60" t="n">
        <f aca="false">Pressupostos!$C$47*Pressupostos!$C$66/(Pressupostos!$C$46*1000)</f>
        <v>0.02</v>
      </c>
      <c r="D2850" s="60" t="n">
        <f aca="false">Pressupostos!$C$47*Pressupostos!$C$66/(Pressupostos!$C$46*1000)</f>
        <v>0.02</v>
      </c>
      <c r="E2850" s="60" t="n">
        <f aca="false">Pressupostos!$C$47*Pressupostos!$C$66/(Pressupostos!$C$46*1000)</f>
        <v>0.02</v>
      </c>
      <c r="F2850" s="60" t="n">
        <f aca="false">Pressupostos!$C$47*Pressupostos!$C$66/(Pressupostos!$C$46*1000)</f>
        <v>0.02</v>
      </c>
      <c r="G2850" s="60" t="n">
        <f aca="false">Pressupostos!$C$47*Pressupostos!$C$66/(Pressupostos!$C$46*1000)</f>
        <v>0.02</v>
      </c>
      <c r="H2850" s="2" t="s">
        <v>1154</v>
      </c>
    </row>
    <row r="2851" customFormat="false" ht="15" hidden="false" customHeight="false" outlineLevel="1" collapsed="false">
      <c r="A2851" s="7" t="s">
        <v>473</v>
      </c>
      <c r="B2851" s="8" t="s">
        <v>59</v>
      </c>
      <c r="C2851" s="60" t="n">
        <f aca="false">Pressupostos!$C$67*C2840</f>
        <v>0.01275</v>
      </c>
      <c r="D2851" s="60" t="n">
        <f aca="false">Pressupostos!$C$67*D2840</f>
        <v>0.01275</v>
      </c>
      <c r="E2851" s="60" t="n">
        <f aca="false">Pressupostos!$C$67*E2840</f>
        <v>0.01275</v>
      </c>
      <c r="F2851" s="60" t="n">
        <f aca="false">Pressupostos!$C$67*F2840</f>
        <v>0.01275</v>
      </c>
      <c r="G2851" s="60" t="n">
        <f aca="false">Pressupostos!$C$67*G2840</f>
        <v>0.01275</v>
      </c>
      <c r="H2851" s="2" t="s">
        <v>1155</v>
      </c>
    </row>
    <row r="2852" customFormat="false" ht="15" hidden="false" customHeight="false" outlineLevel="1" collapsed="false">
      <c r="A2852" s="7" t="s">
        <v>474</v>
      </c>
      <c r="B2852" s="8" t="s">
        <v>59</v>
      </c>
      <c r="C2852" s="60" t="n">
        <f aca="false">Pressupostos!$C$68*Pressupostos!$C$69*C2846/90</f>
        <v>0.003</v>
      </c>
      <c r="D2852" s="60" t="n">
        <f aca="false">Pressupostos!$C$68*Pressupostos!$C$69*D2846/90</f>
        <v>0.003</v>
      </c>
      <c r="E2852" s="60" t="n">
        <f aca="false">Pressupostos!$C$68*Pressupostos!$C$69*E2846/90</f>
        <v>0.003</v>
      </c>
      <c r="F2852" s="60" t="n">
        <f aca="false">Pressupostos!$C$68*Pressupostos!$C$69*F2846/90</f>
        <v>0.003</v>
      </c>
      <c r="G2852" s="60" t="n">
        <f aca="false">Pressupostos!$C$68*Pressupostos!$C$69*G2846/90</f>
        <v>0.003</v>
      </c>
      <c r="H2852" s="2" t="s">
        <v>1156</v>
      </c>
    </row>
    <row r="2853" customFormat="false" ht="15" hidden="false" customHeight="false" outlineLevel="1" collapsed="false">
      <c r="A2853" s="7" t="s">
        <v>637</v>
      </c>
      <c r="B2853" s="8" t="s">
        <v>59</v>
      </c>
      <c r="C2853" s="60" t="n">
        <f aca="false">Pressupostos!$C$48/(Pressupostos!$C$46*1000)</f>
        <v>0.04</v>
      </c>
      <c r="D2853" s="60" t="n">
        <f aca="false">Pressupostos!$C$48/(Pressupostos!$C$46*1000)</f>
        <v>0.04</v>
      </c>
      <c r="E2853" s="60" t="n">
        <f aca="false">Pressupostos!$C$48/(Pressupostos!$C$46*1000)</f>
        <v>0.04</v>
      </c>
      <c r="F2853" s="60" t="n">
        <f aca="false">Pressupostos!$C$48/(Pressupostos!$C$46*1000)</f>
        <v>0.04</v>
      </c>
      <c r="G2853" s="60" t="n">
        <f aca="false">Pressupostos!$C$48/(Pressupostos!$C$46*1000)</f>
        <v>0.04</v>
      </c>
      <c r="H2853" s="2" t="s">
        <v>1157</v>
      </c>
    </row>
    <row r="2854" customFormat="false" ht="15" hidden="false" customHeight="false" outlineLevel="1" collapsed="false">
      <c r="A2854" s="7" t="s">
        <v>131</v>
      </c>
      <c r="B2854" s="8" t="s">
        <v>59</v>
      </c>
      <c r="C2854" s="63" t="n">
        <f aca="false">Pressupostos!$C$49</f>
        <v>0.005</v>
      </c>
      <c r="D2854" s="63" t="n">
        <f aca="false">Pressupostos!$C$49</f>
        <v>0.005</v>
      </c>
      <c r="E2854" s="63" t="n">
        <f aca="false">Pressupostos!$C$49</f>
        <v>0.005</v>
      </c>
      <c r="F2854" s="63" t="n">
        <f aca="false">Pressupostos!$C$49</f>
        <v>0.005</v>
      </c>
      <c r="G2854" s="63" t="n">
        <f aca="false">Pressupostos!$C$49</f>
        <v>0.005</v>
      </c>
      <c r="H2854" s="2" t="s">
        <v>1158</v>
      </c>
    </row>
    <row r="2855" customFormat="false" ht="15" hidden="false" customHeight="false" outlineLevel="1" collapsed="false">
      <c r="A2855" s="7" t="s">
        <v>76</v>
      </c>
      <c r="B2855" s="8" t="s">
        <v>59</v>
      </c>
      <c r="C2855" s="60" t="n">
        <f aca="false">Pressupostos!$D$25*C2842</f>
        <v>0.009135</v>
      </c>
      <c r="D2855" s="60" t="n">
        <f aca="false">Pressupostos!$D$25*D2842</f>
        <v>0.009135</v>
      </c>
      <c r="E2855" s="60" t="n">
        <f aca="false">Pressupostos!$D$25*E2842</f>
        <v>0.009135</v>
      </c>
      <c r="F2855" s="60" t="n">
        <f aca="false">Pressupostos!$D$25*F2842</f>
        <v>0.009135</v>
      </c>
      <c r="G2855" s="60" t="n">
        <f aca="false">Pressupostos!$D$25*G2842</f>
        <v>0.009135</v>
      </c>
      <c r="H2855" s="2" t="s">
        <v>1159</v>
      </c>
    </row>
    <row r="2856" customFormat="false" ht="15" hidden="false" customHeight="false" outlineLevel="1" collapsed="false">
      <c r="A2856" s="7" t="s">
        <v>638</v>
      </c>
      <c r="B2856" s="8" t="s">
        <v>59</v>
      </c>
      <c r="C2856" s="60" t="n">
        <f aca="false">Pressupostos!$C$71*C2842</f>
        <v>0</v>
      </c>
      <c r="D2856" s="60" t="n">
        <f aca="false">Pressupostos!$C$71*D2842</f>
        <v>0</v>
      </c>
      <c r="E2856" s="60" t="n">
        <f aca="false">Pressupostos!$C$71*E2842</f>
        <v>0</v>
      </c>
      <c r="F2856" s="60" t="n">
        <f aca="false">Pressupostos!$C$71*F2842</f>
        <v>0</v>
      </c>
      <c r="G2856" s="60" t="n">
        <f aca="false">Pressupostos!$C$71*G2842</f>
        <v>0</v>
      </c>
      <c r="H2856" s="2" t="s">
        <v>1160</v>
      </c>
    </row>
    <row r="2857" customFormat="false" ht="15" hidden="false" customHeight="false" outlineLevel="1" collapsed="false">
      <c r="A2857" s="7" t="s">
        <v>639</v>
      </c>
      <c r="B2857" s="8" t="s">
        <v>59</v>
      </c>
      <c r="C2857" s="60" t="n">
        <f aca="false">Pressupostos!$C$283*(C2840+C2843)*(C2846+C2847-Pressupostos!$C$70)/365*Pressupostos!$C$277/Pressupostos!$D$31</f>
        <v>0</v>
      </c>
      <c r="D2857" s="60" t="n">
        <f aca="false">Pressupostos!$D$283*(D2840+D2843)*(D2846+D2847-Pressupostos!$C$70)/365*Pressupostos!$D$277/Pressupostos!$D$31</f>
        <v>0.0332876712328767</v>
      </c>
      <c r="E2857" s="60" t="n">
        <f aca="false">Pressupostos!$E$283*(E2840+E2843)*(E2846+E2847-Pressupostos!$C$70)/365*Pressupostos!$E$277/Pressupostos!$D$31</f>
        <v>0.0312071917808219</v>
      </c>
      <c r="F2857" s="60" t="n">
        <f aca="false">Pressupostos!$F$283*(F2840+F2843)*(F2846+F2847-Pressupostos!$C$70)/365*Pressupostos!$F$277/Pressupostos!$D$31</f>
        <v>0.0291267123287671</v>
      </c>
      <c r="G2857" s="60" t="n">
        <f aca="false">Pressupostos!$G$283*(G2840+G2843)*(G2846+G2847-Pressupostos!$C$70)/365*Pressupostos!$G$277/Pressupostos!$D$31</f>
        <v>0.0291267123287671</v>
      </c>
      <c r="H2857" s="2" t="s">
        <v>1161</v>
      </c>
    </row>
    <row r="2858" customFormat="false" ht="15" hidden="false" customHeight="false" outlineLevel="1" collapsed="false">
      <c r="A2858" s="7" t="s">
        <v>640</v>
      </c>
      <c r="B2858" s="8" t="s">
        <v>59</v>
      </c>
      <c r="C2858" s="60" t="n">
        <f aca="false">C2840+C2843+C2844+C2845+C2848+C2849+C2850+C2851+C2852+C2853+C2854+C2855+C2856+C2857</f>
        <v>3.19430417808219</v>
      </c>
      <c r="D2858" s="60" t="n">
        <f aca="false">D2840+D2843+D2844+D2845+D2848+D2849+D2850+D2851+D2852+D2853+D2854+D2855+D2856+D2857</f>
        <v>3.22759184931507</v>
      </c>
      <c r="E2858" s="60" t="n">
        <f aca="false">E2840+E2843+E2844+E2845+E2848+E2849+E2850+E2851+E2852+E2853+E2854+E2855+E2856+E2857</f>
        <v>3.21551136986301</v>
      </c>
      <c r="F2858" s="60" t="n">
        <f aca="false">F2840+F2843+F2844+F2845+F2848+F2849+F2850+F2851+F2852+F2853+F2854+F2855+F2856+F2857</f>
        <v>3.21343089041096</v>
      </c>
      <c r="G2858" s="60" t="n">
        <f aca="false">G2840+G2843+G2844+G2845+G2848+G2849+G2850+G2851+G2852+G2853+G2854+G2855+G2856+G2857</f>
        <v>3.21343089041096</v>
      </c>
      <c r="H2858" s="2" t="s">
        <v>1162</v>
      </c>
    </row>
    <row r="2859" customFormat="false" ht="15" hidden="false" customHeight="false" outlineLevel="1" collapsed="false">
      <c r="A2859" s="52" t="s">
        <v>641</v>
      </c>
      <c r="B2859" s="53" t="s">
        <v>59</v>
      </c>
      <c r="C2859" s="64" t="n">
        <f aca="false">C2842-C2858</f>
        <v>-0.149304178082192</v>
      </c>
      <c r="D2859" s="64" t="n">
        <f aca="false">D2842-D2858</f>
        <v>-0.182591849315069</v>
      </c>
      <c r="E2859" s="64" t="n">
        <f aca="false">E2842-E2858</f>
        <v>-0.170511369863014</v>
      </c>
      <c r="F2859" s="64" t="n">
        <f aca="false">F2842-F2858</f>
        <v>-0.16843089041096</v>
      </c>
      <c r="G2859" s="64" t="n">
        <f aca="false">G2842-G2858</f>
        <v>-0.16843089041096</v>
      </c>
      <c r="H2859" s="2" t="s">
        <v>1163</v>
      </c>
    </row>
    <row r="2860" customFormat="false" ht="15" hidden="false" customHeight="false" outlineLevel="1" collapsed="false">
      <c r="A2860" s="7" t="s">
        <v>642</v>
      </c>
      <c r="B2860" s="8" t="s">
        <v>71</v>
      </c>
      <c r="C2860" s="55" t="n">
        <f aca="false">IF(C2842&gt;0,C2859/C2842,0)</f>
        <v>-0.0490325707987496</v>
      </c>
      <c r="D2860" s="55" t="n">
        <f aca="false">IF(D2842&gt;0,D2859/D2842,0)</f>
        <v>-0.0599644825336845</v>
      </c>
      <c r="E2860" s="55" t="n">
        <f aca="false">IF(E2842&gt;0,E2859/E2842,0)</f>
        <v>-0.0559971658006615</v>
      </c>
      <c r="F2860" s="55" t="n">
        <f aca="false">IF(F2842&gt;0,F2859/F2842,0)</f>
        <v>-0.0553139213172281</v>
      </c>
      <c r="G2860" s="55" t="n">
        <f aca="false">IF(G2842&gt;0,G2859/G2842,0)</f>
        <v>-0.0553139213172281</v>
      </c>
      <c r="H2860" s="2" t="s">
        <v>1164</v>
      </c>
    </row>
    <row r="2861" customFormat="false" ht="15" hidden="false" customHeight="false" outlineLevel="1" collapsed="false">
      <c r="A2861" s="7" t="s">
        <v>643</v>
      </c>
      <c r="B2861" s="8" t="s">
        <v>59</v>
      </c>
      <c r="C2861" s="60" t="n">
        <f aca="false">(C2840+C2843)*(C2846-Pressupostos!$C$70)/365+C2842*C2847/365</f>
        <v>0.37541095890411</v>
      </c>
      <c r="D2861" s="60" t="n">
        <f aca="false">(D2840+D2843)*(D2846-Pressupostos!$C$70)/365+D2842*D2847/365</f>
        <v>0.37541095890411</v>
      </c>
      <c r="E2861" s="60" t="n">
        <f aca="false">(E2840+E2843)*(E2846-Pressupostos!$C$70)/365+E2842*E2847/365</f>
        <v>0.37541095890411</v>
      </c>
      <c r="F2861" s="60" t="n">
        <f aca="false">(F2840+F2843)*(F2846-Pressupostos!$C$70)/365+F2842*F2847/365</f>
        <v>0.37541095890411</v>
      </c>
      <c r="G2861" s="60" t="n">
        <f aca="false">(G2840+G2843)*(G2846-Pressupostos!$C$70)/365+G2842*G2847/365</f>
        <v>0.37541095890411</v>
      </c>
      <c r="H2861" s="2" t="s">
        <v>1165</v>
      </c>
    </row>
    <row r="2862" customFormat="false" ht="15" hidden="false" customHeight="false" outlineLevel="0" collapsed="false">
      <c r="A2862" s="3" t="s">
        <v>1166</v>
      </c>
      <c r="B2862" s="4"/>
      <c r="C2862" s="4"/>
      <c r="D2862" s="4"/>
      <c r="E2862" s="4"/>
      <c r="F2862" s="4"/>
      <c r="G2862" s="4"/>
      <c r="H2862" s="4"/>
    </row>
    <row r="2863" customFormat="false" ht="15" hidden="false" customHeight="false" outlineLevel="1" collapsed="false">
      <c r="A2863" s="7" t="s">
        <v>633</v>
      </c>
      <c r="B2863" s="8" t="s">
        <v>59</v>
      </c>
      <c r="C2863" s="60" t="n">
        <f aca="false">(Pressupostos!$D$10*(1+Pressupostos!$C$195))+Pressupostos!$D$13</f>
        <v>2.45</v>
      </c>
      <c r="D2863" s="60" t="n">
        <f aca="false">(Pressupostos!$D$10*(1+Pressupostos!$C$195))+Pressupostos!$D$13</f>
        <v>2.45</v>
      </c>
      <c r="E2863" s="60" t="n">
        <f aca="false">(Pressupostos!$D$10*(1+Pressupostos!$C$195))+Pressupostos!$D$13</f>
        <v>2.45</v>
      </c>
      <c r="F2863" s="60" t="n">
        <f aca="false">(Pressupostos!$D$10*(1+Pressupostos!$C$195))+Pressupostos!$D$13</f>
        <v>2.45</v>
      </c>
      <c r="G2863" s="60" t="n">
        <f aca="false">(Pressupostos!$D$10*(1+Pressupostos!$C$195))+Pressupostos!$D$13</f>
        <v>2.45</v>
      </c>
      <c r="H2863" s="2" t="s">
        <v>1167</v>
      </c>
    </row>
    <row r="2864" customFormat="false" ht="15" hidden="false" customHeight="false" outlineLevel="1" collapsed="false">
      <c r="A2864" s="7" t="s">
        <v>634</v>
      </c>
      <c r="B2864" s="8" t="s">
        <v>59</v>
      </c>
      <c r="C2864" s="60" t="n">
        <f aca="false">(Pressupostos!$D$10*(1+Pressupostos!$C$195))+Pressupostos!$C$51</f>
        <v>2.6</v>
      </c>
      <c r="D2864" s="60" t="n">
        <f aca="false">(Pressupostos!$D$10*(1+Pressupostos!$C$195))+Pressupostos!$C$51</f>
        <v>2.6</v>
      </c>
      <c r="E2864" s="60" t="n">
        <f aca="false">(Pressupostos!$D$10*(1+Pressupostos!$C$195))+Pressupostos!$C$51</f>
        <v>2.6</v>
      </c>
      <c r="F2864" s="60" t="n">
        <f aca="false">(Pressupostos!$D$10*(1+Pressupostos!$C$195))+Pressupostos!$C$51</f>
        <v>2.6</v>
      </c>
      <c r="G2864" s="60" t="n">
        <f aca="false">(Pressupostos!$D$10*(1+Pressupostos!$C$195))+Pressupostos!$C$51</f>
        <v>2.6</v>
      </c>
      <c r="H2864" s="2" t="s">
        <v>1168</v>
      </c>
    </row>
    <row r="2865" customFormat="false" ht="15" hidden="false" customHeight="false" outlineLevel="1" collapsed="false">
      <c r="A2865" s="52" t="s">
        <v>635</v>
      </c>
      <c r="B2865" s="53" t="s">
        <v>59</v>
      </c>
      <c r="C2865" s="64" t="n">
        <f aca="false">C2864*(1-Pressupostos!$C$52)</f>
        <v>2.6</v>
      </c>
      <c r="D2865" s="64" t="n">
        <f aca="false">D2864*(1-Pressupostos!$C$52)</f>
        <v>2.6</v>
      </c>
      <c r="E2865" s="64" t="n">
        <f aca="false">E2864*(1-Pressupostos!$C$52)</f>
        <v>2.6</v>
      </c>
      <c r="F2865" s="64" t="n">
        <f aca="false">F2864*(1-Pressupostos!$C$52)</f>
        <v>2.6</v>
      </c>
      <c r="G2865" s="64" t="n">
        <f aca="false">G2864*(1-Pressupostos!$C$52)</f>
        <v>2.6</v>
      </c>
      <c r="H2865" s="2" t="s">
        <v>1169</v>
      </c>
    </row>
    <row r="2866" customFormat="false" ht="15" hidden="false" customHeight="false" outlineLevel="1" collapsed="false">
      <c r="A2866" s="7" t="s">
        <v>136</v>
      </c>
      <c r="B2866" s="8" t="s">
        <v>59</v>
      </c>
      <c r="C2866" s="63" t="n">
        <f aca="false">Pressupostos!$C$53</f>
        <v>0</v>
      </c>
      <c r="D2866" s="63" t="n">
        <f aca="false">Pressupostos!$C$53</f>
        <v>0</v>
      </c>
      <c r="E2866" s="63" t="n">
        <f aca="false">Pressupostos!$C$53</f>
        <v>0</v>
      </c>
      <c r="F2866" s="63" t="n">
        <f aca="false">Pressupostos!$C$53</f>
        <v>0</v>
      </c>
      <c r="G2866" s="63" t="n">
        <f aca="false">Pressupostos!$C$53</f>
        <v>0</v>
      </c>
      <c r="H2866" s="2" t="s">
        <v>1170</v>
      </c>
    </row>
    <row r="2867" customFormat="false" ht="15" hidden="false" customHeight="false" outlineLevel="1" collapsed="false">
      <c r="A2867" s="7" t="s">
        <v>205</v>
      </c>
      <c r="B2867" s="8" t="s">
        <v>59</v>
      </c>
      <c r="C2867" s="63" t="n">
        <f aca="false">Pressupostos!$C$54</f>
        <v>0.04</v>
      </c>
      <c r="D2867" s="63" t="n">
        <f aca="false">Pressupostos!$C$54</f>
        <v>0.04</v>
      </c>
      <c r="E2867" s="63" t="n">
        <f aca="false">Pressupostos!$C$54</f>
        <v>0.04</v>
      </c>
      <c r="F2867" s="63" t="n">
        <f aca="false">Pressupostos!$C$54</f>
        <v>0.04</v>
      </c>
      <c r="G2867" s="63" t="n">
        <f aca="false">Pressupostos!$C$54</f>
        <v>0.04</v>
      </c>
      <c r="H2867" s="2" t="s">
        <v>1171</v>
      </c>
    </row>
    <row r="2868" customFormat="false" ht="15" hidden="false" customHeight="false" outlineLevel="1" collapsed="false">
      <c r="A2868" s="7" t="s">
        <v>109</v>
      </c>
      <c r="B2868" s="8" t="s">
        <v>59</v>
      </c>
      <c r="C2868" s="63" t="n">
        <f aca="false">Pressupostos!$C$55</f>
        <v>0</v>
      </c>
      <c r="D2868" s="63" t="n">
        <f aca="false">Pressupostos!$C$55</f>
        <v>0</v>
      </c>
      <c r="E2868" s="63" t="n">
        <f aca="false">Pressupostos!$C$55</f>
        <v>0</v>
      </c>
      <c r="F2868" s="63" t="n">
        <f aca="false">Pressupostos!$C$55</f>
        <v>0</v>
      </c>
      <c r="G2868" s="63" t="n">
        <f aca="false">Pressupostos!$C$55</f>
        <v>0</v>
      </c>
      <c r="H2868" s="2" t="s">
        <v>1172</v>
      </c>
    </row>
    <row r="2869" customFormat="false" ht="15" hidden="false" customHeight="false" outlineLevel="1" collapsed="false">
      <c r="A2869" s="7" t="s">
        <v>86</v>
      </c>
      <c r="B2869" s="8" t="s">
        <v>74</v>
      </c>
      <c r="C2869" s="65" t="n">
        <f aca="false">Pressupostos!$C$56</f>
        <v>15</v>
      </c>
      <c r="D2869" s="65" t="n">
        <f aca="false">Pressupostos!$C$56</f>
        <v>15</v>
      </c>
      <c r="E2869" s="65" t="n">
        <f aca="false">Pressupostos!$C$56</f>
        <v>15</v>
      </c>
      <c r="F2869" s="65" t="n">
        <f aca="false">Pressupostos!$C$56</f>
        <v>15</v>
      </c>
      <c r="G2869" s="65" t="n">
        <f aca="false">Pressupostos!$C$56</f>
        <v>15</v>
      </c>
      <c r="H2869" s="2" t="s">
        <v>1173</v>
      </c>
    </row>
    <row r="2870" customFormat="false" ht="15" hidden="false" customHeight="false" outlineLevel="1" collapsed="false">
      <c r="A2870" s="7" t="s">
        <v>73</v>
      </c>
      <c r="B2870" s="8" t="s">
        <v>74</v>
      </c>
      <c r="C2870" s="65" t="n">
        <f aca="false">Pressupostos!$C$57</f>
        <v>45</v>
      </c>
      <c r="D2870" s="65" t="n">
        <f aca="false">Pressupostos!$C$57</f>
        <v>45</v>
      </c>
      <c r="E2870" s="65" t="n">
        <f aca="false">Pressupostos!$C$57</f>
        <v>45</v>
      </c>
      <c r="F2870" s="65" t="n">
        <f aca="false">Pressupostos!$C$57</f>
        <v>45</v>
      </c>
      <c r="G2870" s="65" t="n">
        <f aca="false">Pressupostos!$C$57</f>
        <v>45</v>
      </c>
      <c r="H2870" s="2" t="s">
        <v>1174</v>
      </c>
    </row>
    <row r="2871" customFormat="false" ht="15" hidden="false" customHeight="false" outlineLevel="1" collapsed="false">
      <c r="A2871" s="7" t="s">
        <v>471</v>
      </c>
      <c r="B2871" s="8" t="s">
        <v>59</v>
      </c>
      <c r="C2871" s="60" t="n">
        <f aca="false">Pressupostos!$C$64*C2869/30/1000</f>
        <v>0.002</v>
      </c>
      <c r="D2871" s="60" t="n">
        <f aca="false">Pressupostos!$C$64*D2869/30/1000</f>
        <v>0.002</v>
      </c>
      <c r="E2871" s="60" t="n">
        <f aca="false">Pressupostos!$C$64*E2869/30/1000</f>
        <v>0.002</v>
      </c>
      <c r="F2871" s="60" t="n">
        <f aca="false">Pressupostos!$C$64*F2869/30/1000</f>
        <v>0.002</v>
      </c>
      <c r="G2871" s="60" t="n">
        <f aca="false">Pressupostos!$C$64*G2869/30/1000</f>
        <v>0.002</v>
      </c>
      <c r="H2871" s="2" t="s">
        <v>1175</v>
      </c>
    </row>
    <row r="2872" customFormat="false" ht="15" hidden="false" customHeight="false" outlineLevel="1" collapsed="false">
      <c r="A2872" s="7" t="s">
        <v>154</v>
      </c>
      <c r="B2872" s="8" t="s">
        <v>59</v>
      </c>
      <c r="C2872" s="60" t="n">
        <f aca="false">C2863*Pressupostos!$C$65*C2869/365</f>
        <v>0.000201369863013699</v>
      </c>
      <c r="D2872" s="60" t="n">
        <f aca="false">D2863*Pressupostos!$C$65*D2869/365</f>
        <v>0.000201369863013699</v>
      </c>
      <c r="E2872" s="60" t="n">
        <f aca="false">E2863*Pressupostos!$C$65*E2869/365</f>
        <v>0.000201369863013699</v>
      </c>
      <c r="F2872" s="60" t="n">
        <f aca="false">F2863*Pressupostos!$C$65*F2869/365</f>
        <v>0.000201369863013699</v>
      </c>
      <c r="G2872" s="60" t="n">
        <f aca="false">G2863*Pressupostos!$C$65*G2869/365</f>
        <v>0.000201369863013699</v>
      </c>
      <c r="H2872" s="2" t="s">
        <v>1176</v>
      </c>
    </row>
    <row r="2873" customFormat="false" ht="15" hidden="false" customHeight="false" outlineLevel="1" collapsed="false">
      <c r="A2873" s="7" t="s">
        <v>636</v>
      </c>
      <c r="B2873" s="8" t="s">
        <v>59</v>
      </c>
      <c r="C2873" s="60" t="n">
        <f aca="false">Pressupostos!$C$59*Pressupostos!$C$66/(Pressupostos!$C$58*1000)</f>
        <v>0.006</v>
      </c>
      <c r="D2873" s="60" t="n">
        <f aca="false">Pressupostos!$C$59*Pressupostos!$C$66/(Pressupostos!$C$58*1000)</f>
        <v>0.006</v>
      </c>
      <c r="E2873" s="60" t="n">
        <f aca="false">Pressupostos!$C$59*Pressupostos!$C$66/(Pressupostos!$C$58*1000)</f>
        <v>0.006</v>
      </c>
      <c r="F2873" s="60" t="n">
        <f aca="false">Pressupostos!$C$59*Pressupostos!$C$66/(Pressupostos!$C$58*1000)</f>
        <v>0.006</v>
      </c>
      <c r="G2873" s="60" t="n">
        <f aca="false">Pressupostos!$C$59*Pressupostos!$C$66/(Pressupostos!$C$58*1000)</f>
        <v>0.006</v>
      </c>
      <c r="H2873" s="2" t="s">
        <v>1177</v>
      </c>
    </row>
    <row r="2874" customFormat="false" ht="15" hidden="false" customHeight="false" outlineLevel="1" collapsed="false">
      <c r="A2874" s="7" t="s">
        <v>473</v>
      </c>
      <c r="B2874" s="8" t="s">
        <v>59</v>
      </c>
      <c r="C2874" s="60" t="n">
        <f aca="false">Pressupostos!$C$67*C2863</f>
        <v>0.01225</v>
      </c>
      <c r="D2874" s="60" t="n">
        <f aca="false">Pressupostos!$C$67*D2863</f>
        <v>0.01225</v>
      </c>
      <c r="E2874" s="60" t="n">
        <f aca="false">Pressupostos!$C$67*E2863</f>
        <v>0.01225</v>
      </c>
      <c r="F2874" s="60" t="n">
        <f aca="false">Pressupostos!$C$67*F2863</f>
        <v>0.01225</v>
      </c>
      <c r="G2874" s="60" t="n">
        <f aca="false">Pressupostos!$C$67*G2863</f>
        <v>0.01225</v>
      </c>
      <c r="H2874" s="2" t="s">
        <v>1178</v>
      </c>
    </row>
    <row r="2875" customFormat="false" ht="15" hidden="false" customHeight="false" outlineLevel="1" collapsed="false">
      <c r="A2875" s="7" t="s">
        <v>474</v>
      </c>
      <c r="B2875" s="8" t="s">
        <v>59</v>
      </c>
      <c r="C2875" s="60" t="n">
        <f aca="false">Pressupostos!$C$68*Pressupostos!$C$69*C2869/90</f>
        <v>0.0015</v>
      </c>
      <c r="D2875" s="60" t="n">
        <f aca="false">Pressupostos!$C$68*Pressupostos!$C$69*D2869/90</f>
        <v>0.0015</v>
      </c>
      <c r="E2875" s="60" t="n">
        <f aca="false">Pressupostos!$C$68*Pressupostos!$C$69*E2869/90</f>
        <v>0.0015</v>
      </c>
      <c r="F2875" s="60" t="n">
        <f aca="false">Pressupostos!$C$68*Pressupostos!$C$69*F2869/90</f>
        <v>0.0015</v>
      </c>
      <c r="G2875" s="60" t="n">
        <f aca="false">Pressupostos!$C$68*Pressupostos!$C$69*G2869/90</f>
        <v>0.0015</v>
      </c>
      <c r="H2875" s="2" t="s">
        <v>1179</v>
      </c>
    </row>
    <row r="2876" customFormat="false" ht="15" hidden="false" customHeight="false" outlineLevel="1" collapsed="false">
      <c r="A2876" s="7" t="s">
        <v>637</v>
      </c>
      <c r="B2876" s="8" t="s">
        <v>59</v>
      </c>
      <c r="C2876" s="60" t="n">
        <f aca="false">Pressupostos!$C$60/(Pressupostos!$C$58*1000)</f>
        <v>0.012</v>
      </c>
      <c r="D2876" s="60" t="n">
        <f aca="false">Pressupostos!$C$60/(Pressupostos!$C$58*1000)</f>
        <v>0.012</v>
      </c>
      <c r="E2876" s="60" t="n">
        <f aca="false">Pressupostos!$C$60/(Pressupostos!$C$58*1000)</f>
        <v>0.012</v>
      </c>
      <c r="F2876" s="60" t="n">
        <f aca="false">Pressupostos!$C$60/(Pressupostos!$C$58*1000)</f>
        <v>0.012</v>
      </c>
      <c r="G2876" s="60" t="n">
        <f aca="false">Pressupostos!$C$60/(Pressupostos!$C$58*1000)</f>
        <v>0.012</v>
      </c>
      <c r="H2876" s="2" t="s">
        <v>1180</v>
      </c>
    </row>
    <row r="2877" customFormat="false" ht="15" hidden="false" customHeight="false" outlineLevel="1" collapsed="false">
      <c r="A2877" s="7" t="s">
        <v>131</v>
      </c>
      <c r="B2877" s="8" t="s">
        <v>59</v>
      </c>
      <c r="C2877" s="63" t="n">
        <f aca="false">Pressupostos!$C$61</f>
        <v>0.001</v>
      </c>
      <c r="D2877" s="63" t="n">
        <f aca="false">Pressupostos!$C$61</f>
        <v>0.001</v>
      </c>
      <c r="E2877" s="63" t="n">
        <f aca="false">Pressupostos!$C$61</f>
        <v>0.001</v>
      </c>
      <c r="F2877" s="63" t="n">
        <f aca="false">Pressupostos!$C$61</f>
        <v>0.001</v>
      </c>
      <c r="G2877" s="63" t="n">
        <f aca="false">Pressupostos!$C$61</f>
        <v>0.001</v>
      </c>
      <c r="H2877" s="2" t="s">
        <v>1181</v>
      </c>
    </row>
    <row r="2878" customFormat="false" ht="15" hidden="false" customHeight="false" outlineLevel="1" collapsed="false">
      <c r="A2878" s="7" t="s">
        <v>76</v>
      </c>
      <c r="B2878" s="8" t="s">
        <v>59</v>
      </c>
      <c r="C2878" s="60" t="n">
        <f aca="false">Pressupostos!$C$62*C2865</f>
        <v>0.0078</v>
      </c>
      <c r="D2878" s="60" t="n">
        <f aca="false">Pressupostos!$C$62*D2865</f>
        <v>0.0078</v>
      </c>
      <c r="E2878" s="60" t="n">
        <f aca="false">Pressupostos!$C$62*E2865</f>
        <v>0.0078</v>
      </c>
      <c r="F2878" s="60" t="n">
        <f aca="false">Pressupostos!$C$62*F2865</f>
        <v>0.0078</v>
      </c>
      <c r="G2878" s="60" t="n">
        <f aca="false">Pressupostos!$C$62*G2865</f>
        <v>0.0078</v>
      </c>
      <c r="H2878" s="2" t="s">
        <v>1182</v>
      </c>
    </row>
    <row r="2879" customFormat="false" ht="15" hidden="false" customHeight="false" outlineLevel="1" collapsed="false">
      <c r="A2879" s="7" t="s">
        <v>638</v>
      </c>
      <c r="B2879" s="8" t="s">
        <v>59</v>
      </c>
      <c r="C2879" s="60" t="n">
        <f aca="false">Pressupostos!$C$71*C2865</f>
        <v>0</v>
      </c>
      <c r="D2879" s="60" t="n">
        <f aca="false">Pressupostos!$C$71*D2865</f>
        <v>0</v>
      </c>
      <c r="E2879" s="60" t="n">
        <f aca="false">Pressupostos!$C$71*E2865</f>
        <v>0</v>
      </c>
      <c r="F2879" s="60" t="n">
        <f aca="false">Pressupostos!$C$71*F2865</f>
        <v>0</v>
      </c>
      <c r="G2879" s="60" t="n">
        <f aca="false">Pressupostos!$C$71*G2865</f>
        <v>0</v>
      </c>
      <c r="H2879" s="2" t="s">
        <v>1183</v>
      </c>
    </row>
    <row r="2880" customFormat="false" ht="15" hidden="false" customHeight="false" outlineLevel="1" collapsed="false">
      <c r="A2880" s="7" t="s">
        <v>639</v>
      </c>
      <c r="B2880" s="8" t="s">
        <v>59</v>
      </c>
      <c r="C2880" s="60" t="n">
        <f aca="false">Pressupostos!$C$283*(C2863+C2866)*(C2869+C2870-Pressupostos!$C$70)/365*Pressupostos!$C$277/Pressupostos!$D$31</f>
        <v>0</v>
      </c>
      <c r="D2880" s="60" t="n">
        <f aca="false">Pressupostos!$D$283*(D2863+D2866)*(D2869+D2870-Pressupostos!$C$70)/365*Pressupostos!$D$277/Pressupostos!$D$31</f>
        <v>0.0181232876712329</v>
      </c>
      <c r="E2880" s="60" t="n">
        <f aca="false">Pressupostos!$E$283*(E2863+E2866)*(E2869+E2870-Pressupostos!$C$70)/365*Pressupostos!$E$277/Pressupostos!$D$31</f>
        <v>0.0169905821917808</v>
      </c>
      <c r="F2880" s="60" t="n">
        <f aca="false">Pressupostos!$F$283*(F2863+F2866)*(F2869+F2870-Pressupostos!$C$70)/365*Pressupostos!$F$277/Pressupostos!$D$31</f>
        <v>0.0158578767123288</v>
      </c>
      <c r="G2880" s="60" t="n">
        <f aca="false">Pressupostos!$G$283*(G2863+G2866)*(G2869+G2870-Pressupostos!$C$70)/365*Pressupostos!$G$277/Pressupostos!$D$31</f>
        <v>0.0158578767123288</v>
      </c>
      <c r="H2880" s="2" t="s">
        <v>1184</v>
      </c>
    </row>
    <row r="2881" customFormat="false" ht="15" hidden="false" customHeight="false" outlineLevel="1" collapsed="false">
      <c r="A2881" s="7" t="s">
        <v>640</v>
      </c>
      <c r="B2881" s="8" t="s">
        <v>59</v>
      </c>
      <c r="C2881" s="60" t="n">
        <f aca="false">C2863+C2866+C2867+C2868+C2871+C2872+C2873+C2874+C2875+C2876+C2877+C2878+C2879+C2880</f>
        <v>2.53275136986301</v>
      </c>
      <c r="D2881" s="60" t="n">
        <f aca="false">D2863+D2866+D2867+D2868+D2871+D2872+D2873+D2874+D2875+D2876+D2877+D2878+D2879+D2880</f>
        <v>2.55087465753425</v>
      </c>
      <c r="E2881" s="60" t="n">
        <f aca="false">E2863+E2866+E2867+E2868+E2871+E2872+E2873+E2874+E2875+E2876+E2877+E2878+E2879+E2880</f>
        <v>2.54974195205479</v>
      </c>
      <c r="F2881" s="60" t="n">
        <f aca="false">F2863+F2866+F2867+F2868+F2871+F2872+F2873+F2874+F2875+F2876+F2877+F2878+F2879+F2880</f>
        <v>2.54860924657534</v>
      </c>
      <c r="G2881" s="60" t="n">
        <f aca="false">G2863+G2866+G2867+G2868+G2871+G2872+G2873+G2874+G2875+G2876+G2877+G2878+G2879+G2880</f>
        <v>2.54860924657534</v>
      </c>
      <c r="H2881" s="2" t="s">
        <v>1185</v>
      </c>
    </row>
    <row r="2882" customFormat="false" ht="15" hidden="false" customHeight="false" outlineLevel="1" collapsed="false">
      <c r="A2882" s="52" t="s">
        <v>641</v>
      </c>
      <c r="B2882" s="53" t="s">
        <v>59</v>
      </c>
      <c r="C2882" s="64" t="n">
        <f aca="false">C2865-C2881</f>
        <v>0.0672486301369868</v>
      </c>
      <c r="D2882" s="64" t="n">
        <f aca="false">D2865-D2881</f>
        <v>0.0491253424657541</v>
      </c>
      <c r="E2882" s="64" t="n">
        <f aca="false">E2865-E2881</f>
        <v>0.0502580479452059</v>
      </c>
      <c r="F2882" s="64" t="n">
        <f aca="false">F2865-F2881</f>
        <v>0.0513907534246578</v>
      </c>
      <c r="G2882" s="64" t="n">
        <f aca="false">G2865-G2881</f>
        <v>0.0513907534246578</v>
      </c>
      <c r="H2882" s="2" t="s">
        <v>1186</v>
      </c>
    </row>
    <row r="2883" customFormat="false" ht="15" hidden="false" customHeight="false" outlineLevel="1" collapsed="false">
      <c r="A2883" s="7" t="s">
        <v>642</v>
      </c>
      <c r="B2883" s="8" t="s">
        <v>71</v>
      </c>
      <c r="C2883" s="55" t="n">
        <f aca="false">IF(C2865&gt;0,C2882/C2865,0)</f>
        <v>0.0258648577449949</v>
      </c>
      <c r="D2883" s="55" t="n">
        <f aca="false">IF(D2865&gt;0,D2882/D2865,0)</f>
        <v>0.0188943624868285</v>
      </c>
      <c r="E2883" s="55" t="n">
        <f aca="false">IF(E2865&gt;0,E2882/E2865,0)</f>
        <v>0.0193300184404638</v>
      </c>
      <c r="F2883" s="55" t="n">
        <f aca="false">IF(F2865&gt;0,F2882/F2865,0)</f>
        <v>0.0197656743940992</v>
      </c>
      <c r="G2883" s="55" t="n">
        <f aca="false">IF(G2865&gt;0,G2882/G2865,0)</f>
        <v>0.0197656743940992</v>
      </c>
      <c r="H2883" s="2" t="s">
        <v>1187</v>
      </c>
    </row>
    <row r="2884" customFormat="false" ht="15" hidden="false" customHeight="false" outlineLevel="1" collapsed="false">
      <c r="A2884" s="7" t="s">
        <v>643</v>
      </c>
      <c r="B2884" s="8" t="s">
        <v>59</v>
      </c>
      <c r="C2884" s="60" t="n">
        <f aca="false">(C2863+C2866)*(C2869-Pressupostos!$C$70)/365+C2865*C2870/365</f>
        <v>0.21986301369863</v>
      </c>
      <c r="D2884" s="60" t="n">
        <f aca="false">(D2863+D2866)*(D2869-Pressupostos!$C$70)/365+D2865*D2870/365</f>
        <v>0.21986301369863</v>
      </c>
      <c r="E2884" s="60" t="n">
        <f aca="false">(E2863+E2866)*(E2869-Pressupostos!$C$70)/365+E2865*E2870/365</f>
        <v>0.21986301369863</v>
      </c>
      <c r="F2884" s="60" t="n">
        <f aca="false">(F2863+F2866)*(F2869-Pressupostos!$C$70)/365+F2865*F2870/365</f>
        <v>0.21986301369863</v>
      </c>
      <c r="G2884" s="60" t="n">
        <f aca="false">(G2863+G2866)*(G2869-Pressupostos!$C$70)/365+G2865*G2870/365</f>
        <v>0.21986301369863</v>
      </c>
      <c r="H2884" s="2" t="s">
        <v>1188</v>
      </c>
    </row>
    <row r="2885" customFormat="false" ht="15" hidden="false" customHeight="false" outlineLevel="0" collapsed="false">
      <c r="A2885" s="3" t="s">
        <v>1189</v>
      </c>
      <c r="B2885" s="4"/>
      <c r="C2885" s="4"/>
      <c r="D2885" s="4"/>
      <c r="E2885" s="4"/>
      <c r="F2885" s="4"/>
      <c r="G2885" s="4"/>
      <c r="H2885" s="4"/>
    </row>
    <row r="2886" customFormat="false" ht="15" hidden="false" customHeight="false" outlineLevel="1" collapsed="false">
      <c r="A2886" s="7" t="s">
        <v>575</v>
      </c>
      <c r="B2886" s="8" t="s">
        <v>10</v>
      </c>
      <c r="C2886" s="58" t="n">
        <f aca="false">C2801*1000*C2819</f>
        <v>28476</v>
      </c>
      <c r="D2886" s="58" t="n">
        <f aca="false">D2801*1000*D2819</f>
        <v>131701.5</v>
      </c>
      <c r="E2886" s="58" t="n">
        <f aca="false">E2801*1000*E2819</f>
        <v>473413.5</v>
      </c>
      <c r="F2886" s="58" t="n">
        <f aca="false">F2801*1000*F2819</f>
        <v>950386.5</v>
      </c>
      <c r="G2886" s="58" t="n">
        <f aca="false">G2801*1000*G2819</f>
        <v>1459395</v>
      </c>
      <c r="H2886" s="2" t="s">
        <v>1190</v>
      </c>
    </row>
    <row r="2887" customFormat="false" ht="15" hidden="false" customHeight="false" outlineLevel="1" collapsed="false">
      <c r="A2887" s="7" t="s">
        <v>576</v>
      </c>
      <c r="B2887" s="8" t="s">
        <v>10</v>
      </c>
      <c r="C2887" s="58" t="n">
        <f aca="false">C2802*1000*C2842</f>
        <v>158340</v>
      </c>
      <c r="D2887" s="58" t="n">
        <f aca="false">D2802*1000*D2842</f>
        <v>1105335</v>
      </c>
      <c r="E2887" s="58" t="n">
        <f aca="false">E2802*1000*E2842</f>
        <v>2183265</v>
      </c>
      <c r="F2887" s="58" t="n">
        <f aca="false">F2802*1000*F2842</f>
        <v>3602235</v>
      </c>
      <c r="G2887" s="58" t="n">
        <f aca="false">G2802*1000*G2842</f>
        <v>5450550</v>
      </c>
      <c r="H2887" s="2" t="s">
        <v>1191</v>
      </c>
    </row>
    <row r="2888" customFormat="false" ht="15" hidden="false" customHeight="false" outlineLevel="1" collapsed="false">
      <c r="A2888" s="7" t="s">
        <v>577</v>
      </c>
      <c r="B2888" s="8" t="s">
        <v>10</v>
      </c>
      <c r="C2888" s="58" t="n">
        <f aca="false">C2803*1000*C2865</f>
        <v>0</v>
      </c>
      <c r="D2888" s="58" t="n">
        <f aca="false">D2803*1000*D2865</f>
        <v>0</v>
      </c>
      <c r="E2888" s="58" t="n">
        <f aca="false">E2803*1000*E2865</f>
        <v>0</v>
      </c>
      <c r="F2888" s="58" t="n">
        <f aca="false">F2803*1000*F2865</f>
        <v>0</v>
      </c>
      <c r="G2888" s="58" t="n">
        <f aca="false">G2803*1000*G2865</f>
        <v>0</v>
      </c>
      <c r="H2888" s="2" t="s">
        <v>1192</v>
      </c>
    </row>
    <row r="2889" customFormat="false" ht="15" hidden="false" customHeight="false" outlineLevel="1" collapsed="false">
      <c r="A2889" s="7" t="s">
        <v>578</v>
      </c>
      <c r="B2889" s="8" t="s">
        <v>10</v>
      </c>
      <c r="C2889" s="58" t="n">
        <f aca="false">C2886+C2887+C2888</f>
        <v>186816</v>
      </c>
      <c r="D2889" s="58" t="n">
        <f aca="false">D2886+D2887+D2888</f>
        <v>1237036.5</v>
      </c>
      <c r="E2889" s="58" t="n">
        <f aca="false">E2886+E2887+E2888</f>
        <v>2656678.5</v>
      </c>
      <c r="F2889" s="58" t="n">
        <f aca="false">F2886+F2887+F2888</f>
        <v>4552621.5</v>
      </c>
      <c r="G2889" s="58" t="n">
        <f aca="false">G2886+G2887+G2888</f>
        <v>6909945</v>
      </c>
      <c r="H2889" s="2" t="s">
        <v>1193</v>
      </c>
    </row>
    <row r="2890" customFormat="false" ht="15" hidden="false" customHeight="false" outlineLevel="1" collapsed="false">
      <c r="A2890" s="7" t="s">
        <v>579</v>
      </c>
      <c r="B2890" s="8" t="s">
        <v>10</v>
      </c>
      <c r="C2890" s="58" t="n">
        <f aca="false">C2812*1000*Pressupostos!$C$91</f>
        <v>0</v>
      </c>
      <c r="D2890" s="58" t="n">
        <f aca="false">D2812*1000*Pressupostos!$C$91</f>
        <v>0</v>
      </c>
      <c r="E2890" s="58" t="n">
        <f aca="false">E2812*1000*Pressupostos!$C$91</f>
        <v>235500</v>
      </c>
      <c r="F2890" s="58" t="n">
        <f aca="false">F2812*1000*Pressupostos!$C$91</f>
        <v>471000</v>
      </c>
      <c r="G2890" s="58" t="n">
        <f aca="false">G2812*1000*Pressupostos!$C$91</f>
        <v>785000</v>
      </c>
      <c r="H2890" s="2" t="s">
        <v>1194</v>
      </c>
    </row>
    <row r="2891" customFormat="false" ht="15" hidden="false" customHeight="false" outlineLevel="1" collapsed="false">
      <c r="A2891" s="2" t="s">
        <v>580</v>
      </c>
      <c r="B2891" s="8" t="s">
        <v>10</v>
      </c>
      <c r="C2891" s="58" t="n">
        <f aca="false">C2810*Pressupostos!$C$78*(1-Pressupostos!$C$79)</f>
        <v>40500</v>
      </c>
      <c r="D2891" s="58" t="n">
        <f aca="false">D2810*Pressupostos!$C$78*(1-Pressupostos!$C$79)</f>
        <v>162000</v>
      </c>
      <c r="E2891" s="58" t="n">
        <f aca="false">E2810*Pressupostos!$C$78*(1-Pressupostos!$C$79)</f>
        <v>270000</v>
      </c>
      <c r="F2891" s="58" t="n">
        <f aca="false">F2810*Pressupostos!$C$78*(1-Pressupostos!$C$79)</f>
        <v>378000</v>
      </c>
      <c r="G2891" s="58" t="n">
        <f aca="false">G2810*Pressupostos!$C$78*(1-Pressupostos!$C$79)</f>
        <v>486000</v>
      </c>
      <c r="H2891" s="2" t="s">
        <v>1195</v>
      </c>
    </row>
    <row r="2892" customFormat="false" ht="15" hidden="false" customHeight="false" outlineLevel="1" collapsed="false">
      <c r="A2892" s="7" t="s">
        <v>581</v>
      </c>
      <c r="B2892" s="8" t="s">
        <v>10</v>
      </c>
      <c r="C2892" s="58" t="n">
        <f aca="false">C2891*Pressupostos!$D$27</f>
        <v>810</v>
      </c>
      <c r="D2892" s="58" t="n">
        <f aca="false">D2891*Pressupostos!$D$27</f>
        <v>3240</v>
      </c>
      <c r="E2892" s="58" t="n">
        <f aca="false">E2891*Pressupostos!$D$27</f>
        <v>5400</v>
      </c>
      <c r="F2892" s="58" t="n">
        <f aca="false">F2891*Pressupostos!$D$27</f>
        <v>7560</v>
      </c>
      <c r="G2892" s="58" t="n">
        <f aca="false">G2891*Pressupostos!$D$27</f>
        <v>9720</v>
      </c>
      <c r="H2892" s="2" t="s">
        <v>1196</v>
      </c>
    </row>
    <row r="2893" customFormat="false" ht="15" hidden="false" customHeight="false" outlineLevel="1" collapsed="false">
      <c r="A2893" s="7" t="s">
        <v>582</v>
      </c>
      <c r="B2893" s="8" t="s">
        <v>10</v>
      </c>
      <c r="C2893" s="58" t="n">
        <f aca="false">C2814*(Pressupostos!$C$99*Pressupostos!$C$100+Pressupostos!$C$101)</f>
        <v>0</v>
      </c>
      <c r="D2893" s="58" t="n">
        <f aca="false">D2814*(Pressupostos!$C$99*Pressupostos!$C$100+Pressupostos!$C$101)</f>
        <v>10000</v>
      </c>
      <c r="E2893" s="58" t="n">
        <f aca="false">E2814*(Pressupostos!$C$99*Pressupostos!$C$100+Pressupostos!$C$101)</f>
        <v>30000</v>
      </c>
      <c r="F2893" s="58" t="n">
        <f aca="false">F2814*(Pressupostos!$C$99*Pressupostos!$C$100+Pressupostos!$C$101)</f>
        <v>60000</v>
      </c>
      <c r="G2893" s="58" t="n">
        <f aca="false">G2814*(Pressupostos!$C$99*Pressupostos!$C$100+Pressupostos!$C$101)</f>
        <v>100000</v>
      </c>
      <c r="H2893" s="2" t="s">
        <v>1197</v>
      </c>
    </row>
    <row r="2894" customFormat="false" ht="15" hidden="false" customHeight="false" outlineLevel="1" collapsed="false">
      <c r="A2894" s="7" t="s">
        <v>583</v>
      </c>
      <c r="B2894" s="8" t="s">
        <v>10</v>
      </c>
      <c r="C2894" s="50" t="n">
        <f aca="false">Pressupostos!$C$270</f>
        <v>0</v>
      </c>
      <c r="D2894" s="50" t="n">
        <f aca="false">Pressupostos!$D$270</f>
        <v>0</v>
      </c>
      <c r="E2894" s="50" t="n">
        <f aca="false">Pressupostos!$E$270</f>
        <v>0</v>
      </c>
      <c r="F2894" s="50" t="n">
        <f aca="false">Pressupostos!$F$270</f>
        <v>10000</v>
      </c>
      <c r="G2894" s="50" t="n">
        <f aca="false">Pressupostos!$G$270</f>
        <v>30000</v>
      </c>
      <c r="H2894" s="2" t="s">
        <v>1198</v>
      </c>
    </row>
    <row r="2895" customFormat="false" ht="15" hidden="false" customHeight="false" outlineLevel="1" collapsed="false">
      <c r="A2895" s="52" t="s">
        <v>584</v>
      </c>
      <c r="B2895" s="53" t="s">
        <v>10</v>
      </c>
      <c r="C2895" s="59" t="n">
        <f aca="false">C2889+C2890+C2892+C2893+C2894</f>
        <v>187626</v>
      </c>
      <c r="D2895" s="59" t="n">
        <f aca="false">D2889+D2890+D2892+D2893+D2894</f>
        <v>1250276.5</v>
      </c>
      <c r="E2895" s="59" t="n">
        <f aca="false">E2889+E2890+E2892+E2893+E2894</f>
        <v>2927578.5</v>
      </c>
      <c r="F2895" s="59" t="n">
        <f aca="false">F2889+F2890+F2892+F2893+F2894</f>
        <v>5101181.5</v>
      </c>
      <c r="G2895" s="59" t="n">
        <f aca="false">G2889+G2890+G2892+G2893+G2894</f>
        <v>7834665</v>
      </c>
      <c r="H2895" s="2" t="s">
        <v>1199</v>
      </c>
    </row>
    <row r="2896" customFormat="false" ht="15" hidden="false" customHeight="false" outlineLevel="0" collapsed="false">
      <c r="A2896" s="3" t="s">
        <v>1200</v>
      </c>
      <c r="B2896" s="4"/>
      <c r="C2896" s="4"/>
      <c r="D2896" s="4"/>
      <c r="E2896" s="4"/>
      <c r="F2896" s="4"/>
      <c r="G2896" s="4"/>
      <c r="H2896" s="4"/>
    </row>
    <row r="2897" customFormat="false" ht="15" hidden="false" customHeight="false" outlineLevel="1" collapsed="false">
      <c r="A2897" s="52" t="s">
        <v>586</v>
      </c>
      <c r="B2897" s="53" t="s">
        <v>10</v>
      </c>
      <c r="C2897" s="59" t="n">
        <f aca="false">C2889+C2890+C2891</f>
        <v>227316</v>
      </c>
      <c r="D2897" s="59" t="n">
        <f aca="false">D2889+D2890+D2891</f>
        <v>1399036.5</v>
      </c>
      <c r="E2897" s="59" t="n">
        <f aca="false">E2889+E2890+E2891</f>
        <v>3162178.5</v>
      </c>
      <c r="F2897" s="59" t="n">
        <f aca="false">F2889+F2890+F2891</f>
        <v>5401621.5</v>
      </c>
      <c r="G2897" s="59" t="n">
        <f aca="false">G2889+G2890+G2891</f>
        <v>8180945</v>
      </c>
      <c r="H2897" s="2" t="s">
        <v>1201</v>
      </c>
    </row>
    <row r="2898" customFormat="false" ht="15" hidden="false" customHeight="false" outlineLevel="1" collapsed="false">
      <c r="A2898" s="7" t="s">
        <v>587</v>
      </c>
      <c r="B2898" s="8" t="s">
        <v>10</v>
      </c>
      <c r="C2898" s="58" t="n">
        <f aca="false">C2801*1000*(C2817+C2820)+C2802*1000*(C2840+C2843)+C2803*1000*(C2863+C2866)+C2812*1000*Pressupostos!$C$90</f>
        <v>180800</v>
      </c>
      <c r="D2898" s="58" t="n">
        <f aca="false">D2801*1000*(D2817+D2820)+D2802*1000*(D2840+D2843)+D2803*1000*(D2863+D2866)+D2812*1000*Pressupostos!$C$90</f>
        <v>1203700</v>
      </c>
      <c r="E2898" s="58" t="n">
        <f aca="false">E2801*1000*(E2817+E2820)+E2802*1000*(E2840+E2843)+E2803*1000*(E2863+E2866)+E2812*1000*Pressupostos!$C$90</f>
        <v>2773300</v>
      </c>
      <c r="F2898" s="58" t="n">
        <f aca="false">F2801*1000*(F2817+F2820)+F2802*1000*(F2840+F2843)+F2803*1000*(F2863+F2866)+F2812*1000*Pressupostos!$C$90</f>
        <v>4796700</v>
      </c>
      <c r="G2898" s="58" t="n">
        <f aca="false">G2801*1000*(G2817+G2820)+G2802*1000*(G2840+G2843)+G2803*1000*(G2863+G2866)+G2812*1000*Pressupostos!$C$90</f>
        <v>7341000</v>
      </c>
      <c r="H2898" s="2" t="s">
        <v>1202</v>
      </c>
    </row>
    <row r="2899" customFormat="false" ht="15" hidden="false" customHeight="false" outlineLevel="1" collapsed="false">
      <c r="A2899" s="7" t="s">
        <v>588</v>
      </c>
      <c r="B2899" s="8" t="s">
        <v>10</v>
      </c>
      <c r="C2899" s="58" t="n">
        <f aca="false">C2898*Pressupostos!$C$277</f>
        <v>0</v>
      </c>
      <c r="D2899" s="58" t="n">
        <f aca="false">D2898*Pressupostos!$D$277</f>
        <v>1083330</v>
      </c>
      <c r="E2899" s="58" t="n">
        <f aca="false">E2898*Pressupostos!$E$277</f>
        <v>2495970</v>
      </c>
      <c r="F2899" s="58" t="n">
        <f aca="false">F2898*Pressupostos!$F$277</f>
        <v>4317030</v>
      </c>
      <c r="G2899" s="58" t="n">
        <f aca="false">G2898*Pressupostos!$G$277</f>
        <v>6606900</v>
      </c>
      <c r="H2899" s="2" t="s">
        <v>1203</v>
      </c>
    </row>
    <row r="2900" customFormat="false" ht="15" hidden="false" customHeight="false" outlineLevel="0" collapsed="false">
      <c r="A2900" s="3" t="s">
        <v>1204</v>
      </c>
      <c r="B2900" s="4"/>
      <c r="C2900" s="4"/>
      <c r="D2900" s="4"/>
      <c r="E2900" s="4"/>
      <c r="F2900" s="4"/>
      <c r="G2900" s="4"/>
      <c r="H2900" s="4"/>
    </row>
    <row r="2901" customFormat="false" ht="15" hidden="false" customHeight="false" outlineLevel="1" collapsed="false">
      <c r="A2901" s="7" t="s">
        <v>590</v>
      </c>
      <c r="B2901" s="8" t="s">
        <v>10</v>
      </c>
      <c r="C2901" s="58" t="n">
        <f aca="false">C2801*1000*C2836</f>
        <v>-952.976547945195</v>
      </c>
      <c r="D2901" s="58" t="n">
        <f aca="false">D2801*1000*D2836</f>
        <v>-9639.72201369858</v>
      </c>
      <c r="E2901" s="58" t="n">
        <f aca="false">E2801*1000*E2836</f>
        <v>-13508.3107945205</v>
      </c>
      <c r="F2901" s="58" t="n">
        <f aca="false">F2801*1000*F2836</f>
        <v>-23810.4053013696</v>
      </c>
      <c r="G2901" s="58" t="n">
        <f aca="false">G2801*1000*G2836</f>
        <v>-36562.7946575339</v>
      </c>
      <c r="H2901" s="2" t="s">
        <v>1205</v>
      </c>
    </row>
    <row r="2902" customFormat="false" ht="15" hidden="false" customHeight="false" outlineLevel="1" collapsed="false">
      <c r="A2902" s="7" t="s">
        <v>591</v>
      </c>
      <c r="B2902" s="8" t="s">
        <v>10</v>
      </c>
      <c r="C2902" s="58" t="n">
        <f aca="false">C2802*1000*C2859</f>
        <v>-7763.81726027401</v>
      </c>
      <c r="D2902" s="58" t="n">
        <f aca="false">D2802*1000*D2859</f>
        <v>-66280.8413013702</v>
      </c>
      <c r="E2902" s="58" t="n">
        <f aca="false">E2802*1000*E2859</f>
        <v>-122256.652191781</v>
      </c>
      <c r="F2902" s="58" t="n">
        <f aca="false">F2802*1000*F2859</f>
        <v>-199253.743356165</v>
      </c>
      <c r="G2902" s="58" t="n">
        <f aca="false">G2802*1000*G2859</f>
        <v>-301491.293835618</v>
      </c>
      <c r="H2902" s="2" t="s">
        <v>1206</v>
      </c>
    </row>
    <row r="2903" customFormat="false" ht="15" hidden="false" customHeight="false" outlineLevel="1" collapsed="false">
      <c r="A2903" s="7" t="s">
        <v>592</v>
      </c>
      <c r="B2903" s="8" t="s">
        <v>10</v>
      </c>
      <c r="C2903" s="58" t="n">
        <f aca="false">C2803*1000*C2882</f>
        <v>0</v>
      </c>
      <c r="D2903" s="58" t="n">
        <f aca="false">D2803*1000*D2882</f>
        <v>0</v>
      </c>
      <c r="E2903" s="58" t="n">
        <f aca="false">E2803*1000*E2882</f>
        <v>0</v>
      </c>
      <c r="F2903" s="58" t="n">
        <f aca="false">F2803*1000*F2882</f>
        <v>0</v>
      </c>
      <c r="G2903" s="58" t="n">
        <f aca="false">G2803*1000*G2882</f>
        <v>0</v>
      </c>
      <c r="H2903" s="2" t="s">
        <v>1207</v>
      </c>
    </row>
    <row r="2904" customFormat="false" ht="15" hidden="false" customHeight="false" outlineLevel="1" collapsed="false">
      <c r="A2904" s="7" t="s">
        <v>593</v>
      </c>
      <c r="B2904" s="8" t="s">
        <v>10</v>
      </c>
      <c r="C2904" s="58" t="n">
        <f aca="false">C2901+C2902+C2903</f>
        <v>-8716.7938082192</v>
      </c>
      <c r="D2904" s="58" t="n">
        <f aca="false">D2901+D2902+D2903</f>
        <v>-75920.5633150687</v>
      </c>
      <c r="E2904" s="58" t="n">
        <f aca="false">E2901+E2902+E2903</f>
        <v>-135764.962986302</v>
      </c>
      <c r="F2904" s="58" t="n">
        <f aca="false">F2901+F2902+F2903</f>
        <v>-223064.148657535</v>
      </c>
      <c r="G2904" s="58" t="n">
        <f aca="false">G2901+G2902+G2903</f>
        <v>-338054.088493151</v>
      </c>
      <c r="H2904" s="2" t="s">
        <v>1208</v>
      </c>
    </row>
    <row r="2905" customFormat="false" ht="15" hidden="false" customHeight="false" outlineLevel="1" collapsed="false">
      <c r="A2905" s="7" t="s">
        <v>594</v>
      </c>
      <c r="B2905" s="8" t="s">
        <v>59</v>
      </c>
      <c r="C2905" s="60" t="n">
        <f aca="false">IF(C2804&gt;0,C2904/(C2804*1000),0)</f>
        <v>-0.145279896803653</v>
      </c>
      <c r="D2905" s="60" t="n">
        <f aca="false">IF(D2804&gt;0,D2904/(D2804*1000),0)</f>
        <v>-0.189801408287672</v>
      </c>
      <c r="E2905" s="60" t="n">
        <f aca="false">IF(E2804&gt;0,E2904/(E2804*1000),0)</f>
        <v>-0.159723485866237</v>
      </c>
      <c r="F2905" s="60" t="n">
        <f aca="false">IF(F2804&gt;0,F2904/(F2804*1000),0)</f>
        <v>-0.153837343901748</v>
      </c>
      <c r="G2905" s="60" t="n">
        <f aca="false">IF(G2804&gt;0,G2904/(G2804*1000),0)</f>
        <v>-0.153660949315069</v>
      </c>
      <c r="H2905" s="2" t="s">
        <v>1209</v>
      </c>
    </row>
    <row r="2906" customFormat="false" ht="15" hidden="false" customHeight="false" outlineLevel="1" collapsed="false">
      <c r="A2906" s="7" t="s">
        <v>595</v>
      </c>
      <c r="B2906" s="8" t="s">
        <v>71</v>
      </c>
      <c r="C2906" s="55" t="n">
        <f aca="false">IF(C2889&gt;0,C2904/C2889,0)</f>
        <v>-0.0466597818613995</v>
      </c>
      <c r="D2906" s="55" t="n">
        <f aca="false">IF(D2889&gt;0,D2904/D2889,0)</f>
        <v>-0.0613729371082169</v>
      </c>
      <c r="E2906" s="55" t="n">
        <f aca="false">IF(E2889&gt;0,E2904/E2889,0)</f>
        <v>-0.0511032716176616</v>
      </c>
      <c r="F2906" s="55" t="n">
        <f aca="false">IF(F2889&gt;0,F2904/F2889,0)</f>
        <v>-0.0489968578889184</v>
      </c>
      <c r="G2906" s="55" t="n">
        <f aca="false">IF(G2889&gt;0,G2904/G2889,0)</f>
        <v>-0.0489228334658454</v>
      </c>
      <c r="H2906" s="2" t="s">
        <v>1210</v>
      </c>
    </row>
    <row r="2907" customFormat="false" ht="15" hidden="false" customHeight="false" outlineLevel="1" collapsed="false">
      <c r="A2907" s="2" t="s">
        <v>596</v>
      </c>
      <c r="B2907" s="8" t="s">
        <v>59</v>
      </c>
      <c r="C2907" s="60" t="n">
        <f aca="false">Pressupostos!$C$283*Pressupostos!$C$90*(Pressupostos!$C$93+Pressupostos!$C$94-Pressupostos!$C$95)/365*Pressupostos!$C$277/Pressupostos!$D$31</f>
        <v>0</v>
      </c>
      <c r="D2907" s="60" t="n">
        <f aca="false">Pressupostos!$D$283*Pressupostos!$C$90*(Pressupostos!$C$93+Pressupostos!$C$94-Pressupostos!$C$95)/365*Pressupostos!$D$277/Pressupostos!$D$31</f>
        <v>0.0776712328767123</v>
      </c>
      <c r="E2907" s="60" t="n">
        <f aca="false">Pressupostos!$E$283*Pressupostos!$C$90*(Pressupostos!$C$93+Pressupostos!$C$94-Pressupostos!$C$95)/365*Pressupostos!$E$277/Pressupostos!$D$31</f>
        <v>0.0728167808219178</v>
      </c>
      <c r="F2907" s="60" t="n">
        <f aca="false">Pressupostos!$F$283*Pressupostos!$C$90*(Pressupostos!$C$93+Pressupostos!$C$94-Pressupostos!$C$95)/365*Pressupostos!$F$277/Pressupostos!$D$31</f>
        <v>0.0679623287671233</v>
      </c>
      <c r="G2907" s="60" t="n">
        <f aca="false">Pressupostos!$G$283*Pressupostos!$C$90*(Pressupostos!$C$93+Pressupostos!$C$94-Pressupostos!$C$95)/365*Pressupostos!$G$277/Pressupostos!$D$31</f>
        <v>0.0679623287671233</v>
      </c>
      <c r="H2907" s="2" t="s">
        <v>1211</v>
      </c>
    </row>
    <row r="2908" customFormat="false" ht="15" hidden="false" customHeight="false" outlineLevel="1" collapsed="false">
      <c r="A2908" s="7" t="s">
        <v>567</v>
      </c>
      <c r="B2908" s="8" t="s">
        <v>10</v>
      </c>
      <c r="C2908" s="58" t="n">
        <f aca="false">C2812*1000*(Pressupostos!$C$91-Pressupostos!$C$90-Pressupostos!$C$92-C2907-Pressupostos!$C$96*Pressupostos!$C$91-Pressupostos!$C$97-Pressupostos!$D$29*Pressupostos!$C$90)</f>
        <v>0</v>
      </c>
      <c r="D2908" s="58" t="n">
        <f aca="false">D2812*1000*(Pressupostos!$C$91-Pressupostos!$C$90-Pressupostos!$C$92-D2907-Pressupostos!$C$96*Pressupostos!$C$91-Pressupostos!$C$97-Pressupostos!$D$29*Pressupostos!$C$90)</f>
        <v>0</v>
      </c>
      <c r="E2908" s="58" t="n">
        <f aca="false">E2812*1000*(Pressupostos!$C$91-Pressupostos!$C$90-Pressupostos!$C$92-E2907-Pressupostos!$C$96*Pressupostos!$C$91-Pressupostos!$C$97-Pressupostos!$D$29*Pressupostos!$C$90)</f>
        <v>16502.4965753425</v>
      </c>
      <c r="F2908" s="58" t="n">
        <f aca="false">F2812*1000*(Pressupostos!$C$91-Pressupostos!$C$90-Pressupostos!$C$92-F2907-Pressupostos!$C$96*Pressupostos!$C$91-Pressupostos!$C$97-Pressupostos!$D$29*Pressupostos!$C$90)</f>
        <v>33296.2602739726</v>
      </c>
      <c r="G2908" s="58" t="n">
        <f aca="false">G2812*1000*(Pressupostos!$C$91-Pressupostos!$C$90-Pressupostos!$C$92-G2907-Pressupostos!$C$96*Pressupostos!$C$91-Pressupostos!$C$97-Pressupostos!$D$29*Pressupostos!$C$90)</f>
        <v>55493.7671232876</v>
      </c>
      <c r="H2908" s="2" t="s">
        <v>1212</v>
      </c>
    </row>
    <row r="2909" customFormat="false" ht="15" hidden="false" customHeight="false" outlineLevel="1" collapsed="false">
      <c r="A2909" s="7" t="s">
        <v>597</v>
      </c>
      <c r="B2909" s="8" t="s">
        <v>10</v>
      </c>
      <c r="C2909" s="58" t="n">
        <f aca="false">C2892</f>
        <v>810</v>
      </c>
      <c r="D2909" s="58" t="n">
        <f aca="false">D2892</f>
        <v>3240</v>
      </c>
      <c r="E2909" s="58" t="n">
        <f aca="false">E2892</f>
        <v>5400</v>
      </c>
      <c r="F2909" s="58" t="n">
        <f aca="false">F2892</f>
        <v>7560</v>
      </c>
      <c r="G2909" s="58" t="n">
        <f aca="false">G2892</f>
        <v>9720</v>
      </c>
      <c r="H2909" s="2" t="s">
        <v>1213</v>
      </c>
    </row>
    <row r="2910" customFormat="false" ht="15" hidden="false" customHeight="false" outlineLevel="1" collapsed="false">
      <c r="A2910" s="7" t="s">
        <v>598</v>
      </c>
      <c r="B2910" s="8" t="s">
        <v>10</v>
      </c>
      <c r="C2910" s="58" t="n">
        <f aca="false">C2893-C2925</f>
        <v>0</v>
      </c>
      <c r="D2910" s="58" t="n">
        <f aca="false">D2893-D2925</f>
        <v>1771.42857142857</v>
      </c>
      <c r="E2910" s="58" t="n">
        <f aca="false">E2893-E2925</f>
        <v>5314.28571428572</v>
      </c>
      <c r="F2910" s="58" t="n">
        <f aca="false">F2893-F2925</f>
        <v>10628.5714285714</v>
      </c>
      <c r="G2910" s="58" t="n">
        <f aca="false">G2893-G2925</f>
        <v>17714.2857142857</v>
      </c>
      <c r="H2910" s="2" t="s">
        <v>1214</v>
      </c>
    </row>
    <row r="2911" customFormat="false" ht="15" hidden="false" customHeight="false" outlineLevel="1" collapsed="false">
      <c r="A2911" s="7" t="s">
        <v>583</v>
      </c>
      <c r="B2911" s="8" t="s">
        <v>10</v>
      </c>
      <c r="C2911" s="58" t="n">
        <f aca="false">C2894</f>
        <v>0</v>
      </c>
      <c r="D2911" s="58" t="n">
        <f aca="false">D2894</f>
        <v>0</v>
      </c>
      <c r="E2911" s="58" t="n">
        <f aca="false">E2894</f>
        <v>0</v>
      </c>
      <c r="F2911" s="58" t="n">
        <f aca="false">F2894</f>
        <v>10000</v>
      </c>
      <c r="G2911" s="58" t="n">
        <f aca="false">G2894</f>
        <v>30000</v>
      </c>
      <c r="H2911" s="2" t="s">
        <v>1215</v>
      </c>
    </row>
    <row r="2912" customFormat="false" ht="15" hidden="false" customHeight="false" outlineLevel="1" collapsed="false">
      <c r="A2912" s="52" t="s">
        <v>599</v>
      </c>
      <c r="B2912" s="53" t="s">
        <v>10</v>
      </c>
      <c r="C2912" s="59" t="n">
        <f aca="false">C2904+C2908+C2909+C2910+C2911</f>
        <v>-7906.7938082192</v>
      </c>
      <c r="D2912" s="59" t="n">
        <f aca="false">D2904+D2908+D2909+D2910+D2911</f>
        <v>-70909.1347436402</v>
      </c>
      <c r="E2912" s="59" t="n">
        <f aca="false">E2904+E2908+E2909+E2910+E2911</f>
        <v>-108548.180696674</v>
      </c>
      <c r="F2912" s="59" t="n">
        <f aca="false">F2904+F2908+F2909+F2910+F2911</f>
        <v>-161579.316954991</v>
      </c>
      <c r="G2912" s="59" t="n">
        <f aca="false">G2904+G2908+G2909+G2910+G2911</f>
        <v>-225126.035655578</v>
      </c>
      <c r="H2912" s="2" t="s">
        <v>1216</v>
      </c>
    </row>
    <row r="2913" customFormat="false" ht="15" hidden="false" customHeight="false" outlineLevel="0" collapsed="false">
      <c r="A2913" s="3" t="s">
        <v>1217</v>
      </c>
      <c r="B2913" s="4"/>
      <c r="C2913" s="4"/>
      <c r="D2913" s="4"/>
      <c r="E2913" s="4"/>
      <c r="F2913" s="4"/>
      <c r="G2913" s="4"/>
      <c r="H2913" s="4"/>
    </row>
    <row r="2914" customFormat="false" ht="15" hidden="false" customHeight="false" outlineLevel="1" collapsed="false">
      <c r="A2914" s="7" t="s">
        <v>647</v>
      </c>
      <c r="B2914" s="8" t="s">
        <v>10</v>
      </c>
      <c r="C2914" s="58" t="n">
        <f aca="false">C2801*1000*(C2817+C2820)+C2802*1000*(C2840+C2843)+C2803*1000*(C2863+C2866)</f>
        <v>180800</v>
      </c>
      <c r="D2914" s="58" t="n">
        <f aca="false">D2801*1000*(D2817+D2820)+D2802*1000*(D2840+D2843)+D2803*1000*(D2863+D2866)</f>
        <v>1203700</v>
      </c>
      <c r="E2914" s="58" t="n">
        <f aca="false">E2801*1000*(E2817+E2820)+E2802*1000*(E2840+E2843)+E2803*1000*(E2863+E2866)</f>
        <v>2563300</v>
      </c>
      <c r="F2914" s="58" t="n">
        <f aca="false">F2801*1000*(F2817+F2820)+F2802*1000*(F2840+F2843)+F2803*1000*(F2863+F2866)</f>
        <v>4376700</v>
      </c>
      <c r="G2914" s="58" t="n">
        <f aca="false">G2801*1000*(G2817+G2820)+G2802*1000*(G2840+G2843)+G2803*1000*(G2863+G2866)</f>
        <v>6641000</v>
      </c>
      <c r="H2914" s="2" t="s">
        <v>1218</v>
      </c>
    </row>
    <row r="2915" customFormat="false" ht="15" hidden="false" customHeight="false" outlineLevel="1" collapsed="false">
      <c r="A2915" s="7" t="s">
        <v>648</v>
      </c>
      <c r="B2915" s="8" t="s">
        <v>10</v>
      </c>
      <c r="C2915" s="58" t="n">
        <f aca="false">C2812*1000*Pressupostos!$C$90</f>
        <v>0</v>
      </c>
      <c r="D2915" s="58" t="n">
        <f aca="false">D2812*1000*Pressupostos!$C$90</f>
        <v>0</v>
      </c>
      <c r="E2915" s="58" t="n">
        <f aca="false">E2812*1000*Pressupostos!$C$90</f>
        <v>210000</v>
      </c>
      <c r="F2915" s="58" t="n">
        <f aca="false">F2812*1000*Pressupostos!$C$90</f>
        <v>420000</v>
      </c>
      <c r="G2915" s="58" t="n">
        <f aca="false">G2812*1000*Pressupostos!$C$90</f>
        <v>700000</v>
      </c>
      <c r="H2915" s="2" t="s">
        <v>1219</v>
      </c>
    </row>
    <row r="2916" customFormat="false" ht="15" hidden="false" customHeight="false" outlineLevel="1" collapsed="false">
      <c r="A2916" s="7" t="s">
        <v>649</v>
      </c>
      <c r="B2916" s="8" t="s">
        <v>10</v>
      </c>
      <c r="C2916" s="58" t="n">
        <f aca="false">C2914+C2915</f>
        <v>180800</v>
      </c>
      <c r="D2916" s="58" t="n">
        <f aca="false">D2914+D2915</f>
        <v>1203700</v>
      </c>
      <c r="E2916" s="58" t="n">
        <f aca="false">E2914+E2915</f>
        <v>2773300</v>
      </c>
      <c r="F2916" s="58" t="n">
        <f aca="false">F2914+F2915</f>
        <v>4796700</v>
      </c>
      <c r="G2916" s="58" t="n">
        <f aca="false">G2914+G2915</f>
        <v>7341000</v>
      </c>
      <c r="H2916" s="2" t="s">
        <v>1220</v>
      </c>
    </row>
    <row r="2917" customFormat="false" ht="15" hidden="false" customHeight="false" outlineLevel="1" collapsed="false">
      <c r="A2917" s="7" t="s">
        <v>205</v>
      </c>
      <c r="B2917" s="8" t="s">
        <v>10</v>
      </c>
      <c r="C2917" s="58" t="n">
        <f aca="false">C2801*1000*(C2821)+C2802*1000*(C2844)+C2803*1000*(C2867)+C2812*1000*Pressupostos!$C$92</f>
        <v>7600</v>
      </c>
      <c r="D2917" s="58" t="n">
        <f aca="false">D2801*1000*(D2821)+D2802*1000*(D2844)+D2803*1000*(D2867)+D2812*1000*Pressupostos!$C$92</f>
        <v>47400</v>
      </c>
      <c r="E2917" s="58" t="n">
        <f aca="false">E2801*1000*(E2821)+E2802*1000*(E2844)+E2803*1000*(E2867)+E2812*1000*Pressupostos!$C$92</f>
        <v>106270</v>
      </c>
      <c r="F2917" s="58" t="n">
        <f aca="false">F2801*1000*(F2821)+F2802*1000*(F2844)+F2803*1000*(F2867)+F2812*1000*Pressupostos!$C$92</f>
        <v>187560</v>
      </c>
      <c r="G2917" s="58" t="n">
        <f aca="false">G2801*1000*(G2821)+G2802*1000*(G2844)+G2803*1000*(G2867)+G2812*1000*Pressupostos!$C$92</f>
        <v>286800</v>
      </c>
      <c r="H2917" s="2" t="s">
        <v>1221</v>
      </c>
    </row>
    <row r="2918" customFormat="false" ht="15" hidden="false" customHeight="false" outlineLevel="1" collapsed="false">
      <c r="A2918" s="7" t="s">
        <v>109</v>
      </c>
      <c r="B2918" s="8" t="s">
        <v>10</v>
      </c>
      <c r="C2918" s="58" t="n">
        <f aca="false">C2801*1000*(C2822)+C2802*1000*(C2845)+C2803*1000*(C2868)</f>
        <v>480</v>
      </c>
      <c r="D2918" s="58" t="n">
        <f aca="false">D2801*1000*(D2822)+D2802*1000*(D2845)+D2803*1000*(D2868)</f>
        <v>2220</v>
      </c>
      <c r="E2918" s="58" t="n">
        <f aca="false">E2801*1000*(E2822)+E2802*1000*(E2845)+E2803*1000*(E2868)</f>
        <v>7980</v>
      </c>
      <c r="F2918" s="58" t="n">
        <f aca="false">F2801*1000*(F2822)+F2802*1000*(F2845)+F2803*1000*(F2868)</f>
        <v>16020</v>
      </c>
      <c r="G2918" s="58" t="n">
        <f aca="false">G2801*1000*(G2822)+G2802*1000*(G2845)+G2803*1000*(G2868)</f>
        <v>24600</v>
      </c>
      <c r="H2918" s="2" t="s">
        <v>1222</v>
      </c>
    </row>
    <row r="2919" customFormat="false" ht="15" hidden="false" customHeight="false" outlineLevel="1" collapsed="false">
      <c r="A2919" s="7" t="s">
        <v>650</v>
      </c>
      <c r="B2919" s="8" t="s">
        <v>10</v>
      </c>
      <c r="C2919" s="58" t="n">
        <f aca="false">C2801*1000*(C2825+C2826)+C2802*1000*(C2848+C2849)+C2803*1000*(C2871+C2872)</f>
        <v>441.917808219178</v>
      </c>
      <c r="D2919" s="58" t="n">
        <f aca="false">D2801*1000*(D2825+D2826)+D2802*1000*(D2848+D2849)+D2803*1000*(D2871+D2872)</f>
        <v>2585.21917808219</v>
      </c>
      <c r="E2919" s="58" t="n">
        <f aca="false">E2801*1000*(E2825+E2826)+E2802*1000*(E2848+E2849)+E2803*1000*(E2871+E2872)</f>
        <v>4050.17671232877</v>
      </c>
      <c r="F2919" s="58" t="n">
        <f aca="false">F2801*1000*(F2825+F2826)+F2802*1000*(F2848+F2849)+F2803*1000*(F2871+F2872)</f>
        <v>6997.76849315069</v>
      </c>
      <c r="G2919" s="58" t="n">
        <f aca="false">G2801*1000*(G2825+G2826)+G2802*1000*(G2848+G2849)+G2803*1000*(G2871+G2872)</f>
        <v>10628.1232876712</v>
      </c>
      <c r="H2919" s="2" t="s">
        <v>1223</v>
      </c>
    </row>
    <row r="2920" customFormat="false" ht="15" hidden="false" customHeight="false" outlineLevel="1" collapsed="false">
      <c r="A2920" s="7" t="s">
        <v>651</v>
      </c>
      <c r="B2920" s="8" t="s">
        <v>10</v>
      </c>
      <c r="C2920" s="58" t="n">
        <f aca="false">C2801*1000*(C2827+C2828+C2829)+C2802*1000*(C2850+C2851+C2852)+C2803*1000*(C2873+C2874+C2875)</f>
        <v>2345</v>
      </c>
      <c r="D2920" s="58" t="n">
        <f aca="false">D2801*1000*(D2827+D2828+D2829)+D2802*1000*(D2850+D2851+D2852)+D2803*1000*(D2873+D2874+D2875)</f>
        <v>15225</v>
      </c>
      <c r="E2920" s="58" t="n">
        <f aca="false">E2801*1000*(E2827+E2828+E2829)+E2802*1000*(E2850+E2851+E2852)+E2803*1000*(E2873+E2874+E2875)</f>
        <v>31917</v>
      </c>
      <c r="F2920" s="58" t="n">
        <f aca="false">F2801*1000*(F2827+F2828+F2829)+F2802*1000*(F2850+F2851+F2852)+F2803*1000*(F2873+F2874+F2875)</f>
        <v>54908</v>
      </c>
      <c r="G2920" s="58" t="n">
        <f aca="false">G2801*1000*(G2827+G2828+G2829)+G2802*1000*(G2850+G2851+G2852)+G2803*1000*(G2873+G2874+G2875)</f>
        <v>83365</v>
      </c>
      <c r="H2920" s="2" t="s">
        <v>1224</v>
      </c>
    </row>
    <row r="2921" customFormat="false" ht="15" hidden="false" customHeight="false" outlineLevel="1" collapsed="false">
      <c r="A2921" s="7" t="s">
        <v>637</v>
      </c>
      <c r="B2921" s="8" t="s">
        <v>10</v>
      </c>
      <c r="C2921" s="58" t="n">
        <f aca="false">C2801*1000*(C2830)+C2802*1000*(C2853)+C2803*1000*(C2876)</f>
        <v>2880</v>
      </c>
      <c r="D2921" s="58" t="n">
        <f aca="false">D2801*1000*(D2830)+D2802*1000*(D2853)+D2803*1000*(D2876)</f>
        <v>18220</v>
      </c>
      <c r="E2921" s="58" t="n">
        <f aca="false">E2801*1000*(E2830)+E2802*1000*(E2853)+E2803*1000*(E2876)</f>
        <v>41980</v>
      </c>
      <c r="F2921" s="58" t="n">
        <f aca="false">F2801*1000*(F2830)+F2802*1000*(F2853)+F2803*1000*(F2876)</f>
        <v>74020</v>
      </c>
      <c r="G2921" s="58" t="n">
        <f aca="false">G2801*1000*(G2830)+G2802*1000*(G2853)+G2803*1000*(G2876)</f>
        <v>112600</v>
      </c>
      <c r="H2921" s="2" t="s">
        <v>1225</v>
      </c>
    </row>
    <row r="2922" customFormat="false" ht="15" hidden="false" customHeight="false" outlineLevel="1" collapsed="false">
      <c r="A2922" s="7" t="s">
        <v>652</v>
      </c>
      <c r="B2922" s="8" t="s">
        <v>10</v>
      </c>
      <c r="C2922" s="58" t="n">
        <f aca="false">C2801*1000*(C2831)+C2802*1000*(C2854)+C2803*1000*(C2877)+C2812*1000*Pressupostos!$C$97</f>
        <v>340</v>
      </c>
      <c r="D2922" s="58" t="n">
        <f aca="false">D2801*1000*(D2831)+D2802*1000*(D2854)+D2803*1000*(D2877)+D2812*1000*Pressupostos!$C$97</f>
        <v>2185</v>
      </c>
      <c r="E2922" s="58" t="n">
        <f aca="false">E2801*1000*(E2831)+E2802*1000*(E2854)+E2803*1000*(E2877)+E2812*1000*Pressupostos!$C$97</f>
        <v>5815</v>
      </c>
      <c r="F2922" s="58" t="n">
        <f aca="false">F2801*1000*(F2831)+F2802*1000*(F2854)+F2803*1000*(F2877)+F2812*1000*Pressupostos!$C$97</f>
        <v>10385</v>
      </c>
      <c r="G2922" s="58" t="n">
        <f aca="false">G2801*1000*(G2831)+G2802*1000*(G2854)+G2803*1000*(G2877)+G2812*1000*Pressupostos!$C$97</f>
        <v>16050</v>
      </c>
      <c r="H2922" s="2" t="s">
        <v>1226</v>
      </c>
    </row>
    <row r="2923" customFormat="false" ht="15" hidden="false" customHeight="false" outlineLevel="1" collapsed="false">
      <c r="A2923" s="7" t="s">
        <v>76</v>
      </c>
      <c r="B2923" s="8" t="s">
        <v>10</v>
      </c>
      <c r="C2923" s="58" t="n">
        <f aca="false">C2801*1000*(C2832)+C2802*1000*(C2855)+C2803*1000*(C2878)+C2812*1000*Pressupostos!$C$96*Pressupostos!$C$91</f>
        <v>645.876</v>
      </c>
      <c r="D2923" s="58" t="n">
        <f aca="false">D2801*1000*(D2832)+D2802*1000*(D2855)+D2803*1000*(D2878)+D2812*1000*Pressupostos!$C$96*Pressupostos!$C$91</f>
        <v>4106.214</v>
      </c>
      <c r="E2923" s="58" t="n">
        <f aca="false">E2801*1000*(E2832)+E2802*1000*(E2855)+E2803*1000*(E2878)+E2812*1000*Pressupostos!$C$96*Pressupostos!$C$91</f>
        <v>10803.276</v>
      </c>
      <c r="F2923" s="58" t="n">
        <f aca="false">F2801*1000*(F2832)+F2802*1000*(F2855)+F2803*1000*(F2878)+F2812*1000*Pressupostos!$C$96*Pressupostos!$C$91</f>
        <v>19335.024</v>
      </c>
      <c r="G2923" s="58" t="n">
        <f aca="false">G2801*1000*(G2832)+G2802*1000*(G2855)+G2803*1000*(G2878)+G2812*1000*Pressupostos!$C$96*Pressupostos!$C$91</f>
        <v>29818.02</v>
      </c>
      <c r="H2923" s="2" t="s">
        <v>1227</v>
      </c>
    </row>
    <row r="2924" customFormat="false" ht="15" hidden="false" customHeight="false" outlineLevel="1" collapsed="false">
      <c r="A2924" s="7" t="s">
        <v>653</v>
      </c>
      <c r="B2924" s="8" t="s">
        <v>10</v>
      </c>
      <c r="C2924" s="58" t="n">
        <f aca="false">C2801*1000*(C2833)+C2802*1000*(C2856)+C2803*1000*(C2879)+C2812*1000*Pressupostos!$D$29*Pressupostos!$C$90</f>
        <v>0</v>
      </c>
      <c r="D2924" s="58" t="n">
        <f aca="false">D2801*1000*(D2833)+D2802*1000*(D2856)+D2803*1000*(D2879)+D2812*1000*Pressupostos!$D$29*Pressupostos!$C$90</f>
        <v>0</v>
      </c>
      <c r="E2924" s="58" t="n">
        <f aca="false">E2801*1000*(E2833)+E2802*1000*(E2856)+E2803*1000*(E2879)+E2812*1000*Pressupostos!$D$29*Pressupostos!$C$90</f>
        <v>0</v>
      </c>
      <c r="F2924" s="58" t="n">
        <f aca="false">F2801*1000*(F2833)+F2802*1000*(F2856)+F2803*1000*(F2879)+F2812*1000*Pressupostos!$D$29*Pressupostos!$C$90</f>
        <v>0</v>
      </c>
      <c r="G2924" s="58" t="n">
        <f aca="false">G2801*1000*(G2833)+G2802*1000*(G2856)+G2803*1000*(G2879)+G2812*1000*Pressupostos!$D$29*Pressupostos!$C$90</f>
        <v>0</v>
      </c>
      <c r="H2924" s="2" t="s">
        <v>1228</v>
      </c>
    </row>
    <row r="2925" customFormat="false" ht="15" hidden="false" customHeight="false" outlineLevel="1" collapsed="false">
      <c r="A2925" s="7" t="s">
        <v>654</v>
      </c>
      <c r="B2925" s="8" t="s">
        <v>10</v>
      </c>
      <c r="C2925" s="58" t="n">
        <f aca="false">C2815*1000*Pressupostos!$C$102*Pressupostos!$D$30</f>
        <v>0</v>
      </c>
      <c r="D2925" s="58" t="n">
        <f aca="false">D2815*1000*Pressupostos!$C$102*Pressupostos!$D$30</f>
        <v>8228.57142857143</v>
      </c>
      <c r="E2925" s="58" t="n">
        <f aca="false">E2815*1000*Pressupostos!$C$102*Pressupostos!$D$30</f>
        <v>24685.7142857143</v>
      </c>
      <c r="F2925" s="58" t="n">
        <f aca="false">F2815*1000*Pressupostos!$C$102*Pressupostos!$D$30</f>
        <v>49371.4285714286</v>
      </c>
      <c r="G2925" s="58" t="n">
        <f aca="false">G2815*1000*Pressupostos!$C$102*Pressupostos!$D$30</f>
        <v>82285.7142857143</v>
      </c>
      <c r="H2925" s="2" t="s">
        <v>1229</v>
      </c>
    </row>
    <row r="2926" customFormat="false" ht="15" hidden="false" customHeight="false" outlineLevel="1" collapsed="false">
      <c r="A2926" s="7" t="s">
        <v>655</v>
      </c>
      <c r="B2926" s="8" t="s">
        <v>10</v>
      </c>
      <c r="C2926" s="58" t="n">
        <f aca="false">C2917+C2918+C2919+C2920+C2921+C2922+C2923+C2924+C2925</f>
        <v>14732.7938082192</v>
      </c>
      <c r="D2926" s="58" t="n">
        <f aca="false">D2917+D2918+D2919+D2920+D2921+D2922+D2923+D2924+D2925</f>
        <v>100170.004606654</v>
      </c>
      <c r="E2926" s="58" t="n">
        <f aca="false">E2917+E2918+E2919+E2920+E2921+E2922+E2923+E2924+E2925</f>
        <v>233501.166998043</v>
      </c>
      <c r="F2926" s="58" t="n">
        <f aca="false">F2917+F2918+F2919+F2920+F2921+F2922+F2923+F2924+F2925</f>
        <v>418597.221064579</v>
      </c>
      <c r="G2926" s="58" t="n">
        <f aca="false">G2917+G2918+G2919+G2920+G2921+G2922+G2923+G2924+G2925</f>
        <v>646146.857573386</v>
      </c>
      <c r="H2926" s="2" t="s">
        <v>1230</v>
      </c>
    </row>
    <row r="2927" customFormat="false" ht="15" hidden="false" customHeight="false" outlineLevel="1" collapsed="false">
      <c r="A2927" s="7" t="s">
        <v>656</v>
      </c>
      <c r="B2927" s="8" t="s">
        <v>10</v>
      </c>
      <c r="C2927" s="58" t="n">
        <f aca="false">C2801*1000*(C2834)+C2802*1000*(C2857)+C2803*1000*(C2880)</f>
        <v>0</v>
      </c>
      <c r="D2927" s="58" t="n">
        <f aca="false">D2801*1000*(D2834)+D2802*1000*(D2857)+D2803*1000*(D2880)</f>
        <v>17315.6301369863</v>
      </c>
      <c r="E2927" s="58" t="n">
        <f aca="false">E2801*1000*(E2834)+E2802*1000*(E2857)+E2803*1000*(E2880)</f>
        <v>27141.0102739726</v>
      </c>
      <c r="F2927" s="58" t="n">
        <f aca="false">F2801*1000*(F2834)+F2802*1000*(F2857)+F2803*1000*(F2880)</f>
        <v>43385.8561643836</v>
      </c>
      <c r="G2927" s="58" t="n">
        <f aca="false">G2801*1000*(G2834)+G2802*1000*(G2857)+G2803*1000*(G2880)</f>
        <v>65847.9452054795</v>
      </c>
      <c r="H2927" s="2" t="s">
        <v>1231</v>
      </c>
    </row>
    <row r="2928" customFormat="false" ht="15" hidden="false" customHeight="false" outlineLevel="1" collapsed="false">
      <c r="A2928" s="7" t="s">
        <v>657</v>
      </c>
      <c r="B2928" s="8" t="s">
        <v>10</v>
      </c>
      <c r="C2928" s="58" t="n">
        <f aca="false">C2812*1000*C2907</f>
        <v>0</v>
      </c>
      <c r="D2928" s="58" t="n">
        <f aca="false">D2812*1000*D2907</f>
        <v>0</v>
      </c>
      <c r="E2928" s="58" t="n">
        <f aca="false">E2812*1000*E2907</f>
        <v>2184.50342465753</v>
      </c>
      <c r="F2928" s="58" t="n">
        <f aca="false">F2812*1000*F2907</f>
        <v>4077.7397260274</v>
      </c>
      <c r="G2928" s="58" t="n">
        <f aca="false">G2812*1000*G2907</f>
        <v>6796.23287671233</v>
      </c>
      <c r="H2928" s="2" t="s">
        <v>1232</v>
      </c>
    </row>
    <row r="2929" customFormat="false" ht="15" hidden="false" customHeight="false" outlineLevel="1" collapsed="false">
      <c r="A2929" s="7" t="s">
        <v>658</v>
      </c>
      <c r="B2929" s="8" t="s">
        <v>10</v>
      </c>
      <c r="C2929" s="58" t="n">
        <f aca="false">C2927+C2928</f>
        <v>0</v>
      </c>
      <c r="D2929" s="58" t="n">
        <f aca="false">D2927+D2928</f>
        <v>17315.6301369863</v>
      </c>
      <c r="E2929" s="58" t="n">
        <f aca="false">E2927+E2928</f>
        <v>29325.5136986301</v>
      </c>
      <c r="F2929" s="58" t="n">
        <f aca="false">F2927+F2928</f>
        <v>47463.595890411</v>
      </c>
      <c r="G2929" s="58" t="n">
        <f aca="false">G2927+G2928</f>
        <v>72644.1780821918</v>
      </c>
      <c r="H2929" s="2" t="s">
        <v>1233</v>
      </c>
    </row>
    <row r="2930" customFormat="false" ht="15" hidden="false" customHeight="false" outlineLevel="1" collapsed="false">
      <c r="A2930" s="8" t="s">
        <v>659</v>
      </c>
      <c r="B2930" s="8" t="s">
        <v>10</v>
      </c>
      <c r="C2930" s="66" t="n">
        <f aca="false">ROUND(C2895-C2916-C2926-C2929-C2912,6)</f>
        <v>0</v>
      </c>
      <c r="D2930" s="66" t="n">
        <f aca="false">ROUND(D2895-D2916-D2926-D2929-D2912,6)</f>
        <v>0</v>
      </c>
      <c r="E2930" s="66" t="n">
        <f aca="false">ROUND(E2895-E2916-E2926-E2929-E2912,6)</f>
        <v>0</v>
      </c>
      <c r="F2930" s="66" t="n">
        <f aca="false">ROUND(F2895-F2916-F2926-F2929-F2912,6)</f>
        <v>0</v>
      </c>
      <c r="G2930" s="66" t="n">
        <f aca="false">ROUND(G2895-G2916-G2926-G2929-G2912,6)</f>
        <v>0</v>
      </c>
      <c r="H2930" s="2" t="s">
        <v>1234</v>
      </c>
    </row>
    <row r="2931" customFormat="false" ht="15" hidden="false" customHeight="false" outlineLevel="0" collapsed="false">
      <c r="A2931" s="3" t="s">
        <v>1235</v>
      </c>
      <c r="B2931" s="4"/>
      <c r="C2931" s="4"/>
      <c r="D2931" s="4"/>
      <c r="E2931" s="4"/>
      <c r="F2931" s="4"/>
      <c r="G2931" s="4"/>
      <c r="H2931" s="4"/>
    </row>
    <row r="2932" customFormat="false" ht="15" hidden="false" customHeight="false" outlineLevel="1" collapsed="false">
      <c r="A2932" s="7" t="s">
        <v>602</v>
      </c>
      <c r="B2932" s="8" t="s">
        <v>413</v>
      </c>
      <c r="C2932" s="61" t="n">
        <f aca="false">Pressupostos!$C$315</f>
        <v>1</v>
      </c>
      <c r="D2932" s="61" t="n">
        <f aca="false">Pressupostos!$D$315</f>
        <v>1</v>
      </c>
      <c r="E2932" s="61" t="n">
        <f aca="false">Pressupostos!$E$315</f>
        <v>1</v>
      </c>
      <c r="F2932" s="61" t="n">
        <f aca="false">Pressupostos!$F$315</f>
        <v>1</v>
      </c>
      <c r="G2932" s="61" t="n">
        <f aca="false">Pressupostos!$G$315</f>
        <v>1</v>
      </c>
      <c r="H2932" s="2" t="s">
        <v>1236</v>
      </c>
    </row>
    <row r="2933" customFormat="false" ht="15" hidden="false" customHeight="false" outlineLevel="1" collapsed="false">
      <c r="A2933" s="7" t="s">
        <v>603</v>
      </c>
      <c r="B2933" s="8" t="s">
        <v>413</v>
      </c>
      <c r="C2933" s="61" t="n">
        <f aca="false">Pressupostos!$C$321</f>
        <v>1</v>
      </c>
      <c r="D2933" s="61" t="n">
        <f aca="false">Pressupostos!$D$321</f>
        <v>1</v>
      </c>
      <c r="E2933" s="61" t="n">
        <f aca="false">Pressupostos!$E$321</f>
        <v>1</v>
      </c>
      <c r="F2933" s="61" t="n">
        <f aca="false">Pressupostos!$F$321</f>
        <v>1</v>
      </c>
      <c r="G2933" s="61" t="n">
        <f aca="false">Pressupostos!$G$321</f>
        <v>1</v>
      </c>
      <c r="H2933" s="2" t="s">
        <v>1237</v>
      </c>
    </row>
    <row r="2934" customFormat="false" ht="15" hidden="false" customHeight="false" outlineLevel="1" collapsed="false">
      <c r="A2934" s="7" t="s">
        <v>604</v>
      </c>
      <c r="B2934" s="8" t="s">
        <v>413</v>
      </c>
      <c r="C2934" s="61" t="n">
        <f aca="false">Pressupostos!$C$327</f>
        <v>1</v>
      </c>
      <c r="D2934" s="61" t="n">
        <f aca="false">Pressupostos!$D$327</f>
        <v>1</v>
      </c>
      <c r="E2934" s="61" t="n">
        <f aca="false">Pressupostos!$E$327</f>
        <v>2</v>
      </c>
      <c r="F2934" s="61" t="n">
        <f aca="false">Pressupostos!$F$327</f>
        <v>2</v>
      </c>
      <c r="G2934" s="61" t="n">
        <f aca="false">Pressupostos!$G$327</f>
        <v>2</v>
      </c>
      <c r="H2934" s="2" t="s">
        <v>1238</v>
      </c>
    </row>
    <row r="2935" customFormat="false" ht="15" hidden="false" customHeight="false" outlineLevel="1" collapsed="false">
      <c r="A2935" s="7" t="s">
        <v>605</v>
      </c>
      <c r="B2935" s="8" t="s">
        <v>413</v>
      </c>
      <c r="C2935" s="61" t="n">
        <f aca="false">Pressupostos!$C$333</f>
        <v>1</v>
      </c>
      <c r="D2935" s="61" t="n">
        <f aca="false">Pressupostos!$D$333</f>
        <v>1</v>
      </c>
      <c r="E2935" s="61" t="n">
        <f aca="false">Pressupostos!$E$333</f>
        <v>1</v>
      </c>
      <c r="F2935" s="61" t="n">
        <f aca="false">Pressupostos!$F$333</f>
        <v>1</v>
      </c>
      <c r="G2935" s="61" t="n">
        <f aca="false">Pressupostos!$G$333</f>
        <v>1</v>
      </c>
      <c r="H2935" s="2" t="s">
        <v>1239</v>
      </c>
    </row>
    <row r="2936" customFormat="false" ht="15" hidden="false" customHeight="false" outlineLevel="1" collapsed="false">
      <c r="A2936" s="7" t="s">
        <v>606</v>
      </c>
      <c r="B2936" s="8" t="s">
        <v>413</v>
      </c>
      <c r="C2936" s="61" t="n">
        <f aca="false">Pressupostos!$C$339</f>
        <v>0.5</v>
      </c>
      <c r="D2936" s="61" t="n">
        <f aca="false">Pressupostos!$D$339</f>
        <v>1</v>
      </c>
      <c r="E2936" s="61" t="n">
        <f aca="false">Pressupostos!$E$339</f>
        <v>1</v>
      </c>
      <c r="F2936" s="61" t="n">
        <f aca="false">Pressupostos!$F$339</f>
        <v>1</v>
      </c>
      <c r="G2936" s="61" t="n">
        <f aca="false">Pressupostos!$G$339</f>
        <v>1</v>
      </c>
      <c r="H2936" s="2" t="s">
        <v>1240</v>
      </c>
    </row>
    <row r="2937" customFormat="false" ht="15" hidden="false" customHeight="false" outlineLevel="1" collapsed="false">
      <c r="A2937" s="7" t="s">
        <v>607</v>
      </c>
      <c r="B2937" s="8" t="s">
        <v>413</v>
      </c>
      <c r="C2937" s="61" t="n">
        <f aca="false">Pressupostos!$C$345</f>
        <v>1</v>
      </c>
      <c r="D2937" s="61" t="n">
        <f aca="false">Pressupostos!$D$345</f>
        <v>1</v>
      </c>
      <c r="E2937" s="61" t="n">
        <f aca="false">Pressupostos!$E$345</f>
        <v>1</v>
      </c>
      <c r="F2937" s="61" t="n">
        <f aca="false">Pressupostos!$F$345</f>
        <v>2</v>
      </c>
      <c r="G2937" s="61" t="n">
        <f aca="false">Pressupostos!$G$345</f>
        <v>2</v>
      </c>
      <c r="H2937" s="2" t="s">
        <v>1241</v>
      </c>
    </row>
    <row r="2938" customFormat="false" ht="15" hidden="false" customHeight="false" outlineLevel="1" collapsed="false">
      <c r="A2938" s="7" t="s">
        <v>608</v>
      </c>
      <c r="B2938" s="8" t="s">
        <v>413</v>
      </c>
      <c r="C2938" s="61" t="n">
        <f aca="false">Pressupostos!$C$351</f>
        <v>0.5</v>
      </c>
      <c r="D2938" s="61" t="n">
        <f aca="false">Pressupostos!$D$351</f>
        <v>1</v>
      </c>
      <c r="E2938" s="61" t="n">
        <f aca="false">Pressupostos!$E$351</f>
        <v>1</v>
      </c>
      <c r="F2938" s="61" t="n">
        <f aca="false">Pressupostos!$F$351</f>
        <v>1</v>
      </c>
      <c r="G2938" s="61" t="n">
        <f aca="false">Pressupostos!$G$351</f>
        <v>1</v>
      </c>
      <c r="H2938" s="2" t="s">
        <v>1242</v>
      </c>
    </row>
    <row r="2939" customFormat="false" ht="15" hidden="false" customHeight="false" outlineLevel="1" collapsed="false">
      <c r="A2939" s="7" t="s">
        <v>609</v>
      </c>
      <c r="B2939" s="8" t="s">
        <v>413</v>
      </c>
      <c r="C2939" s="61" t="n">
        <f aca="false">Pressupostos!$C$357</f>
        <v>1</v>
      </c>
      <c r="D2939" s="61" t="n">
        <f aca="false">Pressupostos!$D$357</f>
        <v>1</v>
      </c>
      <c r="E2939" s="61" t="n">
        <f aca="false">Pressupostos!$E$357</f>
        <v>2</v>
      </c>
      <c r="F2939" s="61" t="n">
        <f aca="false">Pressupostos!$F$357</f>
        <v>3</v>
      </c>
      <c r="G2939" s="61" t="n">
        <f aca="false">Pressupostos!$G$357</f>
        <v>5</v>
      </c>
      <c r="H2939" s="2" t="s">
        <v>1243</v>
      </c>
    </row>
    <row r="2940" customFormat="false" ht="15" hidden="false" customHeight="false" outlineLevel="1" collapsed="false">
      <c r="A2940" s="7" t="s">
        <v>610</v>
      </c>
      <c r="B2940" s="8" t="s">
        <v>413</v>
      </c>
      <c r="C2940" s="61" t="n">
        <f aca="false">Pressupostos!$C$363</f>
        <v>0</v>
      </c>
      <c r="D2940" s="61" t="n">
        <f aca="false">Pressupostos!$D$363</f>
        <v>0</v>
      </c>
      <c r="E2940" s="61" t="n">
        <f aca="false">Pressupostos!$E$363</f>
        <v>0</v>
      </c>
      <c r="F2940" s="61" t="n">
        <f aca="false">Pressupostos!$F$363</f>
        <v>1</v>
      </c>
      <c r="G2940" s="61" t="n">
        <f aca="false">Pressupostos!$G$363</f>
        <v>1</v>
      </c>
      <c r="H2940" s="2" t="s">
        <v>1244</v>
      </c>
    </row>
    <row r="2941" customFormat="false" ht="15" hidden="false" customHeight="false" outlineLevel="1" collapsed="false">
      <c r="A2941" s="7" t="s">
        <v>611</v>
      </c>
      <c r="B2941" s="8" t="s">
        <v>413</v>
      </c>
      <c r="C2941" s="61" t="n">
        <f aca="false">Pressupostos!$C$369</f>
        <v>0</v>
      </c>
      <c r="D2941" s="61" t="n">
        <f aca="false">Pressupostos!$D$369</f>
        <v>0</v>
      </c>
      <c r="E2941" s="61" t="n">
        <f aca="false">Pressupostos!$E$369</f>
        <v>0</v>
      </c>
      <c r="F2941" s="61" t="n">
        <f aca="false">Pressupostos!$F$369</f>
        <v>0</v>
      </c>
      <c r="G2941" s="61" t="n">
        <f aca="false">Pressupostos!$G$369</f>
        <v>1</v>
      </c>
      <c r="H2941" s="2" t="s">
        <v>1245</v>
      </c>
    </row>
    <row r="2942" customFormat="false" ht="15" hidden="false" customHeight="false" outlineLevel="1" collapsed="false">
      <c r="A2942" s="7" t="s">
        <v>612</v>
      </c>
      <c r="B2942" s="8" t="s">
        <v>413</v>
      </c>
      <c r="C2942" s="61" t="n">
        <f aca="false">Pressupostos!$C$375</f>
        <v>0</v>
      </c>
      <c r="D2942" s="61" t="n">
        <f aca="false">Pressupostos!$D$375</f>
        <v>0</v>
      </c>
      <c r="E2942" s="61" t="n">
        <f aca="false">Pressupostos!$E$375</f>
        <v>1</v>
      </c>
      <c r="F2942" s="61" t="n">
        <f aca="false">Pressupostos!$F$375</f>
        <v>1</v>
      </c>
      <c r="G2942" s="61" t="n">
        <f aca="false">Pressupostos!$G$375</f>
        <v>1</v>
      </c>
      <c r="H2942" s="2" t="s">
        <v>1246</v>
      </c>
    </row>
    <row r="2943" customFormat="false" ht="15" hidden="false" customHeight="false" outlineLevel="1" collapsed="false">
      <c r="A2943" s="7" t="s">
        <v>613</v>
      </c>
      <c r="B2943" s="8" t="s">
        <v>413</v>
      </c>
      <c r="C2943" s="61" t="n">
        <f aca="false">Pressupostos!$C$381</f>
        <v>0</v>
      </c>
      <c r="D2943" s="61" t="n">
        <f aca="false">Pressupostos!$D$381</f>
        <v>0</v>
      </c>
      <c r="E2943" s="61" t="n">
        <f aca="false">Pressupostos!$E$381</f>
        <v>0</v>
      </c>
      <c r="F2943" s="61" t="n">
        <f aca="false">Pressupostos!$F$381</f>
        <v>0</v>
      </c>
      <c r="G2943" s="61" t="n">
        <f aca="false">Pressupostos!$G$381</f>
        <v>0</v>
      </c>
      <c r="H2943" s="2" t="s">
        <v>1247</v>
      </c>
    </row>
    <row r="2944" customFormat="false" ht="15" hidden="false" customHeight="false" outlineLevel="1" collapsed="false">
      <c r="A2944" s="52" t="s">
        <v>614</v>
      </c>
      <c r="B2944" s="53" t="s">
        <v>413</v>
      </c>
      <c r="C2944" s="62" t="n">
        <f aca="false">C2932+C2933+C2934+C2935+C2936+C2937+C2938+C2939+C2940+C2941+C2942+C2943</f>
        <v>7</v>
      </c>
      <c r="D2944" s="62" t="n">
        <f aca="false">D2932+D2933+D2934+D2935+D2936+D2937+D2938+D2939+D2940+D2941+D2942+D2943</f>
        <v>8</v>
      </c>
      <c r="E2944" s="62" t="n">
        <f aca="false">E2932+E2933+E2934+E2935+E2936+E2937+E2938+E2939+E2940+E2941+E2942+E2943</f>
        <v>11</v>
      </c>
      <c r="F2944" s="62" t="n">
        <f aca="false">F2932+F2933+F2934+F2935+F2936+F2937+F2938+F2939+F2940+F2941+F2942+F2943</f>
        <v>14</v>
      </c>
      <c r="G2944" s="62" t="n">
        <f aca="false">G2932+G2933+G2934+G2935+G2936+G2937+G2938+G2939+G2940+G2941+G2942+G2943</f>
        <v>17</v>
      </c>
      <c r="H2944" s="2" t="s">
        <v>1248</v>
      </c>
    </row>
    <row r="2945" customFormat="false" ht="15" hidden="false" customHeight="false" outlineLevel="0" collapsed="false">
      <c r="A2945" s="3" t="s">
        <v>1249</v>
      </c>
      <c r="B2945" s="4"/>
      <c r="C2945" s="4"/>
      <c r="D2945" s="4"/>
      <c r="E2945" s="4"/>
      <c r="F2945" s="4"/>
      <c r="G2945" s="4"/>
      <c r="H2945" s="4"/>
    </row>
    <row r="2946" customFormat="false" ht="15" hidden="false" customHeight="false" outlineLevel="1" collapsed="false">
      <c r="A2946" s="7" t="s">
        <v>602</v>
      </c>
      <c r="B2946" s="8" t="s">
        <v>10</v>
      </c>
      <c r="C2946" s="58" t="n">
        <f aca="false">C2932*Pressupostos!$C$129*(1+Pressupostos!$C$125)^0*(1+Pressupostos!$C$130)*Pressupostos!$C$126</f>
        <v>43998</v>
      </c>
      <c r="D2946" s="58" t="n">
        <f aca="false">D2932*Pressupostos!$C$129*(1+Pressupostos!$C$125)^1*(1+Pressupostos!$C$130)</f>
        <v>61800</v>
      </c>
      <c r="E2946" s="58" t="n">
        <f aca="false">E2932*Pressupostos!$C$129*(1+Pressupostos!$C$125)^2*(1+Pressupostos!$C$130)</f>
        <v>63654</v>
      </c>
      <c r="F2946" s="58" t="n">
        <f aca="false">F2932*Pressupostos!$C$129*(1+Pressupostos!$C$125)^3*(1+Pressupostos!$C$130)</f>
        <v>65563.62</v>
      </c>
      <c r="G2946" s="58" t="n">
        <f aca="false">G2932*Pressupostos!$C$129*(1+Pressupostos!$C$125)^4*(1+Pressupostos!$C$130)</f>
        <v>67530.5286</v>
      </c>
      <c r="H2946" s="2" t="s">
        <v>1250</v>
      </c>
    </row>
    <row r="2947" customFormat="false" ht="15" hidden="false" customHeight="false" outlineLevel="1" collapsed="false">
      <c r="A2947" s="7" t="s">
        <v>603</v>
      </c>
      <c r="B2947" s="8" t="s">
        <v>10</v>
      </c>
      <c r="C2947" s="58" t="n">
        <f aca="false">C2933*Pressupostos!$C$131*(1+Pressupostos!$C$125)^0*(1+Pressupostos!$C$132)*Pressupostos!$C$126</f>
        <v>47664.5</v>
      </c>
      <c r="D2947" s="58" t="n">
        <f aca="false">D2933*Pressupostos!$C$131*(1+Pressupostos!$C$125)^1*(1+Pressupostos!$C$132)</f>
        <v>66950</v>
      </c>
      <c r="E2947" s="58" t="n">
        <f aca="false">E2933*Pressupostos!$C$131*(1+Pressupostos!$C$125)^2*(1+Pressupostos!$C$132)</f>
        <v>68958.5</v>
      </c>
      <c r="F2947" s="58" t="n">
        <f aca="false">F2933*Pressupostos!$C$131*(1+Pressupostos!$C$125)^3*(1+Pressupostos!$C$132)</f>
        <v>71027.255</v>
      </c>
      <c r="G2947" s="58" t="n">
        <f aca="false">G2933*Pressupostos!$C$131*(1+Pressupostos!$C$125)^4*(1+Pressupostos!$C$132)</f>
        <v>73158.07265</v>
      </c>
      <c r="H2947" s="2" t="s">
        <v>1251</v>
      </c>
    </row>
    <row r="2948" customFormat="false" ht="15" hidden="false" customHeight="false" outlineLevel="1" collapsed="false">
      <c r="A2948" s="7" t="s">
        <v>604</v>
      </c>
      <c r="B2948" s="8" t="s">
        <v>10</v>
      </c>
      <c r="C2948" s="58" t="n">
        <f aca="false">C2934*Pressupostos!$C$133*(1+Pressupostos!$C$125)^0*(1+Pressupostos!$C$134)</f>
        <v>45000</v>
      </c>
      <c r="D2948" s="58" t="n">
        <f aca="false">D2934*Pressupostos!$C$133*(1+Pressupostos!$C$125)^1*(1+Pressupostos!$C$134)</f>
        <v>46350</v>
      </c>
      <c r="E2948" s="58" t="n">
        <f aca="false">E2934*Pressupostos!$C$133*(1+Pressupostos!$C$125)^2*(1+Pressupostos!$C$134)</f>
        <v>95481</v>
      </c>
      <c r="F2948" s="58" t="n">
        <f aca="false">F2934*Pressupostos!$C$133*(1+Pressupostos!$C$125)^3*(1+Pressupostos!$C$134)</f>
        <v>98345.43</v>
      </c>
      <c r="G2948" s="58" t="n">
        <f aca="false">G2934*Pressupostos!$C$133*(1+Pressupostos!$C$125)^4*(1+Pressupostos!$C$134)</f>
        <v>101295.7929</v>
      </c>
      <c r="H2948" s="2" t="s">
        <v>1252</v>
      </c>
    </row>
    <row r="2949" customFormat="false" ht="15" hidden="false" customHeight="false" outlineLevel="1" collapsed="false">
      <c r="A2949" s="7" t="s">
        <v>605</v>
      </c>
      <c r="B2949" s="8" t="s">
        <v>10</v>
      </c>
      <c r="C2949" s="58" t="n">
        <f aca="false">C2935*Pressupostos!$C$135*(1+Pressupostos!$C$125)^0*(1+Pressupostos!$C$136)</f>
        <v>60000</v>
      </c>
      <c r="D2949" s="58" t="n">
        <f aca="false">D2935*Pressupostos!$C$135*(1+Pressupostos!$C$125)^1*(1+Pressupostos!$C$136)</f>
        <v>61800</v>
      </c>
      <c r="E2949" s="58" t="n">
        <f aca="false">E2935*Pressupostos!$C$135*(1+Pressupostos!$C$125)^2*(1+Pressupostos!$C$136)</f>
        <v>63654</v>
      </c>
      <c r="F2949" s="58" t="n">
        <f aca="false">F2935*Pressupostos!$C$135*(1+Pressupostos!$C$125)^3*(1+Pressupostos!$C$136)</f>
        <v>65563.62</v>
      </c>
      <c r="G2949" s="58" t="n">
        <f aca="false">G2935*Pressupostos!$C$135*(1+Pressupostos!$C$125)^4*(1+Pressupostos!$C$136)</f>
        <v>67530.5286</v>
      </c>
      <c r="H2949" s="2" t="s">
        <v>1253</v>
      </c>
    </row>
    <row r="2950" customFormat="false" ht="15" hidden="false" customHeight="false" outlineLevel="1" collapsed="false">
      <c r="A2950" s="7" t="s">
        <v>606</v>
      </c>
      <c r="B2950" s="8" t="s">
        <v>10</v>
      </c>
      <c r="C2950" s="58" t="n">
        <f aca="false">C2936*Pressupostos!$C$137*(1+Pressupostos!$C$125)^0*(1+Pressupostos!$C$138)</f>
        <v>22500</v>
      </c>
      <c r="D2950" s="58" t="n">
        <f aca="false">D2936*Pressupostos!$C$137*(1+Pressupostos!$C$125)^1*(1+Pressupostos!$C$138)</f>
        <v>46350</v>
      </c>
      <c r="E2950" s="58" t="n">
        <f aca="false">E2936*Pressupostos!$C$137*(1+Pressupostos!$C$125)^2*(1+Pressupostos!$C$138)</f>
        <v>47740.5</v>
      </c>
      <c r="F2950" s="58" t="n">
        <f aca="false">F2936*Pressupostos!$C$137*(1+Pressupostos!$C$125)^3*(1+Pressupostos!$C$138)</f>
        <v>49172.715</v>
      </c>
      <c r="G2950" s="58" t="n">
        <f aca="false">G2936*Pressupostos!$C$137*(1+Pressupostos!$C$125)^4*(1+Pressupostos!$C$138)</f>
        <v>50647.89645</v>
      </c>
      <c r="H2950" s="2" t="s">
        <v>1254</v>
      </c>
    </row>
    <row r="2951" customFormat="false" ht="15" hidden="false" customHeight="false" outlineLevel="1" collapsed="false">
      <c r="A2951" s="7" t="s">
        <v>607</v>
      </c>
      <c r="B2951" s="8" t="s">
        <v>10</v>
      </c>
      <c r="C2951" s="58" t="n">
        <f aca="false">C2937*Pressupostos!$C$139*(1+Pressupostos!$C$125)^0*(1+Pressupostos!$C$140)</f>
        <v>38000</v>
      </c>
      <c r="D2951" s="58" t="n">
        <f aca="false">D2937*Pressupostos!$C$139*(1+Pressupostos!$C$125)^1*(1+Pressupostos!$C$140)</f>
        <v>39140</v>
      </c>
      <c r="E2951" s="58" t="n">
        <f aca="false">E2937*Pressupostos!$C$139*(1+Pressupostos!$C$125)^2*(1+Pressupostos!$C$140)</f>
        <v>40314.2</v>
      </c>
      <c r="F2951" s="58" t="n">
        <f aca="false">F2937*Pressupostos!$C$139*(1+Pressupostos!$C$125)^3*(1+Pressupostos!$C$140)</f>
        <v>83047.252</v>
      </c>
      <c r="G2951" s="58" t="n">
        <f aca="false">G2937*Pressupostos!$C$139*(1+Pressupostos!$C$125)^4*(1+Pressupostos!$C$140)</f>
        <v>85538.66956</v>
      </c>
      <c r="H2951" s="2" t="s">
        <v>1255</v>
      </c>
    </row>
    <row r="2952" customFormat="false" ht="15" hidden="false" customHeight="false" outlineLevel="1" collapsed="false">
      <c r="A2952" s="7" t="s">
        <v>608</v>
      </c>
      <c r="B2952" s="8" t="s">
        <v>10</v>
      </c>
      <c r="C2952" s="58" t="n">
        <f aca="false">C2938*Pressupostos!$C$141*(1+Pressupostos!$C$125)^0*(1+Pressupostos!$C$142)</f>
        <v>16000</v>
      </c>
      <c r="D2952" s="58" t="n">
        <f aca="false">D2938*Pressupostos!$C$141*(1+Pressupostos!$C$125)^1*(1+Pressupostos!$C$142)</f>
        <v>32960</v>
      </c>
      <c r="E2952" s="58" t="n">
        <f aca="false">E2938*Pressupostos!$C$141*(1+Pressupostos!$C$125)^2*(1+Pressupostos!$C$142)</f>
        <v>33948.8</v>
      </c>
      <c r="F2952" s="58" t="n">
        <f aca="false">F2938*Pressupostos!$C$141*(1+Pressupostos!$C$125)^3*(1+Pressupostos!$C$142)</f>
        <v>34967.264</v>
      </c>
      <c r="G2952" s="58" t="n">
        <f aca="false">G2938*Pressupostos!$C$141*(1+Pressupostos!$C$125)^4*(1+Pressupostos!$C$142)</f>
        <v>36016.28192</v>
      </c>
      <c r="H2952" s="2" t="s">
        <v>1256</v>
      </c>
    </row>
    <row r="2953" customFormat="false" ht="15" hidden="false" customHeight="false" outlineLevel="1" collapsed="false">
      <c r="A2953" s="7" t="s">
        <v>609</v>
      </c>
      <c r="B2953" s="8" t="s">
        <v>10</v>
      </c>
      <c r="C2953" s="58" t="n">
        <f aca="false">C2939*Pressupostos!$C$143*(1+Pressupostos!$C$125)^0*(1+Pressupostos!$C$144)</f>
        <v>34500</v>
      </c>
      <c r="D2953" s="58" t="n">
        <f aca="false">D2939*Pressupostos!$C$143*(1+Pressupostos!$C$125)^1*(1+Pressupostos!$C$144)</f>
        <v>35535</v>
      </c>
      <c r="E2953" s="58" t="n">
        <f aca="false">E2939*Pressupostos!$C$143*(1+Pressupostos!$C$125)^2*(1+Pressupostos!$C$144)</f>
        <v>73202.1</v>
      </c>
      <c r="F2953" s="58" t="n">
        <f aca="false">F2939*Pressupostos!$C$143*(1+Pressupostos!$C$125)^3*(1+Pressupostos!$C$144)</f>
        <v>113097.2445</v>
      </c>
      <c r="G2953" s="58" t="n">
        <f aca="false">G2939*Pressupostos!$C$143*(1+Pressupostos!$C$125)^4*(1+Pressupostos!$C$144)</f>
        <v>194150.269725</v>
      </c>
      <c r="H2953" s="2" t="s">
        <v>1257</v>
      </c>
    </row>
    <row r="2954" customFormat="false" ht="15" hidden="false" customHeight="false" outlineLevel="1" collapsed="false">
      <c r="A2954" s="7" t="s">
        <v>610</v>
      </c>
      <c r="B2954" s="8" t="s">
        <v>10</v>
      </c>
      <c r="C2954" s="58" t="n">
        <f aca="false">C2940*Pressupostos!$C$145*(1+Pressupostos!$C$125)^0*(1+Pressupostos!$C$146)</f>
        <v>0</v>
      </c>
      <c r="D2954" s="58" t="n">
        <f aca="false">D2940*Pressupostos!$C$145*(1+Pressupostos!$C$125)^1*(1+Pressupostos!$C$146)</f>
        <v>0</v>
      </c>
      <c r="E2954" s="58" t="n">
        <f aca="false">E2940*Pressupostos!$C$145*(1+Pressupostos!$C$125)^2*(1+Pressupostos!$C$146)</f>
        <v>0</v>
      </c>
      <c r="F2954" s="58" t="n">
        <f aca="false">F2940*Pressupostos!$C$145*(1+Pressupostos!$C$125)^3*(1+Pressupostos!$C$146)</f>
        <v>49172.715</v>
      </c>
      <c r="G2954" s="58" t="n">
        <f aca="false">G2940*Pressupostos!$C$145*(1+Pressupostos!$C$125)^4*(1+Pressupostos!$C$146)</f>
        <v>50647.89645</v>
      </c>
      <c r="H2954" s="2" t="s">
        <v>1258</v>
      </c>
    </row>
    <row r="2955" customFormat="false" ht="15" hidden="false" customHeight="false" outlineLevel="1" collapsed="false">
      <c r="A2955" s="7" t="s">
        <v>611</v>
      </c>
      <c r="B2955" s="8" t="s">
        <v>10</v>
      </c>
      <c r="C2955" s="58" t="n">
        <f aca="false">C2941*Pressupostos!$C$147*(1+Pressupostos!$C$125)^0*(1+Pressupostos!$C$148)</f>
        <v>0</v>
      </c>
      <c r="D2955" s="58" t="n">
        <f aca="false">D2941*Pressupostos!$C$147*(1+Pressupostos!$C$125)^1*(1+Pressupostos!$C$148)</f>
        <v>0</v>
      </c>
      <c r="E2955" s="58" t="n">
        <f aca="false">E2941*Pressupostos!$C$147*(1+Pressupostos!$C$125)^2*(1+Pressupostos!$C$148)</f>
        <v>0</v>
      </c>
      <c r="F2955" s="58" t="n">
        <f aca="false">F2941*Pressupostos!$C$147*(1+Pressupostos!$C$125)^3*(1+Pressupostos!$C$148)</f>
        <v>0</v>
      </c>
      <c r="G2955" s="58" t="n">
        <f aca="false">G2941*Pressupostos!$C$147*(1+Pressupostos!$C$125)^4*(1+Pressupostos!$C$148)</f>
        <v>45020.3524</v>
      </c>
      <c r="H2955" s="2" t="s">
        <v>1259</v>
      </c>
    </row>
    <row r="2956" customFormat="false" ht="15" hidden="false" customHeight="false" outlineLevel="1" collapsed="false">
      <c r="A2956" s="7" t="s">
        <v>612</v>
      </c>
      <c r="B2956" s="8" t="s">
        <v>10</v>
      </c>
      <c r="C2956" s="58" t="n">
        <f aca="false">C2942*Pressupostos!$C$149*(1+Pressupostos!$C$125)^0*(1+Pressupostos!$C$150)</f>
        <v>0</v>
      </c>
      <c r="D2956" s="58" t="n">
        <f aca="false">D2942*Pressupostos!$C$149*(1+Pressupostos!$C$125)^1*(1+Pressupostos!$C$150)</f>
        <v>0</v>
      </c>
      <c r="E2956" s="58" t="n">
        <f aca="false">E2942*Pressupostos!$C$149*(1+Pressupostos!$C$125)^2*(1+Pressupostos!$C$150)</f>
        <v>25461.6</v>
      </c>
      <c r="F2956" s="58" t="n">
        <f aca="false">F2942*Pressupostos!$C$149*(1+Pressupostos!$C$125)^3*(1+Pressupostos!$C$150)</f>
        <v>26225.448</v>
      </c>
      <c r="G2956" s="58" t="n">
        <f aca="false">G2942*Pressupostos!$C$149*(1+Pressupostos!$C$125)^4*(1+Pressupostos!$C$150)</f>
        <v>27012.21144</v>
      </c>
      <c r="H2956" s="2" t="s">
        <v>1260</v>
      </c>
    </row>
    <row r="2957" customFormat="false" ht="15" hidden="false" customHeight="false" outlineLevel="1" collapsed="false">
      <c r="A2957" s="7" t="s">
        <v>613</v>
      </c>
      <c r="B2957" s="8" t="s">
        <v>10</v>
      </c>
      <c r="C2957" s="58" t="n">
        <f aca="false">C2943*Pressupostos!$C$151*(1+Pressupostos!$C$125)^0*(1+Pressupostos!$C$152)</f>
        <v>0</v>
      </c>
      <c r="D2957" s="58" t="n">
        <f aca="false">D2943*Pressupostos!$C$151*(1+Pressupostos!$C$125)^1*(1+Pressupostos!$C$152)</f>
        <v>0</v>
      </c>
      <c r="E2957" s="58" t="n">
        <f aca="false">E2943*Pressupostos!$C$151*(1+Pressupostos!$C$125)^2*(1+Pressupostos!$C$152)</f>
        <v>0</v>
      </c>
      <c r="F2957" s="58" t="n">
        <f aca="false">F2943*Pressupostos!$C$151*(1+Pressupostos!$C$125)^3*(1+Pressupostos!$C$152)</f>
        <v>0</v>
      </c>
      <c r="G2957" s="58" t="n">
        <f aca="false">G2943*Pressupostos!$C$151*(1+Pressupostos!$C$125)^4*(1+Pressupostos!$C$152)</f>
        <v>0</v>
      </c>
      <c r="H2957" s="2" t="s">
        <v>1261</v>
      </c>
    </row>
    <row r="2958" customFormat="false" ht="15" hidden="false" customHeight="false" outlineLevel="1" collapsed="false">
      <c r="A2958" s="7" t="s">
        <v>616</v>
      </c>
      <c r="B2958" s="8" t="s">
        <v>10</v>
      </c>
      <c r="C2958" s="58" t="n">
        <f aca="false">C2946+C2947+C2948+C2949+C2950+C2951+C2952+C2953+C2954+C2955+C2956+C2957</f>
        <v>307662.5</v>
      </c>
      <c r="D2958" s="58" t="n">
        <f aca="false">D2946+D2947+D2948+D2949+D2950+D2951+D2952+D2953+D2954+D2955+D2956+D2957</f>
        <v>390885</v>
      </c>
      <c r="E2958" s="58" t="n">
        <f aca="false">E2946+E2947+E2948+E2949+E2950+E2951+E2952+E2953+E2954+E2955+E2956+E2957</f>
        <v>512414.7</v>
      </c>
      <c r="F2958" s="58" t="n">
        <f aca="false">F2946+F2947+F2948+F2949+F2950+F2951+F2952+F2953+F2954+F2955+F2956+F2957</f>
        <v>656182.5635</v>
      </c>
      <c r="G2958" s="58" t="n">
        <f aca="false">G2946+G2947+G2948+G2949+G2950+G2951+G2952+G2953+G2954+G2955+G2956+G2957</f>
        <v>798548.500695</v>
      </c>
      <c r="H2958" s="2" t="s">
        <v>1262</v>
      </c>
    </row>
    <row r="2959" customFormat="false" ht="15" hidden="false" customHeight="false" outlineLevel="1" collapsed="false">
      <c r="A2959" s="7" t="s">
        <v>617</v>
      </c>
      <c r="B2959" s="8" t="s">
        <v>10</v>
      </c>
      <c r="C2959" s="58" t="n">
        <f aca="false">C2958*(Pressupostos!$C$122+Pressupostos!$C$123)</f>
        <v>79223.09375</v>
      </c>
      <c r="D2959" s="58" t="n">
        <f aca="false">D2958*(Pressupostos!$C$122+Pressupostos!$C$123)</f>
        <v>100652.8875</v>
      </c>
      <c r="E2959" s="58" t="n">
        <f aca="false">E2958*(Pressupostos!$C$122+Pressupostos!$C$123)</f>
        <v>131946.78525</v>
      </c>
      <c r="F2959" s="58" t="n">
        <f aca="false">F2958*(Pressupostos!$C$122+Pressupostos!$C$123)</f>
        <v>168967.01010125</v>
      </c>
      <c r="G2959" s="58" t="n">
        <f aca="false">G2958*(Pressupostos!$C$122+Pressupostos!$C$123)</f>
        <v>205626.238928963</v>
      </c>
      <c r="H2959" s="2" t="s">
        <v>1263</v>
      </c>
    </row>
    <row r="2960" customFormat="false" ht="15" hidden="false" customHeight="false" outlineLevel="1" collapsed="false">
      <c r="A2960" s="7" t="s">
        <v>618</v>
      </c>
      <c r="B2960" s="8" t="s">
        <v>10</v>
      </c>
      <c r="C2960" s="58" t="n">
        <f aca="false">C2944*Pressupostos!$C$124*(1+Pressupostos!$C$125)^0</f>
        <v>14000</v>
      </c>
      <c r="D2960" s="58" t="n">
        <f aca="false">D2944*Pressupostos!$C$124*(1+Pressupostos!$C$125)^1</f>
        <v>16480</v>
      </c>
      <c r="E2960" s="58" t="n">
        <f aca="false">E2944*Pressupostos!$C$124*(1+Pressupostos!$C$125)^2</f>
        <v>23339.8</v>
      </c>
      <c r="F2960" s="58" t="n">
        <f aca="false">F2944*Pressupostos!$C$124*(1+Pressupostos!$C$125)^3</f>
        <v>30596.356</v>
      </c>
      <c r="G2960" s="58" t="n">
        <f aca="false">G2944*Pressupostos!$C$124*(1+Pressupostos!$C$125)^4</f>
        <v>38267.29954</v>
      </c>
      <c r="H2960" s="2" t="s">
        <v>1264</v>
      </c>
    </row>
    <row r="2961" customFormat="false" ht="15" hidden="false" customHeight="false" outlineLevel="1" collapsed="false">
      <c r="A2961" s="52" t="s">
        <v>619</v>
      </c>
      <c r="B2961" s="53" t="s">
        <v>10</v>
      </c>
      <c r="C2961" s="59" t="n">
        <f aca="false">C2958+C2959+C2960</f>
        <v>400885.59375</v>
      </c>
      <c r="D2961" s="59" t="n">
        <f aca="false">D2958+D2959+D2960</f>
        <v>508017.8875</v>
      </c>
      <c r="E2961" s="59" t="n">
        <f aca="false">E2958+E2959+E2960</f>
        <v>667701.28525</v>
      </c>
      <c r="F2961" s="59" t="n">
        <f aca="false">F2958+F2959+F2960</f>
        <v>855745.92960125</v>
      </c>
      <c r="G2961" s="59" t="n">
        <f aca="false">G2958+G2959+G2960</f>
        <v>1042442.03916396</v>
      </c>
      <c r="H2961" s="2" t="s">
        <v>1265</v>
      </c>
    </row>
    <row r="2962" customFormat="false" ht="15" hidden="false" customHeight="false" outlineLevel="1" collapsed="false">
      <c r="A2962" s="2" t="s">
        <v>620</v>
      </c>
      <c r="B2962" s="8" t="s">
        <v>10</v>
      </c>
      <c r="C2962" s="58" t="n">
        <f aca="false">IF(C2944&gt;0,C2961/C2944,0)</f>
        <v>57269.3705357143</v>
      </c>
      <c r="D2962" s="58" t="n">
        <f aca="false">IF(D2944&gt;0,D2961/D2944,0)</f>
        <v>63502.2359375</v>
      </c>
      <c r="E2962" s="58" t="n">
        <f aca="false">IF(E2944&gt;0,E2961/E2944,0)</f>
        <v>60700.1168409091</v>
      </c>
      <c r="F2962" s="58" t="n">
        <f aca="false">IF(F2944&gt;0,F2961/F2944,0)</f>
        <v>61124.7092572321</v>
      </c>
      <c r="G2962" s="58" t="n">
        <f aca="false">IF(G2944&gt;0,G2961/G2944,0)</f>
        <v>61320.1199508213</v>
      </c>
      <c r="H2962" s="2" t="s">
        <v>1266</v>
      </c>
    </row>
    <row r="2963" customFormat="false" ht="15" hidden="false" customHeight="false" outlineLevel="0" collapsed="false">
      <c r="A2963" s="3" t="s">
        <v>1267</v>
      </c>
      <c r="B2963" s="4"/>
      <c r="C2963" s="4"/>
      <c r="D2963" s="4"/>
      <c r="E2963" s="4"/>
      <c r="F2963" s="4"/>
      <c r="G2963" s="4"/>
      <c r="H2963" s="4"/>
    </row>
    <row r="2964" customFormat="false" ht="15" hidden="false" customHeight="false" outlineLevel="1" collapsed="false">
      <c r="A2964" s="7" t="s">
        <v>430</v>
      </c>
      <c r="B2964" s="8" t="s">
        <v>10</v>
      </c>
      <c r="C2964" s="58" t="n">
        <f aca="false">Pressupostos!$C$388*(1+Pressupostos!$C$154)*(1+Pressupostos!$C$155)^0</f>
        <v>94500</v>
      </c>
      <c r="D2964" s="58" t="n">
        <f aca="false">Pressupostos!$D$388*(1+Pressupostos!$C$154)*(1+Pressupostos!$C$155)^1</f>
        <v>53550</v>
      </c>
      <c r="E2964" s="58" t="n">
        <f aca="false">Pressupostos!$E$388*(1+Pressupostos!$C$154)*(1+Pressupostos!$C$155)^2</f>
        <v>49158.9</v>
      </c>
      <c r="F2964" s="58" t="n">
        <f aca="false">Pressupostos!$F$388*(1+Pressupostos!$C$154)*(1+Pressupostos!$C$155)^3</f>
        <v>50142.078</v>
      </c>
      <c r="G2964" s="58" t="n">
        <f aca="false">Pressupostos!$G$388*(1+Pressupostos!$C$154)*(1+Pressupostos!$C$155)^4</f>
        <v>51144.91956</v>
      </c>
      <c r="H2964" s="2" t="s">
        <v>1268</v>
      </c>
    </row>
    <row r="2965" customFormat="false" ht="15" hidden="false" customHeight="false" outlineLevel="1" collapsed="false">
      <c r="A2965" s="7" t="s">
        <v>432</v>
      </c>
      <c r="B2965" s="8" t="s">
        <v>10</v>
      </c>
      <c r="C2965" s="58" t="n">
        <f aca="false">Pressupostos!$C$394*(1+Pressupostos!$C$154)*(1+Pressupostos!$C$155)^0</f>
        <v>10500</v>
      </c>
      <c r="D2965" s="58" t="n">
        <f aca="false">Pressupostos!$D$394*(1+Pressupostos!$C$154)*(1+Pressupostos!$C$155)^1</f>
        <v>10710</v>
      </c>
      <c r="E2965" s="58" t="n">
        <f aca="false">Pressupostos!$E$394*(1+Pressupostos!$C$154)*(1+Pressupostos!$C$155)^2</f>
        <v>10924.2</v>
      </c>
      <c r="F2965" s="58" t="n">
        <f aca="false">Pressupostos!$F$394*(1+Pressupostos!$C$154)*(1+Pressupostos!$C$155)^3</f>
        <v>11142.684</v>
      </c>
      <c r="G2965" s="58" t="n">
        <f aca="false">Pressupostos!$G$394*(1+Pressupostos!$C$154)*(1+Pressupostos!$C$155)^4</f>
        <v>11365.53768</v>
      </c>
      <c r="H2965" s="2" t="s">
        <v>1269</v>
      </c>
    </row>
    <row r="2966" customFormat="false" ht="15" hidden="false" customHeight="false" outlineLevel="1" collapsed="false">
      <c r="A2966" s="7" t="s">
        <v>433</v>
      </c>
      <c r="B2966" s="8" t="s">
        <v>10</v>
      </c>
      <c r="C2966" s="58" t="n">
        <f aca="false">Pressupostos!$C$400*(1+Pressupostos!$C$154)*(1+Pressupostos!$C$155)^0</f>
        <v>12600</v>
      </c>
      <c r="D2966" s="58" t="n">
        <f aca="false">Pressupostos!$D$400*(1+Pressupostos!$C$154)*(1+Pressupostos!$C$155)^1</f>
        <v>12852</v>
      </c>
      <c r="E2966" s="58" t="n">
        <f aca="false">Pressupostos!$E$400*(1+Pressupostos!$C$154)*(1+Pressupostos!$C$155)^2</f>
        <v>13109.04</v>
      </c>
      <c r="F2966" s="58" t="n">
        <f aca="false">Pressupostos!$F$400*(1+Pressupostos!$C$154)*(1+Pressupostos!$C$155)^3</f>
        <v>0</v>
      </c>
      <c r="G2966" s="58" t="n">
        <f aca="false">Pressupostos!$G$400*(1+Pressupostos!$C$154)*(1+Pressupostos!$C$155)^4</f>
        <v>0</v>
      </c>
      <c r="H2966" s="2" t="s">
        <v>1270</v>
      </c>
    </row>
    <row r="2967" customFormat="false" ht="15" hidden="false" customHeight="false" outlineLevel="1" collapsed="false">
      <c r="A2967" s="7" t="s">
        <v>435</v>
      </c>
      <c r="B2967" s="8" t="s">
        <v>10</v>
      </c>
      <c r="C2967" s="58" t="n">
        <f aca="false">Pressupostos!$C$406*(1+Pressupostos!$C$154)*(1+Pressupostos!$C$155)^0</f>
        <v>31500</v>
      </c>
      <c r="D2967" s="58" t="n">
        <f aca="false">Pressupostos!$D$406*(1+Pressupostos!$C$154)*(1+Pressupostos!$C$155)^1</f>
        <v>42840</v>
      </c>
      <c r="E2967" s="58" t="n">
        <f aca="false">Pressupostos!$E$406*(1+Pressupostos!$C$154)*(1+Pressupostos!$C$155)^2</f>
        <v>60083.1</v>
      </c>
      <c r="F2967" s="58" t="n">
        <f aca="false">Pressupostos!$F$406*(1+Pressupostos!$C$154)*(1+Pressupostos!$C$155)^3</f>
        <v>77998.788</v>
      </c>
      <c r="G2967" s="58" t="n">
        <f aca="false">Pressupostos!$G$406*(1+Pressupostos!$C$154)*(1+Pressupostos!$C$155)^4</f>
        <v>96607.07028</v>
      </c>
      <c r="H2967" s="2" t="s">
        <v>1271</v>
      </c>
    </row>
    <row r="2968" customFormat="false" ht="15" hidden="false" customHeight="false" outlineLevel="1" collapsed="false">
      <c r="A2968" s="7" t="s">
        <v>437</v>
      </c>
      <c r="B2968" s="8" t="s">
        <v>10</v>
      </c>
      <c r="C2968" s="58" t="n">
        <f aca="false">Pressupostos!$C$412*(1+Pressupostos!$C$154)*(1+Pressupostos!$C$155)^0</f>
        <v>15750</v>
      </c>
      <c r="D2968" s="58" t="n">
        <f aca="false">Pressupostos!$D$412*(1+Pressupostos!$C$154)*(1+Pressupostos!$C$155)^1</f>
        <v>16065</v>
      </c>
      <c r="E2968" s="58" t="n">
        <f aca="false">Pressupostos!$E$412*(1+Pressupostos!$C$154)*(1+Pressupostos!$C$155)^2</f>
        <v>38234.7</v>
      </c>
      <c r="F2968" s="58" t="n">
        <f aca="false">Pressupostos!$F$412*(1+Pressupostos!$C$154)*(1+Pressupostos!$C$155)^3</f>
        <v>22285.368</v>
      </c>
      <c r="G2968" s="58" t="n">
        <f aca="false">Pressupostos!$G$412*(1+Pressupostos!$C$154)*(1+Pressupostos!$C$155)^4</f>
        <v>22731.07536</v>
      </c>
      <c r="H2968" s="2" t="s">
        <v>1272</v>
      </c>
    </row>
    <row r="2969" customFormat="false" ht="15" hidden="false" customHeight="false" outlineLevel="1" collapsed="false">
      <c r="A2969" s="7" t="s">
        <v>439</v>
      </c>
      <c r="B2969" s="8" t="s">
        <v>10</v>
      </c>
      <c r="C2969" s="58" t="n">
        <f aca="false">Pressupostos!$C$418*(1+Pressupostos!$C$154)*(1+Pressupostos!$C$155)^0</f>
        <v>10500</v>
      </c>
      <c r="D2969" s="58" t="n">
        <f aca="false">Pressupostos!$D$418*(1+Pressupostos!$C$154)*(1+Pressupostos!$C$155)^1</f>
        <v>12852</v>
      </c>
      <c r="E2969" s="58" t="n">
        <f aca="false">Pressupostos!$E$418*(1+Pressupostos!$C$154)*(1+Pressupostos!$C$155)^2</f>
        <v>16386.3</v>
      </c>
      <c r="F2969" s="58" t="n">
        <f aca="false">Pressupostos!$F$418*(1+Pressupostos!$C$154)*(1+Pressupostos!$C$155)^3</f>
        <v>20056.8312</v>
      </c>
      <c r="G2969" s="58" t="n">
        <f aca="false">Pressupostos!$G$418*(1+Pressupostos!$C$154)*(1+Pressupostos!$C$155)^4</f>
        <v>22731.07536</v>
      </c>
      <c r="H2969" s="2" t="s">
        <v>1273</v>
      </c>
    </row>
    <row r="2970" customFormat="false" ht="15" hidden="false" customHeight="false" outlineLevel="1" collapsed="false">
      <c r="A2970" s="7" t="s">
        <v>440</v>
      </c>
      <c r="B2970" s="8" t="s">
        <v>10</v>
      </c>
      <c r="C2970" s="58" t="n">
        <f aca="false">Pressupostos!$C$424*(1+Pressupostos!$C$154)*(1+Pressupostos!$C$155)^0</f>
        <v>42000</v>
      </c>
      <c r="D2970" s="58" t="n">
        <f aca="false">Pressupostos!$D$424*(1+Pressupostos!$C$154)*(1+Pressupostos!$C$155)^1</f>
        <v>53550</v>
      </c>
      <c r="E2970" s="58" t="n">
        <f aca="false">Pressupostos!$E$424*(1+Pressupostos!$C$154)*(1+Pressupostos!$C$155)^2</f>
        <v>76469.4</v>
      </c>
      <c r="F2970" s="58" t="n">
        <f aca="false">Pressupostos!$F$424*(1+Pressupostos!$C$154)*(1+Pressupostos!$C$155)^3</f>
        <v>100284.156</v>
      </c>
      <c r="G2970" s="58" t="n">
        <f aca="false">Pressupostos!$G$424*(1+Pressupostos!$C$154)*(1+Pressupostos!$C$155)^4</f>
        <v>125020.91448</v>
      </c>
      <c r="H2970" s="2" t="s">
        <v>1274</v>
      </c>
    </row>
    <row r="2971" customFormat="false" ht="15" hidden="false" customHeight="false" outlineLevel="1" collapsed="false">
      <c r="A2971" s="7" t="s">
        <v>442</v>
      </c>
      <c r="B2971" s="8" t="s">
        <v>10</v>
      </c>
      <c r="C2971" s="58" t="n">
        <f aca="false">Pressupostos!$C$430*(1+Pressupostos!$C$154)*(1+Pressupostos!$C$155)^0</f>
        <v>12600</v>
      </c>
      <c r="D2971" s="58" t="n">
        <f aca="false">Pressupostos!$D$430*(1+Pressupostos!$C$154)*(1+Pressupostos!$C$155)^1</f>
        <v>16065</v>
      </c>
      <c r="E2971" s="58" t="n">
        <f aca="false">Pressupostos!$E$430*(1+Pressupostos!$C$154)*(1+Pressupostos!$C$155)^2</f>
        <v>26218.08</v>
      </c>
      <c r="F2971" s="58" t="n">
        <f aca="false">Pressupostos!$F$430*(1+Pressupostos!$C$154)*(1+Pressupostos!$C$155)^3</f>
        <v>33428.052</v>
      </c>
      <c r="G2971" s="58" t="n">
        <f aca="false">Pressupostos!$G$430*(1+Pressupostos!$C$154)*(1+Pressupostos!$C$155)^4</f>
        <v>40915.935648</v>
      </c>
      <c r="H2971" s="2" t="s">
        <v>1275</v>
      </c>
    </row>
    <row r="2972" customFormat="false" ht="15" hidden="false" customHeight="false" outlineLevel="1" collapsed="false">
      <c r="A2972" s="7" t="s">
        <v>444</v>
      </c>
      <c r="B2972" s="8" t="s">
        <v>10</v>
      </c>
      <c r="C2972" s="58" t="n">
        <f aca="false">Pressupostos!$C$436*(1+Pressupostos!$C$154)*(1+Pressupostos!$C$155)^0</f>
        <v>18900</v>
      </c>
      <c r="D2972" s="58" t="n">
        <f aca="false">Pressupostos!$D$436*(1+Pressupostos!$C$154)*(1+Pressupostos!$C$155)^1</f>
        <v>23562</v>
      </c>
      <c r="E2972" s="58" t="n">
        <f aca="false">Pressupostos!$E$436*(1+Pressupostos!$C$154)*(1+Pressupostos!$C$155)^2</f>
        <v>32772.6</v>
      </c>
      <c r="F2972" s="58" t="n">
        <f aca="false">Pressupostos!$F$436*(1+Pressupostos!$C$154)*(1+Pressupostos!$C$155)^3</f>
        <v>42342.1992</v>
      </c>
      <c r="G2972" s="58" t="n">
        <f aca="false">Pressupostos!$G$436*(1+Pressupostos!$C$154)*(1+Pressupostos!$C$155)^4</f>
        <v>51144.91956</v>
      </c>
      <c r="H2972" s="2" t="s">
        <v>1276</v>
      </c>
    </row>
    <row r="2973" customFormat="false" ht="15" hidden="false" customHeight="false" outlineLevel="1" collapsed="false">
      <c r="A2973" s="7" t="s">
        <v>445</v>
      </c>
      <c r="B2973" s="8" t="s">
        <v>10</v>
      </c>
      <c r="C2973" s="58" t="n">
        <f aca="false">Pressupostos!$C$442*(1+Pressupostos!$C$154)*(1+Pressupostos!$C$155)^0</f>
        <v>5250</v>
      </c>
      <c r="D2973" s="58" t="n">
        <f aca="false">Pressupostos!$D$442*(1+Pressupostos!$C$154)*(1+Pressupostos!$C$155)^1</f>
        <v>8568</v>
      </c>
      <c r="E2973" s="58" t="n">
        <f aca="false">Pressupostos!$E$442*(1+Pressupostos!$C$154)*(1+Pressupostos!$C$155)^2</f>
        <v>13109.04</v>
      </c>
      <c r="F2973" s="58" t="n">
        <f aca="false">Pressupostos!$F$442*(1+Pressupostos!$C$154)*(1+Pressupostos!$C$155)^3</f>
        <v>16714.026</v>
      </c>
      <c r="G2973" s="58" t="n">
        <f aca="false">Pressupostos!$G$442*(1+Pressupostos!$C$154)*(1+Pressupostos!$C$155)^4</f>
        <v>17048.30652</v>
      </c>
      <c r="H2973" s="2" t="s">
        <v>1277</v>
      </c>
    </row>
    <row r="2974" customFormat="false" ht="15" hidden="false" customHeight="false" outlineLevel="1" collapsed="false">
      <c r="A2974" s="7" t="s">
        <v>661</v>
      </c>
      <c r="B2974" s="8" t="s">
        <v>10</v>
      </c>
      <c r="C2974" s="58" t="n">
        <f aca="false">C2964+C2965+C2966+C2967+C2968+C2969+C2970+C2971+C2972+C2973</f>
        <v>254100</v>
      </c>
      <c r="D2974" s="58" t="n">
        <f aca="false">D2964+D2965+D2966+D2967+D2968+D2969+D2970+D2971+D2972+D2973</f>
        <v>250614</v>
      </c>
      <c r="E2974" s="58" t="n">
        <f aca="false">E2964+E2965+E2966+E2967+E2968+E2969+E2970+E2971+E2972+E2973</f>
        <v>336465.36</v>
      </c>
      <c r="F2974" s="58" t="n">
        <f aca="false">F2964+F2965+F2966+F2967+F2968+F2969+F2970+F2971+F2972+F2973</f>
        <v>374394.1824</v>
      </c>
      <c r="G2974" s="58" t="n">
        <f aca="false">G2964+G2965+G2966+G2967+G2968+G2969+G2970+G2971+G2972+G2973</f>
        <v>438709.754448</v>
      </c>
      <c r="H2974" s="2" t="s">
        <v>1278</v>
      </c>
    </row>
    <row r="2975" customFormat="false" ht="15" hidden="false" customHeight="false" outlineLevel="1" collapsed="false">
      <c r="A2975" s="7" t="s">
        <v>662</v>
      </c>
      <c r="B2975" s="8" t="s">
        <v>10</v>
      </c>
      <c r="C2975" s="58" t="n">
        <f aca="false">Pressupostos!$C$112+Pressupostos!$C$113+Pressupostos!$C$114*Pressupostos!$C$289+Pressupostos!$C$449</f>
        <v>65000</v>
      </c>
      <c r="D2975" s="58" t="n">
        <f aca="false">Pressupostos!$C$113+Pressupostos!$C$114*Pressupostos!$D$289+Pressupostos!$D$449</f>
        <v>65000</v>
      </c>
      <c r="E2975" s="58" t="n">
        <f aca="false">Pressupostos!$C$113+Pressupostos!$C$114*Pressupostos!$E$289+Pressupostos!$E$449</f>
        <v>70000</v>
      </c>
      <c r="F2975" s="58" t="n">
        <f aca="false">Pressupostos!$C$113+Pressupostos!$C$114*Pressupostos!$F$289+Pressupostos!$F$449</f>
        <v>75000</v>
      </c>
      <c r="G2975" s="58" t="n">
        <f aca="false">Pressupostos!$C$113+Pressupostos!$C$114*Pressupostos!$G$289+Pressupostos!$G$449</f>
        <v>80000</v>
      </c>
      <c r="H2975" s="2" t="s">
        <v>1279</v>
      </c>
    </row>
    <row r="2976" customFormat="false" ht="15" hidden="false" customHeight="false" outlineLevel="1" collapsed="false">
      <c r="A2976" s="7" t="s">
        <v>663</v>
      </c>
      <c r="B2976" s="8" t="s">
        <v>10</v>
      </c>
      <c r="C2976" s="58" t="n">
        <f aca="false">IF(C2798&lt;Pressupostos!$C$118,0,MAX(Pressupostos!$C$295,Pressupostos!$C$116*(C2886+C2887)+Pressupostos!$C$117*C2888))</f>
        <v>0</v>
      </c>
      <c r="D2976" s="58" t="n">
        <f aca="false">IF(D2798&lt;Pressupostos!$C$118,0,MAX(Pressupostos!$D$295,Pressupostos!$C$116*(D2886+D2887)+Pressupostos!$C$117*D2888))</f>
        <v>4948.146</v>
      </c>
      <c r="E2976" s="58" t="n">
        <f aca="false">IF(E2798&lt;Pressupostos!$C$118,0,MAX(Pressupostos!$E$295,Pressupostos!$C$116*(E2886+E2887)+Pressupostos!$C$117*E2888))</f>
        <v>10626.714</v>
      </c>
      <c r="F2976" s="58" t="n">
        <f aca="false">IF(F2798&lt;Pressupostos!$C$118,0,MAX(Pressupostos!$F$295,Pressupostos!$C$116*(F2886+F2887)+Pressupostos!$C$117*F2888))</f>
        <v>18210.486</v>
      </c>
      <c r="G2976" s="58" t="n">
        <f aca="false">IF(G2798&lt;Pressupostos!$C$118,0,MAX(Pressupostos!$G$295,Pressupostos!$C$116*(G2886+G2887)+Pressupostos!$C$117*G2888))</f>
        <v>27639.78</v>
      </c>
      <c r="H2976" s="2" t="s">
        <v>1280</v>
      </c>
    </row>
    <row r="2977" customFormat="false" ht="15" hidden="false" customHeight="false" outlineLevel="1" collapsed="false">
      <c r="A2977" s="52" t="s">
        <v>664</v>
      </c>
      <c r="B2977" s="53" t="s">
        <v>10</v>
      </c>
      <c r="C2977" s="59" t="n">
        <f aca="false">C2974+C2975+C2976</f>
        <v>319100</v>
      </c>
      <c r="D2977" s="59" t="n">
        <f aca="false">D2974+D2975+D2976</f>
        <v>320562.146</v>
      </c>
      <c r="E2977" s="59" t="n">
        <f aca="false">E2974+E2975+E2976</f>
        <v>417092.074</v>
      </c>
      <c r="F2977" s="59" t="n">
        <f aca="false">F2974+F2975+F2976</f>
        <v>467604.6684</v>
      </c>
      <c r="G2977" s="59" t="n">
        <f aca="false">G2974+G2975+G2976</f>
        <v>546349.534448</v>
      </c>
      <c r="H2977" s="2" t="s">
        <v>1281</v>
      </c>
    </row>
    <row r="2978" customFormat="false" ht="15" hidden="false" customHeight="false" outlineLevel="0" collapsed="false">
      <c r="A2978" s="3" t="s">
        <v>1282</v>
      </c>
      <c r="B2978" s="4"/>
      <c r="C2978" s="4"/>
      <c r="D2978" s="4"/>
      <c r="E2978" s="4"/>
      <c r="F2978" s="4"/>
      <c r="G2978" s="4"/>
      <c r="H2978" s="4"/>
    </row>
    <row r="2979" customFormat="false" ht="15" hidden="false" customHeight="false" outlineLevel="1" collapsed="false">
      <c r="A2979" s="7" t="s">
        <v>666</v>
      </c>
      <c r="B2979" s="8" t="s">
        <v>10</v>
      </c>
      <c r="C2979" s="58" t="n">
        <f aca="false">Pressupostos!$C$163*Pressupostos!$C$302</f>
        <v>18000</v>
      </c>
      <c r="D2979" s="58" t="n">
        <f aca="false">Pressupostos!$C$163*Pressupostos!$D$302</f>
        <v>12000</v>
      </c>
      <c r="E2979" s="58" t="n">
        <f aca="false">Pressupostos!$C$163*Pressupostos!$E$302</f>
        <v>12000</v>
      </c>
      <c r="F2979" s="58" t="n">
        <f aca="false">Pressupostos!$C$163*Pressupostos!$F$302</f>
        <v>12000</v>
      </c>
      <c r="G2979" s="58" t="n">
        <f aca="false">Pressupostos!$C$163*Pressupostos!$G$302</f>
        <v>12000</v>
      </c>
      <c r="H2979" s="2" t="s">
        <v>1283</v>
      </c>
    </row>
    <row r="2980" customFormat="false" ht="15" hidden="false" customHeight="false" outlineLevel="1" collapsed="false">
      <c r="A2980" s="7" t="s">
        <v>667</v>
      </c>
      <c r="B2980" s="8" t="s">
        <v>10</v>
      </c>
      <c r="C2980" s="50" t="n">
        <f aca="false">Pressupostos!$C$308</f>
        <v>60000</v>
      </c>
      <c r="D2980" s="50" t="n">
        <f aca="false">Pressupostos!$D$308</f>
        <v>30000</v>
      </c>
      <c r="E2980" s="50" t="n">
        <f aca="false">Pressupostos!$E$308</f>
        <v>30000</v>
      </c>
      <c r="F2980" s="50" t="n">
        <f aca="false">Pressupostos!$F$308</f>
        <v>20000</v>
      </c>
      <c r="G2980" s="50" t="n">
        <f aca="false">Pressupostos!$G$308</f>
        <v>20000</v>
      </c>
      <c r="H2980" s="2" t="s">
        <v>1284</v>
      </c>
    </row>
    <row r="2981" customFormat="false" ht="15" hidden="false" customHeight="false" outlineLevel="1" collapsed="false">
      <c r="A2981" s="7" t="s">
        <v>668</v>
      </c>
      <c r="B2981" s="8" t="s">
        <v>10</v>
      </c>
      <c r="C2981" s="58" t="n">
        <f aca="false">Pressupostos!$C$164*MAX(0,C2944)</f>
        <v>14000</v>
      </c>
      <c r="D2981" s="58" t="n">
        <f aca="false">Pressupostos!$C$164*MAX(0,D2944-C2944)</f>
        <v>2000</v>
      </c>
      <c r="E2981" s="58" t="n">
        <f aca="false">Pressupostos!$C$164*MAX(0,E2944-D2944)</f>
        <v>6000</v>
      </c>
      <c r="F2981" s="58" t="n">
        <f aca="false">Pressupostos!$C$164*MAX(0,F2944-E2944)</f>
        <v>6000</v>
      </c>
      <c r="G2981" s="58" t="n">
        <f aca="false">Pressupostos!$C$164*MAX(0,G2944-F2944)</f>
        <v>6000</v>
      </c>
      <c r="H2981" s="2" t="s">
        <v>1285</v>
      </c>
    </row>
    <row r="2982" customFormat="false" ht="15" hidden="false" customHeight="false" outlineLevel="1" collapsed="false">
      <c r="A2982" s="7" t="s">
        <v>407</v>
      </c>
      <c r="B2982" s="8" t="s">
        <v>10</v>
      </c>
      <c r="C2982" s="58" t="n">
        <f aca="false">C2979+C2980+C2981</f>
        <v>92000</v>
      </c>
      <c r="D2982" s="58" t="n">
        <f aca="false">D2979+D2980+D2981</f>
        <v>44000</v>
      </c>
      <c r="E2982" s="58" t="n">
        <f aca="false">E2979+E2980+E2981</f>
        <v>48000</v>
      </c>
      <c r="F2982" s="58" t="n">
        <f aca="false">F2979+F2980+F2981</f>
        <v>38000</v>
      </c>
      <c r="G2982" s="58" t="n">
        <f aca="false">G2979+G2980+G2981</f>
        <v>38000</v>
      </c>
      <c r="H2982" s="2" t="s">
        <v>1286</v>
      </c>
    </row>
    <row r="2983" customFormat="false" ht="15" hidden="false" customHeight="false" outlineLevel="1" collapsed="false">
      <c r="A2983" s="7" t="s">
        <v>669</v>
      </c>
      <c r="B2983" s="8" t="s">
        <v>10</v>
      </c>
      <c r="C2983" s="58" t="n">
        <f aca="false">(C2980*((0)&lt;Pressupostos!$C$165))/Pressupostos!$C$165</f>
        <v>20000</v>
      </c>
      <c r="D2983" s="58" t="n">
        <f aca="false">(C2980*((1)&lt;Pressupostos!$C$165)+D2980*((0)&lt;Pressupostos!$C$165))/Pressupostos!$C$165</f>
        <v>30000</v>
      </c>
      <c r="E2983" s="58" t="n">
        <f aca="false">(C2980*((2)&lt;Pressupostos!$C$165)+D2980*((1)&lt;Pressupostos!$C$165)+E2980*((0)&lt;Pressupostos!$C$165))/Pressupostos!$C$165</f>
        <v>40000</v>
      </c>
      <c r="F2983" s="58" t="n">
        <f aca="false">(C2980*((3)&lt;Pressupostos!$C$165)+D2980*((2)&lt;Pressupostos!$C$165)+E2980*((1)&lt;Pressupostos!$C$165)+F2980*((0)&lt;Pressupostos!$C$165))/Pressupostos!$C$165</f>
        <v>26666.6666666667</v>
      </c>
      <c r="G2983" s="58" t="n">
        <f aca="false">(C2980*((4)&lt;Pressupostos!$C$165)+D2980*((3)&lt;Pressupostos!$C$165)+E2980*((2)&lt;Pressupostos!$C$165)+F2980*((1)&lt;Pressupostos!$C$165)+G2980*((0)&lt;Pressupostos!$C$165))/Pressupostos!$C$165</f>
        <v>23333.3333333333</v>
      </c>
      <c r="H2983" s="2" t="s">
        <v>1287</v>
      </c>
    </row>
    <row r="2984" customFormat="false" ht="15" hidden="false" customHeight="false" outlineLevel="1" collapsed="false">
      <c r="A2984" s="7" t="s">
        <v>670</v>
      </c>
      <c r="B2984" s="8" t="s">
        <v>10</v>
      </c>
      <c r="C2984" s="58" t="n">
        <f aca="false">(C2979*((0)&lt;Pressupostos!$C$167))/Pressupostos!$C$167</f>
        <v>3600</v>
      </c>
      <c r="D2984" s="58" t="n">
        <f aca="false">(C2979*((1)&lt;Pressupostos!$C$167)+D2979*((0)&lt;Pressupostos!$C$167))/Pressupostos!$C$167</f>
        <v>6000</v>
      </c>
      <c r="E2984" s="58" t="n">
        <f aca="false">(C2979*((2)&lt;Pressupostos!$C$167)+D2979*((1)&lt;Pressupostos!$C$167)+E2979*((0)&lt;Pressupostos!$C$167))/Pressupostos!$C$167</f>
        <v>8400</v>
      </c>
      <c r="F2984" s="58" t="n">
        <f aca="false">(C2979*((3)&lt;Pressupostos!$C$167)+D2979*((2)&lt;Pressupostos!$C$167)+E2979*((1)&lt;Pressupostos!$C$167)+F2979*((0)&lt;Pressupostos!$C$167))/Pressupostos!$C$167</f>
        <v>10800</v>
      </c>
      <c r="G2984" s="58" t="n">
        <f aca="false">(C2979*((4)&lt;Pressupostos!$C$167)+D2979*((3)&lt;Pressupostos!$C$167)+E2979*((2)&lt;Pressupostos!$C$167)+F2979*((1)&lt;Pressupostos!$C$167)+G2979*((0)&lt;Pressupostos!$C$167))/Pressupostos!$C$167</f>
        <v>13200</v>
      </c>
      <c r="H2984" s="2" t="s">
        <v>1288</v>
      </c>
    </row>
    <row r="2985" customFormat="false" ht="15" hidden="false" customHeight="false" outlineLevel="1" collapsed="false">
      <c r="A2985" s="7" t="s">
        <v>671</v>
      </c>
      <c r="B2985" s="8" t="s">
        <v>10</v>
      </c>
      <c r="C2985" s="58" t="n">
        <f aca="false">(C2981*((0)&lt;Pressupostos!$C$166))/Pressupostos!$C$166</f>
        <v>3500</v>
      </c>
      <c r="D2985" s="58" t="n">
        <f aca="false">(C2981*((1)&lt;Pressupostos!$C$166)+D2981*((0)&lt;Pressupostos!$C$166))/Pressupostos!$C$166</f>
        <v>4000</v>
      </c>
      <c r="E2985" s="58" t="n">
        <f aca="false">(C2981*((2)&lt;Pressupostos!$C$166)+D2981*((1)&lt;Pressupostos!$C$166)+E2981*((0)&lt;Pressupostos!$C$166))/Pressupostos!$C$166</f>
        <v>5500</v>
      </c>
      <c r="F2985" s="58" t="n">
        <f aca="false">(C2981*((3)&lt;Pressupostos!$C$166)+D2981*((2)&lt;Pressupostos!$C$166)+E2981*((1)&lt;Pressupostos!$C$166)+F2981*((0)&lt;Pressupostos!$C$166))/Pressupostos!$C$166</f>
        <v>7000</v>
      </c>
      <c r="G2985" s="58" t="n">
        <f aca="false">(C2981*((4)&lt;Pressupostos!$C$166)+D2981*((3)&lt;Pressupostos!$C$166)+E2981*((2)&lt;Pressupostos!$C$166)+F2981*((1)&lt;Pressupostos!$C$166)+G2981*((0)&lt;Pressupostos!$C$166))/Pressupostos!$C$166</f>
        <v>5000</v>
      </c>
      <c r="H2985" s="2" t="s">
        <v>1289</v>
      </c>
    </row>
    <row r="2986" customFormat="false" ht="15" hidden="false" customHeight="false" outlineLevel="1" collapsed="false">
      <c r="A2986" s="7" t="s">
        <v>672</v>
      </c>
      <c r="B2986" s="8" t="s">
        <v>10</v>
      </c>
      <c r="C2986" s="58" t="n">
        <f aca="false">C2983+C2984+C2985</f>
        <v>27100</v>
      </c>
      <c r="D2986" s="58" t="n">
        <f aca="false">D2983+D2984+D2985</f>
        <v>40000</v>
      </c>
      <c r="E2986" s="58" t="n">
        <f aca="false">E2983+E2984+E2985</f>
        <v>53900</v>
      </c>
      <c r="F2986" s="58" t="n">
        <f aca="false">F2983+F2984+F2985</f>
        <v>44466.6666666667</v>
      </c>
      <c r="G2986" s="58" t="n">
        <f aca="false">G2983+G2984+G2985</f>
        <v>41533.3333333333</v>
      </c>
      <c r="H2986" s="2" t="s">
        <v>1290</v>
      </c>
    </row>
    <row r="2987" customFormat="false" ht="15" hidden="false" customHeight="false" outlineLevel="0" collapsed="false">
      <c r="A2987" s="3" t="s">
        <v>1291</v>
      </c>
      <c r="B2987" s="4"/>
      <c r="C2987" s="4"/>
      <c r="D2987" s="4"/>
      <c r="E2987" s="4"/>
      <c r="F2987" s="4"/>
      <c r="G2987" s="4"/>
      <c r="H2987" s="4"/>
    </row>
    <row r="2988" customFormat="false" ht="15" hidden="false" customHeight="false" outlineLevel="1" collapsed="false">
      <c r="A2988" s="52" t="s">
        <v>676</v>
      </c>
      <c r="B2988" s="53" t="s">
        <v>10</v>
      </c>
      <c r="C2988" s="59" t="n">
        <f aca="false">C2895</f>
        <v>187626</v>
      </c>
      <c r="D2988" s="59" t="n">
        <f aca="false">D2895</f>
        <v>1250276.5</v>
      </c>
      <c r="E2988" s="59" t="n">
        <f aca="false">E2895</f>
        <v>2927578.5</v>
      </c>
      <c r="F2988" s="59" t="n">
        <f aca="false">F2895</f>
        <v>5101181.5</v>
      </c>
      <c r="G2988" s="59" t="n">
        <f aca="false">G2895</f>
        <v>7834665</v>
      </c>
      <c r="H2988" s="2" t="s">
        <v>1292</v>
      </c>
    </row>
    <row r="2989" customFormat="false" ht="15" hidden="false" customHeight="false" outlineLevel="1" collapsed="false">
      <c r="A2989" s="7" t="s">
        <v>649</v>
      </c>
      <c r="B2989" s="8" t="s">
        <v>10</v>
      </c>
      <c r="C2989" s="58" t="n">
        <f aca="false">-C2916</f>
        <v>-180800</v>
      </c>
      <c r="D2989" s="58" t="n">
        <f aca="false">-D2916</f>
        <v>-1203700</v>
      </c>
      <c r="E2989" s="58" t="n">
        <f aca="false">-E2916</f>
        <v>-2773300</v>
      </c>
      <c r="F2989" s="58" t="n">
        <f aca="false">-F2916</f>
        <v>-4796700</v>
      </c>
      <c r="G2989" s="58" t="n">
        <f aca="false">-G2916</f>
        <v>-7341000</v>
      </c>
      <c r="H2989" s="2" t="s">
        <v>1293</v>
      </c>
    </row>
    <row r="2990" customFormat="false" ht="15" hidden="false" customHeight="false" outlineLevel="1" collapsed="false">
      <c r="A2990" s="52" t="s">
        <v>677</v>
      </c>
      <c r="B2990" s="53" t="s">
        <v>10</v>
      </c>
      <c r="C2990" s="59" t="n">
        <f aca="false">C2988+C2989</f>
        <v>6825.99999999997</v>
      </c>
      <c r="D2990" s="59" t="n">
        <f aca="false">D2988+D2989</f>
        <v>46576.4999999998</v>
      </c>
      <c r="E2990" s="59" t="n">
        <f aca="false">E2988+E2989</f>
        <v>154278.5</v>
      </c>
      <c r="F2990" s="59" t="n">
        <f aca="false">F2988+F2989</f>
        <v>304481.5</v>
      </c>
      <c r="G2990" s="59" t="n">
        <f aca="false">G2988+G2989</f>
        <v>493664.999999999</v>
      </c>
      <c r="H2990" s="2" t="s">
        <v>1294</v>
      </c>
    </row>
    <row r="2991" customFormat="false" ht="15" hidden="false" customHeight="false" outlineLevel="1" collapsed="false">
      <c r="A2991" s="2" t="s">
        <v>678</v>
      </c>
      <c r="B2991" s="8" t="s">
        <v>71</v>
      </c>
      <c r="C2991" s="55" t="n">
        <f aca="false">IF(C2988&gt;0,C2990/C2988,0)</f>
        <v>0.0363808853783589</v>
      </c>
      <c r="D2991" s="55" t="n">
        <f aca="false">IF(D2988&gt;0,D2990/D2988,0)</f>
        <v>0.0372529596453263</v>
      </c>
      <c r="E2991" s="55" t="n">
        <f aca="false">IF(E2988&gt;0,E2990/E2988,0)</f>
        <v>0.0526983307193982</v>
      </c>
      <c r="F2991" s="55" t="n">
        <f aca="false">IF(F2988&gt;0,F2990/F2988,0)</f>
        <v>0.0596884270830199</v>
      </c>
      <c r="G2991" s="55" t="n">
        <f aca="false">IF(G2988&gt;0,G2990/G2988,0)</f>
        <v>0.0630103520699352</v>
      </c>
      <c r="H2991" s="2" t="s">
        <v>1295</v>
      </c>
    </row>
    <row r="2992" customFormat="false" ht="15" hidden="false" customHeight="false" outlineLevel="1" collapsed="false">
      <c r="A2992" s="7" t="s">
        <v>679</v>
      </c>
      <c r="B2992" s="8" t="s">
        <v>10</v>
      </c>
      <c r="C2992" s="58" t="n">
        <f aca="false">-C2926</f>
        <v>-14732.7938082192</v>
      </c>
      <c r="D2992" s="58" t="n">
        <f aca="false">-D2926</f>
        <v>-100170.004606654</v>
      </c>
      <c r="E2992" s="58" t="n">
        <f aca="false">-E2926</f>
        <v>-233501.166998043</v>
      </c>
      <c r="F2992" s="58" t="n">
        <f aca="false">-F2926</f>
        <v>-418597.221064579</v>
      </c>
      <c r="G2992" s="58" t="n">
        <f aca="false">-G2926</f>
        <v>-646146.857573386</v>
      </c>
      <c r="H2992" s="2" t="s">
        <v>1296</v>
      </c>
    </row>
    <row r="2993" customFormat="false" ht="15" hidden="false" customHeight="false" outlineLevel="1" collapsed="false">
      <c r="A2993" s="7" t="s">
        <v>658</v>
      </c>
      <c r="B2993" s="8" t="s">
        <v>10</v>
      </c>
      <c r="C2993" s="58" t="n">
        <f aca="false">-C2929</f>
        <v>-0</v>
      </c>
      <c r="D2993" s="58" t="n">
        <f aca="false">-D2929</f>
        <v>-17315.6301369863</v>
      </c>
      <c r="E2993" s="58" t="n">
        <f aca="false">-E2929</f>
        <v>-29325.5136986301</v>
      </c>
      <c r="F2993" s="58" t="n">
        <f aca="false">-F2929</f>
        <v>-47463.595890411</v>
      </c>
      <c r="G2993" s="58" t="n">
        <f aca="false">-G2929</f>
        <v>-72644.1780821918</v>
      </c>
      <c r="H2993" s="2" t="s">
        <v>1297</v>
      </c>
    </row>
    <row r="2994" customFormat="false" ht="15" hidden="false" customHeight="false" outlineLevel="1" collapsed="false">
      <c r="A2994" s="52" t="s">
        <v>641</v>
      </c>
      <c r="B2994" s="53" t="s">
        <v>10</v>
      </c>
      <c r="C2994" s="59" t="n">
        <f aca="false">C2990+C2992+C2993</f>
        <v>-7906.79380821921</v>
      </c>
      <c r="D2994" s="59" t="n">
        <f aca="false">D2990+D2992+D2993</f>
        <v>-70909.1347436401</v>
      </c>
      <c r="E2994" s="59" t="n">
        <f aca="false">E2990+E2992+E2993</f>
        <v>-108548.180696674</v>
      </c>
      <c r="F2994" s="59" t="n">
        <f aca="false">F2990+F2992+F2993</f>
        <v>-161579.31695499</v>
      </c>
      <c r="G2994" s="59" t="n">
        <f aca="false">G2990+G2992+G2993</f>
        <v>-225126.035655578</v>
      </c>
      <c r="H2994" s="2" t="s">
        <v>1298</v>
      </c>
    </row>
    <row r="2995" customFormat="false" ht="15" hidden="false" customHeight="false" outlineLevel="1" collapsed="false">
      <c r="A2995" s="7" t="s">
        <v>251</v>
      </c>
      <c r="B2995" s="8" t="s">
        <v>10</v>
      </c>
      <c r="C2995" s="58" t="n">
        <f aca="false">-C2961</f>
        <v>-400885.59375</v>
      </c>
      <c r="D2995" s="58" t="n">
        <f aca="false">-D2961</f>
        <v>-508017.8875</v>
      </c>
      <c r="E2995" s="58" t="n">
        <f aca="false">-E2961</f>
        <v>-667701.28525</v>
      </c>
      <c r="F2995" s="58" t="n">
        <f aca="false">-F2961</f>
        <v>-855745.92960125</v>
      </c>
      <c r="G2995" s="58" t="n">
        <f aca="false">-G2961</f>
        <v>-1042442.03916396</v>
      </c>
      <c r="H2995" s="2" t="s">
        <v>1299</v>
      </c>
    </row>
    <row r="2996" customFormat="false" ht="15" hidden="false" customHeight="false" outlineLevel="1" collapsed="false">
      <c r="A2996" s="7" t="s">
        <v>680</v>
      </c>
      <c r="B2996" s="8" t="s">
        <v>10</v>
      </c>
      <c r="C2996" s="58" t="n">
        <f aca="false">-C2977</f>
        <v>-319100</v>
      </c>
      <c r="D2996" s="58" t="n">
        <f aca="false">-D2977</f>
        <v>-320562.146</v>
      </c>
      <c r="E2996" s="58" t="n">
        <f aca="false">-E2977</f>
        <v>-417092.074</v>
      </c>
      <c r="F2996" s="58" t="n">
        <f aca="false">-F2977</f>
        <v>-467604.6684</v>
      </c>
      <c r="G2996" s="58" t="n">
        <f aca="false">-G2977</f>
        <v>-546349.534448</v>
      </c>
      <c r="H2996" s="2" t="s">
        <v>1300</v>
      </c>
    </row>
    <row r="2997" customFormat="false" ht="15" hidden="false" customHeight="false" outlineLevel="1" collapsed="false">
      <c r="A2997" s="52" t="s">
        <v>681</v>
      </c>
      <c r="B2997" s="53" t="s">
        <v>10</v>
      </c>
      <c r="C2997" s="59" t="n">
        <f aca="false">C2994+C2995+C2996</f>
        <v>-727892.387558219</v>
      </c>
      <c r="D2997" s="59" t="n">
        <f aca="false">D2994+D2995+D2996</f>
        <v>-899489.16824364</v>
      </c>
      <c r="E2997" s="59" t="n">
        <f aca="false">E2994+E2995+E2996</f>
        <v>-1193341.53994667</v>
      </c>
      <c r="F2997" s="59" t="n">
        <f aca="false">F2994+F2995+F2996</f>
        <v>-1484929.91495624</v>
      </c>
      <c r="G2997" s="59" t="n">
        <f aca="false">G2994+G2995+G2996</f>
        <v>-1813917.60926754</v>
      </c>
      <c r="H2997" s="2" t="s">
        <v>1301</v>
      </c>
    </row>
    <row r="2998" customFormat="false" ht="15" hidden="false" customHeight="false" outlineLevel="1" collapsed="false">
      <c r="A2998" s="2" t="s">
        <v>683</v>
      </c>
      <c r="B2998" s="8" t="s">
        <v>71</v>
      </c>
      <c r="C2998" s="55" t="n">
        <f aca="false">IF(C2988&gt;0,C2997/C2988,0)</f>
        <v>-3.87948571924051</v>
      </c>
      <c r="D2998" s="55" t="n">
        <f aca="false">IF(D2988&gt;0,D2997/D2988,0)</f>
        <v>-0.719432196193114</v>
      </c>
      <c r="E2998" s="55" t="n">
        <f aca="false">IF(E2988&gt;0,E2997/E2988,0)</f>
        <v>-0.407620680349536</v>
      </c>
      <c r="F2998" s="55" t="n">
        <f aca="false">IF(F2988&gt;0,F2997/F2988,0)</f>
        <v>-0.291095291346964</v>
      </c>
      <c r="G2998" s="55" t="n">
        <f aca="false">IF(G2988&gt;0,G2997/G2988,0)</f>
        <v>-0.231524590938801</v>
      </c>
      <c r="H2998" s="2" t="s">
        <v>1302</v>
      </c>
    </row>
    <row r="2999" customFormat="false" ht="15" hidden="false" customHeight="false" outlineLevel="1" collapsed="false">
      <c r="A2999" s="2" t="s">
        <v>684</v>
      </c>
      <c r="B2999" s="8" t="s">
        <v>10</v>
      </c>
      <c r="C2999" s="58" t="n">
        <f aca="false">C2997+C2929</f>
        <v>-727892.387558219</v>
      </c>
      <c r="D2999" s="58" t="n">
        <f aca="false">D2997+D2929</f>
        <v>-882173.538106654</v>
      </c>
      <c r="E2999" s="58" t="n">
        <f aca="false">E2997+E2929</f>
        <v>-1164016.02624804</v>
      </c>
      <c r="F2999" s="58" t="n">
        <f aca="false">F2997+F2929</f>
        <v>-1437466.31906583</v>
      </c>
      <c r="G2999" s="58" t="n">
        <f aca="false">G2997+G2929</f>
        <v>-1741273.43118535</v>
      </c>
      <c r="H2999" s="2" t="s">
        <v>1303</v>
      </c>
    </row>
    <row r="3000" customFormat="false" ht="15" hidden="false" customHeight="false" outlineLevel="1" collapsed="false">
      <c r="A3000" s="7" t="s">
        <v>672</v>
      </c>
      <c r="B3000" s="8" t="s">
        <v>10</v>
      </c>
      <c r="C3000" s="58" t="n">
        <f aca="false">-C2986</f>
        <v>-27100</v>
      </c>
      <c r="D3000" s="58" t="n">
        <f aca="false">-D2986</f>
        <v>-40000</v>
      </c>
      <c r="E3000" s="58" t="n">
        <f aca="false">-E2986</f>
        <v>-53900</v>
      </c>
      <c r="F3000" s="58" t="n">
        <f aca="false">-F2986</f>
        <v>-44466.6666666667</v>
      </c>
      <c r="G3000" s="58" t="n">
        <f aca="false">-G2986</f>
        <v>-41533.3333333333</v>
      </c>
      <c r="H3000" s="2" t="s">
        <v>1304</v>
      </c>
    </row>
    <row r="3001" customFormat="false" ht="15" hidden="false" customHeight="false" outlineLevel="1" collapsed="false">
      <c r="A3001" s="52" t="s">
        <v>685</v>
      </c>
      <c r="B3001" s="53" t="s">
        <v>10</v>
      </c>
      <c r="C3001" s="59" t="n">
        <f aca="false">C2997+C3000</f>
        <v>-754992.387558219</v>
      </c>
      <c r="D3001" s="59" t="n">
        <f aca="false">D2997+D3000</f>
        <v>-939489.16824364</v>
      </c>
      <c r="E3001" s="59" t="n">
        <f aca="false">E2997+E3000</f>
        <v>-1247241.53994667</v>
      </c>
      <c r="F3001" s="59" t="n">
        <f aca="false">F2997+F3000</f>
        <v>-1529396.58162291</v>
      </c>
      <c r="G3001" s="59" t="n">
        <f aca="false">G2997+G3000</f>
        <v>-1855450.94260087</v>
      </c>
      <c r="H3001" s="2" t="s">
        <v>1305</v>
      </c>
    </row>
    <row r="3002" customFormat="false" ht="15" hidden="false" customHeight="false" outlineLevel="0" collapsed="false">
      <c r="A3002" s="3" t="s">
        <v>1306</v>
      </c>
      <c r="B3002" s="4"/>
      <c r="C3002" s="4"/>
      <c r="D3002" s="4"/>
      <c r="E3002" s="4"/>
      <c r="F3002" s="4"/>
      <c r="G3002" s="4"/>
      <c r="H3002" s="4"/>
    </row>
    <row r="3003" customFormat="false" ht="15" hidden="false" customHeight="false" outlineLevel="1" collapsed="false">
      <c r="A3003" s="7" t="s">
        <v>687</v>
      </c>
      <c r="B3003" s="8" t="s">
        <v>10</v>
      </c>
      <c r="C3003" s="58" t="n">
        <f aca="false">C3001</f>
        <v>-754992.387558219</v>
      </c>
      <c r="D3003" s="58" t="n">
        <f aca="false">D3001</f>
        <v>-939489.16824364</v>
      </c>
      <c r="E3003" s="58" t="n">
        <f aca="false">E3001</f>
        <v>-1247241.53994667</v>
      </c>
      <c r="F3003" s="58" t="n">
        <f aca="false">F3001</f>
        <v>-1529396.58162291</v>
      </c>
      <c r="G3003" s="58" t="n">
        <f aca="false">G3001</f>
        <v>-1855450.94260087</v>
      </c>
      <c r="H3003" s="2" t="s">
        <v>1307</v>
      </c>
    </row>
    <row r="3004" customFormat="false" ht="15" hidden="false" customHeight="false" outlineLevel="1" collapsed="false">
      <c r="A3004" s="7" t="s">
        <v>688</v>
      </c>
      <c r="B3004" s="8" t="s">
        <v>10</v>
      </c>
      <c r="C3004" s="58" t="n">
        <f aca="false">0</f>
        <v>0</v>
      </c>
      <c r="D3004" s="58" t="n">
        <f aca="false">C3007</f>
        <v>754992.387558219</v>
      </c>
      <c r="E3004" s="58" t="n">
        <f aca="false">D3007</f>
        <v>1694481.55580186</v>
      </c>
      <c r="F3004" s="58" t="n">
        <f aca="false">E3007</f>
        <v>2941723.09574853</v>
      </c>
      <c r="G3004" s="58" t="n">
        <f aca="false">F3007</f>
        <v>4471119.67737144</v>
      </c>
      <c r="H3004" s="2" t="s">
        <v>1308</v>
      </c>
    </row>
    <row r="3005" customFormat="false" ht="15" hidden="false" customHeight="false" outlineLevel="1" collapsed="false">
      <c r="A3005" s="7" t="s">
        <v>689</v>
      </c>
      <c r="B3005" s="8" t="s">
        <v>10</v>
      </c>
      <c r="C3005" s="58" t="n">
        <f aca="false">MAX(0,-C3003)</f>
        <v>754992.387558219</v>
      </c>
      <c r="D3005" s="58" t="n">
        <f aca="false">MAX(0,-D3003)</f>
        <v>939489.16824364</v>
      </c>
      <c r="E3005" s="58" t="n">
        <f aca="false">MAX(0,-E3003)</f>
        <v>1247241.53994667</v>
      </c>
      <c r="F3005" s="58" t="n">
        <f aca="false">MAX(0,-F3003)</f>
        <v>1529396.58162291</v>
      </c>
      <c r="G3005" s="58" t="n">
        <f aca="false">MAX(0,-G3003)</f>
        <v>1855450.94260087</v>
      </c>
      <c r="H3005" s="2" t="s">
        <v>1309</v>
      </c>
    </row>
    <row r="3006" customFormat="false" ht="15" hidden="false" customHeight="false" outlineLevel="1" collapsed="false">
      <c r="A3006" s="7" t="s">
        <v>690</v>
      </c>
      <c r="B3006" s="8" t="s">
        <v>10</v>
      </c>
      <c r="C3006" s="58" t="n">
        <f aca="false">MIN(C3004,Pressupostos!$C$179*MAX(0,C3003))</f>
        <v>0</v>
      </c>
      <c r="D3006" s="58" t="n">
        <f aca="false">MIN(D3004,Pressupostos!$C$179*MAX(0,D3003))</f>
        <v>0</v>
      </c>
      <c r="E3006" s="58" t="n">
        <f aca="false">MIN(E3004,Pressupostos!$C$179*MAX(0,E3003))</f>
        <v>0</v>
      </c>
      <c r="F3006" s="58" t="n">
        <f aca="false">MIN(F3004,Pressupostos!$C$179*MAX(0,F3003))</f>
        <v>0</v>
      </c>
      <c r="G3006" s="58" t="n">
        <f aca="false">MIN(G3004,Pressupostos!$C$179*MAX(0,G3003))</f>
        <v>0</v>
      </c>
      <c r="H3006" s="2" t="s">
        <v>1310</v>
      </c>
    </row>
    <row r="3007" customFormat="false" ht="15" hidden="false" customHeight="false" outlineLevel="1" collapsed="false">
      <c r="A3007" s="7" t="s">
        <v>691</v>
      </c>
      <c r="B3007" s="8" t="s">
        <v>10</v>
      </c>
      <c r="C3007" s="58" t="n">
        <f aca="false">C3004+C3005-C3006</f>
        <v>754992.387558219</v>
      </c>
      <c r="D3007" s="58" t="n">
        <f aca="false">D3004+D3005-D3006</f>
        <v>1694481.55580186</v>
      </c>
      <c r="E3007" s="58" t="n">
        <f aca="false">E3004+E3005-E3006</f>
        <v>2941723.09574853</v>
      </c>
      <c r="F3007" s="58" t="n">
        <f aca="false">F3004+F3005-F3006</f>
        <v>4471119.67737144</v>
      </c>
      <c r="G3007" s="58" t="n">
        <f aca="false">G3004+G3005-G3006</f>
        <v>6326570.61997232</v>
      </c>
      <c r="H3007" s="2" t="s">
        <v>1311</v>
      </c>
    </row>
    <row r="3008" customFormat="false" ht="15" hidden="false" customHeight="false" outlineLevel="1" collapsed="false">
      <c r="A3008" s="7" t="s">
        <v>692</v>
      </c>
      <c r="B3008" s="8" t="s">
        <v>10</v>
      </c>
      <c r="C3008" s="58" t="n">
        <f aca="false">MAX(0,C3003)-C3006</f>
        <v>0</v>
      </c>
      <c r="D3008" s="58" t="n">
        <f aca="false">MAX(0,D3003)-D3006</f>
        <v>0</v>
      </c>
      <c r="E3008" s="58" t="n">
        <f aca="false">MAX(0,E3003)-E3006</f>
        <v>0</v>
      </c>
      <c r="F3008" s="58" t="n">
        <f aca="false">MAX(0,F3003)-F3006</f>
        <v>0</v>
      </c>
      <c r="G3008" s="58" t="n">
        <f aca="false">MAX(0,G3003)-G3006</f>
        <v>0</v>
      </c>
      <c r="H3008" s="2" t="s">
        <v>1312</v>
      </c>
    </row>
    <row r="3009" customFormat="false" ht="15" hidden="false" customHeight="false" outlineLevel="1" collapsed="false">
      <c r="A3009" s="7" t="s">
        <v>693</v>
      </c>
      <c r="B3009" s="8" t="s">
        <v>10</v>
      </c>
      <c r="C3009" s="58" t="n">
        <f aca="false">Pressupostos!$C$170*MIN(C3008,Pressupostos!$C$171)+Pressupostos!$C$450*MAX(0,C3008-Pressupostos!$C$171)</f>
        <v>0</v>
      </c>
      <c r="D3009" s="58" t="n">
        <f aca="false">Pressupostos!$C$170*MIN(D3008,Pressupostos!$C$171)+Pressupostos!$D$450*MAX(0,D3008-Pressupostos!$C$171)</f>
        <v>0</v>
      </c>
      <c r="E3009" s="58" t="n">
        <f aca="false">Pressupostos!$C$170*MIN(E3008,Pressupostos!$C$171)+Pressupostos!$E$450*MAX(0,E3008-Pressupostos!$C$171)</f>
        <v>0</v>
      </c>
      <c r="F3009" s="58" t="n">
        <f aca="false">Pressupostos!$C$170*MIN(F3008,Pressupostos!$C$171)+Pressupostos!$F$450*MAX(0,F3008-Pressupostos!$C$171)</f>
        <v>0</v>
      </c>
      <c r="G3009" s="58" t="n">
        <f aca="false">Pressupostos!$C$170*MIN(G3008,Pressupostos!$C$171)+Pressupostos!$G$450*MAX(0,G3008-Pressupostos!$C$171)</f>
        <v>0</v>
      </c>
      <c r="H3009" s="2" t="s">
        <v>1313</v>
      </c>
    </row>
    <row r="3010" customFormat="false" ht="15" hidden="false" customHeight="false" outlineLevel="1" collapsed="false">
      <c r="A3010" s="7" t="s">
        <v>694</v>
      </c>
      <c r="B3010" s="8" t="s">
        <v>10</v>
      </c>
      <c r="C3010" s="58" t="n">
        <f aca="false">Pressupostos!$C$172*MAX(0,C3003)</f>
        <v>0</v>
      </c>
      <c r="D3010" s="58" t="n">
        <f aca="false">Pressupostos!$C$172*MAX(0,D3003)</f>
        <v>0</v>
      </c>
      <c r="E3010" s="58" t="n">
        <f aca="false">Pressupostos!$C$172*MAX(0,E3003)</f>
        <v>0</v>
      </c>
      <c r="F3010" s="58" t="n">
        <f aca="false">Pressupostos!$C$172*MAX(0,F3003)</f>
        <v>0</v>
      </c>
      <c r="G3010" s="58" t="n">
        <f aca="false">Pressupostos!$C$172*MAX(0,G3003)</f>
        <v>0</v>
      </c>
      <c r="H3010" s="2" t="s">
        <v>1314</v>
      </c>
    </row>
    <row r="3011" customFormat="false" ht="15" hidden="false" customHeight="false" outlineLevel="1" collapsed="false">
      <c r="A3011" s="7" t="s">
        <v>695</v>
      </c>
      <c r="B3011" s="8" t="s">
        <v>10</v>
      </c>
      <c r="C3011" s="58" t="n">
        <f aca="false">Pressupostos!$C$174*MAX(0,MIN(C3003,Pressupostos!$C$175)-Pressupostos!$C$173)+Pressupostos!$C$176*MAX(0,MIN(C3003,Pressupostos!$C$177)-Pressupostos!$C$175)+Pressupostos!$C$178*MAX(0,C3003-Pressupostos!$C$177)</f>
        <v>0</v>
      </c>
      <c r="D3011" s="58" t="n">
        <f aca="false">Pressupostos!$C$174*MAX(0,MIN(D3003,Pressupostos!$C$175)-Pressupostos!$C$173)+Pressupostos!$C$176*MAX(0,MIN(D3003,Pressupostos!$C$177)-Pressupostos!$C$175)+Pressupostos!$C$178*MAX(0,D3003-Pressupostos!$C$177)</f>
        <v>0</v>
      </c>
      <c r="E3011" s="58" t="n">
        <f aca="false">Pressupostos!$C$174*MAX(0,MIN(E3003,Pressupostos!$C$175)-Pressupostos!$C$173)+Pressupostos!$C$176*MAX(0,MIN(E3003,Pressupostos!$C$177)-Pressupostos!$C$175)+Pressupostos!$C$178*MAX(0,E3003-Pressupostos!$C$177)</f>
        <v>0</v>
      </c>
      <c r="F3011" s="58" t="n">
        <f aca="false">Pressupostos!$C$174*MAX(0,MIN(F3003,Pressupostos!$C$175)-Pressupostos!$C$173)+Pressupostos!$C$176*MAX(0,MIN(F3003,Pressupostos!$C$177)-Pressupostos!$C$175)+Pressupostos!$C$178*MAX(0,F3003-Pressupostos!$C$177)</f>
        <v>0</v>
      </c>
      <c r="G3011" s="58" t="n">
        <f aca="false">Pressupostos!$C$174*MAX(0,MIN(G3003,Pressupostos!$C$175)-Pressupostos!$C$173)+Pressupostos!$C$176*MAX(0,MIN(G3003,Pressupostos!$C$177)-Pressupostos!$C$175)+Pressupostos!$C$178*MAX(0,G3003-Pressupostos!$C$177)</f>
        <v>0</v>
      </c>
      <c r="H3011" s="2" t="s">
        <v>1315</v>
      </c>
    </row>
    <row r="3012" customFormat="false" ht="15" hidden="false" customHeight="false" outlineLevel="1" collapsed="false">
      <c r="A3012" s="7" t="s">
        <v>696</v>
      </c>
      <c r="B3012" s="8" t="s">
        <v>10</v>
      </c>
      <c r="C3012" s="58" t="n">
        <f aca="false">C3009+C3010+C3011</f>
        <v>0</v>
      </c>
      <c r="D3012" s="58" t="n">
        <f aca="false">D3009+D3010+D3011</f>
        <v>0</v>
      </c>
      <c r="E3012" s="58" t="n">
        <f aca="false">E3009+E3010+E3011</f>
        <v>0</v>
      </c>
      <c r="F3012" s="58" t="n">
        <f aca="false">F3009+F3010+F3011</f>
        <v>0</v>
      </c>
      <c r="G3012" s="58" t="n">
        <f aca="false">G3009+G3010+G3011</f>
        <v>0</v>
      </c>
      <c r="H3012" s="2" t="s">
        <v>1316</v>
      </c>
    </row>
    <row r="3013" customFormat="false" ht="15" hidden="false" customHeight="false" outlineLevel="0" collapsed="false">
      <c r="A3013" s="3" t="s">
        <v>1317</v>
      </c>
      <c r="B3013" s="4"/>
      <c r="C3013" s="4"/>
      <c r="D3013" s="4"/>
      <c r="E3013" s="4"/>
      <c r="F3013" s="4"/>
      <c r="G3013" s="4"/>
      <c r="H3013" s="4"/>
    </row>
    <row r="3014" customFormat="false" ht="15" hidden="false" customHeight="false" outlineLevel="1" collapsed="false">
      <c r="A3014" s="7" t="s">
        <v>696</v>
      </c>
      <c r="B3014" s="8" t="s">
        <v>10</v>
      </c>
      <c r="C3014" s="58" t="n">
        <f aca="false">-C3012</f>
        <v>-0</v>
      </c>
      <c r="D3014" s="58" t="n">
        <f aca="false">-D3012</f>
        <v>-0</v>
      </c>
      <c r="E3014" s="58" t="n">
        <f aca="false">-E3012</f>
        <v>-0</v>
      </c>
      <c r="F3014" s="58" t="n">
        <f aca="false">-F3012</f>
        <v>-0</v>
      </c>
      <c r="G3014" s="58" t="n">
        <f aca="false">-G3012</f>
        <v>-0</v>
      </c>
      <c r="H3014" s="2" t="s">
        <v>1318</v>
      </c>
    </row>
    <row r="3015" customFormat="false" ht="15" hidden="false" customHeight="false" outlineLevel="1" collapsed="false">
      <c r="A3015" s="52" t="s">
        <v>698</v>
      </c>
      <c r="B3015" s="53" t="s">
        <v>10</v>
      </c>
      <c r="C3015" s="59" t="n">
        <f aca="false">C3001+C3014</f>
        <v>-754992.387558219</v>
      </c>
      <c r="D3015" s="59" t="n">
        <f aca="false">D3001+D3014</f>
        <v>-939489.16824364</v>
      </c>
      <c r="E3015" s="59" t="n">
        <f aca="false">E3001+E3014</f>
        <v>-1247241.53994667</v>
      </c>
      <c r="F3015" s="59" t="n">
        <f aca="false">F3001+F3014</f>
        <v>-1529396.58162291</v>
      </c>
      <c r="G3015" s="59" t="n">
        <f aca="false">G3001+G3014</f>
        <v>-1855450.94260087</v>
      </c>
      <c r="H3015" s="2" t="s">
        <v>1319</v>
      </c>
    </row>
    <row r="3016" customFormat="false" ht="15" hidden="false" customHeight="false" outlineLevel="0" collapsed="false">
      <c r="A3016" s="3" t="s">
        <v>1320</v>
      </c>
      <c r="B3016" s="4"/>
      <c r="C3016" s="4"/>
      <c r="D3016" s="4"/>
      <c r="E3016" s="4"/>
      <c r="F3016" s="4"/>
      <c r="G3016" s="4"/>
      <c r="H3016" s="4"/>
    </row>
    <row r="3017" customFormat="false" ht="15" hidden="false" customHeight="false" outlineLevel="1" collapsed="false">
      <c r="A3017" s="7" t="s">
        <v>702</v>
      </c>
      <c r="B3017" s="8" t="s">
        <v>10</v>
      </c>
      <c r="C3017" s="58" t="n">
        <f aca="false">C2801*1000*((C2817+C2820)*C2823/365)+C2802*1000*((C2840+C2843)*C2846/365)+C2803*1000*((C2863+C2866)*C2869/365)</f>
        <v>25052.0547945205</v>
      </c>
      <c r="D3017" s="58" t="n">
        <f aca="false">D2801*1000*((D2817+D2820)*D2823/365)+D2802*1000*((D2840+D2843)*D2846/365)+D2803*1000*((D2863+D2866)*D2869/365)</f>
        <v>146071.232876712</v>
      </c>
      <c r="E3017" s="58" t="n">
        <f aca="false">E2801*1000*((E2817+E2820)*E2823/365)+E2802*1000*((E2840+E2843)*E2846/365)+E2803*1000*((E2863+E2866)*E2869/365)</f>
        <v>227626.02739726</v>
      </c>
      <c r="F3017" s="58" t="n">
        <f aca="false">F2801*1000*((F2817+F2820)*F2823/365)+F2802*1000*((F2840+F2843)*F2846/365)+F2803*1000*((F2863+F2866)*F2869/365)</f>
        <v>393743.835616438</v>
      </c>
      <c r="G3017" s="58" t="n">
        <f aca="false">G2801*1000*((G2817+G2820)*G2823/365)+G2802*1000*((G2840+G2843)*G2846/365)+G2803*1000*((G2863+G2866)*G2869/365)</f>
        <v>598068.493150685</v>
      </c>
      <c r="H3017" s="2" t="s">
        <v>1321</v>
      </c>
    </row>
    <row r="3018" customFormat="false" ht="15" hidden="false" customHeight="false" outlineLevel="1" collapsed="false">
      <c r="A3018" s="7" t="s">
        <v>703</v>
      </c>
      <c r="B3018" s="8" t="s">
        <v>10</v>
      </c>
      <c r="C3018" s="58" t="n">
        <f aca="false">C3017+C2812*1000*Pressupostos!$C$90*Pressupostos!$C$93/365</f>
        <v>25052.0547945205</v>
      </c>
      <c r="D3018" s="58" t="n">
        <f aca="false">D3017+D2812*1000*Pressupostos!$C$90*Pressupostos!$C$93/365</f>
        <v>146071.232876712</v>
      </c>
      <c r="E3018" s="58" t="n">
        <f aca="false">E3017+E2812*1000*Pressupostos!$C$90*Pressupostos!$C$93/365</f>
        <v>253516.438356164</v>
      </c>
      <c r="F3018" s="58" t="n">
        <f aca="false">F3017+F2812*1000*Pressupostos!$C$90*Pressupostos!$C$93/365</f>
        <v>445524.657534247</v>
      </c>
      <c r="G3018" s="58" t="n">
        <f aca="false">G3017+G2812*1000*Pressupostos!$C$90*Pressupostos!$C$93/365</f>
        <v>684369.863013699</v>
      </c>
      <c r="H3018" s="2" t="s">
        <v>1322</v>
      </c>
    </row>
    <row r="3019" customFormat="false" ht="15" hidden="false" customHeight="false" outlineLevel="1" collapsed="false">
      <c r="A3019" s="7" t="s">
        <v>704</v>
      </c>
      <c r="B3019" s="8" t="s">
        <v>10</v>
      </c>
      <c r="C3019" s="58" t="n">
        <f aca="false">C2801*1000*(C2819*C2824/365)+C2802*1000*(C2842*C2847/365)+C2803*1000*(C2865*C2870/365)+C2890*Pressupostos!$C$94/365+C2892*Pressupostos!$C$80/365</f>
        <v>22318.5205479452</v>
      </c>
      <c r="D3019" s="58" t="n">
        <f aca="false">D2801*1000*(D2819*D2824/365)+D2802*1000*(D2842*D2847/365)+D2803*1000*(D2865*D2870/365)+D2890*Pressupostos!$C$94/365+D2892*Pressupostos!$C$80/365</f>
        <v>149169.390410959</v>
      </c>
      <c r="E3019" s="58" t="n">
        <f aca="false">E2801*1000*(E2819*E2824/365)+E2802*1000*(E2842*E2847/365)+E2803*1000*(E2865*E2870/365)+E2890*Pressupostos!$C$94/365+E2892*Pressupostos!$C$80/365</f>
        <v>334365.47260274</v>
      </c>
      <c r="F3019" s="58" t="n">
        <f aca="false">F2801*1000*(F2819*F2824/365)+F2802*1000*(F2842*F2847/365)+F2803*1000*(F2865*F2870/365)+F2890*Pressupostos!$C$94/365+F2892*Pressupostos!$C$80/365</f>
        <v>574577.815068493</v>
      </c>
      <c r="G3019" s="58" t="n">
        <f aca="false">G2801*1000*(G2819*G2824/365)+G2802*1000*(G2842*G2847/365)+G2803*1000*(G2865*G2870/365)+G2890*Pressupostos!$C$94/365+G2892*Pressupostos!$C$80/365</f>
        <v>877247.05479452</v>
      </c>
      <c r="H3019" s="2" t="s">
        <v>1323</v>
      </c>
    </row>
    <row r="3020" customFormat="false" ht="15" hidden="false" customHeight="false" outlineLevel="1" collapsed="false">
      <c r="A3020" s="7" t="s">
        <v>705</v>
      </c>
      <c r="B3020" s="8" t="s">
        <v>10</v>
      </c>
      <c r="C3020" s="58" t="n">
        <f aca="false">C2801*1000*((C2817+C2820)*Pressupostos!$C$70/365)+C2802*1000*((C2840+C2843)*Pressupostos!$C$70/365)+C2803*1000*((C2863+C2866)*Pressupostos!$C$70/365)+C2812*1000*Pressupostos!$C$90*Pressupostos!$C$95/365</f>
        <v>14860.2739726027</v>
      </c>
      <c r="D3020" s="58" t="n">
        <f aca="false">D2801*1000*((D2817+D2820)*Pressupostos!$C$70/365)+D2802*1000*((D2840+D2843)*Pressupostos!$C$70/365)+D2803*1000*((D2863+D2866)*Pressupostos!$C$70/365)+D2812*1000*Pressupostos!$C$90*Pressupostos!$C$95/365</f>
        <v>98934.2465753425</v>
      </c>
      <c r="E3020" s="58" t="n">
        <f aca="false">E2801*1000*((E2817+E2820)*Pressupostos!$C$70/365)+E2802*1000*((E2840+E2843)*Pressupostos!$C$70/365)+E2803*1000*((E2863+E2866)*Pressupostos!$C$70/365)+E2812*1000*Pressupostos!$C$90*Pressupostos!$C$95/365</f>
        <v>227942.465753425</v>
      </c>
      <c r="F3020" s="58" t="n">
        <f aca="false">F2801*1000*((F2817+F2820)*Pressupostos!$C$70/365)+F2802*1000*((F2840+F2843)*Pressupostos!$C$70/365)+F2803*1000*((F2863+F2866)*Pressupostos!$C$70/365)+F2812*1000*Pressupostos!$C$90*Pressupostos!$C$95/365</f>
        <v>394249.315068493</v>
      </c>
      <c r="G3020" s="58" t="n">
        <f aca="false">G2801*1000*((G2817+G2820)*Pressupostos!$C$70/365)+G2802*1000*((G2840+G2843)*Pressupostos!$C$70/365)+G2803*1000*((G2863+G2866)*Pressupostos!$C$70/365)+G2812*1000*Pressupostos!$C$90*Pressupostos!$C$95/365</f>
        <v>603369.863013699</v>
      </c>
      <c r="H3020" s="2" t="s">
        <v>1324</v>
      </c>
    </row>
    <row r="3021" customFormat="false" ht="15" hidden="false" customHeight="false" outlineLevel="1" collapsed="false">
      <c r="A3021" s="52" t="s">
        <v>706</v>
      </c>
      <c r="B3021" s="53" t="s">
        <v>10</v>
      </c>
      <c r="C3021" s="59" t="n">
        <f aca="false">C3018+C3019-C3020</f>
        <v>32510.301369863</v>
      </c>
      <c r="D3021" s="59" t="n">
        <f aca="false">D3018+D3019-D3020</f>
        <v>196306.376712329</v>
      </c>
      <c r="E3021" s="59" t="n">
        <f aca="false">E3018+E3019-E3020</f>
        <v>359939.445205479</v>
      </c>
      <c r="F3021" s="59" t="n">
        <f aca="false">F3018+F3019-F3020</f>
        <v>625853.157534247</v>
      </c>
      <c r="G3021" s="59" t="n">
        <f aca="false">G3018+G3019-G3020</f>
        <v>958247.05479452</v>
      </c>
      <c r="H3021" s="2" t="s">
        <v>1325</v>
      </c>
    </row>
    <row r="3022" customFormat="false" ht="15" hidden="false" customHeight="false" outlineLevel="0" collapsed="false">
      <c r="A3022" s="3" t="s">
        <v>1326</v>
      </c>
      <c r="B3022" s="4"/>
      <c r="C3022" s="4"/>
      <c r="D3022" s="4"/>
      <c r="E3022" s="4"/>
      <c r="F3022" s="4"/>
      <c r="G3022" s="4"/>
      <c r="H3022" s="4"/>
    </row>
    <row r="3023" customFormat="false" ht="15" hidden="false" customHeight="false" outlineLevel="1" collapsed="false">
      <c r="A3023" s="52" t="s">
        <v>708</v>
      </c>
      <c r="B3023" s="53" t="s">
        <v>10</v>
      </c>
      <c r="C3023" s="59" t="n">
        <f aca="false">Pressupostos!$C$277*C3021/Pressupostos!$D$31</f>
        <v>0</v>
      </c>
      <c r="D3023" s="59" t="n">
        <f aca="false">Pressupostos!$D$277*D3021/Pressupostos!$D$31</f>
        <v>220844.67380137</v>
      </c>
      <c r="E3023" s="59" t="n">
        <f aca="false">Pressupostos!$E$277*E3021/Pressupostos!$D$31</f>
        <v>404931.875856164</v>
      </c>
      <c r="F3023" s="59" t="n">
        <f aca="false">Pressupostos!$F$277*F3021/Pressupostos!$D$31</f>
        <v>704084.802226027</v>
      </c>
      <c r="G3023" s="59" t="n">
        <f aca="false">Pressupostos!$G$277*G3021/Pressupostos!$D$31</f>
        <v>1078027.93664384</v>
      </c>
      <c r="H3023" s="2" t="s">
        <v>1327</v>
      </c>
    </row>
    <row r="3024" customFormat="false" ht="15" hidden="false" customHeight="false" outlineLevel="1" collapsed="false">
      <c r="A3024" s="7" t="s">
        <v>709</v>
      </c>
      <c r="B3024" s="8" t="s">
        <v>10</v>
      </c>
      <c r="C3024" s="58" t="n">
        <f aca="false">Pressupostos!$C$277*C3021</f>
        <v>0</v>
      </c>
      <c r="D3024" s="58" t="n">
        <f aca="false">Pressupostos!$D$277*D3021</f>
        <v>176675.739041096</v>
      </c>
      <c r="E3024" s="58" t="n">
        <f aca="false">Pressupostos!$E$277*E3021</f>
        <v>323945.500684931</v>
      </c>
      <c r="F3024" s="58" t="n">
        <f aca="false">Pressupostos!$F$277*F3021</f>
        <v>563267.841780822</v>
      </c>
      <c r="G3024" s="58" t="n">
        <f aca="false">Pressupostos!$G$277*G3021</f>
        <v>862422.349315068</v>
      </c>
      <c r="H3024" s="2" t="s">
        <v>1328</v>
      </c>
    </row>
    <row r="3025" customFormat="false" ht="15" hidden="false" customHeight="false" outlineLevel="1" collapsed="false">
      <c r="A3025" s="7" t="s">
        <v>710</v>
      </c>
      <c r="B3025" s="8" t="s">
        <v>10</v>
      </c>
      <c r="C3025" s="58" t="n">
        <f aca="false">C3023-C3024</f>
        <v>0</v>
      </c>
      <c r="D3025" s="58" t="n">
        <f aca="false">D3023-D3024</f>
        <v>44168.934760274</v>
      </c>
      <c r="E3025" s="58" t="n">
        <f aca="false">E3023-E3024</f>
        <v>80986.3751712329</v>
      </c>
      <c r="F3025" s="58" t="n">
        <f aca="false">F3023-F3024</f>
        <v>140816.960445205</v>
      </c>
      <c r="G3025" s="58" t="n">
        <f aca="false">G3023-G3024</f>
        <v>215605.587328767</v>
      </c>
      <c r="H3025" s="2" t="s">
        <v>1329</v>
      </c>
    </row>
    <row r="3026" customFormat="false" ht="15" hidden="false" customHeight="false" outlineLevel="1" collapsed="false">
      <c r="A3026" s="7" t="s">
        <v>711</v>
      </c>
      <c r="B3026" s="8" t="s">
        <v>10</v>
      </c>
      <c r="C3026" s="58" t="n">
        <f aca="false">C3021-C3024</f>
        <v>32510.301369863</v>
      </c>
      <c r="D3026" s="58" t="n">
        <f aca="false">D3021-D3024</f>
        <v>19630.6376712329</v>
      </c>
      <c r="E3026" s="58" t="n">
        <f aca="false">E3021-E3024</f>
        <v>35993.9445205479</v>
      </c>
      <c r="F3026" s="58" t="n">
        <f aca="false">F3021-F3024</f>
        <v>62585.3157534247</v>
      </c>
      <c r="G3026" s="58" t="n">
        <f aca="false">G3021-G3024</f>
        <v>95824.705479452</v>
      </c>
      <c r="H3026" s="2" t="s">
        <v>1330</v>
      </c>
    </row>
    <row r="3027" customFormat="false" ht="15" hidden="false" customHeight="false" outlineLevel="1" collapsed="false">
      <c r="A3027" s="7" t="s">
        <v>712</v>
      </c>
      <c r="B3027" s="8" t="s">
        <v>10</v>
      </c>
      <c r="C3027" s="58" t="n">
        <f aca="false">MAX(0,Pressupostos!$C$106-C3026)</f>
        <v>17489.698630137</v>
      </c>
      <c r="D3027" s="58" t="n">
        <f aca="false">MAX(0,Pressupostos!$C$106-D3026)</f>
        <v>30369.3623287671</v>
      </c>
      <c r="E3027" s="58" t="n">
        <f aca="false">MAX(0,Pressupostos!$C$106-E3026)</f>
        <v>14006.0554794521</v>
      </c>
      <c r="F3027" s="58" t="n">
        <f aca="false">MAX(0,Pressupostos!$C$106-F3026)</f>
        <v>0</v>
      </c>
      <c r="G3027" s="58" t="n">
        <f aca="false">MAX(0,Pressupostos!$C$106-G3026)</f>
        <v>0</v>
      </c>
      <c r="H3027" s="2" t="s">
        <v>1331</v>
      </c>
    </row>
    <row r="3028" customFormat="false" ht="15" hidden="false" customHeight="false" outlineLevel="1" collapsed="false">
      <c r="A3028" s="7" t="s">
        <v>713</v>
      </c>
      <c r="B3028" s="8" t="s">
        <v>10</v>
      </c>
      <c r="C3028" s="58" t="n">
        <f aca="false">Pressupostos!$C$107*C3023</f>
        <v>0</v>
      </c>
      <c r="D3028" s="58" t="n">
        <f aca="false">Pressupostos!$C$107*D3023</f>
        <v>11042.2336900685</v>
      </c>
      <c r="E3028" s="58" t="n">
        <f aca="false">Pressupostos!$C$107*E3023</f>
        <v>20246.5937928082</v>
      </c>
      <c r="F3028" s="58" t="n">
        <f aca="false">Pressupostos!$C$107*F3023</f>
        <v>35204.2401113014</v>
      </c>
      <c r="G3028" s="58" t="n">
        <f aca="false">Pressupostos!$C$107*G3023</f>
        <v>53901.3968321918</v>
      </c>
      <c r="H3028" s="2" t="s">
        <v>1332</v>
      </c>
    </row>
    <row r="3029" customFormat="false" ht="15" hidden="false" customHeight="false" outlineLevel="1" collapsed="false">
      <c r="A3029" s="2" t="s">
        <v>714</v>
      </c>
      <c r="B3029" s="8" t="s">
        <v>115</v>
      </c>
      <c r="C3029" s="58" t="n">
        <f aca="false">C3023/Pressupostos!$C$110</f>
        <v>0</v>
      </c>
      <c r="D3029" s="58" t="n">
        <f aca="false">D3023/Pressupostos!$C$110</f>
        <v>4.4168934760274</v>
      </c>
      <c r="E3029" s="58" t="n">
        <f aca="false">E3023/Pressupostos!$C$110</f>
        <v>8.09863751712329</v>
      </c>
      <c r="F3029" s="58" t="n">
        <f aca="false">F3023/Pressupostos!$C$110</f>
        <v>14.0816960445205</v>
      </c>
      <c r="G3029" s="58" t="n">
        <f aca="false">G3023/Pressupostos!$C$110</f>
        <v>21.5605587328767</v>
      </c>
      <c r="H3029" s="2" t="s">
        <v>1333</v>
      </c>
    </row>
    <row r="3030" customFormat="false" ht="15" hidden="false" customHeight="false" outlineLevel="0" collapsed="false">
      <c r="A3030" s="3" t="s">
        <v>1334</v>
      </c>
      <c r="B3030" s="4"/>
      <c r="C3030" s="4"/>
      <c r="D3030" s="4"/>
      <c r="E3030" s="4"/>
      <c r="F3030" s="4"/>
      <c r="G3030" s="4"/>
      <c r="H3030" s="4"/>
    </row>
    <row r="3031" customFormat="false" ht="15" hidden="false" customHeight="false" outlineLevel="1" collapsed="false">
      <c r="A3031" s="7" t="s">
        <v>681</v>
      </c>
      <c r="B3031" s="8" t="s">
        <v>10</v>
      </c>
      <c r="C3031" s="58" t="n">
        <f aca="false">C2997</f>
        <v>-727892.387558219</v>
      </c>
      <c r="D3031" s="58" t="n">
        <f aca="false">D2997</f>
        <v>-899489.16824364</v>
      </c>
      <c r="E3031" s="58" t="n">
        <f aca="false">E2997</f>
        <v>-1193341.53994667</v>
      </c>
      <c r="F3031" s="58" t="n">
        <f aca="false">F2997</f>
        <v>-1484929.91495624</v>
      </c>
      <c r="G3031" s="58" t="n">
        <f aca="false">G2997</f>
        <v>-1813917.60926754</v>
      </c>
      <c r="H3031" s="2" t="s">
        <v>1335</v>
      </c>
    </row>
    <row r="3032" customFormat="false" ht="15" hidden="false" customHeight="false" outlineLevel="1" collapsed="false">
      <c r="A3032" s="7" t="s">
        <v>716</v>
      </c>
      <c r="B3032" s="8" t="s">
        <v>10</v>
      </c>
      <c r="C3032" s="58" t="n">
        <f aca="false">-C3012</f>
        <v>-0</v>
      </c>
      <c r="D3032" s="58" t="n">
        <f aca="false">-D3012</f>
        <v>-0</v>
      </c>
      <c r="E3032" s="58" t="n">
        <f aca="false">-E3012</f>
        <v>-0</v>
      </c>
      <c r="F3032" s="58" t="n">
        <f aca="false">-F3012</f>
        <v>-0</v>
      </c>
      <c r="G3032" s="58" t="n">
        <f aca="false">-G3012</f>
        <v>-0</v>
      </c>
      <c r="H3032" s="2" t="s">
        <v>1336</v>
      </c>
    </row>
    <row r="3033" customFormat="false" ht="15" hidden="false" customHeight="false" outlineLevel="1" collapsed="false">
      <c r="A3033" s="7" t="s">
        <v>717</v>
      </c>
      <c r="B3033" s="8" t="s">
        <v>10</v>
      </c>
      <c r="C3033" s="58" t="n">
        <f aca="false">-C3021</f>
        <v>-32510.301369863</v>
      </c>
      <c r="D3033" s="58" t="n">
        <f aca="false">-(D3021-C3021)</f>
        <v>-163796.075342466</v>
      </c>
      <c r="E3033" s="58" t="n">
        <f aca="false">-(E3021-D3021)</f>
        <v>-163633.068493151</v>
      </c>
      <c r="F3033" s="58" t="n">
        <f aca="false">-(F3021-E3021)</f>
        <v>-265913.712328767</v>
      </c>
      <c r="G3033" s="58" t="n">
        <f aca="false">-(G3021-F3021)</f>
        <v>-332393.897260274</v>
      </c>
      <c r="H3033" s="2" t="s">
        <v>1337</v>
      </c>
    </row>
    <row r="3034" customFormat="false" ht="15" hidden="false" customHeight="false" outlineLevel="1" collapsed="false">
      <c r="A3034" s="7" t="s">
        <v>407</v>
      </c>
      <c r="B3034" s="8" t="s">
        <v>10</v>
      </c>
      <c r="C3034" s="58" t="n">
        <f aca="false">-C2982</f>
        <v>-92000</v>
      </c>
      <c r="D3034" s="58" t="n">
        <f aca="false">-D2982</f>
        <v>-44000</v>
      </c>
      <c r="E3034" s="58" t="n">
        <f aca="false">-E2982</f>
        <v>-48000</v>
      </c>
      <c r="F3034" s="58" t="n">
        <f aca="false">-F2982</f>
        <v>-38000</v>
      </c>
      <c r="G3034" s="58" t="n">
        <f aca="false">-G2982</f>
        <v>-38000</v>
      </c>
      <c r="H3034" s="2" t="s">
        <v>1338</v>
      </c>
    </row>
    <row r="3035" customFormat="false" ht="15" hidden="false" customHeight="false" outlineLevel="1" collapsed="false">
      <c r="A3035" s="7" t="s">
        <v>718</v>
      </c>
      <c r="B3035" s="8" t="s">
        <v>10</v>
      </c>
      <c r="C3035" s="58" t="n">
        <f aca="false">C3031+C3032+C3033+C3034</f>
        <v>-852402.688928082</v>
      </c>
      <c r="D3035" s="58" t="n">
        <f aca="false">D3031+D3032+D3033+D3034</f>
        <v>-1107285.24358611</v>
      </c>
      <c r="E3035" s="58" t="n">
        <f aca="false">E3031+E3032+E3033+E3034</f>
        <v>-1404974.60843982</v>
      </c>
      <c r="F3035" s="58" t="n">
        <f aca="false">F3031+F3032+F3033+F3034</f>
        <v>-1788843.62728501</v>
      </c>
      <c r="G3035" s="58" t="n">
        <f aca="false">G3031+G3032+G3033+G3034</f>
        <v>-2184311.50652781</v>
      </c>
      <c r="H3035" s="2" t="s">
        <v>1339</v>
      </c>
    </row>
    <row r="3036" customFormat="false" ht="15" hidden="false" customHeight="false" outlineLevel="1" collapsed="false">
      <c r="A3036" s="7" t="s">
        <v>719</v>
      </c>
      <c r="B3036" s="8" t="s">
        <v>10</v>
      </c>
      <c r="C3036" s="58" t="n">
        <f aca="false">C3023</f>
        <v>0</v>
      </c>
      <c r="D3036" s="58" t="n">
        <f aca="false">D3023-C3023</f>
        <v>220844.67380137</v>
      </c>
      <c r="E3036" s="58" t="n">
        <f aca="false">E3023-D3023</f>
        <v>184087.202054794</v>
      </c>
      <c r="F3036" s="58" t="n">
        <f aca="false">F3023-E3023</f>
        <v>299152.926369863</v>
      </c>
      <c r="G3036" s="58" t="n">
        <f aca="false">G3023-F3023</f>
        <v>373943.134417808</v>
      </c>
      <c r="H3036" s="2" t="s">
        <v>1340</v>
      </c>
    </row>
    <row r="3037" customFormat="false" ht="15" hidden="false" customHeight="false" outlineLevel="1" collapsed="false">
      <c r="A3037" s="7" t="s">
        <v>720</v>
      </c>
      <c r="B3037" s="8" t="s">
        <v>10</v>
      </c>
      <c r="C3037" s="58" t="n">
        <f aca="false">-C3025</f>
        <v>-0</v>
      </c>
      <c r="D3037" s="58" t="n">
        <f aca="false">-(D3025-C3025)</f>
        <v>-44168.934760274</v>
      </c>
      <c r="E3037" s="58" t="n">
        <f aca="false">-(E3025-D3025)</f>
        <v>-36817.4404109589</v>
      </c>
      <c r="F3037" s="58" t="n">
        <f aca="false">-(F3025-E3025)</f>
        <v>-59830.5852739726</v>
      </c>
      <c r="G3037" s="58" t="n">
        <f aca="false">-(G3025-F3025)</f>
        <v>-74788.6268835615</v>
      </c>
      <c r="H3037" s="2" t="s">
        <v>1341</v>
      </c>
    </row>
    <row r="3038" customFormat="false" ht="15" hidden="false" customHeight="false" outlineLevel="1" collapsed="false">
      <c r="A3038" s="7" t="s">
        <v>721</v>
      </c>
      <c r="B3038" s="8" t="s">
        <v>10</v>
      </c>
      <c r="C3038" s="58" t="n">
        <f aca="false">-C3028</f>
        <v>-0</v>
      </c>
      <c r="D3038" s="58" t="n">
        <f aca="false">-(D3028-C3028)</f>
        <v>-11042.2336900685</v>
      </c>
      <c r="E3038" s="58" t="n">
        <f aca="false">-(E3028-D3028)</f>
        <v>-9204.36010273972</v>
      </c>
      <c r="F3038" s="58" t="n">
        <f aca="false">-(F3028-E3028)</f>
        <v>-14957.6463184932</v>
      </c>
      <c r="G3038" s="58" t="n">
        <f aca="false">-(G3028-F3028)</f>
        <v>-18697.1567208904</v>
      </c>
      <c r="H3038" s="2" t="s">
        <v>1342</v>
      </c>
    </row>
    <row r="3039" customFormat="false" ht="15" hidden="false" customHeight="false" outlineLevel="1" collapsed="false">
      <c r="A3039" s="7" t="s">
        <v>722</v>
      </c>
      <c r="B3039" s="8" t="s">
        <v>10</v>
      </c>
      <c r="C3039" s="58" t="n">
        <f aca="false">-(C3027-Pressupostos!$C$106)</f>
        <v>32510.301369863</v>
      </c>
      <c r="D3039" s="58" t="n">
        <f aca="false">-(D3027-C3027)</f>
        <v>-12879.6636986301</v>
      </c>
      <c r="E3039" s="58" t="n">
        <f aca="false">-(E3027-D3027)</f>
        <v>16363.3068493151</v>
      </c>
      <c r="F3039" s="58" t="n">
        <f aca="false">-(F3027-E3027)</f>
        <v>14006.0554794521</v>
      </c>
      <c r="G3039" s="58" t="n">
        <f aca="false">-(G3027-F3027)</f>
        <v>-0</v>
      </c>
      <c r="H3039" s="2" t="s">
        <v>1343</v>
      </c>
    </row>
    <row r="3040" customFormat="false" ht="15" hidden="false" customHeight="false" outlineLevel="1" collapsed="false">
      <c r="A3040" s="52" t="s">
        <v>723</v>
      </c>
      <c r="B3040" s="53" t="s">
        <v>10</v>
      </c>
      <c r="C3040" s="59" t="n">
        <f aca="false">C3035+C3036+C3037+C3038+C3039</f>
        <v>-819892.387558219</v>
      </c>
      <c r="D3040" s="59" t="n">
        <f aca="false">D3035+D3036+D3037+D3038+D3039</f>
        <v>-954531.401933709</v>
      </c>
      <c r="E3040" s="59" t="n">
        <f aca="false">E3035+E3036+E3037+E3038+E3039</f>
        <v>-1250545.90004941</v>
      </c>
      <c r="F3040" s="59" t="n">
        <f aca="false">F3035+F3036+F3037+F3038+F3039</f>
        <v>-1550472.87702816</v>
      </c>
      <c r="G3040" s="59" t="n">
        <f aca="false">G3035+G3036+G3037+G3038+G3039</f>
        <v>-1903854.15571446</v>
      </c>
      <c r="H3040" s="2" t="s">
        <v>1344</v>
      </c>
    </row>
    <row r="3041" customFormat="false" ht="15" hidden="false" customHeight="false" outlineLevel="1" collapsed="false">
      <c r="A3041" s="52" t="s">
        <v>724</v>
      </c>
      <c r="B3041" s="53" t="s">
        <v>10</v>
      </c>
      <c r="C3041" s="59" t="n">
        <f aca="false">C3040</f>
        <v>-819892.387558219</v>
      </c>
      <c r="D3041" s="59" t="n">
        <f aca="false">C3041+D3040</f>
        <v>-1774423.78949193</v>
      </c>
      <c r="E3041" s="59" t="n">
        <f aca="false">D3041+E3040</f>
        <v>-3024969.68954134</v>
      </c>
      <c r="F3041" s="59" t="n">
        <f aca="false">E3041+F3040</f>
        <v>-4575442.5665695</v>
      </c>
      <c r="G3041" s="59" t="n">
        <f aca="false">F3041+G3040</f>
        <v>-6479296.72228396</v>
      </c>
      <c r="H3041" s="2" t="s">
        <v>1345</v>
      </c>
    </row>
    <row r="3042" customFormat="false" ht="15" hidden="false" customHeight="false" outlineLevel="1" collapsed="false">
      <c r="A3042" s="8" t="s">
        <v>725</v>
      </c>
      <c r="B3042" s="8" t="s">
        <v>10</v>
      </c>
      <c r="C3042" s="66" t="n">
        <f aca="false">ROUND(C2997-C2982-C3012-(MAX(C3026,Pressupostos!$C$106)-Pressupostos!$C$106)-(C3028)-C3040,6)</f>
        <v>0</v>
      </c>
      <c r="D3042" s="66" t="n">
        <f aca="false">ROUND(D2997-D2982-D3012-(MAX(D3026,Pressupostos!$C$106)-MAX(C3026,Pressupostos!$C$106))-(D3028-C3028)-D3040,6)</f>
        <v>0</v>
      </c>
      <c r="E3042" s="66" t="n">
        <f aca="false">ROUND(E2997-E2982-E3012-(MAX(E3026,Pressupostos!$C$106)-MAX(D3026,Pressupostos!$C$106))-(E3028-D3028)-E3040,6)</f>
        <v>0</v>
      </c>
      <c r="F3042" s="66" t="n">
        <f aca="false">ROUND(F2997-F2982-F3012-(MAX(F3026,Pressupostos!$C$106)-MAX(E3026,Pressupostos!$C$106))-(F3028-E3028)-F3040,6)</f>
        <v>0</v>
      </c>
      <c r="G3042" s="66" t="n">
        <f aca="false">ROUND(G2997-G2982-G3012-(MAX(G3026,Pressupostos!$C$106)-MAX(F3026,Pressupostos!$C$106))-(G3028-F3028)-G3040,6)</f>
        <v>0</v>
      </c>
      <c r="H3042" s="2" t="s">
        <v>1346</v>
      </c>
    </row>
    <row r="3043" customFormat="false" ht="15" hidden="false" customHeight="false" outlineLevel="0" collapsed="false">
      <c r="A3043" s="3" t="s">
        <v>1347</v>
      </c>
      <c r="B3043" s="4"/>
      <c r="C3043" s="4"/>
      <c r="D3043" s="4"/>
      <c r="E3043" s="4"/>
      <c r="F3043" s="4"/>
      <c r="G3043" s="4"/>
      <c r="H3043" s="4"/>
    </row>
    <row r="3044" customFormat="false" ht="15" hidden="false" customHeight="false" outlineLevel="1" collapsed="false">
      <c r="A3044" s="7" t="s">
        <v>727</v>
      </c>
      <c r="B3044" s="8" t="s">
        <v>10</v>
      </c>
      <c r="C3044" s="58" t="n">
        <f aca="false">0</f>
        <v>0</v>
      </c>
      <c r="D3044" s="58" t="n">
        <f aca="false">C3049</f>
        <v>150000</v>
      </c>
      <c r="E3044" s="58" t="n">
        <f aca="false">D3049</f>
        <v>150000</v>
      </c>
      <c r="F3044" s="58" t="n">
        <f aca="false">E3049</f>
        <v>150000</v>
      </c>
      <c r="G3044" s="58" t="n">
        <f aca="false">F3049</f>
        <v>150000</v>
      </c>
      <c r="H3044" s="2" t="s">
        <v>1348</v>
      </c>
    </row>
    <row r="3045" customFormat="false" ht="15" hidden="false" customHeight="false" outlineLevel="1" collapsed="false">
      <c r="A3045" s="7" t="s">
        <v>728</v>
      </c>
      <c r="B3045" s="8" t="s">
        <v>10</v>
      </c>
      <c r="C3045" s="58" t="n">
        <f aca="false">-(Pressupostos!$C$157+Pressupostos!$C$158+Pressupostos!$C$159+Pressupostos!$C$160+Pressupostos!$C$161+Pressupostos!$C$106)</f>
        <v>-145000</v>
      </c>
      <c r="D3045" s="58" t="n">
        <f aca="false">0</f>
        <v>0</v>
      </c>
      <c r="E3045" s="58" t="n">
        <f aca="false">0</f>
        <v>0</v>
      </c>
      <c r="F3045" s="58" t="n">
        <f aca="false">0</f>
        <v>0</v>
      </c>
      <c r="G3045" s="58" t="n">
        <f aca="false">0</f>
        <v>0</v>
      </c>
      <c r="H3045" s="2" t="s">
        <v>1349</v>
      </c>
    </row>
    <row r="3046" customFormat="false" ht="15" hidden="false" customHeight="false" outlineLevel="1" collapsed="false">
      <c r="A3046" s="7" t="s">
        <v>729</v>
      </c>
      <c r="B3046" s="8" t="s">
        <v>10</v>
      </c>
      <c r="C3046" s="50" t="n">
        <f aca="false">Pressupostos!$D$32</f>
        <v>1100000</v>
      </c>
      <c r="D3046" s="58" t="n">
        <f aca="false">0</f>
        <v>0</v>
      </c>
      <c r="E3046" s="58" t="n">
        <f aca="false">0</f>
        <v>0</v>
      </c>
      <c r="F3046" s="58" t="n">
        <f aca="false">0</f>
        <v>0</v>
      </c>
      <c r="G3046" s="58" t="n">
        <f aca="false">0</f>
        <v>0</v>
      </c>
      <c r="H3046" s="2" t="s">
        <v>1350</v>
      </c>
    </row>
    <row r="3047" customFormat="false" ht="15" hidden="false" customHeight="false" outlineLevel="1" collapsed="false">
      <c r="A3047" s="7" t="s">
        <v>730</v>
      </c>
      <c r="B3047" s="8" t="s">
        <v>10</v>
      </c>
      <c r="C3047" s="58" t="n">
        <f aca="false">C3044+C3045+C3046+C3040</f>
        <v>135107.612441781</v>
      </c>
      <c r="D3047" s="58" t="n">
        <f aca="false">D3044+D3045+D3046+D3040</f>
        <v>-804531.401933709</v>
      </c>
      <c r="E3047" s="58" t="n">
        <f aca="false">E3044+E3045+E3046+E3040</f>
        <v>-1100545.90004941</v>
      </c>
      <c r="F3047" s="58" t="n">
        <f aca="false">F3044+F3045+F3046+F3040</f>
        <v>-1400472.87702816</v>
      </c>
      <c r="G3047" s="58" t="n">
        <f aca="false">G3044+G3045+G3046+G3040</f>
        <v>-1753854.15571446</v>
      </c>
      <c r="H3047" s="2" t="s">
        <v>1351</v>
      </c>
    </row>
    <row r="3048" customFormat="false" ht="15" hidden="false" customHeight="false" outlineLevel="1" collapsed="false">
      <c r="A3048" s="52" t="s">
        <v>731</v>
      </c>
      <c r="B3048" s="53" t="s">
        <v>10</v>
      </c>
      <c r="C3048" s="59" t="n">
        <f aca="false">MAX(0,Pressupostos!$C$168-C3047)</f>
        <v>14892.3875582193</v>
      </c>
      <c r="D3048" s="59" t="n">
        <f aca="false">MAX(0,Pressupostos!$C$168-D3047)</f>
        <v>954531.401933709</v>
      </c>
      <c r="E3048" s="59" t="n">
        <f aca="false">MAX(0,Pressupostos!$C$168-E3047)</f>
        <v>1250545.90004941</v>
      </c>
      <c r="F3048" s="59" t="n">
        <f aca="false">MAX(0,Pressupostos!$C$168-F3047)</f>
        <v>1550472.87702816</v>
      </c>
      <c r="G3048" s="59" t="n">
        <f aca="false">MAX(0,Pressupostos!$C$168-G3047)</f>
        <v>1903854.15571446</v>
      </c>
      <c r="H3048" s="2" t="s">
        <v>1352</v>
      </c>
    </row>
    <row r="3049" customFormat="false" ht="15" hidden="false" customHeight="false" outlineLevel="1" collapsed="false">
      <c r="A3049" s="52" t="s">
        <v>732</v>
      </c>
      <c r="B3049" s="53" t="s">
        <v>10</v>
      </c>
      <c r="C3049" s="59" t="n">
        <f aca="false">C3047+C3048</f>
        <v>150000</v>
      </c>
      <c r="D3049" s="59" t="n">
        <f aca="false">D3047+D3048</f>
        <v>150000</v>
      </c>
      <c r="E3049" s="59" t="n">
        <f aca="false">E3047+E3048</f>
        <v>150000</v>
      </c>
      <c r="F3049" s="59" t="n">
        <f aca="false">F3047+F3048</f>
        <v>150000</v>
      </c>
      <c r="G3049" s="59" t="n">
        <f aca="false">G3047+G3048</f>
        <v>150000</v>
      </c>
      <c r="H3049" s="2" t="s">
        <v>1353</v>
      </c>
    </row>
    <row r="3050" customFormat="false" ht="15" hidden="false" customHeight="false" outlineLevel="1" collapsed="false">
      <c r="A3050" s="7" t="s">
        <v>733</v>
      </c>
      <c r="B3050" s="8" t="s">
        <v>10</v>
      </c>
      <c r="C3050" s="58" t="n">
        <f aca="false">C3025+C3028+C3027</f>
        <v>17489.698630137</v>
      </c>
      <c r="D3050" s="58" t="n">
        <f aca="false">D3025+D3028+D3027</f>
        <v>85580.5307791096</v>
      </c>
      <c r="E3050" s="58" t="n">
        <f aca="false">E3025+E3028+E3027</f>
        <v>115239.024443493</v>
      </c>
      <c r="F3050" s="58" t="n">
        <f aca="false">F3025+F3028+F3027</f>
        <v>176021.200556507</v>
      </c>
      <c r="G3050" s="58" t="n">
        <f aca="false">G3025+G3028+G3027</f>
        <v>269506.984160959</v>
      </c>
      <c r="H3050" s="2" t="s">
        <v>1354</v>
      </c>
    </row>
    <row r="3051" customFormat="false" ht="15" hidden="false" customHeight="false" outlineLevel="1" collapsed="false">
      <c r="A3051" s="7" t="s">
        <v>734</v>
      </c>
      <c r="B3051" s="8" t="s">
        <v>10</v>
      </c>
      <c r="C3051" s="58" t="n">
        <f aca="false">C3049+C3050</f>
        <v>167489.698630137</v>
      </c>
      <c r="D3051" s="58" t="n">
        <f aca="false">D3049+D3050</f>
        <v>235580.53077911</v>
      </c>
      <c r="E3051" s="58" t="n">
        <f aca="false">E3049+E3050</f>
        <v>265239.024443493</v>
      </c>
      <c r="F3051" s="58" t="n">
        <f aca="false">F3049+F3050</f>
        <v>326021.200556507</v>
      </c>
      <c r="G3051" s="58" t="n">
        <f aca="false">G3049+G3050</f>
        <v>419506.984160959</v>
      </c>
      <c r="H3051" s="2" t="s">
        <v>1355</v>
      </c>
    </row>
    <row r="3052" customFormat="false" ht="15" hidden="false" customHeight="false" outlineLevel="1" collapsed="false">
      <c r="A3052" s="7" t="s">
        <v>735</v>
      </c>
      <c r="B3052" s="8" t="s">
        <v>10</v>
      </c>
      <c r="C3052" s="58" t="n">
        <f aca="false">C3046+C3048</f>
        <v>1114892.38755822</v>
      </c>
      <c r="D3052" s="58" t="n">
        <f aca="false">C3052+D3046+D3048</f>
        <v>2069423.78949193</v>
      </c>
      <c r="E3052" s="58" t="n">
        <f aca="false">D3052+E3046+E3048</f>
        <v>3319969.68954134</v>
      </c>
      <c r="F3052" s="58" t="n">
        <f aca="false">E3052+F3046+F3048</f>
        <v>4870442.5665695</v>
      </c>
      <c r="G3052" s="58" t="n">
        <f aca="false">F3052+G3046+G3048</f>
        <v>6774296.72228396</v>
      </c>
      <c r="H3052" s="2" t="s">
        <v>1356</v>
      </c>
    </row>
    <row r="3053" customFormat="false" ht="15" hidden="false" customHeight="false" outlineLevel="0" collapsed="false">
      <c r="A3053" s="3" t="s">
        <v>1357</v>
      </c>
      <c r="B3053" s="4"/>
      <c r="C3053" s="4"/>
      <c r="D3053" s="4"/>
      <c r="E3053" s="4"/>
      <c r="F3053" s="4"/>
      <c r="G3053" s="4"/>
      <c r="H3053" s="4"/>
    </row>
    <row r="3054" customFormat="false" ht="15" hidden="false" customHeight="false" outlineLevel="1" collapsed="false">
      <c r="A3054" s="7" t="s">
        <v>739</v>
      </c>
      <c r="B3054" s="8" t="s">
        <v>10</v>
      </c>
      <c r="C3054" s="68" t="n">
        <f aca="false">Pressupostos!$C$157+Pressupostos!$C$158+Pressupostos!$C$159+Pressupostos!$C$160+Pressupostos!$C$161</f>
        <v>95000</v>
      </c>
      <c r="H3054" s="2" t="s">
        <v>1358</v>
      </c>
    </row>
    <row r="3055" customFormat="false" ht="15" hidden="false" customHeight="false" outlineLevel="1" collapsed="false">
      <c r="A3055" s="7" t="s">
        <v>740</v>
      </c>
      <c r="B3055" s="8" t="s">
        <v>10</v>
      </c>
      <c r="C3055" s="69" t="n">
        <f aca="false">Pressupostos!$C$106</f>
        <v>50000</v>
      </c>
      <c r="H3055" s="2" t="s">
        <v>1359</v>
      </c>
    </row>
    <row r="3056" customFormat="false" ht="15" hidden="false" customHeight="false" outlineLevel="1" collapsed="false">
      <c r="A3056" s="7" t="s">
        <v>312</v>
      </c>
      <c r="B3056" s="8" t="s">
        <v>10</v>
      </c>
      <c r="C3056" s="69" t="n">
        <f aca="false">Pressupostos!$C$168</f>
        <v>150000</v>
      </c>
      <c r="H3056" s="2" t="s">
        <v>1360</v>
      </c>
    </row>
    <row r="3057" customFormat="false" ht="15" hidden="false" customHeight="false" outlineLevel="1" collapsed="false">
      <c r="A3057" s="7" t="s">
        <v>741</v>
      </c>
      <c r="B3057" s="8" t="s">
        <v>10</v>
      </c>
      <c r="C3057" s="68" t="n">
        <f aca="false">MAX(0,-MIN($C$3041:$G$3041))</f>
        <v>6479296.72228396</v>
      </c>
      <c r="H3057" s="2" t="s">
        <v>1361</v>
      </c>
    </row>
    <row r="3058" customFormat="false" ht="15" hidden="false" customHeight="false" outlineLevel="1" collapsed="false">
      <c r="A3058" s="52" t="s">
        <v>14</v>
      </c>
      <c r="B3058" s="53" t="s">
        <v>10</v>
      </c>
      <c r="C3058" s="70" t="n">
        <f aca="false">C3054+C3055+C3056+C3057</f>
        <v>6774296.72228396</v>
      </c>
      <c r="H3058" s="2" t="s">
        <v>1362</v>
      </c>
    </row>
    <row r="3059" customFormat="false" ht="15" hidden="false" customHeight="false" outlineLevel="1" collapsed="false">
      <c r="A3059" s="7" t="s">
        <v>742</v>
      </c>
      <c r="B3059" s="8" t="s">
        <v>18</v>
      </c>
      <c r="C3059" s="71" t="n">
        <f aca="false">INDEX($C$2798:$G$2798,1,MATCH(MIN($C$3041:$G$3041),$C$3041:$G$3041,0))</f>
        <v>2031</v>
      </c>
      <c r="H3059" s="2" t="s">
        <v>1363</v>
      </c>
    </row>
    <row r="3060" customFormat="false" ht="15" hidden="false" customHeight="false" outlineLevel="1" collapsed="false">
      <c r="A3060" s="7" t="s">
        <v>743</v>
      </c>
      <c r="B3060" s="8"/>
      <c r="C3060" s="72" t="str">
        <f aca="false">IF(G3040&lt;0,"sim","não")</f>
        <v>sim</v>
      </c>
      <c r="H3060" s="2" t="s">
        <v>1364</v>
      </c>
    </row>
    <row r="3061" customFormat="false" ht="15" hidden="false" customHeight="false" outlineLevel="1" collapsed="false">
      <c r="A3061" s="7" t="s">
        <v>744</v>
      </c>
      <c r="B3061" s="8" t="s">
        <v>10</v>
      </c>
      <c r="C3061" s="68" t="n">
        <f aca="false">G3052</f>
        <v>6774296.72228396</v>
      </c>
      <c r="H3061" s="2" t="s">
        <v>1365</v>
      </c>
    </row>
    <row r="3062" customFormat="false" ht="15" hidden="false" customHeight="false" outlineLevel="0" collapsed="false">
      <c r="A3062" s="3" t="s">
        <v>1366</v>
      </c>
      <c r="B3062" s="4"/>
      <c r="C3062" s="4"/>
      <c r="D3062" s="4"/>
      <c r="E3062" s="4"/>
      <c r="F3062" s="4"/>
      <c r="G3062" s="4"/>
      <c r="H3062" s="4"/>
    </row>
    <row r="3063" customFormat="false" ht="15" hidden="false" customHeight="false" outlineLevel="1" collapsed="false">
      <c r="A3063" s="7" t="s">
        <v>746</v>
      </c>
      <c r="B3063" s="8" t="s">
        <v>10</v>
      </c>
      <c r="C3063" s="68" t="n">
        <f aca="false">C3054+C3055</f>
        <v>145000</v>
      </c>
      <c r="H3063" s="2" t="s">
        <v>1367</v>
      </c>
    </row>
    <row r="3064" customFormat="false" ht="15" hidden="false" customHeight="false" outlineLevel="1" collapsed="false">
      <c r="A3064" s="7" t="s">
        <v>747</v>
      </c>
      <c r="B3064" s="8" t="s">
        <v>10</v>
      </c>
      <c r="C3064" s="68" t="n">
        <f aca="false">-SUMPRODUCT(($C$2798:$G$2798&lt;=C3059)*$C$2997:$G$2997)</f>
        <v>6119570.61997231</v>
      </c>
      <c r="H3064" s="2" t="s">
        <v>1368</v>
      </c>
    </row>
    <row r="3065" customFormat="false" ht="15" hidden="false" customHeight="false" outlineLevel="1" collapsed="false">
      <c r="A3065" s="7" t="s">
        <v>407</v>
      </c>
      <c r="B3065" s="8" t="s">
        <v>10</v>
      </c>
      <c r="C3065" s="68" t="n">
        <f aca="false">SUMPRODUCT(($C$2798:$G$2798&lt;=C3059)*$C$2982:$G$2982)</f>
        <v>260000</v>
      </c>
      <c r="H3065" s="2" t="s">
        <v>1369</v>
      </c>
    </row>
    <row r="3066" customFormat="false" ht="15" hidden="false" customHeight="false" outlineLevel="1" collapsed="false">
      <c r="A3066" s="7" t="s">
        <v>748</v>
      </c>
      <c r="B3066" s="8" t="s">
        <v>10</v>
      </c>
      <c r="C3066" s="68" t="n">
        <f aca="false">SUMPRODUCT(($C$2798:$G$2798&lt;=C3059)*$C$3012:$G$3012)</f>
        <v>0</v>
      </c>
      <c r="H3066" s="2" t="s">
        <v>1370</v>
      </c>
    </row>
    <row r="3067" customFormat="false" ht="15" hidden="false" customHeight="false" outlineLevel="1" collapsed="false">
      <c r="A3067" s="7" t="s">
        <v>749</v>
      </c>
      <c r="B3067" s="8" t="s">
        <v>10</v>
      </c>
      <c r="C3067" s="68" t="n">
        <f aca="false">C3057-C3064-C3065-C3066</f>
        <v>99726.1023116438</v>
      </c>
      <c r="H3067" s="2" t="s">
        <v>1371</v>
      </c>
    </row>
    <row r="3068" customFormat="false" ht="15" hidden="false" customHeight="false" outlineLevel="1" collapsed="false">
      <c r="A3068" s="7" t="s">
        <v>312</v>
      </c>
      <c r="B3068" s="8" t="s">
        <v>10</v>
      </c>
      <c r="C3068" s="68" t="n">
        <f aca="false">C3056</f>
        <v>150000</v>
      </c>
      <c r="H3068" s="2" t="s">
        <v>1372</v>
      </c>
    </row>
    <row r="3069" customFormat="false" ht="15" hidden="false" customHeight="false" outlineLevel="1" collapsed="false">
      <c r="A3069" s="52" t="s">
        <v>750</v>
      </c>
      <c r="B3069" s="53" t="s">
        <v>10</v>
      </c>
      <c r="C3069" s="70" t="n">
        <f aca="false">C3063+C3064+C3065+C3066+C3067+C3068</f>
        <v>6774296.72228396</v>
      </c>
      <c r="H3069" s="2" t="s">
        <v>1373</v>
      </c>
    </row>
    <row r="3070" customFormat="false" ht="15" hidden="false" customHeight="false" outlineLevel="0" collapsed="false">
      <c r="A3070" s="3" t="s">
        <v>1374</v>
      </c>
      <c r="B3070" s="4"/>
      <c r="C3070" s="4"/>
      <c r="D3070" s="4"/>
      <c r="E3070" s="4"/>
      <c r="F3070" s="4"/>
      <c r="G3070" s="4"/>
      <c r="H3070" s="4"/>
    </row>
    <row r="3071" customFormat="false" ht="15" hidden="false" customHeight="false" outlineLevel="1" collapsed="false">
      <c r="A3071" s="7" t="s">
        <v>729</v>
      </c>
      <c r="B3071" s="8" t="s">
        <v>10</v>
      </c>
      <c r="C3071" s="69" t="n">
        <f aca="false">Pressupostos!$D$32</f>
        <v>1100000</v>
      </c>
      <c r="H3071" s="2" t="s">
        <v>1375</v>
      </c>
    </row>
    <row r="3072" customFormat="false" ht="15" hidden="false" customHeight="false" outlineLevel="1" collapsed="false">
      <c r="A3072" s="7" t="s">
        <v>752</v>
      </c>
      <c r="B3072" s="8" t="s">
        <v>10</v>
      </c>
      <c r="C3072" s="68" t="n">
        <f aca="false">C3054+Pressupostos!$C$106+Pressupostos!$C$128/12*((C2958-C2946-C2947+(C2946+C2947)/Pressupostos!$C$126*Pressupostos!$C$127)*(1+Pressupostos!$C$122+Pressupostos!$C$123)+C2944*Pressupostos!$C$124+C2977)+C2982+MAX(0,Pressupostos!$C$181*1000*(C2817+C2820)+Pressupostos!$C$182*1000*(C2840+C2843)-Pressupostos!$C$106)</f>
        <v>713421.666666667</v>
      </c>
      <c r="H3072" s="2" t="s">
        <v>1376</v>
      </c>
    </row>
    <row r="3073" customFormat="false" ht="15" hidden="false" customHeight="false" outlineLevel="1" collapsed="false">
      <c r="A3073" s="7" t="s">
        <v>754</v>
      </c>
      <c r="B3073" s="8" t="s">
        <v>10</v>
      </c>
      <c r="C3073" s="68" t="n">
        <f aca="false">C3054+Pressupostos!$C$106-C3040</f>
        <v>964892.387558219</v>
      </c>
      <c r="H3073" s="2" t="s">
        <v>1377</v>
      </c>
    </row>
    <row r="3074" customFormat="false" ht="15" hidden="false" customHeight="false" outlineLevel="1" collapsed="false">
      <c r="A3074" s="7" t="s">
        <v>755</v>
      </c>
      <c r="B3074" s="8" t="s">
        <v>10</v>
      </c>
      <c r="C3074" s="58" t="n">
        <f aca="false">Pressupostos!$D$32-C3054-Pressupostos!$C$106+C3041</f>
        <v>135107.612441781</v>
      </c>
      <c r="D3074" s="58" t="n">
        <f aca="false">Pressupostos!$D$32-C3054-Pressupostos!$C$106+D3041</f>
        <v>-819423.789491928</v>
      </c>
      <c r="E3074" s="58" t="n">
        <f aca="false">Pressupostos!$D$32-C3054-Pressupostos!$C$106+E3041</f>
        <v>-2069969.68954134</v>
      </c>
      <c r="F3074" s="58" t="n">
        <f aca="false">Pressupostos!$D$32-C3054-Pressupostos!$C$106+F3041</f>
        <v>-3620442.5665695</v>
      </c>
      <c r="G3074" s="58" t="n">
        <f aca="false">Pressupostos!$D$32-C3054-Pressupostos!$C$106+G3041</f>
        <v>-5524296.72228396</v>
      </c>
      <c r="H3074" s="2" t="s">
        <v>1378</v>
      </c>
    </row>
    <row r="3075" customFormat="false" ht="15" hidden="false" customHeight="false" outlineLevel="1" collapsed="false">
      <c r="A3075" s="7" t="s">
        <v>756</v>
      </c>
      <c r="B3075" s="8" t="s">
        <v>16</v>
      </c>
      <c r="C3075" s="73" t="str">
        <f aca="false">IF(AND(Pressupostos!$D$32-C3054-Pressupostos!$C$106&gt;0,C3074&lt;=0),12*(Pressupostos!$D$32-C3054-Pressupostos!$C$106)/(Pressupostos!$D$32-C3054-Pressupostos!$C$106-C3074),"")</f>
        <v/>
      </c>
      <c r="D3075" s="73" t="n">
        <f aca="false">IF(AND(C3074&gt;0,D3074&lt;=0),12+12*C3074/(C3074-D3074),"")</f>
        <v>13.6985207045226</v>
      </c>
      <c r="E3075" s="73" t="str">
        <f aca="false">IF(AND(D3074&gt;0,E3074&lt;=0),24+12*D3074/(D3074-E3074),"")</f>
        <v/>
      </c>
      <c r="F3075" s="73" t="str">
        <f aca="false">IF(AND(E3074&gt;0,F3074&lt;=0),36+12*E3074/(E3074-F3074),"")</f>
        <v/>
      </c>
      <c r="G3075" s="73" t="str">
        <f aca="false">IF(AND(F3074&gt;0,G3074&lt;=0),48+12*F3074/(F3074-G3074),"")</f>
        <v/>
      </c>
      <c r="H3075" s="2" t="s">
        <v>1379</v>
      </c>
    </row>
    <row r="3076" customFormat="false" ht="15" hidden="false" customHeight="false" outlineLevel="1" collapsed="false">
      <c r="A3076" s="52" t="s">
        <v>757</v>
      </c>
      <c r="B3076" s="53" t="s">
        <v>264</v>
      </c>
      <c r="C3076" s="74" t="n">
        <f aca="false">IF(COUNT($C$3075:$G$3075)=0,"&gt; 60",MIN($C$3075:$G$3075))</f>
        <v>13.6985207045226</v>
      </c>
      <c r="H3076" s="2" t="s">
        <v>1380</v>
      </c>
    </row>
    <row r="3077" customFormat="false" ht="15" hidden="false" customHeight="false" outlineLevel="0" collapsed="false">
      <c r="A3077" s="3" t="s">
        <v>1381</v>
      </c>
      <c r="B3077" s="4"/>
      <c r="C3077" s="4"/>
      <c r="D3077" s="4"/>
      <c r="E3077" s="4"/>
      <c r="F3077" s="4"/>
      <c r="G3077" s="4"/>
      <c r="H3077" s="4"/>
    </row>
    <row r="3078" customFormat="false" ht="15" hidden="false" customHeight="false" outlineLevel="1" collapsed="false">
      <c r="A3078" s="7" t="s">
        <v>759</v>
      </c>
      <c r="B3078" s="8" t="s">
        <v>16</v>
      </c>
      <c r="C3078" s="73" t="str">
        <f aca="false">IF(C2997&gt;=0,1,"")</f>
        <v/>
      </c>
      <c r="D3078" s="73" t="str">
        <f aca="false">IF(AND(C2997&lt;0,D2997&gt;=0),6.5+12*(-C2997)/(D2997-C2997),"")</f>
        <v/>
      </c>
      <c r="E3078" s="73" t="str">
        <f aca="false">IF(AND(D2997&lt;0,E2997&gt;=0),18.5+12*(-D2997)/(E2997-D2997),"")</f>
        <v/>
      </c>
      <c r="F3078" s="73" t="str">
        <f aca="false">IF(AND(E2997&lt;0,F2997&gt;=0),30.5+12*(-E2997)/(F2997-E2997),"")</f>
        <v/>
      </c>
      <c r="G3078" s="73" t="str">
        <f aca="false">IF(AND(F2997&lt;0,G2997&gt;=0),42.5+12*(-F2997)/(G2997-F2997),"")</f>
        <v/>
      </c>
      <c r="H3078" s="2" t="s">
        <v>1382</v>
      </c>
    </row>
    <row r="3079" customFormat="false" ht="15" hidden="false" customHeight="false" outlineLevel="1" collapsed="false">
      <c r="A3079" s="7" t="s">
        <v>760</v>
      </c>
      <c r="B3079" s="8" t="s">
        <v>16</v>
      </c>
      <c r="C3079" s="75" t="str">
        <f aca="false">IF(COUNT($C$3078:$G$3078)=0,"não atinge até 2031",ROUNDUP(MIN($C$3078:$G$3078),0))</f>
        <v>não atinge até 2031</v>
      </c>
      <c r="H3079" s="2" t="s">
        <v>1383</v>
      </c>
    </row>
    <row r="3080" customFormat="false" ht="15" hidden="false" customHeight="false" outlineLevel="1" collapsed="false">
      <c r="A3080" s="52" t="s">
        <v>761</v>
      </c>
      <c r="B3080" s="53" t="s">
        <v>762</v>
      </c>
      <c r="C3080" s="76" t="str">
        <f aca="false">IF(ISNUMBER(C3079),DATE(2027,C3079,1),"não atinge até 2031")</f>
        <v>não atinge até 2031</v>
      </c>
      <c r="H3080" s="2" t="s">
        <v>1384</v>
      </c>
    </row>
    <row r="3081" customFormat="false" ht="15" hidden="false" customHeight="false" outlineLevel="1" collapsed="false">
      <c r="A3081" s="7" t="s">
        <v>763</v>
      </c>
      <c r="B3081" s="8" t="s">
        <v>18</v>
      </c>
      <c r="C3081" s="77" t="str">
        <f aca="false">IF(C2997&gt;=0,C2798,"")</f>
        <v/>
      </c>
      <c r="D3081" s="77" t="str">
        <f aca="false">IF(D2997&gt;=0,D2798,"")</f>
        <v/>
      </c>
      <c r="E3081" s="77" t="str">
        <f aca="false">IF(E2997&gt;=0,E2798,"")</f>
        <v/>
      </c>
      <c r="F3081" s="77" t="str">
        <f aca="false">IF(F2997&gt;=0,F2798,"")</f>
        <v/>
      </c>
      <c r="G3081" s="77" t="str">
        <f aca="false">IF(G2997&gt;=0,G2798,"")</f>
        <v/>
      </c>
      <c r="H3081" s="2" t="s">
        <v>1385</v>
      </c>
    </row>
    <row r="3082" customFormat="false" ht="15" hidden="false" customHeight="false" outlineLevel="1" collapsed="false">
      <c r="A3082" s="7" t="s">
        <v>764</v>
      </c>
      <c r="B3082" s="8" t="s">
        <v>18</v>
      </c>
      <c r="C3082" s="71" t="str">
        <f aca="false">IF(COUNT($C$3081:$G$3081)=0,"não atinge até 2031",MIN($C$3081:$G$3081))</f>
        <v>não atinge até 2031</v>
      </c>
      <c r="H3082" s="2" t="s">
        <v>1386</v>
      </c>
    </row>
    <row r="3083" customFormat="false" ht="15" hidden="false" customHeight="false" outlineLevel="1" collapsed="false">
      <c r="A3083" s="7" t="s">
        <v>765</v>
      </c>
      <c r="B3083" s="8" t="s">
        <v>18</v>
      </c>
      <c r="C3083" s="77" t="str">
        <f aca="false">IF(C3015&gt;=0,C2798,"")</f>
        <v/>
      </c>
      <c r="D3083" s="77" t="str">
        <f aca="false">IF(D3015&gt;=0,D2798,"")</f>
        <v/>
      </c>
      <c r="E3083" s="77" t="str">
        <f aca="false">IF(E3015&gt;=0,E2798,"")</f>
        <v/>
      </c>
      <c r="F3083" s="77" t="str">
        <f aca="false">IF(F3015&gt;=0,F2798,"")</f>
        <v/>
      </c>
      <c r="G3083" s="77" t="str">
        <f aca="false">IF(G3015&gt;=0,G2798,"")</f>
        <v/>
      </c>
      <c r="H3083" s="2" t="s">
        <v>1387</v>
      </c>
    </row>
    <row r="3084" customFormat="false" ht="15" hidden="false" customHeight="false" outlineLevel="1" collapsed="false">
      <c r="A3084" s="7" t="s">
        <v>766</v>
      </c>
      <c r="B3084" s="8" t="s">
        <v>18</v>
      </c>
      <c r="C3084" s="71" t="str">
        <f aca="false">IF(COUNT($C$3083:$G$3083)=0,"não atinge até 2031",MIN($C$3083:$G$3083))</f>
        <v>não atinge até 2031</v>
      </c>
      <c r="H3084" s="2" t="s">
        <v>1388</v>
      </c>
    </row>
    <row r="3085" customFormat="false" ht="15" hidden="false" customHeight="false" outlineLevel="1" collapsed="false">
      <c r="A3085" s="7" t="s">
        <v>767</v>
      </c>
      <c r="B3085" s="8" t="s">
        <v>18</v>
      </c>
      <c r="C3085" s="77" t="str">
        <f aca="false">IF(C3040&gt;=0,C2798,"")</f>
        <v/>
      </c>
      <c r="D3085" s="77" t="str">
        <f aca="false">IF(D3040&gt;=0,D2798,"")</f>
        <v/>
      </c>
      <c r="E3085" s="77" t="str">
        <f aca="false">IF(E3040&gt;=0,E2798,"")</f>
        <v/>
      </c>
      <c r="F3085" s="77" t="str">
        <f aca="false">IF(F3040&gt;=0,F2798,"")</f>
        <v/>
      </c>
      <c r="G3085" s="77" t="str">
        <f aca="false">IF(G3040&gt;=0,G2798,"")</f>
        <v/>
      </c>
      <c r="H3085" s="2" t="s">
        <v>1389</v>
      </c>
    </row>
    <row r="3086" customFormat="false" ht="15" hidden="false" customHeight="false" outlineLevel="1" collapsed="false">
      <c r="A3086" s="7" t="s">
        <v>17</v>
      </c>
      <c r="B3086" s="8" t="s">
        <v>18</v>
      </c>
      <c r="C3086" s="71" t="str">
        <f aca="false">IF(COUNT($C$3085:$G$3085)=0,"não atinge até 2031",MIN($C$3085:$G$3085))</f>
        <v>não atinge até 2031</v>
      </c>
      <c r="H3086" s="2" t="s">
        <v>1390</v>
      </c>
    </row>
    <row r="3087" customFormat="false" ht="15" hidden="false" customHeight="false" outlineLevel="0" collapsed="false">
      <c r="A3087" s="3" t="s">
        <v>1391</v>
      </c>
      <c r="B3087" s="4"/>
      <c r="C3087" s="4"/>
      <c r="D3087" s="4"/>
      <c r="E3087" s="4"/>
      <c r="F3087" s="4"/>
      <c r="G3087" s="4"/>
      <c r="H3087" s="4"/>
    </row>
    <row r="3088" customFormat="false" ht="15" hidden="false" customHeight="false" outlineLevel="1" collapsed="false">
      <c r="A3088" s="7" t="s">
        <v>769</v>
      </c>
      <c r="B3088" s="8" t="s">
        <v>10</v>
      </c>
      <c r="C3088" s="58" t="n">
        <f aca="false">C3023</f>
        <v>0</v>
      </c>
      <c r="D3088" s="58" t="n">
        <f aca="false">D3023</f>
        <v>220844.67380137</v>
      </c>
      <c r="E3088" s="58" t="n">
        <f aca="false">E3023</f>
        <v>404931.875856164</v>
      </c>
      <c r="F3088" s="58" t="n">
        <f aca="false">F3023</f>
        <v>704084.802226027</v>
      </c>
      <c r="G3088" s="58" t="n">
        <f aca="false">G3023</f>
        <v>1078027.93664384</v>
      </c>
      <c r="H3088" s="2" t="s">
        <v>1392</v>
      </c>
    </row>
    <row r="3089" customFormat="false" ht="15" hidden="false" customHeight="false" outlineLevel="1" collapsed="false">
      <c r="A3089" s="7" t="s">
        <v>487</v>
      </c>
      <c r="B3089" s="8" t="s">
        <v>71</v>
      </c>
      <c r="C3089" s="78" t="n">
        <f aca="false">Pressupostos!$C$283</f>
        <v>0.08</v>
      </c>
      <c r="D3089" s="78" t="n">
        <f aca="false">Pressupostos!$D$283</f>
        <v>0.08</v>
      </c>
      <c r="E3089" s="78" t="n">
        <f aca="false">Pressupostos!$E$283</f>
        <v>0.075</v>
      </c>
      <c r="F3089" s="78" t="n">
        <f aca="false">Pressupostos!$F$283</f>
        <v>0.07</v>
      </c>
      <c r="G3089" s="78" t="n">
        <f aca="false">Pressupostos!$G$283</f>
        <v>0.07</v>
      </c>
      <c r="H3089" s="2" t="s">
        <v>1393</v>
      </c>
    </row>
    <row r="3090" customFormat="false" ht="15" hidden="false" customHeight="false" outlineLevel="1" collapsed="false">
      <c r="A3090" s="7" t="s">
        <v>770</v>
      </c>
      <c r="B3090" s="8" t="s">
        <v>71</v>
      </c>
      <c r="C3090" s="56" t="n">
        <f aca="false">Pressupostos!$C$283*(1-Pressupostos!$C$109)</f>
        <v>0.0576</v>
      </c>
      <c r="D3090" s="56" t="n">
        <f aca="false">Pressupostos!$D$283*(1-Pressupostos!$C$109)</f>
        <v>0.0576</v>
      </c>
      <c r="E3090" s="56" t="n">
        <f aca="false">Pressupostos!$E$283*(1-Pressupostos!$C$109)</f>
        <v>0.054</v>
      </c>
      <c r="F3090" s="56" t="n">
        <f aca="false">Pressupostos!$F$283*(1-Pressupostos!$C$109)</f>
        <v>0.0504</v>
      </c>
      <c r="G3090" s="56" t="n">
        <f aca="false">Pressupostos!$G$283*(1-Pressupostos!$C$109)</f>
        <v>0.0504</v>
      </c>
      <c r="H3090" s="2" t="s">
        <v>1394</v>
      </c>
    </row>
    <row r="3091" customFormat="false" ht="15" hidden="false" customHeight="false" outlineLevel="1" collapsed="false">
      <c r="A3091" s="7" t="s">
        <v>771</v>
      </c>
      <c r="B3091" s="8" t="s">
        <v>10</v>
      </c>
      <c r="C3091" s="58" t="n">
        <f aca="false">C2929</f>
        <v>0</v>
      </c>
      <c r="D3091" s="58" t="n">
        <f aca="false">D2929</f>
        <v>17315.6301369863</v>
      </c>
      <c r="E3091" s="58" t="n">
        <f aca="false">E2929</f>
        <v>29325.5136986301</v>
      </c>
      <c r="F3091" s="58" t="n">
        <f aca="false">F2929</f>
        <v>47463.595890411</v>
      </c>
      <c r="G3091" s="58" t="n">
        <f aca="false">G2929</f>
        <v>72644.1780821918</v>
      </c>
      <c r="H3091" s="2" t="s">
        <v>1395</v>
      </c>
    </row>
    <row r="3092" customFormat="false" ht="15" hidden="false" customHeight="false" outlineLevel="1" collapsed="false">
      <c r="A3092" s="7" t="s">
        <v>772</v>
      </c>
      <c r="B3092" s="8" t="s">
        <v>71</v>
      </c>
      <c r="C3092" s="55" t="n">
        <f aca="false">IF(C3023&gt;0,(C3026+C3028)/C3023,0)</f>
        <v>0</v>
      </c>
      <c r="D3092" s="55" t="n">
        <f aca="false">IF(D3023&gt;0,(D3026+D3028)/D3023,0)</f>
        <v>0.138888888888889</v>
      </c>
      <c r="E3092" s="55" t="n">
        <f aca="false">IF(E3023&gt;0,(E3026+E3028)/E3023,0)</f>
        <v>0.138888888888889</v>
      </c>
      <c r="F3092" s="55" t="n">
        <f aca="false">IF(F3023&gt;0,(F3026+F3028)/F3023,0)</f>
        <v>0.138888888888889</v>
      </c>
      <c r="G3092" s="55" t="n">
        <f aca="false">IF(G3023&gt;0,(G3026+G3028)/G3023,0)</f>
        <v>0.138888888888889</v>
      </c>
      <c r="H3092" s="2" t="s">
        <v>1396</v>
      </c>
    </row>
    <row r="3093" customFormat="false" ht="15" hidden="false" customHeight="false" outlineLevel="1" collapsed="false">
      <c r="A3093" s="7" t="s">
        <v>773</v>
      </c>
      <c r="B3093" s="8" t="s">
        <v>115</v>
      </c>
      <c r="C3093" s="58" t="n">
        <f aca="false">C3029</f>
        <v>0</v>
      </c>
      <c r="D3093" s="58" t="n">
        <f aca="false">D3029</f>
        <v>4.4168934760274</v>
      </c>
      <c r="E3093" s="58" t="n">
        <f aca="false">E3029</f>
        <v>8.09863751712329</v>
      </c>
      <c r="F3093" s="58" t="n">
        <f aca="false">F3029</f>
        <v>14.0816960445205</v>
      </c>
      <c r="G3093" s="58" t="n">
        <f aca="false">G3029</f>
        <v>21.5605587328767</v>
      </c>
      <c r="H3093" s="2" t="s">
        <v>1397</v>
      </c>
    </row>
    <row r="3094" customFormat="false" ht="15" hidden="false" customHeight="false" outlineLevel="0" collapsed="false">
      <c r="A3094" s="3" t="s">
        <v>1398</v>
      </c>
      <c r="B3094" s="4"/>
      <c r="C3094" s="4"/>
      <c r="D3094" s="4"/>
      <c r="E3094" s="4"/>
      <c r="F3094" s="4"/>
      <c r="G3094" s="4"/>
      <c r="H3094" s="4"/>
    </row>
    <row r="3095" customFormat="false" ht="15" hidden="false" customHeight="false" outlineLevel="1" collapsed="false">
      <c r="A3095" s="7" t="s">
        <v>775</v>
      </c>
      <c r="B3095" s="8" t="s">
        <v>10</v>
      </c>
      <c r="C3095" s="58" t="n">
        <f aca="false">MAX(0,-C2997)</f>
        <v>727892.387558219</v>
      </c>
      <c r="D3095" s="58" t="n">
        <f aca="false">MAX(0,-D2997)</f>
        <v>899489.16824364</v>
      </c>
      <c r="E3095" s="58" t="n">
        <f aca="false">MAX(0,-E2997)</f>
        <v>1193341.53994667</v>
      </c>
      <c r="F3095" s="58" t="n">
        <f aca="false">MAX(0,-F2997)</f>
        <v>1484929.91495624</v>
      </c>
      <c r="G3095" s="58" t="n">
        <f aca="false">MAX(0,-G2997)</f>
        <v>1813917.60926754</v>
      </c>
      <c r="H3095" s="2" t="s">
        <v>1399</v>
      </c>
    </row>
    <row r="3096" customFormat="false" ht="15" hidden="false" customHeight="false" outlineLevel="1" collapsed="false">
      <c r="A3096" s="2" t="s">
        <v>776</v>
      </c>
      <c r="B3096" s="8"/>
      <c r="C3096" s="58" t="n">
        <f aca="false">IF(AND(C2798&gt;=Pressupostos!$C$118,Pressupostos!$C$116*(C2886+C2887)+Pressupostos!$C$117*C2888&gt;Pressupostos!$C$295),1,0)</f>
        <v>0</v>
      </c>
      <c r="D3096" s="58" t="n">
        <f aca="false">IF(AND(D2798&gt;=Pressupostos!$C$118,Pressupostos!$C$116*(D2886+D2887)+Pressupostos!$C$117*D2888&gt;Pressupostos!$D$295),1,0)</f>
        <v>1</v>
      </c>
      <c r="E3096" s="58" t="n">
        <f aca="false">IF(AND(E2798&gt;=Pressupostos!$C$118,Pressupostos!$C$116*(E2886+E2887)+Pressupostos!$C$117*E2888&gt;Pressupostos!$E$295),1,0)</f>
        <v>1</v>
      </c>
      <c r="F3096" s="58" t="n">
        <f aca="false">IF(AND(F2798&gt;=Pressupostos!$C$118,Pressupostos!$C$116*(F2886+F2887)+Pressupostos!$C$117*F2888&gt;Pressupostos!$F$295),1,0)</f>
        <v>1</v>
      </c>
      <c r="G3096" s="58" t="n">
        <f aca="false">IF(AND(G2798&gt;=Pressupostos!$C$118,Pressupostos!$C$116*(G2886+G2887)+Pressupostos!$C$117*G2888&gt;Pressupostos!$G$295),1,0)</f>
        <v>1</v>
      </c>
      <c r="H3096" s="2" t="s">
        <v>1400</v>
      </c>
    </row>
    <row r="3097" customFormat="false" ht="15" hidden="false" customHeight="false" outlineLevel="1" collapsed="false">
      <c r="A3097" s="7" t="s">
        <v>777</v>
      </c>
      <c r="B3097" s="8" t="s">
        <v>59</v>
      </c>
      <c r="C3097" s="60" t="n">
        <f aca="false">IF(C2802&gt;0,C3095/(C2802*1000*(1-Pressupostos!$D$22)*(1-Pressupostos!$D$25-C3096*Pressupostos!$C$116)),"n/a")</f>
        <v>14.0400506820118</v>
      </c>
      <c r="D3097" s="60" t="n">
        <f aca="false">IF(D2802&gt;0,D3095/(D2802*1000*(1-Pressupostos!$D$22)*(1-Pressupostos!$D$25-D3096*Pressupostos!$C$116)),"n/a")</f>
        <v>2.49539938867844</v>
      </c>
      <c r="E3097" s="60" t="n">
        <f aca="false">IF(E2802&gt;0,E3095/(E2802*1000*(1-Pressupostos!$D$22)*(1-Pressupostos!$D$25-E3096*Pressupostos!$C$116)),"n/a")</f>
        <v>1.67608621570895</v>
      </c>
      <c r="F3097" s="60" t="n">
        <f aca="false">IF(F2802&gt;0,F3095/(F2802*1000*(1-Pressupostos!$D$22)*(1-Pressupostos!$D$25-F3096*Pressupostos!$C$116)),"n/a")</f>
        <v>1.26407244196803</v>
      </c>
      <c r="G3097" s="60" t="n">
        <f aca="false">IF(G2802&gt;0,G3095/(G2802*1000*(1-Pressupostos!$D$22)*(1-Pressupostos!$D$25-G3096*Pressupostos!$C$116)),"n/a")</f>
        <v>1.02050533019828</v>
      </c>
      <c r="H3097" s="2" t="s">
        <v>1401</v>
      </c>
    </row>
    <row r="3098" customFormat="false" ht="15" hidden="false" customHeight="false" outlineLevel="1" collapsed="false">
      <c r="A3098" s="7" t="s">
        <v>778</v>
      </c>
      <c r="B3098" s="8" t="s">
        <v>59</v>
      </c>
      <c r="C3098" s="60" t="n">
        <f aca="false">IF(C2801&gt;0,(Pressupostos!$D$15*(1+Pressupostos!$C$195))+C3095/(C2801*1000*(1-Pressupostos!$D$16)*(1-Pressupostos!$D$18-C3096*Pressupostos!$C$116)),"n/a")</f>
        <v>105.661403358794</v>
      </c>
      <c r="D3098" s="60" t="n">
        <f aca="false">IF(D2801&gt;0,(Pressupostos!$D$15*(1+Pressupostos!$C$195))+D3095/(D2801*1000*(1-Pressupostos!$D$16)*(1-Pressupostos!$D$18-D3096*Pressupostos!$C$116)),"n/a")</f>
        <v>31.2395320545891</v>
      </c>
      <c r="E3098" s="60" t="n">
        <f aca="false">IF(E2801&gt;0,(Pressupostos!$D$15*(1+Pressupostos!$C$195))+E3095/(E2801*1000*(1-Pressupostos!$D$16)*(1-Pressupostos!$D$18-E3096*Pressupostos!$C$116)),"n/a")</f>
        <v>14.0251378019685</v>
      </c>
      <c r="F3098" s="60" t="n">
        <f aca="false">IF(F2801&gt;0,(Pressupostos!$D$15*(1+Pressupostos!$C$195))+F3095/(F2801*1000*(1-Pressupostos!$D$16)*(1-Pressupostos!$D$18-F3096*Pressupostos!$C$116)),"n/a")</f>
        <v>10.1969026509634</v>
      </c>
      <c r="G3098" s="60" t="n">
        <f aca="false">IF(G2801&gt;0,(Pressupostos!$D$15*(1+Pressupostos!$C$195))+G3095/(G2801*1000*(1-Pressupostos!$D$16)*(1-Pressupostos!$D$18-G3096*Pressupostos!$C$116)),"n/a")</f>
        <v>8.92042007956952</v>
      </c>
      <c r="H3098" s="2" t="s">
        <v>1402</v>
      </c>
    </row>
    <row r="3099" customFormat="false" ht="15" hidden="false" customHeight="false" outlineLevel="1" collapsed="false">
      <c r="A3099" s="7" t="s">
        <v>779</v>
      </c>
      <c r="B3099" s="8" t="s">
        <v>59</v>
      </c>
      <c r="C3099" s="60" t="n">
        <f aca="false">C2882-C3096*Pressupostos!$C$117*C2865</f>
        <v>0.0672486301369868</v>
      </c>
      <c r="D3099" s="60" t="n">
        <f aca="false">D2882-D3096*Pressupostos!$C$117*D2865</f>
        <v>0.0439253424657541</v>
      </c>
      <c r="E3099" s="60" t="n">
        <f aca="false">E2882-E3096*Pressupostos!$C$117*E2865</f>
        <v>0.0450580479452059</v>
      </c>
      <c r="F3099" s="60" t="n">
        <f aca="false">F2882-F3096*Pressupostos!$C$117*F2865</f>
        <v>0.0461907534246578</v>
      </c>
      <c r="G3099" s="60" t="n">
        <f aca="false">G2882-G3096*Pressupostos!$C$117*G2865</f>
        <v>0.0461907534246578</v>
      </c>
      <c r="H3099" s="2" t="s">
        <v>1403</v>
      </c>
    </row>
    <row r="3100" customFormat="false" ht="15" hidden="false" customHeight="false" outlineLevel="1" collapsed="false">
      <c r="A3100" s="7" t="s">
        <v>780</v>
      </c>
      <c r="B3100" s="8" t="s">
        <v>112</v>
      </c>
      <c r="C3100" s="57" t="n">
        <f aca="false">IF(C3099&gt;0,C2803+C3095/(C3099*1000),"n/a")</f>
        <v>10823.8991050894</v>
      </c>
      <c r="D3100" s="57" t="n">
        <f aca="false">IF(D3099&gt;0,D2803+D3095/(D3099*1000),"n/a")</f>
        <v>20477.6813964494</v>
      </c>
      <c r="E3100" s="57" t="n">
        <f aca="false">IF(E3099&gt;0,E2803+E3095/(E3099*1000),"n/a")</f>
        <v>26484.5370442561</v>
      </c>
      <c r="F3100" s="57" t="n">
        <f aca="false">IF(F3099&gt;0,F2803+F3095/(F3099*1000),"n/a")</f>
        <v>32147.7742808054</v>
      </c>
      <c r="G3100" s="57" t="n">
        <f aca="false">IF(G3099&gt;0,G2803+G3095/(G3099*1000),"n/a")</f>
        <v>39270.14553305</v>
      </c>
      <c r="H3100" s="2" t="s">
        <v>1404</v>
      </c>
    </row>
    <row r="3101" customFormat="false" ht="15" hidden="false" customHeight="false" outlineLevel="1" collapsed="false">
      <c r="A3101" s="7" t="s">
        <v>781</v>
      </c>
      <c r="B3101" s="8" t="s">
        <v>71</v>
      </c>
      <c r="C3101" s="55" t="n">
        <f aca="false">C3095/(C2961+C2974+C2975)</f>
        <v>1.01098187779986</v>
      </c>
      <c r="D3101" s="55" t="n">
        <f aca="false">D3095/(D2961+D2974+D2975)</f>
        <v>1.09210095176608</v>
      </c>
      <c r="E3101" s="55" t="n">
        <f aca="false">E3095/(E2961+E2974+E2975)</f>
        <v>1.11094637431135</v>
      </c>
      <c r="F3101" s="55" t="n">
        <f aca="false">F3095/(F2961+F2974+F2975)</f>
        <v>1.13775517379457</v>
      </c>
      <c r="G3101" s="55" t="n">
        <f aca="false">G3095/(G2961+G2974+G2975)</f>
        <v>1.16190982625127</v>
      </c>
      <c r="H3101" s="2" t="s">
        <v>1405</v>
      </c>
    </row>
    <row r="3102" customFormat="false" ht="15" hidden="false" customHeight="false" outlineLevel="1" collapsed="false">
      <c r="A3102" s="2" t="s">
        <v>782</v>
      </c>
      <c r="B3102" s="8" t="s">
        <v>71</v>
      </c>
      <c r="C3102" s="56" t="n">
        <f aca="false">Pressupostos!$C$99*Pressupostos!$C$100+Pressupostos!$C$101-Pressupostos!$D$30*Pressupostos!$C$102*Pressupostos!$C$100/(Pressupostos!$C$103*Pressupostos!$C$104)</f>
        <v>0.00354285714285715</v>
      </c>
      <c r="D3102" s="56" t="n">
        <f aca="false">Pressupostos!$C$99*Pressupostos!$C$100+Pressupostos!$C$101-Pressupostos!$D$30*Pressupostos!$C$102*Pressupostos!$C$100/(Pressupostos!$C$103*Pressupostos!$C$104)</f>
        <v>0.00354285714285715</v>
      </c>
      <c r="E3102" s="56" t="n">
        <f aca="false">Pressupostos!$C$99*Pressupostos!$C$100+Pressupostos!$C$101-Pressupostos!$D$30*Pressupostos!$C$102*Pressupostos!$C$100/(Pressupostos!$C$103*Pressupostos!$C$104)</f>
        <v>0.00354285714285715</v>
      </c>
      <c r="F3102" s="56" t="n">
        <f aca="false">Pressupostos!$C$99*Pressupostos!$C$100+Pressupostos!$C$101-Pressupostos!$D$30*Pressupostos!$C$102*Pressupostos!$C$100/(Pressupostos!$C$103*Pressupostos!$C$104)</f>
        <v>0.00354285714285715</v>
      </c>
      <c r="G3102" s="56" t="n">
        <f aca="false">Pressupostos!$C$99*Pressupostos!$C$100+Pressupostos!$C$101-Pressupostos!$D$30*Pressupostos!$C$102*Pressupostos!$C$100/(Pressupostos!$C$103*Pressupostos!$C$104)</f>
        <v>0.00354285714285715</v>
      </c>
      <c r="H3102" s="2" t="s">
        <v>1406</v>
      </c>
    </row>
    <row r="3103" customFormat="false" ht="15" hidden="false" customHeight="false" outlineLevel="1" collapsed="false">
      <c r="A3103" s="7" t="s">
        <v>783</v>
      </c>
      <c r="B3103" s="8" t="s">
        <v>10</v>
      </c>
      <c r="C3103" s="58" t="n">
        <f aca="false">IF(C3102&gt;0,C2814+C3095/C3102,"n/a")</f>
        <v>205453496.488207</v>
      </c>
      <c r="D3103" s="58" t="n">
        <f aca="false">IF(D3102&gt;0,D2814+D3095/D3102,"n/a")</f>
        <v>254388071.681672</v>
      </c>
      <c r="E3103" s="58" t="n">
        <f aca="false">IF(E3102&gt;0,E2814+E3095/E3102,"n/a")</f>
        <v>338330273.372045</v>
      </c>
      <c r="F3103" s="58" t="n">
        <f aca="false">IF(F3102&gt;0,F2814+F3095/F3102,"n/a")</f>
        <v>422133443.737648</v>
      </c>
      <c r="G3103" s="58" t="n">
        <f aca="false">IF(G3102&gt;0,G2814+G3095/G3102,"n/a")</f>
        <v>516992873.58358</v>
      </c>
      <c r="H3103" s="2" t="s">
        <v>1407</v>
      </c>
    </row>
    <row r="3106" customFormat="false" ht="15" hidden="false" customHeight="false" outlineLevel="0" collapsed="false">
      <c r="A3106" s="104" t="s">
        <v>1417</v>
      </c>
      <c r="B3106" s="105"/>
      <c r="C3106" s="105"/>
      <c r="D3106" s="105"/>
      <c r="E3106" s="105"/>
      <c r="F3106" s="105"/>
      <c r="G3106" s="105"/>
      <c r="H3106" s="105"/>
    </row>
    <row r="3107" customFormat="false" ht="15" hidden="false" customHeight="false" outlineLevel="0" collapsed="false">
      <c r="A3107" s="3" t="s">
        <v>1102</v>
      </c>
      <c r="B3107" s="4"/>
      <c r="C3107" s="4"/>
      <c r="D3107" s="4"/>
      <c r="E3107" s="4"/>
      <c r="F3107" s="4"/>
      <c r="G3107" s="4"/>
      <c r="H3107" s="4"/>
    </row>
    <row r="3108" customFormat="false" ht="15" hidden="false" customHeight="false" outlineLevel="1" collapsed="false">
      <c r="A3108" s="7" t="s">
        <v>557</v>
      </c>
      <c r="B3108" s="8"/>
      <c r="C3108" s="49" t="n">
        <v>2027</v>
      </c>
      <c r="D3108" s="49" t="n">
        <v>2028</v>
      </c>
      <c r="E3108" s="49" t="n">
        <v>2029</v>
      </c>
      <c r="F3108" s="49" t="n">
        <v>2030</v>
      </c>
      <c r="G3108" s="49" t="n">
        <v>2031</v>
      </c>
      <c r="H3108" s="2" t="s">
        <v>18</v>
      </c>
    </row>
    <row r="3109" customFormat="false" ht="15" hidden="false" customHeight="false" outlineLevel="0" collapsed="false">
      <c r="A3109" s="3" t="s">
        <v>1103</v>
      </c>
      <c r="B3109" s="4"/>
      <c r="C3109" s="4"/>
      <c r="D3109" s="4"/>
      <c r="E3109" s="4"/>
      <c r="F3109" s="4"/>
      <c r="G3109" s="4"/>
      <c r="H3109" s="4"/>
    </row>
    <row r="3110" customFormat="false" ht="15" hidden="false" customHeight="false" outlineLevel="1" collapsed="false">
      <c r="A3110" s="7" t="s">
        <v>372</v>
      </c>
      <c r="B3110" s="8" t="s">
        <v>115</v>
      </c>
      <c r="C3110" s="58" t="n">
        <f aca="false">(Pressupostos!$C$208*(1+Pressupostos!$C$193))</f>
        <v>52</v>
      </c>
      <c r="D3110" s="58" t="n">
        <f aca="false">(Pressupostos!$D$208*(1+Pressupostos!$C$193))</f>
        <v>234</v>
      </c>
      <c r="E3110" s="58" t="n">
        <f aca="false">(Pressupostos!$E$208*(1+Pressupostos!$C$193))</f>
        <v>845</v>
      </c>
      <c r="F3110" s="58" t="n">
        <f aca="false">(Pressupostos!$F$208*(1+Pressupostos!$C$193))</f>
        <v>1690</v>
      </c>
      <c r="G3110" s="58" t="n">
        <f aca="false">(Pressupostos!$G$208*(1+Pressupostos!$C$193))</f>
        <v>2600</v>
      </c>
      <c r="H3110" s="2" t="s">
        <v>1104</v>
      </c>
    </row>
    <row r="3111" customFormat="false" ht="15" hidden="false" customHeight="false" outlineLevel="1" collapsed="false">
      <c r="A3111" s="7" t="s">
        <v>559</v>
      </c>
      <c r="B3111" s="8" t="s">
        <v>112</v>
      </c>
      <c r="C3111" s="57" t="n">
        <f aca="false">(Pressupostos!$C$214*(1+Pressupostos!$C$193))</f>
        <v>10.4</v>
      </c>
      <c r="D3111" s="57" t="n">
        <f aca="false">(Pressupostos!$D$214*(1+Pressupostos!$C$193))</f>
        <v>48.1</v>
      </c>
      <c r="E3111" s="57" t="n">
        <f aca="false">(Pressupostos!$E$214*(1+Pressupostos!$C$193))</f>
        <v>172.9</v>
      </c>
      <c r="F3111" s="57" t="n">
        <f aca="false">(Pressupostos!$F$214*(1+Pressupostos!$C$193))</f>
        <v>347.1</v>
      </c>
      <c r="G3111" s="57" t="n">
        <f aca="false">(Pressupostos!$G$214*(1+Pressupostos!$C$193))</f>
        <v>533</v>
      </c>
      <c r="H3111" s="2" t="s">
        <v>1105</v>
      </c>
    </row>
    <row r="3112" customFormat="false" ht="15" hidden="false" customHeight="false" outlineLevel="1" collapsed="false">
      <c r="A3112" s="7" t="s">
        <v>560</v>
      </c>
      <c r="B3112" s="8" t="s">
        <v>112</v>
      </c>
      <c r="C3112" s="57" t="n">
        <f aca="false">(Pressupostos!$C$220*(1+Pressupostos!$C$193))</f>
        <v>67.6</v>
      </c>
      <c r="D3112" s="57" t="n">
        <f aca="false">(Pressupostos!$D$220*(1+Pressupostos!$C$193))</f>
        <v>471.9</v>
      </c>
      <c r="E3112" s="57" t="n">
        <f aca="false">(Pressupostos!$E$220*(1+Pressupostos!$C$193))</f>
        <v>932.1</v>
      </c>
      <c r="F3112" s="57" t="n">
        <f aca="false">(Pressupostos!$F$220*(1+Pressupostos!$C$193))</f>
        <v>1537.9</v>
      </c>
      <c r="G3112" s="57" t="n">
        <f aca="false">(Pressupostos!$G$220*(1+Pressupostos!$C$193))</f>
        <v>2327</v>
      </c>
      <c r="H3112" s="2" t="s">
        <v>1106</v>
      </c>
    </row>
    <row r="3113" customFormat="false" ht="15" hidden="false" customHeight="false" outlineLevel="1" collapsed="false">
      <c r="A3113" s="7" t="s">
        <v>383</v>
      </c>
      <c r="B3113" s="8" t="s">
        <v>112</v>
      </c>
      <c r="C3113" s="57" t="n">
        <f aca="false">(Pressupostos!$C$226*(1+Pressupostos!$C$193))</f>
        <v>0</v>
      </c>
      <c r="D3113" s="57" t="n">
        <f aca="false">(Pressupostos!$D$226*(1+Pressupostos!$C$193))</f>
        <v>0</v>
      </c>
      <c r="E3113" s="57" t="n">
        <f aca="false">(Pressupostos!$E$226*(1+Pressupostos!$C$193))</f>
        <v>0</v>
      </c>
      <c r="F3113" s="57" t="n">
        <f aca="false">(Pressupostos!$F$226*(1+Pressupostos!$C$193))</f>
        <v>0</v>
      </c>
      <c r="G3113" s="57" t="n">
        <f aca="false">(Pressupostos!$G$226*(1+Pressupostos!$C$193))</f>
        <v>0</v>
      </c>
      <c r="H3113" s="2" t="s">
        <v>1107</v>
      </c>
    </row>
    <row r="3114" customFormat="false" ht="15" hidden="false" customHeight="false" outlineLevel="1" collapsed="false">
      <c r="A3114" s="52" t="s">
        <v>561</v>
      </c>
      <c r="B3114" s="53" t="s">
        <v>112</v>
      </c>
      <c r="C3114" s="54" t="n">
        <f aca="false">C3111+C3112+C3113</f>
        <v>78</v>
      </c>
      <c r="D3114" s="54" t="n">
        <f aca="false">D3111+D3112+D3113</f>
        <v>520</v>
      </c>
      <c r="E3114" s="54" t="n">
        <f aca="false">E3111+E3112+E3113</f>
        <v>1105</v>
      </c>
      <c r="F3114" s="54" t="n">
        <f aca="false">F3111+F3112+F3113</f>
        <v>1885</v>
      </c>
      <c r="G3114" s="54" t="n">
        <f aca="false">G3111+G3112+G3113</f>
        <v>2860</v>
      </c>
      <c r="H3114" s="2" t="s">
        <v>1108</v>
      </c>
    </row>
    <row r="3115" customFormat="false" ht="15" hidden="false" customHeight="false" outlineLevel="1" collapsed="false">
      <c r="A3115" s="7" t="s">
        <v>562</v>
      </c>
      <c r="B3115" s="8" t="s">
        <v>71</v>
      </c>
      <c r="C3115" s="55" t="n">
        <f aca="false">IF(C3114&gt;0,C3111/C3114,0)</f>
        <v>0.133333333333333</v>
      </c>
      <c r="D3115" s="55" t="n">
        <f aca="false">IF(D3114&gt;0,D3111/D3114,0)</f>
        <v>0.0925</v>
      </c>
      <c r="E3115" s="55" t="n">
        <f aca="false">IF(E3114&gt;0,E3111/E3114,0)</f>
        <v>0.156470588235294</v>
      </c>
      <c r="F3115" s="55" t="n">
        <f aca="false">IF(F3114&gt;0,F3111/F3114,0)</f>
        <v>0.184137931034483</v>
      </c>
      <c r="G3115" s="55" t="n">
        <f aca="false">IF(G3114&gt;0,G3111/G3114,0)</f>
        <v>0.186363636363636</v>
      </c>
      <c r="H3115" s="2" t="s">
        <v>1109</v>
      </c>
    </row>
    <row r="3116" customFormat="false" ht="15" hidden="false" customHeight="false" outlineLevel="1" collapsed="false">
      <c r="A3116" s="7" t="s">
        <v>563</v>
      </c>
      <c r="B3116" s="8" t="s">
        <v>71</v>
      </c>
      <c r="C3116" s="56" t="n">
        <f aca="false">C3114/(Pressupostos!$C$74*1000)</f>
        <v>0.000445714285714286</v>
      </c>
      <c r="D3116" s="56" t="n">
        <f aca="false">D3114/(Pressupostos!$C$74*1000)</f>
        <v>0.00297142857142857</v>
      </c>
      <c r="E3116" s="56" t="n">
        <f aca="false">E3114/(Pressupostos!$C$74*1000)</f>
        <v>0.00631428571428571</v>
      </c>
      <c r="F3116" s="56" t="n">
        <f aca="false">F3114/(Pressupostos!$C$74*1000)</f>
        <v>0.0107714285714286</v>
      </c>
      <c r="G3116" s="56" t="n">
        <f aca="false">G3114/(Pressupostos!$C$74*1000)</f>
        <v>0.0163428571428571</v>
      </c>
      <c r="H3116" s="2" t="s">
        <v>1110</v>
      </c>
    </row>
    <row r="3117" customFormat="false" ht="15" hidden="false" customHeight="false" outlineLevel="1" collapsed="false">
      <c r="A3117" s="7" t="s">
        <v>564</v>
      </c>
      <c r="B3117" s="8" t="s">
        <v>115</v>
      </c>
      <c r="C3117" s="57" t="n">
        <f aca="false">C3111/Pressupostos!$C$39+C3112/Pressupostos!$C$46+C3113/Pressupostos!$C$58</f>
        <v>2.77333333333333</v>
      </c>
      <c r="D3117" s="57" t="n">
        <f aca="false">D3111/Pressupostos!$C$39+D3112/Pressupostos!$C$46+D3113/Pressupostos!$C$58</f>
        <v>18.135</v>
      </c>
      <c r="E3117" s="57" t="n">
        <f aca="false">E3111/Pressupostos!$C$39+E3112/Pressupostos!$C$46+E3113/Pressupostos!$C$58</f>
        <v>39.715</v>
      </c>
      <c r="F3117" s="57" t="n">
        <f aca="false">F3111/Pressupostos!$C$39+F3112/Pressupostos!$C$46+F3113/Pressupostos!$C$58</f>
        <v>68.6183333333333</v>
      </c>
      <c r="G3117" s="57" t="n">
        <f aca="false">G3111/Pressupostos!$C$39+G3112/Pressupostos!$C$46+G3113/Pressupostos!$C$58</f>
        <v>104.216666666667</v>
      </c>
      <c r="H3117" s="2" t="s">
        <v>1111</v>
      </c>
    </row>
    <row r="3118" customFormat="false" ht="15" hidden="false" customHeight="false" outlineLevel="0" collapsed="false">
      <c r="A3118" s="3" t="s">
        <v>1112</v>
      </c>
      <c r="B3118" s="4"/>
      <c r="C3118" s="4"/>
      <c r="D3118" s="4"/>
      <c r="E3118" s="4"/>
      <c r="F3118" s="4"/>
      <c r="G3118" s="4"/>
      <c r="H3118" s="4"/>
    </row>
    <row r="3119" customFormat="false" ht="15" hidden="false" customHeight="false" outlineLevel="1" collapsed="false">
      <c r="A3119" s="7" t="s">
        <v>566</v>
      </c>
      <c r="B3119" s="8" t="s">
        <v>192</v>
      </c>
      <c r="C3119" s="58" t="n">
        <f aca="false">(Pressupostos!$C$252*(1+Pressupostos!$C$193))</f>
        <v>195</v>
      </c>
      <c r="D3119" s="58" t="n">
        <f aca="false">(Pressupostos!$D$252*(1+Pressupostos!$C$193))</f>
        <v>780</v>
      </c>
      <c r="E3119" s="58" t="n">
        <f aca="false">(Pressupostos!$E$252*(1+Pressupostos!$C$193))</f>
        <v>1300</v>
      </c>
      <c r="F3119" s="58" t="n">
        <f aca="false">(Pressupostos!$F$252*(1+Pressupostos!$C$193))</f>
        <v>1820</v>
      </c>
      <c r="G3119" s="58" t="n">
        <f aca="false">(Pressupostos!$G$252*(1+Pressupostos!$C$193))</f>
        <v>2340</v>
      </c>
      <c r="H3119" s="2" t="s">
        <v>1113</v>
      </c>
    </row>
    <row r="3120" customFormat="false" ht="15" hidden="false" customHeight="false" outlineLevel="1" collapsed="false">
      <c r="A3120" s="7" t="s">
        <v>566</v>
      </c>
      <c r="B3120" s="8" t="s">
        <v>179</v>
      </c>
      <c r="C3120" s="58" t="n">
        <f aca="false">C3119*Pressupostos!$C$76</f>
        <v>146250</v>
      </c>
      <c r="D3120" s="58" t="n">
        <f aca="false">D3119*Pressupostos!$C$76</f>
        <v>585000</v>
      </c>
      <c r="E3120" s="58" t="n">
        <f aca="false">E3119*Pressupostos!$C$76</f>
        <v>975000</v>
      </c>
      <c r="F3120" s="58" t="n">
        <f aca="false">F3119*Pressupostos!$C$76</f>
        <v>1365000</v>
      </c>
      <c r="G3120" s="58" t="n">
        <f aca="false">G3119*Pressupostos!$C$76</f>
        <v>1755000</v>
      </c>
      <c r="H3120" s="2" t="s">
        <v>1114</v>
      </c>
    </row>
    <row r="3121" customFormat="false" ht="15" hidden="false" customHeight="false" outlineLevel="0" collapsed="false">
      <c r="A3121" s="3" t="s">
        <v>1115</v>
      </c>
      <c r="B3121" s="4"/>
      <c r="C3121" s="4"/>
      <c r="D3121" s="4"/>
      <c r="E3121" s="4"/>
      <c r="F3121" s="4"/>
      <c r="G3121" s="4"/>
      <c r="H3121" s="4"/>
    </row>
    <row r="3122" customFormat="false" ht="15" hidden="false" customHeight="false" outlineLevel="1" collapsed="false">
      <c r="A3122" s="7" t="s">
        <v>568</v>
      </c>
      <c r="B3122" s="8" t="s">
        <v>112</v>
      </c>
      <c r="C3122" s="57" t="n">
        <f aca="false">IF(C3108&lt;Pressupostos!$D$28,0,(Pressupostos!$C$258*(1+Pressupostos!$C$193)))</f>
        <v>0</v>
      </c>
      <c r="D3122" s="57" t="n">
        <f aca="false">IF(D3108&lt;Pressupostos!$D$28,0,(Pressupostos!$D$258*(1+Pressupostos!$C$193)))</f>
        <v>0</v>
      </c>
      <c r="E3122" s="57" t="n">
        <f aca="false">IF(E3108&lt;Pressupostos!$D$28,0,(Pressupostos!$E$258*(1+Pressupostos!$C$193)))</f>
        <v>39</v>
      </c>
      <c r="F3122" s="57" t="n">
        <f aca="false">IF(F3108&lt;Pressupostos!$D$28,0,(Pressupostos!$F$258*(1+Pressupostos!$C$193)))</f>
        <v>78</v>
      </c>
      <c r="G3122" s="57" t="n">
        <f aca="false">IF(G3108&lt;Pressupostos!$D$28,0,(Pressupostos!$G$258*(1+Pressupostos!$C$193)))</f>
        <v>130</v>
      </c>
      <c r="H3122" s="2" t="s">
        <v>1116</v>
      </c>
    </row>
    <row r="3123" customFormat="false" ht="15" hidden="false" customHeight="false" outlineLevel="0" collapsed="false">
      <c r="A3123" s="3" t="s">
        <v>1117</v>
      </c>
      <c r="B3123" s="4"/>
      <c r="C3123" s="4"/>
      <c r="D3123" s="4"/>
      <c r="E3123" s="4"/>
      <c r="F3123" s="4"/>
      <c r="G3123" s="4"/>
      <c r="H3123" s="4"/>
    </row>
    <row r="3124" customFormat="false" ht="15" hidden="false" customHeight="false" outlineLevel="1" collapsed="false">
      <c r="A3124" s="7" t="s">
        <v>570</v>
      </c>
      <c r="B3124" s="8" t="s">
        <v>10</v>
      </c>
      <c r="C3124" s="58" t="n">
        <f aca="false">(Pressupostos!$C$265)</f>
        <v>0</v>
      </c>
      <c r="D3124" s="58" t="n">
        <f aca="false">(Pressupostos!$D$265)</f>
        <v>1000000</v>
      </c>
      <c r="E3124" s="58" t="n">
        <f aca="false">(Pressupostos!$E$265)</f>
        <v>3000000</v>
      </c>
      <c r="F3124" s="58" t="n">
        <f aca="false">(Pressupostos!$F$265)</f>
        <v>6000000</v>
      </c>
      <c r="G3124" s="58" t="n">
        <f aca="false">(Pressupostos!$G$265)</f>
        <v>10000000</v>
      </c>
      <c r="H3124" s="2" t="s">
        <v>1118</v>
      </c>
    </row>
    <row r="3125" customFormat="false" ht="15" hidden="false" customHeight="false" outlineLevel="1" collapsed="false">
      <c r="A3125" s="7" t="s">
        <v>571</v>
      </c>
      <c r="B3125" s="8" t="s">
        <v>112</v>
      </c>
      <c r="C3125" s="57" t="n">
        <f aca="false">C3124/(Pressupostos!$C$103*Pressupostos!$C$104)*Pressupostos!$C$100/1000</f>
        <v>0</v>
      </c>
      <c r="D3125" s="57" t="n">
        <f aca="false">D3124/(Pressupostos!$C$103*Pressupostos!$C$104)*Pressupostos!$C$100/1000</f>
        <v>914.285714285714</v>
      </c>
      <c r="E3125" s="57" t="n">
        <f aca="false">E3124/(Pressupostos!$C$103*Pressupostos!$C$104)*Pressupostos!$C$100/1000</f>
        <v>2742.85714285714</v>
      </c>
      <c r="F3125" s="57" t="n">
        <f aca="false">F3124/(Pressupostos!$C$103*Pressupostos!$C$104)*Pressupostos!$C$100/1000</f>
        <v>5485.71428571429</v>
      </c>
      <c r="G3125" s="57" t="n">
        <f aca="false">G3124/(Pressupostos!$C$103*Pressupostos!$C$104)*Pressupostos!$C$100/1000</f>
        <v>9142.85714285714</v>
      </c>
      <c r="H3125" s="2" t="s">
        <v>1119</v>
      </c>
    </row>
    <row r="3126" customFormat="false" ht="15" hidden="false" customHeight="false" outlineLevel="0" collapsed="false">
      <c r="A3126" s="3" t="s">
        <v>1120</v>
      </c>
      <c r="B3126" s="4"/>
      <c r="C3126" s="4"/>
      <c r="D3126" s="4"/>
      <c r="E3126" s="4"/>
      <c r="F3126" s="4"/>
      <c r="G3126" s="4"/>
      <c r="H3126" s="4"/>
    </row>
    <row r="3127" customFormat="false" ht="15" hidden="false" customHeight="false" outlineLevel="1" collapsed="false">
      <c r="A3127" s="7" t="s">
        <v>633</v>
      </c>
      <c r="B3127" s="8" t="s">
        <v>59</v>
      </c>
      <c r="C3127" s="60" t="n">
        <f aca="false">Pressupostos!$D$10+Pressupostos!$D$11</f>
        <v>3.6</v>
      </c>
      <c r="D3127" s="60" t="n">
        <f aca="false">Pressupostos!$D$10+Pressupostos!$D$11</f>
        <v>3.6</v>
      </c>
      <c r="E3127" s="60" t="n">
        <f aca="false">Pressupostos!$D$10+Pressupostos!$D$11</f>
        <v>3.6</v>
      </c>
      <c r="F3127" s="60" t="n">
        <f aca="false">Pressupostos!$D$10+Pressupostos!$D$11</f>
        <v>3.6</v>
      </c>
      <c r="G3127" s="60" t="n">
        <f aca="false">Pressupostos!$D$10+Pressupostos!$D$11</f>
        <v>3.6</v>
      </c>
      <c r="H3127" s="2" t="s">
        <v>1121</v>
      </c>
    </row>
    <row r="3128" customFormat="false" ht="15" hidden="false" customHeight="false" outlineLevel="1" collapsed="false">
      <c r="A3128" s="7" t="s">
        <v>634</v>
      </c>
      <c r="B3128" s="8" t="s">
        <v>59</v>
      </c>
      <c r="C3128" s="63" t="n">
        <f aca="false">Pressupostos!$D$15</f>
        <v>5.65</v>
      </c>
      <c r="D3128" s="63" t="n">
        <f aca="false">Pressupostos!$D$15</f>
        <v>5.65</v>
      </c>
      <c r="E3128" s="63" t="n">
        <f aca="false">Pressupostos!$D$15</f>
        <v>5.65</v>
      </c>
      <c r="F3128" s="63" t="n">
        <f aca="false">Pressupostos!$D$15</f>
        <v>5.65</v>
      </c>
      <c r="G3128" s="63" t="n">
        <f aca="false">Pressupostos!$D$15</f>
        <v>5.65</v>
      </c>
      <c r="H3128" s="2" t="s">
        <v>1122</v>
      </c>
    </row>
    <row r="3129" customFormat="false" ht="15" hidden="false" customHeight="false" outlineLevel="1" collapsed="false">
      <c r="A3129" s="52" t="s">
        <v>635</v>
      </c>
      <c r="B3129" s="53" t="s">
        <v>59</v>
      </c>
      <c r="C3129" s="64" t="n">
        <f aca="false">C3128*(1-Pressupostos!$D$16)</f>
        <v>5.085</v>
      </c>
      <c r="D3129" s="64" t="n">
        <f aca="false">D3128*(1-Pressupostos!$D$16)</f>
        <v>5.085</v>
      </c>
      <c r="E3129" s="64" t="n">
        <f aca="false">E3128*(1-Pressupostos!$D$16)</f>
        <v>5.085</v>
      </c>
      <c r="F3129" s="64" t="n">
        <f aca="false">F3128*(1-Pressupostos!$D$16)</f>
        <v>5.085</v>
      </c>
      <c r="G3129" s="64" t="n">
        <f aca="false">G3128*(1-Pressupostos!$D$16)</f>
        <v>5.085</v>
      </c>
      <c r="H3129" s="2" t="s">
        <v>1123</v>
      </c>
    </row>
    <row r="3130" customFormat="false" ht="15" hidden="false" customHeight="false" outlineLevel="1" collapsed="false">
      <c r="A3130" s="7" t="s">
        <v>136</v>
      </c>
      <c r="B3130" s="8" t="s">
        <v>59</v>
      </c>
      <c r="C3130" s="63" t="n">
        <f aca="false">Pressupostos!$C$37</f>
        <v>0.55</v>
      </c>
      <c r="D3130" s="63" t="n">
        <f aca="false">Pressupostos!$C$37</f>
        <v>0.55</v>
      </c>
      <c r="E3130" s="63" t="n">
        <f aca="false">Pressupostos!$C$37</f>
        <v>0.55</v>
      </c>
      <c r="F3130" s="63" t="n">
        <f aca="false">Pressupostos!$C$37</f>
        <v>0.55</v>
      </c>
      <c r="G3130" s="63" t="n">
        <f aca="false">Pressupostos!$C$37</f>
        <v>0.55</v>
      </c>
      <c r="H3130" s="2" t="s">
        <v>1124</v>
      </c>
    </row>
    <row r="3131" customFormat="false" ht="15" hidden="false" customHeight="false" outlineLevel="1" collapsed="false">
      <c r="A3131" s="7" t="s">
        <v>205</v>
      </c>
      <c r="B3131" s="8" t="s">
        <v>59</v>
      </c>
      <c r="C3131" s="63" t="n">
        <f aca="false">Pressupostos!$C$233</f>
        <v>0.3</v>
      </c>
      <c r="D3131" s="63" t="n">
        <f aca="false">Pressupostos!$D$233</f>
        <v>0.3</v>
      </c>
      <c r="E3131" s="63" t="n">
        <f aca="false">Pressupostos!$E$233</f>
        <v>0.28</v>
      </c>
      <c r="F3131" s="63" t="n">
        <f aca="false">Pressupostos!$F$233</f>
        <v>0.27</v>
      </c>
      <c r="G3131" s="63" t="n">
        <f aca="false">Pressupostos!$G$233</f>
        <v>0.27</v>
      </c>
      <c r="H3131" s="2" t="s">
        <v>1125</v>
      </c>
    </row>
    <row r="3132" customFormat="false" ht="15" hidden="false" customHeight="false" outlineLevel="1" collapsed="false">
      <c r="A3132" s="7" t="s">
        <v>109</v>
      </c>
      <c r="B3132" s="8" t="s">
        <v>59</v>
      </c>
      <c r="C3132" s="63" t="n">
        <f aca="false">Pressupostos!$C$38</f>
        <v>0.06</v>
      </c>
      <c r="D3132" s="63" t="n">
        <f aca="false">Pressupostos!$C$38</f>
        <v>0.06</v>
      </c>
      <c r="E3132" s="63" t="n">
        <f aca="false">Pressupostos!$C$38</f>
        <v>0.06</v>
      </c>
      <c r="F3132" s="63" t="n">
        <f aca="false">Pressupostos!$C$38</f>
        <v>0.06</v>
      </c>
      <c r="G3132" s="63" t="n">
        <f aca="false">Pressupostos!$C$38</f>
        <v>0.06</v>
      </c>
      <c r="H3132" s="2" t="s">
        <v>1126</v>
      </c>
    </row>
    <row r="3133" customFormat="false" ht="15" hidden="false" customHeight="false" outlineLevel="1" collapsed="false">
      <c r="A3133" s="7" t="s">
        <v>86</v>
      </c>
      <c r="B3133" s="8" t="s">
        <v>74</v>
      </c>
      <c r="C3133" s="65" t="n">
        <f aca="false">Pressupostos!$C$239</f>
        <v>180</v>
      </c>
      <c r="D3133" s="65" t="n">
        <f aca="false">Pressupostos!$D$239</f>
        <v>180</v>
      </c>
      <c r="E3133" s="65" t="n">
        <f aca="false">Pressupostos!$E$239</f>
        <v>45</v>
      </c>
      <c r="F3133" s="65" t="n">
        <f aca="false">Pressupostos!$F$239</f>
        <v>45</v>
      </c>
      <c r="G3133" s="65" t="n">
        <f aca="false">Pressupostos!$G$239</f>
        <v>45</v>
      </c>
      <c r="H3133" s="2" t="s">
        <v>1127</v>
      </c>
    </row>
    <row r="3134" customFormat="false" ht="15" hidden="false" customHeight="false" outlineLevel="1" collapsed="false">
      <c r="A3134" s="7" t="s">
        <v>73</v>
      </c>
      <c r="B3134" s="8" t="s">
        <v>74</v>
      </c>
      <c r="C3134" s="65" t="n">
        <f aca="false">Pressupostos!$D$17</f>
        <v>35</v>
      </c>
      <c r="D3134" s="65" t="n">
        <f aca="false">Pressupostos!$D$17</f>
        <v>35</v>
      </c>
      <c r="E3134" s="65" t="n">
        <f aca="false">Pressupostos!$D$17</f>
        <v>35</v>
      </c>
      <c r="F3134" s="65" t="n">
        <f aca="false">Pressupostos!$D$17</f>
        <v>35</v>
      </c>
      <c r="G3134" s="65" t="n">
        <f aca="false">Pressupostos!$D$17</f>
        <v>35</v>
      </c>
      <c r="H3134" s="2" t="s">
        <v>1128</v>
      </c>
    </row>
    <row r="3135" customFormat="false" ht="15" hidden="false" customHeight="false" outlineLevel="1" collapsed="false">
      <c r="A3135" s="7" t="s">
        <v>471</v>
      </c>
      <c r="B3135" s="8" t="s">
        <v>59</v>
      </c>
      <c r="C3135" s="60" t="n">
        <f aca="false">Pressupostos!$C$64*C3133/30/1000</f>
        <v>0.024</v>
      </c>
      <c r="D3135" s="60" t="n">
        <f aca="false">Pressupostos!$C$64*D3133/30/1000</f>
        <v>0.024</v>
      </c>
      <c r="E3135" s="60" t="n">
        <f aca="false">Pressupostos!$C$64*E3133/30/1000</f>
        <v>0.006</v>
      </c>
      <c r="F3135" s="60" t="n">
        <f aca="false">Pressupostos!$C$64*F3133/30/1000</f>
        <v>0.006</v>
      </c>
      <c r="G3135" s="60" t="n">
        <f aca="false">Pressupostos!$C$64*G3133/30/1000</f>
        <v>0.006</v>
      </c>
      <c r="H3135" s="2" t="s">
        <v>1129</v>
      </c>
    </row>
    <row r="3136" customFormat="false" ht="15" hidden="false" customHeight="false" outlineLevel="1" collapsed="false">
      <c r="A3136" s="7" t="s">
        <v>154</v>
      </c>
      <c r="B3136" s="8" t="s">
        <v>59</v>
      </c>
      <c r="C3136" s="60" t="n">
        <f aca="false">C3127*Pressupostos!$C$65*C3133/365</f>
        <v>0.00355068493150685</v>
      </c>
      <c r="D3136" s="60" t="n">
        <f aca="false">D3127*Pressupostos!$C$65*D3133/365</f>
        <v>0.00355068493150685</v>
      </c>
      <c r="E3136" s="60" t="n">
        <f aca="false">E3127*Pressupostos!$C$65*E3133/365</f>
        <v>0.000887671232876712</v>
      </c>
      <c r="F3136" s="60" t="n">
        <f aca="false">F3127*Pressupostos!$C$65*F3133/365</f>
        <v>0.000887671232876712</v>
      </c>
      <c r="G3136" s="60" t="n">
        <f aca="false">G3127*Pressupostos!$C$65*G3133/365</f>
        <v>0.000887671232876712</v>
      </c>
      <c r="H3136" s="2" t="s">
        <v>1130</v>
      </c>
    </row>
    <row r="3137" customFormat="false" ht="15" hidden="false" customHeight="false" outlineLevel="1" collapsed="false">
      <c r="A3137" s="7" t="s">
        <v>636</v>
      </c>
      <c r="B3137" s="8" t="s">
        <v>59</v>
      </c>
      <c r="C3137" s="60" t="n">
        <f aca="false">Pressupostos!$C$40*Pressupostos!$C$66/(Pressupostos!$C$39*1000)</f>
        <v>0.03</v>
      </c>
      <c r="D3137" s="60" t="n">
        <f aca="false">Pressupostos!$C$40*Pressupostos!$C$66/(Pressupostos!$C$39*1000)</f>
        <v>0.03</v>
      </c>
      <c r="E3137" s="60" t="n">
        <f aca="false">Pressupostos!$C$40*Pressupostos!$C$66/(Pressupostos!$C$39*1000)</f>
        <v>0.03</v>
      </c>
      <c r="F3137" s="60" t="n">
        <f aca="false">Pressupostos!$C$40*Pressupostos!$C$66/(Pressupostos!$C$39*1000)</f>
        <v>0.03</v>
      </c>
      <c r="G3137" s="60" t="n">
        <f aca="false">Pressupostos!$C$40*Pressupostos!$C$66/(Pressupostos!$C$39*1000)</f>
        <v>0.03</v>
      </c>
      <c r="H3137" s="2" t="s">
        <v>1131</v>
      </c>
    </row>
    <row r="3138" customFormat="false" ht="15" hidden="false" customHeight="false" outlineLevel="1" collapsed="false">
      <c r="A3138" s="7" t="s">
        <v>473</v>
      </c>
      <c r="B3138" s="8" t="s">
        <v>59</v>
      </c>
      <c r="C3138" s="60" t="n">
        <f aca="false">Pressupostos!$C$67*C3127</f>
        <v>0.018</v>
      </c>
      <c r="D3138" s="60" t="n">
        <f aca="false">Pressupostos!$C$67*D3127</f>
        <v>0.018</v>
      </c>
      <c r="E3138" s="60" t="n">
        <f aca="false">Pressupostos!$C$67*E3127</f>
        <v>0.018</v>
      </c>
      <c r="F3138" s="60" t="n">
        <f aca="false">Pressupostos!$C$67*F3127</f>
        <v>0.018</v>
      </c>
      <c r="G3138" s="60" t="n">
        <f aca="false">Pressupostos!$C$67*G3127</f>
        <v>0.018</v>
      </c>
      <c r="H3138" s="2" t="s">
        <v>1132</v>
      </c>
    </row>
    <row r="3139" customFormat="false" ht="15" hidden="false" customHeight="false" outlineLevel="1" collapsed="false">
      <c r="A3139" s="7" t="s">
        <v>474</v>
      </c>
      <c r="B3139" s="8" t="s">
        <v>59</v>
      </c>
      <c r="C3139" s="60" t="n">
        <f aca="false">Pressupostos!$C$68*Pressupostos!$C$69*C3133/90</f>
        <v>0.018</v>
      </c>
      <c r="D3139" s="60" t="n">
        <f aca="false">Pressupostos!$C$68*Pressupostos!$C$69*D3133/90</f>
        <v>0.018</v>
      </c>
      <c r="E3139" s="60" t="n">
        <f aca="false">Pressupostos!$C$68*Pressupostos!$C$69*E3133/90</f>
        <v>0.0045</v>
      </c>
      <c r="F3139" s="60" t="n">
        <f aca="false">Pressupostos!$C$68*Pressupostos!$C$69*F3133/90</f>
        <v>0.0045</v>
      </c>
      <c r="G3139" s="60" t="n">
        <f aca="false">Pressupostos!$C$68*Pressupostos!$C$69*G3133/90</f>
        <v>0.0045</v>
      </c>
      <c r="H3139" s="2" t="s">
        <v>1133</v>
      </c>
    </row>
    <row r="3140" customFormat="false" ht="15" hidden="false" customHeight="false" outlineLevel="1" collapsed="false">
      <c r="A3140" s="7" t="s">
        <v>637</v>
      </c>
      <c r="B3140" s="8" t="s">
        <v>59</v>
      </c>
      <c r="C3140" s="60" t="n">
        <f aca="false">Pressupostos!$C$41/(Pressupostos!$C$39*1000)</f>
        <v>0.1</v>
      </c>
      <c r="D3140" s="60" t="n">
        <f aca="false">Pressupostos!$C$41/(Pressupostos!$C$39*1000)</f>
        <v>0.1</v>
      </c>
      <c r="E3140" s="60" t="n">
        <f aca="false">Pressupostos!$C$41/(Pressupostos!$C$39*1000)</f>
        <v>0.1</v>
      </c>
      <c r="F3140" s="60" t="n">
        <f aca="false">Pressupostos!$C$41/(Pressupostos!$C$39*1000)</f>
        <v>0.1</v>
      </c>
      <c r="G3140" s="60" t="n">
        <f aca="false">Pressupostos!$C$41/(Pressupostos!$C$39*1000)</f>
        <v>0.1</v>
      </c>
      <c r="H3140" s="2" t="s">
        <v>1134</v>
      </c>
    </row>
    <row r="3141" customFormat="false" ht="15" hidden="false" customHeight="false" outlineLevel="1" collapsed="false">
      <c r="A3141" s="7" t="s">
        <v>131</v>
      </c>
      <c r="B3141" s="8" t="s">
        <v>59</v>
      </c>
      <c r="C3141" s="63" t="n">
        <f aca="false">Pressupostos!$C$42</f>
        <v>0.01</v>
      </c>
      <c r="D3141" s="63" t="n">
        <f aca="false">Pressupostos!$C$42</f>
        <v>0.01</v>
      </c>
      <c r="E3141" s="63" t="n">
        <f aca="false">Pressupostos!$C$42</f>
        <v>0.01</v>
      </c>
      <c r="F3141" s="63" t="n">
        <f aca="false">Pressupostos!$C$42</f>
        <v>0.01</v>
      </c>
      <c r="G3141" s="63" t="n">
        <f aca="false">Pressupostos!$C$42</f>
        <v>0.01</v>
      </c>
      <c r="H3141" s="2" t="s">
        <v>1135</v>
      </c>
    </row>
    <row r="3142" customFormat="false" ht="15" hidden="false" customHeight="false" outlineLevel="1" collapsed="false">
      <c r="A3142" s="7" t="s">
        <v>76</v>
      </c>
      <c r="B3142" s="8" t="s">
        <v>59</v>
      </c>
      <c r="C3142" s="60" t="n">
        <f aca="false">Pressupostos!$D$18*C3129</f>
        <v>0.03051</v>
      </c>
      <c r="D3142" s="60" t="n">
        <f aca="false">Pressupostos!$D$18*D3129</f>
        <v>0.03051</v>
      </c>
      <c r="E3142" s="60" t="n">
        <f aca="false">Pressupostos!$D$18*E3129</f>
        <v>0.03051</v>
      </c>
      <c r="F3142" s="60" t="n">
        <f aca="false">Pressupostos!$D$18*F3129</f>
        <v>0.03051</v>
      </c>
      <c r="G3142" s="60" t="n">
        <f aca="false">Pressupostos!$D$18*G3129</f>
        <v>0.03051</v>
      </c>
      <c r="H3142" s="2" t="s">
        <v>1136</v>
      </c>
    </row>
    <row r="3143" customFormat="false" ht="15" hidden="false" customHeight="false" outlineLevel="1" collapsed="false">
      <c r="A3143" s="7" t="s">
        <v>638</v>
      </c>
      <c r="B3143" s="8" t="s">
        <v>59</v>
      </c>
      <c r="C3143" s="60" t="n">
        <f aca="false">Pressupostos!$C$71*C3129</f>
        <v>0</v>
      </c>
      <c r="D3143" s="60" t="n">
        <f aca="false">Pressupostos!$C$71*D3129</f>
        <v>0</v>
      </c>
      <c r="E3143" s="60" t="n">
        <f aca="false">Pressupostos!$C$71*E3129</f>
        <v>0</v>
      </c>
      <c r="F3143" s="60" t="n">
        <f aca="false">Pressupostos!$C$71*F3129</f>
        <v>0</v>
      </c>
      <c r="G3143" s="60" t="n">
        <f aca="false">Pressupostos!$C$71*G3129</f>
        <v>0</v>
      </c>
      <c r="H3143" s="2" t="s">
        <v>1137</v>
      </c>
    </row>
    <row r="3144" customFormat="false" ht="15" hidden="false" customHeight="false" outlineLevel="1" collapsed="false">
      <c r="A3144" s="7" t="s">
        <v>639</v>
      </c>
      <c r="B3144" s="8" t="s">
        <v>59</v>
      </c>
      <c r="C3144" s="60" t="n">
        <f aca="false">Pressupostos!$C$283*(C3127+C3130)*(C3133+C3134-Pressupostos!$C$70)/365*Pressupostos!$C$277/Pressupostos!$D$31</f>
        <v>0</v>
      </c>
      <c r="D3144" s="60" t="n">
        <f aca="false">Pressupostos!$D$283*(D3127+D3130)*(D3133+D3134-Pressupostos!$C$70)/365*Pressupostos!$D$277/Pressupostos!$D$31</f>
        <v>0.189308219178082</v>
      </c>
      <c r="E3144" s="60" t="n">
        <f aca="false">Pressupostos!$E$283*(E3127+E3130)*(E3133+E3134-Pressupostos!$C$70)/365*Pressupostos!$E$277/Pressupostos!$D$31</f>
        <v>0.0479666095890411</v>
      </c>
      <c r="F3144" s="60" t="n">
        <f aca="false">Pressupostos!$F$283*(F3127+F3130)*(F3133+F3134-Pressupostos!$C$70)/365*Pressupostos!$F$277/Pressupostos!$D$31</f>
        <v>0.0447688356164384</v>
      </c>
      <c r="G3144" s="60" t="n">
        <f aca="false">Pressupostos!$G$283*(G3127+G3130)*(G3133+G3134-Pressupostos!$C$70)/365*Pressupostos!$G$277/Pressupostos!$D$31</f>
        <v>0.0447688356164384</v>
      </c>
      <c r="H3144" s="2" t="s">
        <v>1138</v>
      </c>
    </row>
    <row r="3145" customFormat="false" ht="15" hidden="false" customHeight="false" outlineLevel="1" collapsed="false">
      <c r="A3145" s="7" t="s">
        <v>640</v>
      </c>
      <c r="B3145" s="8" t="s">
        <v>59</v>
      </c>
      <c r="C3145" s="60" t="n">
        <f aca="false">C3127+C3130+C3131+C3132+C3135+C3136+C3137+C3138+C3139+C3140+C3141+C3142+C3143+C3144</f>
        <v>4.74406068493151</v>
      </c>
      <c r="D3145" s="60" t="n">
        <f aca="false">D3127+D3130+D3131+D3132+D3135+D3136+D3137+D3138+D3139+D3140+D3141+D3142+D3143+D3144</f>
        <v>4.93336890410959</v>
      </c>
      <c r="E3145" s="60" t="n">
        <f aca="false">E3127+E3130+E3131+E3132+E3135+E3136+E3137+E3138+E3139+E3140+E3141+E3142+E3143+E3144</f>
        <v>4.73786428082192</v>
      </c>
      <c r="F3145" s="60" t="n">
        <f aca="false">F3127+F3130+F3131+F3132+F3135+F3136+F3137+F3138+F3139+F3140+F3141+F3142+F3143+F3144</f>
        <v>4.72466650684931</v>
      </c>
      <c r="G3145" s="60" t="n">
        <f aca="false">G3127+G3130+G3131+G3132+G3135+G3136+G3137+G3138+G3139+G3140+G3141+G3142+G3143+G3144</f>
        <v>4.72466650684931</v>
      </c>
      <c r="H3145" s="2" t="s">
        <v>1139</v>
      </c>
    </row>
    <row r="3146" customFormat="false" ht="15" hidden="false" customHeight="false" outlineLevel="1" collapsed="false">
      <c r="A3146" s="52" t="s">
        <v>641</v>
      </c>
      <c r="B3146" s="53" t="s">
        <v>59</v>
      </c>
      <c r="C3146" s="64" t="n">
        <f aca="false">C3129-C3145</f>
        <v>0.340939315068495</v>
      </c>
      <c r="D3146" s="64" t="n">
        <f aca="false">D3129-D3145</f>
        <v>0.151631095890413</v>
      </c>
      <c r="E3146" s="64" t="n">
        <f aca="false">E3129-E3145</f>
        <v>0.347135719178083</v>
      </c>
      <c r="F3146" s="64" t="n">
        <f aca="false">F3129-F3145</f>
        <v>0.360333493150686</v>
      </c>
      <c r="G3146" s="64" t="n">
        <f aca="false">G3129-G3145</f>
        <v>0.360333493150686</v>
      </c>
      <c r="H3146" s="2" t="s">
        <v>1140</v>
      </c>
    </row>
    <row r="3147" customFormat="false" ht="15" hidden="false" customHeight="false" outlineLevel="1" collapsed="false">
      <c r="A3147" s="7" t="s">
        <v>642</v>
      </c>
      <c r="B3147" s="8" t="s">
        <v>71</v>
      </c>
      <c r="C3147" s="55" t="n">
        <f aca="false">IF(C3129&gt;0,C3146/C3129,0)</f>
        <v>0.067048046227826</v>
      </c>
      <c r="D3147" s="55" t="n">
        <f aca="false">IF(D3129&gt;0,D3146/D3129,0)</f>
        <v>0.0298192912272199</v>
      </c>
      <c r="E3147" s="55" t="n">
        <f aca="false">IF(E3129&gt;0,E3146/E3129,0)</f>
        <v>0.0682666114411176</v>
      </c>
      <c r="F3147" s="55" t="n">
        <f aca="false">IF(F3129&gt;0,F3146/F3129,0)</f>
        <v>0.0708620438841074</v>
      </c>
      <c r="G3147" s="55" t="n">
        <f aca="false">IF(G3129&gt;0,G3146/G3129,0)</f>
        <v>0.0708620438841074</v>
      </c>
      <c r="H3147" s="2" t="s">
        <v>1141</v>
      </c>
    </row>
    <row r="3148" customFormat="false" ht="15" hidden="false" customHeight="false" outlineLevel="1" collapsed="false">
      <c r="A3148" s="7" t="s">
        <v>643</v>
      </c>
      <c r="B3148" s="8" t="s">
        <v>59</v>
      </c>
      <c r="C3148" s="60" t="n">
        <f aca="false">(C3127+C3130)*(C3133-Pressupostos!$C$70)/365+C3129*C3134/365</f>
        <v>2.19308219178082</v>
      </c>
      <c r="D3148" s="60" t="n">
        <f aca="false">(D3127+D3130)*(D3133-Pressupostos!$C$70)/365+D3129*D3134/365</f>
        <v>2.19308219178082</v>
      </c>
      <c r="E3148" s="60" t="n">
        <f aca="false">(E3127+E3130)*(E3133-Pressupostos!$C$70)/365+E3129*E3134/365</f>
        <v>0.658150684931507</v>
      </c>
      <c r="F3148" s="60" t="n">
        <f aca="false">(F3127+F3130)*(F3133-Pressupostos!$C$70)/365+F3129*F3134/365</f>
        <v>0.658150684931507</v>
      </c>
      <c r="G3148" s="60" t="n">
        <f aca="false">(G3127+G3130)*(G3133-Pressupostos!$C$70)/365+G3129*G3134/365</f>
        <v>0.658150684931507</v>
      </c>
      <c r="H3148" s="2" t="s">
        <v>1142</v>
      </c>
    </row>
    <row r="3149" customFormat="false" ht="15" hidden="false" customHeight="false" outlineLevel="0" collapsed="false">
      <c r="A3149" s="3" t="s">
        <v>1143</v>
      </c>
      <c r="B3149" s="4"/>
      <c r="C3149" s="4"/>
      <c r="D3149" s="4"/>
      <c r="E3149" s="4"/>
      <c r="F3149" s="4"/>
      <c r="G3149" s="4"/>
      <c r="H3149" s="4"/>
    </row>
    <row r="3150" customFormat="false" ht="15" hidden="false" customHeight="false" outlineLevel="1" collapsed="false">
      <c r="A3150" s="7" t="s">
        <v>633</v>
      </c>
      <c r="B3150" s="8" t="s">
        <v>59</v>
      </c>
      <c r="C3150" s="60" t="n">
        <f aca="false">Pressupostos!$D$10+Pressupostos!$D$12</f>
        <v>3.6</v>
      </c>
      <c r="D3150" s="60" t="n">
        <f aca="false">Pressupostos!$D$10+Pressupostos!$D$12</f>
        <v>3.6</v>
      </c>
      <c r="E3150" s="60" t="n">
        <f aca="false">Pressupostos!$D$10+Pressupostos!$D$12</f>
        <v>3.6</v>
      </c>
      <c r="F3150" s="60" t="n">
        <f aca="false">Pressupostos!$D$10+Pressupostos!$D$12</f>
        <v>3.6</v>
      </c>
      <c r="G3150" s="60" t="n">
        <f aca="false">Pressupostos!$D$10+Pressupostos!$D$12</f>
        <v>3.6</v>
      </c>
      <c r="H3150" s="2" t="s">
        <v>1144</v>
      </c>
    </row>
    <row r="3151" customFormat="false" ht="15" hidden="false" customHeight="false" outlineLevel="1" collapsed="false">
      <c r="A3151" s="7" t="s">
        <v>634</v>
      </c>
      <c r="B3151" s="8" t="s">
        <v>59</v>
      </c>
      <c r="C3151" s="60" t="n">
        <f aca="false">Pressupostos!$D$20+(Pressupostos!$C$194)</f>
        <v>4.55</v>
      </c>
      <c r="D3151" s="60" t="n">
        <f aca="false">Pressupostos!$D$20+(Pressupostos!$C$194)</f>
        <v>4.55</v>
      </c>
      <c r="E3151" s="60" t="n">
        <f aca="false">Pressupostos!$D$20+(Pressupostos!$C$194)</f>
        <v>4.55</v>
      </c>
      <c r="F3151" s="60" t="n">
        <f aca="false">Pressupostos!$D$20+(Pressupostos!$C$194)</f>
        <v>4.55</v>
      </c>
      <c r="G3151" s="60" t="n">
        <f aca="false">Pressupostos!$D$20+(Pressupostos!$C$194)</f>
        <v>4.55</v>
      </c>
      <c r="H3151" s="2" t="s">
        <v>1145</v>
      </c>
    </row>
    <row r="3152" customFormat="false" ht="15" hidden="false" customHeight="false" outlineLevel="1" collapsed="false">
      <c r="A3152" s="52" t="s">
        <v>635</v>
      </c>
      <c r="B3152" s="53" t="s">
        <v>59</v>
      </c>
      <c r="C3152" s="64" t="n">
        <f aca="false">C3151*(1-Pressupostos!$D$22)</f>
        <v>4.55</v>
      </c>
      <c r="D3152" s="64" t="n">
        <f aca="false">D3151*(1-Pressupostos!$D$22)</f>
        <v>4.55</v>
      </c>
      <c r="E3152" s="64" t="n">
        <f aca="false">E3151*(1-Pressupostos!$D$22)</f>
        <v>4.55</v>
      </c>
      <c r="F3152" s="64" t="n">
        <f aca="false">F3151*(1-Pressupostos!$D$22)</f>
        <v>4.55</v>
      </c>
      <c r="G3152" s="64" t="n">
        <f aca="false">G3151*(1-Pressupostos!$D$22)</f>
        <v>4.55</v>
      </c>
      <c r="H3152" s="2" t="s">
        <v>1146</v>
      </c>
    </row>
    <row r="3153" customFormat="false" ht="15" hidden="false" customHeight="false" outlineLevel="1" collapsed="false">
      <c r="A3153" s="7" t="s">
        <v>136</v>
      </c>
      <c r="B3153" s="8" t="s">
        <v>59</v>
      </c>
      <c r="C3153" s="63" t="n">
        <f aca="false">Pressupostos!$C$44</f>
        <v>0.45</v>
      </c>
      <c r="D3153" s="63" t="n">
        <f aca="false">Pressupostos!$C$44</f>
        <v>0.45</v>
      </c>
      <c r="E3153" s="63" t="n">
        <f aca="false">Pressupostos!$C$44</f>
        <v>0.45</v>
      </c>
      <c r="F3153" s="63" t="n">
        <f aca="false">Pressupostos!$C$44</f>
        <v>0.45</v>
      </c>
      <c r="G3153" s="63" t="n">
        <f aca="false">Pressupostos!$C$44</f>
        <v>0.45</v>
      </c>
      <c r="H3153" s="2" t="s">
        <v>1147</v>
      </c>
    </row>
    <row r="3154" customFormat="false" ht="15" hidden="false" customHeight="false" outlineLevel="1" collapsed="false">
      <c r="A3154" s="7" t="s">
        <v>205</v>
      </c>
      <c r="B3154" s="8" t="s">
        <v>59</v>
      </c>
      <c r="C3154" s="63" t="n">
        <f aca="false">Pressupostos!$C$245</f>
        <v>0.1</v>
      </c>
      <c r="D3154" s="63" t="n">
        <f aca="false">Pressupostos!$D$245</f>
        <v>0.1</v>
      </c>
      <c r="E3154" s="63" t="n">
        <f aca="false">Pressupostos!$E$245</f>
        <v>0.09</v>
      </c>
      <c r="F3154" s="63" t="n">
        <f aca="false">Pressupostos!$F$245</f>
        <v>0.09</v>
      </c>
      <c r="G3154" s="63" t="n">
        <f aca="false">Pressupostos!$G$245</f>
        <v>0.09</v>
      </c>
      <c r="H3154" s="2" t="s">
        <v>1148</v>
      </c>
    </row>
    <row r="3155" customFormat="false" ht="15" hidden="false" customHeight="false" outlineLevel="1" collapsed="false">
      <c r="A3155" s="7" t="s">
        <v>109</v>
      </c>
      <c r="B3155" s="8" t="s">
        <v>59</v>
      </c>
      <c r="C3155" s="63" t="n">
        <f aca="false">Pressupostos!$C$45</f>
        <v>0</v>
      </c>
      <c r="D3155" s="63" t="n">
        <f aca="false">Pressupostos!$C$45</f>
        <v>0</v>
      </c>
      <c r="E3155" s="63" t="n">
        <f aca="false">Pressupostos!$C$45</f>
        <v>0</v>
      </c>
      <c r="F3155" s="63" t="n">
        <f aca="false">Pressupostos!$C$45</f>
        <v>0</v>
      </c>
      <c r="G3155" s="63" t="n">
        <f aca="false">Pressupostos!$C$45</f>
        <v>0</v>
      </c>
      <c r="H3155" s="2" t="s">
        <v>1149</v>
      </c>
    </row>
    <row r="3156" customFormat="false" ht="15" hidden="false" customHeight="false" outlineLevel="1" collapsed="false">
      <c r="A3156" s="7" t="s">
        <v>86</v>
      </c>
      <c r="B3156" s="8" t="s">
        <v>74</v>
      </c>
      <c r="C3156" s="65" t="n">
        <f aca="false">Pressupostos!$D$23</f>
        <v>30</v>
      </c>
      <c r="D3156" s="65" t="n">
        <f aca="false">Pressupostos!$D$23</f>
        <v>30</v>
      </c>
      <c r="E3156" s="65" t="n">
        <f aca="false">Pressupostos!$D$23</f>
        <v>30</v>
      </c>
      <c r="F3156" s="65" t="n">
        <f aca="false">Pressupostos!$D$23</f>
        <v>30</v>
      </c>
      <c r="G3156" s="65" t="n">
        <f aca="false">Pressupostos!$D$23</f>
        <v>30</v>
      </c>
      <c r="H3156" s="2" t="s">
        <v>1150</v>
      </c>
    </row>
    <row r="3157" customFormat="false" ht="15" hidden="false" customHeight="false" outlineLevel="1" collapsed="false">
      <c r="A3157" s="7" t="s">
        <v>73</v>
      </c>
      <c r="B3157" s="8" t="s">
        <v>74</v>
      </c>
      <c r="C3157" s="65" t="n">
        <f aca="false">Pressupostos!$D$24</f>
        <v>45</v>
      </c>
      <c r="D3157" s="65" t="n">
        <f aca="false">Pressupostos!$D$24</f>
        <v>45</v>
      </c>
      <c r="E3157" s="65" t="n">
        <f aca="false">Pressupostos!$D$24</f>
        <v>45</v>
      </c>
      <c r="F3157" s="65" t="n">
        <f aca="false">Pressupostos!$D$24</f>
        <v>45</v>
      </c>
      <c r="G3157" s="65" t="n">
        <f aca="false">Pressupostos!$D$24</f>
        <v>45</v>
      </c>
      <c r="H3157" s="2" t="s">
        <v>1151</v>
      </c>
    </row>
    <row r="3158" customFormat="false" ht="15" hidden="false" customHeight="false" outlineLevel="1" collapsed="false">
      <c r="A3158" s="7" t="s">
        <v>471</v>
      </c>
      <c r="B3158" s="8" t="s">
        <v>59</v>
      </c>
      <c r="C3158" s="60" t="n">
        <f aca="false">Pressupostos!$C$64*C3156/30/1000</f>
        <v>0.004</v>
      </c>
      <c r="D3158" s="60" t="n">
        <f aca="false">Pressupostos!$C$64*D3156/30/1000</f>
        <v>0.004</v>
      </c>
      <c r="E3158" s="60" t="n">
        <f aca="false">Pressupostos!$C$64*E3156/30/1000</f>
        <v>0.004</v>
      </c>
      <c r="F3158" s="60" t="n">
        <f aca="false">Pressupostos!$C$64*F3156/30/1000</f>
        <v>0.004</v>
      </c>
      <c r="G3158" s="60" t="n">
        <f aca="false">Pressupostos!$C$64*G3156/30/1000</f>
        <v>0.004</v>
      </c>
      <c r="H3158" s="2" t="s">
        <v>1152</v>
      </c>
    </row>
    <row r="3159" customFormat="false" ht="15" hidden="false" customHeight="false" outlineLevel="1" collapsed="false">
      <c r="A3159" s="7" t="s">
        <v>154</v>
      </c>
      <c r="B3159" s="8" t="s">
        <v>59</v>
      </c>
      <c r="C3159" s="60" t="n">
        <f aca="false">C3150*Pressupostos!$C$65*C3156/365</f>
        <v>0.000591780821917808</v>
      </c>
      <c r="D3159" s="60" t="n">
        <f aca="false">D3150*Pressupostos!$C$65*D3156/365</f>
        <v>0.000591780821917808</v>
      </c>
      <c r="E3159" s="60" t="n">
        <f aca="false">E3150*Pressupostos!$C$65*E3156/365</f>
        <v>0.000591780821917808</v>
      </c>
      <c r="F3159" s="60" t="n">
        <f aca="false">F3150*Pressupostos!$C$65*F3156/365</f>
        <v>0.000591780821917808</v>
      </c>
      <c r="G3159" s="60" t="n">
        <f aca="false">G3150*Pressupostos!$C$65*G3156/365</f>
        <v>0.000591780821917808</v>
      </c>
      <c r="H3159" s="2" t="s">
        <v>1153</v>
      </c>
    </row>
    <row r="3160" customFormat="false" ht="15" hidden="false" customHeight="false" outlineLevel="1" collapsed="false">
      <c r="A3160" s="7" t="s">
        <v>636</v>
      </c>
      <c r="B3160" s="8" t="s">
        <v>59</v>
      </c>
      <c r="C3160" s="60" t="n">
        <f aca="false">Pressupostos!$C$47*Pressupostos!$C$66/(Pressupostos!$C$46*1000)</f>
        <v>0.02</v>
      </c>
      <c r="D3160" s="60" t="n">
        <f aca="false">Pressupostos!$C$47*Pressupostos!$C$66/(Pressupostos!$C$46*1000)</f>
        <v>0.02</v>
      </c>
      <c r="E3160" s="60" t="n">
        <f aca="false">Pressupostos!$C$47*Pressupostos!$C$66/(Pressupostos!$C$46*1000)</f>
        <v>0.02</v>
      </c>
      <c r="F3160" s="60" t="n">
        <f aca="false">Pressupostos!$C$47*Pressupostos!$C$66/(Pressupostos!$C$46*1000)</f>
        <v>0.02</v>
      </c>
      <c r="G3160" s="60" t="n">
        <f aca="false">Pressupostos!$C$47*Pressupostos!$C$66/(Pressupostos!$C$46*1000)</f>
        <v>0.02</v>
      </c>
      <c r="H3160" s="2" t="s">
        <v>1154</v>
      </c>
    </row>
    <row r="3161" customFormat="false" ht="15" hidden="false" customHeight="false" outlineLevel="1" collapsed="false">
      <c r="A3161" s="7" t="s">
        <v>473</v>
      </c>
      <c r="B3161" s="8" t="s">
        <v>59</v>
      </c>
      <c r="C3161" s="60" t="n">
        <f aca="false">Pressupostos!$C$67*C3150</f>
        <v>0.018</v>
      </c>
      <c r="D3161" s="60" t="n">
        <f aca="false">Pressupostos!$C$67*D3150</f>
        <v>0.018</v>
      </c>
      <c r="E3161" s="60" t="n">
        <f aca="false">Pressupostos!$C$67*E3150</f>
        <v>0.018</v>
      </c>
      <c r="F3161" s="60" t="n">
        <f aca="false">Pressupostos!$C$67*F3150</f>
        <v>0.018</v>
      </c>
      <c r="G3161" s="60" t="n">
        <f aca="false">Pressupostos!$C$67*G3150</f>
        <v>0.018</v>
      </c>
      <c r="H3161" s="2" t="s">
        <v>1155</v>
      </c>
    </row>
    <row r="3162" customFormat="false" ht="15" hidden="false" customHeight="false" outlineLevel="1" collapsed="false">
      <c r="A3162" s="7" t="s">
        <v>474</v>
      </c>
      <c r="B3162" s="8" t="s">
        <v>59</v>
      </c>
      <c r="C3162" s="60" t="n">
        <f aca="false">Pressupostos!$C$68*Pressupostos!$C$69*C3156/90</f>
        <v>0.003</v>
      </c>
      <c r="D3162" s="60" t="n">
        <f aca="false">Pressupostos!$C$68*Pressupostos!$C$69*D3156/90</f>
        <v>0.003</v>
      </c>
      <c r="E3162" s="60" t="n">
        <f aca="false">Pressupostos!$C$68*Pressupostos!$C$69*E3156/90</f>
        <v>0.003</v>
      </c>
      <c r="F3162" s="60" t="n">
        <f aca="false">Pressupostos!$C$68*Pressupostos!$C$69*F3156/90</f>
        <v>0.003</v>
      </c>
      <c r="G3162" s="60" t="n">
        <f aca="false">Pressupostos!$C$68*Pressupostos!$C$69*G3156/90</f>
        <v>0.003</v>
      </c>
      <c r="H3162" s="2" t="s">
        <v>1156</v>
      </c>
    </row>
    <row r="3163" customFormat="false" ht="15" hidden="false" customHeight="false" outlineLevel="1" collapsed="false">
      <c r="A3163" s="7" t="s">
        <v>637</v>
      </c>
      <c r="B3163" s="8" t="s">
        <v>59</v>
      </c>
      <c r="C3163" s="60" t="n">
        <f aca="false">Pressupostos!$C$48/(Pressupostos!$C$46*1000)</f>
        <v>0.04</v>
      </c>
      <c r="D3163" s="60" t="n">
        <f aca="false">Pressupostos!$C$48/(Pressupostos!$C$46*1000)</f>
        <v>0.04</v>
      </c>
      <c r="E3163" s="60" t="n">
        <f aca="false">Pressupostos!$C$48/(Pressupostos!$C$46*1000)</f>
        <v>0.04</v>
      </c>
      <c r="F3163" s="60" t="n">
        <f aca="false">Pressupostos!$C$48/(Pressupostos!$C$46*1000)</f>
        <v>0.04</v>
      </c>
      <c r="G3163" s="60" t="n">
        <f aca="false">Pressupostos!$C$48/(Pressupostos!$C$46*1000)</f>
        <v>0.04</v>
      </c>
      <c r="H3163" s="2" t="s">
        <v>1157</v>
      </c>
    </row>
    <row r="3164" customFormat="false" ht="15" hidden="false" customHeight="false" outlineLevel="1" collapsed="false">
      <c r="A3164" s="7" t="s">
        <v>131</v>
      </c>
      <c r="B3164" s="8" t="s">
        <v>59</v>
      </c>
      <c r="C3164" s="63" t="n">
        <f aca="false">Pressupostos!$C$49</f>
        <v>0.005</v>
      </c>
      <c r="D3164" s="63" t="n">
        <f aca="false">Pressupostos!$C$49</f>
        <v>0.005</v>
      </c>
      <c r="E3164" s="63" t="n">
        <f aca="false">Pressupostos!$C$49</f>
        <v>0.005</v>
      </c>
      <c r="F3164" s="63" t="n">
        <f aca="false">Pressupostos!$C$49</f>
        <v>0.005</v>
      </c>
      <c r="G3164" s="63" t="n">
        <f aca="false">Pressupostos!$C$49</f>
        <v>0.005</v>
      </c>
      <c r="H3164" s="2" t="s">
        <v>1158</v>
      </c>
    </row>
    <row r="3165" customFormat="false" ht="15" hidden="false" customHeight="false" outlineLevel="1" collapsed="false">
      <c r="A3165" s="7" t="s">
        <v>76</v>
      </c>
      <c r="B3165" s="8" t="s">
        <v>59</v>
      </c>
      <c r="C3165" s="60" t="n">
        <f aca="false">Pressupostos!$D$25*C3152</f>
        <v>0.01365</v>
      </c>
      <c r="D3165" s="60" t="n">
        <f aca="false">Pressupostos!$D$25*D3152</f>
        <v>0.01365</v>
      </c>
      <c r="E3165" s="60" t="n">
        <f aca="false">Pressupostos!$D$25*E3152</f>
        <v>0.01365</v>
      </c>
      <c r="F3165" s="60" t="n">
        <f aca="false">Pressupostos!$D$25*F3152</f>
        <v>0.01365</v>
      </c>
      <c r="G3165" s="60" t="n">
        <f aca="false">Pressupostos!$D$25*G3152</f>
        <v>0.01365</v>
      </c>
      <c r="H3165" s="2" t="s">
        <v>1159</v>
      </c>
    </row>
    <row r="3166" customFormat="false" ht="15" hidden="false" customHeight="false" outlineLevel="1" collapsed="false">
      <c r="A3166" s="7" t="s">
        <v>638</v>
      </c>
      <c r="B3166" s="8" t="s">
        <v>59</v>
      </c>
      <c r="C3166" s="60" t="n">
        <f aca="false">Pressupostos!$C$71*C3152</f>
        <v>0</v>
      </c>
      <c r="D3166" s="60" t="n">
        <f aca="false">Pressupostos!$C$71*D3152</f>
        <v>0</v>
      </c>
      <c r="E3166" s="60" t="n">
        <f aca="false">Pressupostos!$C$71*E3152</f>
        <v>0</v>
      </c>
      <c r="F3166" s="60" t="n">
        <f aca="false">Pressupostos!$C$71*F3152</f>
        <v>0</v>
      </c>
      <c r="G3166" s="60" t="n">
        <f aca="false">Pressupostos!$C$71*G3152</f>
        <v>0</v>
      </c>
      <c r="H3166" s="2" t="s">
        <v>1160</v>
      </c>
    </row>
    <row r="3167" customFormat="false" ht="15" hidden="false" customHeight="false" outlineLevel="1" collapsed="false">
      <c r="A3167" s="7" t="s">
        <v>639</v>
      </c>
      <c r="B3167" s="8" t="s">
        <v>59</v>
      </c>
      <c r="C3167" s="60" t="n">
        <f aca="false">Pressupostos!$C$283*(C3150+C3153)*(C3156+C3157-Pressupostos!$C$70)/365*Pressupostos!$C$277/Pressupostos!$D$31</f>
        <v>0</v>
      </c>
      <c r="D3167" s="60" t="n">
        <f aca="false">Pressupostos!$D$283*(D3150+D3153)*(D3156+D3157-Pressupostos!$C$70)/365*Pressupostos!$D$277/Pressupostos!$D$31</f>
        <v>0.0449383561643836</v>
      </c>
      <c r="E3167" s="60" t="n">
        <f aca="false">Pressupostos!$E$283*(E3150+E3153)*(E3156+E3157-Pressupostos!$C$70)/365*Pressupostos!$E$277/Pressupostos!$D$31</f>
        <v>0.0421297089041096</v>
      </c>
      <c r="F3167" s="60" t="n">
        <f aca="false">Pressupostos!$F$283*(F3150+F3153)*(F3156+F3157-Pressupostos!$C$70)/365*Pressupostos!$F$277/Pressupostos!$D$31</f>
        <v>0.0393210616438356</v>
      </c>
      <c r="G3167" s="60" t="n">
        <f aca="false">Pressupostos!$G$283*(G3150+G3153)*(G3156+G3157-Pressupostos!$C$70)/365*Pressupostos!$G$277/Pressupostos!$D$31</f>
        <v>0.0393210616438356</v>
      </c>
      <c r="H3167" s="2" t="s">
        <v>1161</v>
      </c>
    </row>
    <row r="3168" customFormat="false" ht="15" hidden="false" customHeight="false" outlineLevel="1" collapsed="false">
      <c r="A3168" s="7" t="s">
        <v>640</v>
      </c>
      <c r="B3168" s="8" t="s">
        <v>59</v>
      </c>
      <c r="C3168" s="60" t="n">
        <f aca="false">C3150+C3153+C3154+C3155+C3158+C3159+C3160+C3161+C3162+C3163+C3164+C3165+C3166+C3167</f>
        <v>4.25424178082192</v>
      </c>
      <c r="D3168" s="60" t="n">
        <f aca="false">D3150+D3153+D3154+D3155+D3158+D3159+D3160+D3161+D3162+D3163+D3164+D3165+D3166+D3167</f>
        <v>4.2991801369863</v>
      </c>
      <c r="E3168" s="60" t="n">
        <f aca="false">E3150+E3153+E3154+E3155+E3158+E3159+E3160+E3161+E3162+E3163+E3164+E3165+E3166+E3167</f>
        <v>4.28637148972603</v>
      </c>
      <c r="F3168" s="60" t="n">
        <f aca="false">F3150+F3153+F3154+F3155+F3158+F3159+F3160+F3161+F3162+F3163+F3164+F3165+F3166+F3167</f>
        <v>4.28356284246575</v>
      </c>
      <c r="G3168" s="60" t="n">
        <f aca="false">G3150+G3153+G3154+G3155+G3158+G3159+G3160+G3161+G3162+G3163+G3164+G3165+G3166+G3167</f>
        <v>4.28356284246575</v>
      </c>
      <c r="H3168" s="2" t="s">
        <v>1162</v>
      </c>
    </row>
    <row r="3169" customFormat="false" ht="15" hidden="false" customHeight="false" outlineLevel="1" collapsed="false">
      <c r="A3169" s="52" t="s">
        <v>641</v>
      </c>
      <c r="B3169" s="53" t="s">
        <v>59</v>
      </c>
      <c r="C3169" s="64" t="n">
        <f aca="false">C3152-C3168</f>
        <v>0.295758219178083</v>
      </c>
      <c r="D3169" s="64" t="n">
        <f aca="false">D3152-D3168</f>
        <v>0.2508198630137</v>
      </c>
      <c r="E3169" s="64" t="n">
        <f aca="false">E3152-E3168</f>
        <v>0.263628510273973</v>
      </c>
      <c r="F3169" s="64" t="n">
        <f aca="false">F3152-F3168</f>
        <v>0.266437157534247</v>
      </c>
      <c r="G3169" s="64" t="n">
        <f aca="false">G3152-G3168</f>
        <v>0.266437157534247</v>
      </c>
      <c r="H3169" s="2" t="s">
        <v>1163</v>
      </c>
    </row>
    <row r="3170" customFormat="false" ht="15" hidden="false" customHeight="false" outlineLevel="1" collapsed="false">
      <c r="A3170" s="7" t="s">
        <v>642</v>
      </c>
      <c r="B3170" s="8" t="s">
        <v>71</v>
      </c>
      <c r="C3170" s="55" t="n">
        <f aca="false">IF(C3152&gt;0,C3169/C3152,0)</f>
        <v>0.0650018064127655</v>
      </c>
      <c r="D3170" s="55" t="n">
        <f aca="false">IF(D3152&gt;0,D3169/D3152,0)</f>
        <v>0.0551252446183955</v>
      </c>
      <c r="E3170" s="55" t="n">
        <f aca="false">IF(E3152&gt;0,E3169/E3152,0)</f>
        <v>0.0579403319283457</v>
      </c>
      <c r="F3170" s="55" t="n">
        <f aca="false">IF(F3152&gt;0,F3169/F3152,0)</f>
        <v>0.0585576170404938</v>
      </c>
      <c r="G3170" s="55" t="n">
        <f aca="false">IF(G3152&gt;0,G3169/G3152,0)</f>
        <v>0.0585576170404938</v>
      </c>
      <c r="H3170" s="2" t="s">
        <v>1164</v>
      </c>
    </row>
    <row r="3171" customFormat="false" ht="15" hidden="false" customHeight="false" outlineLevel="1" collapsed="false">
      <c r="A3171" s="7" t="s">
        <v>643</v>
      </c>
      <c r="B3171" s="8" t="s">
        <v>59</v>
      </c>
      <c r="C3171" s="60" t="n">
        <f aca="false">(C3150+C3153)*(C3156-Pressupostos!$C$70)/365+C3152*C3157/365</f>
        <v>0.560958904109589</v>
      </c>
      <c r="D3171" s="60" t="n">
        <f aca="false">(D3150+D3153)*(D3156-Pressupostos!$C$70)/365+D3152*D3157/365</f>
        <v>0.560958904109589</v>
      </c>
      <c r="E3171" s="60" t="n">
        <f aca="false">(E3150+E3153)*(E3156-Pressupostos!$C$70)/365+E3152*E3157/365</f>
        <v>0.560958904109589</v>
      </c>
      <c r="F3171" s="60" t="n">
        <f aca="false">(F3150+F3153)*(F3156-Pressupostos!$C$70)/365+F3152*F3157/365</f>
        <v>0.560958904109589</v>
      </c>
      <c r="G3171" s="60" t="n">
        <f aca="false">(G3150+G3153)*(G3156-Pressupostos!$C$70)/365+G3152*G3157/365</f>
        <v>0.560958904109589</v>
      </c>
      <c r="H3171" s="2" t="s">
        <v>1165</v>
      </c>
    </row>
    <row r="3172" customFormat="false" ht="15" hidden="false" customHeight="false" outlineLevel="0" collapsed="false">
      <c r="A3172" s="3" t="s">
        <v>1166</v>
      </c>
      <c r="B3172" s="4"/>
      <c r="C3172" s="4"/>
      <c r="D3172" s="4"/>
      <c r="E3172" s="4"/>
      <c r="F3172" s="4"/>
      <c r="G3172" s="4"/>
      <c r="H3172" s="4"/>
    </row>
    <row r="3173" customFormat="false" ht="15" hidden="false" customHeight="false" outlineLevel="1" collapsed="false">
      <c r="A3173" s="7" t="s">
        <v>633</v>
      </c>
      <c r="B3173" s="8" t="s">
        <v>59</v>
      </c>
      <c r="C3173" s="60" t="n">
        <f aca="false">Pressupostos!$D$10+Pressupostos!$D$13</f>
        <v>3.5</v>
      </c>
      <c r="D3173" s="60" t="n">
        <f aca="false">Pressupostos!$D$10+Pressupostos!$D$13</f>
        <v>3.5</v>
      </c>
      <c r="E3173" s="60" t="n">
        <f aca="false">Pressupostos!$D$10+Pressupostos!$D$13</f>
        <v>3.5</v>
      </c>
      <c r="F3173" s="60" t="n">
        <f aca="false">Pressupostos!$D$10+Pressupostos!$D$13</f>
        <v>3.5</v>
      </c>
      <c r="G3173" s="60" t="n">
        <f aca="false">Pressupostos!$D$10+Pressupostos!$D$13</f>
        <v>3.5</v>
      </c>
      <c r="H3173" s="2" t="s">
        <v>1167</v>
      </c>
    </row>
    <row r="3174" customFormat="false" ht="15" hidden="false" customHeight="false" outlineLevel="1" collapsed="false">
      <c r="A3174" s="7" t="s">
        <v>634</v>
      </c>
      <c r="B3174" s="8" t="s">
        <v>59</v>
      </c>
      <c r="C3174" s="60" t="n">
        <f aca="false">Pressupostos!$D$10+Pressupostos!$C$51</f>
        <v>3.65</v>
      </c>
      <c r="D3174" s="60" t="n">
        <f aca="false">Pressupostos!$D$10+Pressupostos!$C$51</f>
        <v>3.65</v>
      </c>
      <c r="E3174" s="60" t="n">
        <f aca="false">Pressupostos!$D$10+Pressupostos!$C$51</f>
        <v>3.65</v>
      </c>
      <c r="F3174" s="60" t="n">
        <f aca="false">Pressupostos!$D$10+Pressupostos!$C$51</f>
        <v>3.65</v>
      </c>
      <c r="G3174" s="60" t="n">
        <f aca="false">Pressupostos!$D$10+Pressupostos!$C$51</f>
        <v>3.65</v>
      </c>
      <c r="H3174" s="2" t="s">
        <v>1168</v>
      </c>
    </row>
    <row r="3175" customFormat="false" ht="15" hidden="false" customHeight="false" outlineLevel="1" collapsed="false">
      <c r="A3175" s="52" t="s">
        <v>635</v>
      </c>
      <c r="B3175" s="53" t="s">
        <v>59</v>
      </c>
      <c r="C3175" s="64" t="n">
        <f aca="false">C3174*(1-Pressupostos!$C$52)</f>
        <v>3.65</v>
      </c>
      <c r="D3175" s="64" t="n">
        <f aca="false">D3174*(1-Pressupostos!$C$52)</f>
        <v>3.65</v>
      </c>
      <c r="E3175" s="64" t="n">
        <f aca="false">E3174*(1-Pressupostos!$C$52)</f>
        <v>3.65</v>
      </c>
      <c r="F3175" s="64" t="n">
        <f aca="false">F3174*(1-Pressupostos!$C$52)</f>
        <v>3.65</v>
      </c>
      <c r="G3175" s="64" t="n">
        <f aca="false">G3174*(1-Pressupostos!$C$52)</f>
        <v>3.65</v>
      </c>
      <c r="H3175" s="2" t="s">
        <v>1169</v>
      </c>
    </row>
    <row r="3176" customFormat="false" ht="15" hidden="false" customHeight="false" outlineLevel="1" collapsed="false">
      <c r="A3176" s="7" t="s">
        <v>136</v>
      </c>
      <c r="B3176" s="8" t="s">
        <v>59</v>
      </c>
      <c r="C3176" s="63" t="n">
        <f aca="false">Pressupostos!$C$53</f>
        <v>0</v>
      </c>
      <c r="D3176" s="63" t="n">
        <f aca="false">Pressupostos!$C$53</f>
        <v>0</v>
      </c>
      <c r="E3176" s="63" t="n">
        <f aca="false">Pressupostos!$C$53</f>
        <v>0</v>
      </c>
      <c r="F3176" s="63" t="n">
        <f aca="false">Pressupostos!$C$53</f>
        <v>0</v>
      </c>
      <c r="G3176" s="63" t="n">
        <f aca="false">Pressupostos!$C$53</f>
        <v>0</v>
      </c>
      <c r="H3176" s="2" t="s">
        <v>1170</v>
      </c>
    </row>
    <row r="3177" customFormat="false" ht="15" hidden="false" customHeight="false" outlineLevel="1" collapsed="false">
      <c r="A3177" s="7" t="s">
        <v>205</v>
      </c>
      <c r="B3177" s="8" t="s">
        <v>59</v>
      </c>
      <c r="C3177" s="63" t="n">
        <f aca="false">Pressupostos!$C$54</f>
        <v>0.04</v>
      </c>
      <c r="D3177" s="63" t="n">
        <f aca="false">Pressupostos!$C$54</f>
        <v>0.04</v>
      </c>
      <c r="E3177" s="63" t="n">
        <f aca="false">Pressupostos!$C$54</f>
        <v>0.04</v>
      </c>
      <c r="F3177" s="63" t="n">
        <f aca="false">Pressupostos!$C$54</f>
        <v>0.04</v>
      </c>
      <c r="G3177" s="63" t="n">
        <f aca="false">Pressupostos!$C$54</f>
        <v>0.04</v>
      </c>
      <c r="H3177" s="2" t="s">
        <v>1171</v>
      </c>
    </row>
    <row r="3178" customFormat="false" ht="15" hidden="false" customHeight="false" outlineLevel="1" collapsed="false">
      <c r="A3178" s="7" t="s">
        <v>109</v>
      </c>
      <c r="B3178" s="8" t="s">
        <v>59</v>
      </c>
      <c r="C3178" s="63" t="n">
        <f aca="false">Pressupostos!$C$55</f>
        <v>0</v>
      </c>
      <c r="D3178" s="63" t="n">
        <f aca="false">Pressupostos!$C$55</f>
        <v>0</v>
      </c>
      <c r="E3178" s="63" t="n">
        <f aca="false">Pressupostos!$C$55</f>
        <v>0</v>
      </c>
      <c r="F3178" s="63" t="n">
        <f aca="false">Pressupostos!$C$55</f>
        <v>0</v>
      </c>
      <c r="G3178" s="63" t="n">
        <f aca="false">Pressupostos!$C$55</f>
        <v>0</v>
      </c>
      <c r="H3178" s="2" t="s">
        <v>1172</v>
      </c>
    </row>
    <row r="3179" customFormat="false" ht="15" hidden="false" customHeight="false" outlineLevel="1" collapsed="false">
      <c r="A3179" s="7" t="s">
        <v>86</v>
      </c>
      <c r="B3179" s="8" t="s">
        <v>74</v>
      </c>
      <c r="C3179" s="65" t="n">
        <f aca="false">Pressupostos!$C$56</f>
        <v>15</v>
      </c>
      <c r="D3179" s="65" t="n">
        <f aca="false">Pressupostos!$C$56</f>
        <v>15</v>
      </c>
      <c r="E3179" s="65" t="n">
        <f aca="false">Pressupostos!$C$56</f>
        <v>15</v>
      </c>
      <c r="F3179" s="65" t="n">
        <f aca="false">Pressupostos!$C$56</f>
        <v>15</v>
      </c>
      <c r="G3179" s="65" t="n">
        <f aca="false">Pressupostos!$C$56</f>
        <v>15</v>
      </c>
      <c r="H3179" s="2" t="s">
        <v>1173</v>
      </c>
    </row>
    <row r="3180" customFormat="false" ht="15" hidden="false" customHeight="false" outlineLevel="1" collapsed="false">
      <c r="A3180" s="7" t="s">
        <v>73</v>
      </c>
      <c r="B3180" s="8" t="s">
        <v>74</v>
      </c>
      <c r="C3180" s="65" t="n">
        <f aca="false">Pressupostos!$C$57</f>
        <v>45</v>
      </c>
      <c r="D3180" s="65" t="n">
        <f aca="false">Pressupostos!$C$57</f>
        <v>45</v>
      </c>
      <c r="E3180" s="65" t="n">
        <f aca="false">Pressupostos!$C$57</f>
        <v>45</v>
      </c>
      <c r="F3180" s="65" t="n">
        <f aca="false">Pressupostos!$C$57</f>
        <v>45</v>
      </c>
      <c r="G3180" s="65" t="n">
        <f aca="false">Pressupostos!$C$57</f>
        <v>45</v>
      </c>
      <c r="H3180" s="2" t="s">
        <v>1174</v>
      </c>
    </row>
    <row r="3181" customFormat="false" ht="15" hidden="false" customHeight="false" outlineLevel="1" collapsed="false">
      <c r="A3181" s="7" t="s">
        <v>471</v>
      </c>
      <c r="B3181" s="8" t="s">
        <v>59</v>
      </c>
      <c r="C3181" s="60" t="n">
        <f aca="false">Pressupostos!$C$64*C3179/30/1000</f>
        <v>0.002</v>
      </c>
      <c r="D3181" s="60" t="n">
        <f aca="false">Pressupostos!$C$64*D3179/30/1000</f>
        <v>0.002</v>
      </c>
      <c r="E3181" s="60" t="n">
        <f aca="false">Pressupostos!$C$64*E3179/30/1000</f>
        <v>0.002</v>
      </c>
      <c r="F3181" s="60" t="n">
        <f aca="false">Pressupostos!$C$64*F3179/30/1000</f>
        <v>0.002</v>
      </c>
      <c r="G3181" s="60" t="n">
        <f aca="false">Pressupostos!$C$64*G3179/30/1000</f>
        <v>0.002</v>
      </c>
      <c r="H3181" s="2" t="s">
        <v>1175</v>
      </c>
    </row>
    <row r="3182" customFormat="false" ht="15" hidden="false" customHeight="false" outlineLevel="1" collapsed="false">
      <c r="A3182" s="7" t="s">
        <v>154</v>
      </c>
      <c r="B3182" s="8" t="s">
        <v>59</v>
      </c>
      <c r="C3182" s="60" t="n">
        <f aca="false">C3173*Pressupostos!$C$65*C3179/365</f>
        <v>0.000287671232876712</v>
      </c>
      <c r="D3182" s="60" t="n">
        <f aca="false">D3173*Pressupostos!$C$65*D3179/365</f>
        <v>0.000287671232876712</v>
      </c>
      <c r="E3182" s="60" t="n">
        <f aca="false">E3173*Pressupostos!$C$65*E3179/365</f>
        <v>0.000287671232876712</v>
      </c>
      <c r="F3182" s="60" t="n">
        <f aca="false">F3173*Pressupostos!$C$65*F3179/365</f>
        <v>0.000287671232876712</v>
      </c>
      <c r="G3182" s="60" t="n">
        <f aca="false">G3173*Pressupostos!$C$65*G3179/365</f>
        <v>0.000287671232876712</v>
      </c>
      <c r="H3182" s="2" t="s">
        <v>1176</v>
      </c>
    </row>
    <row r="3183" customFormat="false" ht="15" hidden="false" customHeight="false" outlineLevel="1" collapsed="false">
      <c r="A3183" s="7" t="s">
        <v>636</v>
      </c>
      <c r="B3183" s="8" t="s">
        <v>59</v>
      </c>
      <c r="C3183" s="60" t="n">
        <f aca="false">Pressupostos!$C$59*Pressupostos!$C$66/(Pressupostos!$C$58*1000)</f>
        <v>0.006</v>
      </c>
      <c r="D3183" s="60" t="n">
        <f aca="false">Pressupostos!$C$59*Pressupostos!$C$66/(Pressupostos!$C$58*1000)</f>
        <v>0.006</v>
      </c>
      <c r="E3183" s="60" t="n">
        <f aca="false">Pressupostos!$C$59*Pressupostos!$C$66/(Pressupostos!$C$58*1000)</f>
        <v>0.006</v>
      </c>
      <c r="F3183" s="60" t="n">
        <f aca="false">Pressupostos!$C$59*Pressupostos!$C$66/(Pressupostos!$C$58*1000)</f>
        <v>0.006</v>
      </c>
      <c r="G3183" s="60" t="n">
        <f aca="false">Pressupostos!$C$59*Pressupostos!$C$66/(Pressupostos!$C$58*1000)</f>
        <v>0.006</v>
      </c>
      <c r="H3183" s="2" t="s">
        <v>1177</v>
      </c>
    </row>
    <row r="3184" customFormat="false" ht="15" hidden="false" customHeight="false" outlineLevel="1" collapsed="false">
      <c r="A3184" s="7" t="s">
        <v>473</v>
      </c>
      <c r="B3184" s="8" t="s">
        <v>59</v>
      </c>
      <c r="C3184" s="60" t="n">
        <f aca="false">Pressupostos!$C$67*C3173</f>
        <v>0.0175</v>
      </c>
      <c r="D3184" s="60" t="n">
        <f aca="false">Pressupostos!$C$67*D3173</f>
        <v>0.0175</v>
      </c>
      <c r="E3184" s="60" t="n">
        <f aca="false">Pressupostos!$C$67*E3173</f>
        <v>0.0175</v>
      </c>
      <c r="F3184" s="60" t="n">
        <f aca="false">Pressupostos!$C$67*F3173</f>
        <v>0.0175</v>
      </c>
      <c r="G3184" s="60" t="n">
        <f aca="false">Pressupostos!$C$67*G3173</f>
        <v>0.0175</v>
      </c>
      <c r="H3184" s="2" t="s">
        <v>1178</v>
      </c>
    </row>
    <row r="3185" customFormat="false" ht="15" hidden="false" customHeight="false" outlineLevel="1" collapsed="false">
      <c r="A3185" s="7" t="s">
        <v>474</v>
      </c>
      <c r="B3185" s="8" t="s">
        <v>59</v>
      </c>
      <c r="C3185" s="60" t="n">
        <f aca="false">Pressupostos!$C$68*Pressupostos!$C$69*C3179/90</f>
        <v>0.0015</v>
      </c>
      <c r="D3185" s="60" t="n">
        <f aca="false">Pressupostos!$C$68*Pressupostos!$C$69*D3179/90</f>
        <v>0.0015</v>
      </c>
      <c r="E3185" s="60" t="n">
        <f aca="false">Pressupostos!$C$68*Pressupostos!$C$69*E3179/90</f>
        <v>0.0015</v>
      </c>
      <c r="F3185" s="60" t="n">
        <f aca="false">Pressupostos!$C$68*Pressupostos!$C$69*F3179/90</f>
        <v>0.0015</v>
      </c>
      <c r="G3185" s="60" t="n">
        <f aca="false">Pressupostos!$C$68*Pressupostos!$C$69*G3179/90</f>
        <v>0.0015</v>
      </c>
      <c r="H3185" s="2" t="s">
        <v>1179</v>
      </c>
    </row>
    <row r="3186" customFormat="false" ht="15" hidden="false" customHeight="false" outlineLevel="1" collapsed="false">
      <c r="A3186" s="7" t="s">
        <v>637</v>
      </c>
      <c r="B3186" s="8" t="s">
        <v>59</v>
      </c>
      <c r="C3186" s="60" t="n">
        <f aca="false">Pressupostos!$C$60/(Pressupostos!$C$58*1000)</f>
        <v>0.012</v>
      </c>
      <c r="D3186" s="60" t="n">
        <f aca="false">Pressupostos!$C$60/(Pressupostos!$C$58*1000)</f>
        <v>0.012</v>
      </c>
      <c r="E3186" s="60" t="n">
        <f aca="false">Pressupostos!$C$60/(Pressupostos!$C$58*1000)</f>
        <v>0.012</v>
      </c>
      <c r="F3186" s="60" t="n">
        <f aca="false">Pressupostos!$C$60/(Pressupostos!$C$58*1000)</f>
        <v>0.012</v>
      </c>
      <c r="G3186" s="60" t="n">
        <f aca="false">Pressupostos!$C$60/(Pressupostos!$C$58*1000)</f>
        <v>0.012</v>
      </c>
      <c r="H3186" s="2" t="s">
        <v>1180</v>
      </c>
    </row>
    <row r="3187" customFormat="false" ht="15" hidden="false" customHeight="false" outlineLevel="1" collapsed="false">
      <c r="A3187" s="7" t="s">
        <v>131</v>
      </c>
      <c r="B3187" s="8" t="s">
        <v>59</v>
      </c>
      <c r="C3187" s="63" t="n">
        <f aca="false">Pressupostos!$C$61</f>
        <v>0.001</v>
      </c>
      <c r="D3187" s="63" t="n">
        <f aca="false">Pressupostos!$C$61</f>
        <v>0.001</v>
      </c>
      <c r="E3187" s="63" t="n">
        <f aca="false">Pressupostos!$C$61</f>
        <v>0.001</v>
      </c>
      <c r="F3187" s="63" t="n">
        <f aca="false">Pressupostos!$C$61</f>
        <v>0.001</v>
      </c>
      <c r="G3187" s="63" t="n">
        <f aca="false">Pressupostos!$C$61</f>
        <v>0.001</v>
      </c>
      <c r="H3187" s="2" t="s">
        <v>1181</v>
      </c>
    </row>
    <row r="3188" customFormat="false" ht="15" hidden="false" customHeight="false" outlineLevel="1" collapsed="false">
      <c r="A3188" s="7" t="s">
        <v>76</v>
      </c>
      <c r="B3188" s="8" t="s">
        <v>59</v>
      </c>
      <c r="C3188" s="60" t="n">
        <f aca="false">Pressupostos!$C$62*C3175</f>
        <v>0.01095</v>
      </c>
      <c r="D3188" s="60" t="n">
        <f aca="false">Pressupostos!$C$62*D3175</f>
        <v>0.01095</v>
      </c>
      <c r="E3188" s="60" t="n">
        <f aca="false">Pressupostos!$C$62*E3175</f>
        <v>0.01095</v>
      </c>
      <c r="F3188" s="60" t="n">
        <f aca="false">Pressupostos!$C$62*F3175</f>
        <v>0.01095</v>
      </c>
      <c r="G3188" s="60" t="n">
        <f aca="false">Pressupostos!$C$62*G3175</f>
        <v>0.01095</v>
      </c>
      <c r="H3188" s="2" t="s">
        <v>1182</v>
      </c>
    </row>
    <row r="3189" customFormat="false" ht="15" hidden="false" customHeight="false" outlineLevel="1" collapsed="false">
      <c r="A3189" s="7" t="s">
        <v>638</v>
      </c>
      <c r="B3189" s="8" t="s">
        <v>59</v>
      </c>
      <c r="C3189" s="60" t="n">
        <f aca="false">Pressupostos!$C$71*C3175</f>
        <v>0</v>
      </c>
      <c r="D3189" s="60" t="n">
        <f aca="false">Pressupostos!$C$71*D3175</f>
        <v>0</v>
      </c>
      <c r="E3189" s="60" t="n">
        <f aca="false">Pressupostos!$C$71*E3175</f>
        <v>0</v>
      </c>
      <c r="F3189" s="60" t="n">
        <f aca="false">Pressupostos!$C$71*F3175</f>
        <v>0</v>
      </c>
      <c r="G3189" s="60" t="n">
        <f aca="false">Pressupostos!$C$71*G3175</f>
        <v>0</v>
      </c>
      <c r="H3189" s="2" t="s">
        <v>1183</v>
      </c>
    </row>
    <row r="3190" customFormat="false" ht="15" hidden="false" customHeight="false" outlineLevel="1" collapsed="false">
      <c r="A3190" s="7" t="s">
        <v>639</v>
      </c>
      <c r="B3190" s="8" t="s">
        <v>59</v>
      </c>
      <c r="C3190" s="60" t="n">
        <f aca="false">Pressupostos!$C$283*(C3173+C3176)*(C3179+C3180-Pressupostos!$C$70)/365*Pressupostos!$C$277/Pressupostos!$D$31</f>
        <v>0</v>
      </c>
      <c r="D3190" s="60" t="n">
        <f aca="false">Pressupostos!$D$283*(D3173+D3176)*(D3179+D3180-Pressupostos!$C$70)/365*Pressupostos!$D$277/Pressupostos!$D$31</f>
        <v>0.0258904109589041</v>
      </c>
      <c r="E3190" s="60" t="n">
        <f aca="false">Pressupostos!$E$283*(E3173+E3176)*(E3179+E3180-Pressupostos!$C$70)/365*Pressupostos!$E$277/Pressupostos!$D$31</f>
        <v>0.0242722602739726</v>
      </c>
      <c r="F3190" s="60" t="n">
        <f aca="false">Pressupostos!$F$283*(F3173+F3176)*(F3179+F3180-Pressupostos!$C$70)/365*Pressupostos!$F$277/Pressupostos!$D$31</f>
        <v>0.0226541095890411</v>
      </c>
      <c r="G3190" s="60" t="n">
        <f aca="false">Pressupostos!$G$283*(G3173+G3176)*(G3179+G3180-Pressupostos!$C$70)/365*Pressupostos!$G$277/Pressupostos!$D$31</f>
        <v>0.0226541095890411</v>
      </c>
      <c r="H3190" s="2" t="s">
        <v>1184</v>
      </c>
    </row>
    <row r="3191" customFormat="false" ht="15" hidden="false" customHeight="false" outlineLevel="1" collapsed="false">
      <c r="A3191" s="7" t="s">
        <v>640</v>
      </c>
      <c r="B3191" s="8" t="s">
        <v>59</v>
      </c>
      <c r="C3191" s="60" t="n">
        <f aca="false">C3173+C3176+C3177+C3178+C3181+C3182+C3183+C3184+C3185+C3186+C3187+C3188+C3189+C3190</f>
        <v>3.59123767123288</v>
      </c>
      <c r="D3191" s="60" t="n">
        <f aca="false">D3173+D3176+D3177+D3178+D3181+D3182+D3183+D3184+D3185+D3186+D3187+D3188+D3189+D3190</f>
        <v>3.61712808219178</v>
      </c>
      <c r="E3191" s="60" t="n">
        <f aca="false">E3173+E3176+E3177+E3178+E3181+E3182+E3183+E3184+E3185+E3186+E3187+E3188+E3189+E3190</f>
        <v>3.61550993150685</v>
      </c>
      <c r="F3191" s="60" t="n">
        <f aca="false">F3173+F3176+F3177+F3178+F3181+F3182+F3183+F3184+F3185+F3186+F3187+F3188+F3189+F3190</f>
        <v>3.61389178082192</v>
      </c>
      <c r="G3191" s="60" t="n">
        <f aca="false">G3173+G3176+G3177+G3178+G3181+G3182+G3183+G3184+G3185+G3186+G3187+G3188+G3189+G3190</f>
        <v>3.61389178082192</v>
      </c>
      <c r="H3191" s="2" t="s">
        <v>1185</v>
      </c>
    </row>
    <row r="3192" customFormat="false" ht="15" hidden="false" customHeight="false" outlineLevel="1" collapsed="false">
      <c r="A3192" s="52" t="s">
        <v>641</v>
      </c>
      <c r="B3192" s="53" t="s">
        <v>59</v>
      </c>
      <c r="C3192" s="64" t="n">
        <f aca="false">C3175-C3191</f>
        <v>0.058762328767124</v>
      </c>
      <c r="D3192" s="64" t="n">
        <f aca="false">D3175-D3191</f>
        <v>0.0328719178082197</v>
      </c>
      <c r="E3192" s="64" t="n">
        <f aca="false">E3175-E3191</f>
        <v>0.0344900684931515</v>
      </c>
      <c r="F3192" s="64" t="n">
        <f aca="false">F3175-F3191</f>
        <v>0.0361082191780828</v>
      </c>
      <c r="G3192" s="64" t="n">
        <f aca="false">G3175-G3191</f>
        <v>0.0361082191780828</v>
      </c>
      <c r="H3192" s="2" t="s">
        <v>1186</v>
      </c>
    </row>
    <row r="3193" customFormat="false" ht="15" hidden="false" customHeight="false" outlineLevel="1" collapsed="false">
      <c r="A3193" s="7" t="s">
        <v>642</v>
      </c>
      <c r="B3193" s="8" t="s">
        <v>71</v>
      </c>
      <c r="C3193" s="55" t="n">
        <f aca="false">IF(C3175&gt;0,C3192/C3175,0)</f>
        <v>0.0160992681553764</v>
      </c>
      <c r="D3193" s="55" t="n">
        <f aca="false">IF(D3175&gt;0,D3192/D3175,0)</f>
        <v>0.00900600487896431</v>
      </c>
      <c r="E3193" s="55" t="n">
        <f aca="false">IF(E3175&gt;0,E3192/E3175,0)</f>
        <v>0.00944933383374014</v>
      </c>
      <c r="F3193" s="55" t="n">
        <f aca="false">IF(F3175&gt;0,F3192/F3175,0)</f>
        <v>0.00989266278851584</v>
      </c>
      <c r="G3193" s="55" t="n">
        <f aca="false">IF(G3175&gt;0,G3192/G3175,0)</f>
        <v>0.00989266278851584</v>
      </c>
      <c r="H3193" s="2" t="s">
        <v>1187</v>
      </c>
    </row>
    <row r="3194" customFormat="false" ht="15" hidden="false" customHeight="false" outlineLevel="1" collapsed="false">
      <c r="A3194" s="7" t="s">
        <v>643</v>
      </c>
      <c r="B3194" s="8" t="s">
        <v>59</v>
      </c>
      <c r="C3194" s="60" t="n">
        <f aca="false">(C3173+C3176)*(C3179-Pressupostos!$C$70)/365+C3175*C3180/365</f>
        <v>0.306164383561644</v>
      </c>
      <c r="D3194" s="60" t="n">
        <f aca="false">(D3173+D3176)*(D3179-Pressupostos!$C$70)/365+D3175*D3180/365</f>
        <v>0.306164383561644</v>
      </c>
      <c r="E3194" s="60" t="n">
        <f aca="false">(E3173+E3176)*(E3179-Pressupostos!$C$70)/365+E3175*E3180/365</f>
        <v>0.306164383561644</v>
      </c>
      <c r="F3194" s="60" t="n">
        <f aca="false">(F3173+F3176)*(F3179-Pressupostos!$C$70)/365+F3175*F3180/365</f>
        <v>0.306164383561644</v>
      </c>
      <c r="G3194" s="60" t="n">
        <f aca="false">(G3173+G3176)*(G3179-Pressupostos!$C$70)/365+G3175*G3180/365</f>
        <v>0.306164383561644</v>
      </c>
      <c r="H3194" s="2" t="s">
        <v>1188</v>
      </c>
    </row>
    <row r="3195" customFormat="false" ht="15" hidden="false" customHeight="false" outlineLevel="0" collapsed="false">
      <c r="A3195" s="3" t="s">
        <v>1189</v>
      </c>
      <c r="B3195" s="4"/>
      <c r="C3195" s="4"/>
      <c r="D3195" s="4"/>
      <c r="E3195" s="4"/>
      <c r="F3195" s="4"/>
      <c r="G3195" s="4"/>
      <c r="H3195" s="4"/>
    </row>
    <row r="3196" customFormat="false" ht="15" hidden="false" customHeight="false" outlineLevel="1" collapsed="false">
      <c r="A3196" s="7" t="s">
        <v>575</v>
      </c>
      <c r="B3196" s="8" t="s">
        <v>10</v>
      </c>
      <c r="C3196" s="58" t="n">
        <f aca="false">C3111*1000*C3129</f>
        <v>52884</v>
      </c>
      <c r="D3196" s="58" t="n">
        <f aca="false">D3111*1000*D3129</f>
        <v>244588.5</v>
      </c>
      <c r="E3196" s="58" t="n">
        <f aca="false">E3111*1000*E3129</f>
        <v>879196.5</v>
      </c>
      <c r="F3196" s="58" t="n">
        <f aca="false">F3111*1000*F3129</f>
        <v>1765003.5</v>
      </c>
      <c r="G3196" s="58" t="n">
        <f aca="false">G3111*1000*G3129</f>
        <v>2710305</v>
      </c>
      <c r="H3196" s="2" t="s">
        <v>1190</v>
      </c>
    </row>
    <row r="3197" customFormat="false" ht="15" hidden="false" customHeight="false" outlineLevel="1" collapsed="false">
      <c r="A3197" s="7" t="s">
        <v>576</v>
      </c>
      <c r="B3197" s="8" t="s">
        <v>10</v>
      </c>
      <c r="C3197" s="58" t="n">
        <f aca="false">C3112*1000*C3152</f>
        <v>307580</v>
      </c>
      <c r="D3197" s="58" t="n">
        <f aca="false">D3112*1000*D3152</f>
        <v>2147145</v>
      </c>
      <c r="E3197" s="58" t="n">
        <f aca="false">E3112*1000*E3152</f>
        <v>4241055</v>
      </c>
      <c r="F3197" s="58" t="n">
        <f aca="false">F3112*1000*F3152</f>
        <v>6997445</v>
      </c>
      <c r="G3197" s="58" t="n">
        <f aca="false">G3112*1000*G3152</f>
        <v>10587850</v>
      </c>
      <c r="H3197" s="2" t="s">
        <v>1191</v>
      </c>
    </row>
    <row r="3198" customFormat="false" ht="15" hidden="false" customHeight="false" outlineLevel="1" collapsed="false">
      <c r="A3198" s="7" t="s">
        <v>577</v>
      </c>
      <c r="B3198" s="8" t="s">
        <v>10</v>
      </c>
      <c r="C3198" s="58" t="n">
        <f aca="false">C3113*1000*C3175</f>
        <v>0</v>
      </c>
      <c r="D3198" s="58" t="n">
        <f aca="false">D3113*1000*D3175</f>
        <v>0</v>
      </c>
      <c r="E3198" s="58" t="n">
        <f aca="false">E3113*1000*E3175</f>
        <v>0</v>
      </c>
      <c r="F3198" s="58" t="n">
        <f aca="false">F3113*1000*F3175</f>
        <v>0</v>
      </c>
      <c r="G3198" s="58" t="n">
        <f aca="false">G3113*1000*G3175</f>
        <v>0</v>
      </c>
      <c r="H3198" s="2" t="s">
        <v>1192</v>
      </c>
    </row>
    <row r="3199" customFormat="false" ht="15" hidden="false" customHeight="false" outlineLevel="1" collapsed="false">
      <c r="A3199" s="7" t="s">
        <v>578</v>
      </c>
      <c r="B3199" s="8" t="s">
        <v>10</v>
      </c>
      <c r="C3199" s="58" t="n">
        <f aca="false">C3196+C3197+C3198</f>
        <v>360464</v>
      </c>
      <c r="D3199" s="58" t="n">
        <f aca="false">D3196+D3197+D3198</f>
        <v>2391733.5</v>
      </c>
      <c r="E3199" s="58" t="n">
        <f aca="false">E3196+E3197+E3198</f>
        <v>5120251.5</v>
      </c>
      <c r="F3199" s="58" t="n">
        <f aca="false">F3196+F3197+F3198</f>
        <v>8762448.5</v>
      </c>
      <c r="G3199" s="58" t="n">
        <f aca="false">G3196+G3197+G3198</f>
        <v>13298155</v>
      </c>
      <c r="H3199" s="2" t="s">
        <v>1193</v>
      </c>
    </row>
    <row r="3200" customFormat="false" ht="15" hidden="false" customHeight="false" outlineLevel="1" collapsed="false">
      <c r="A3200" s="7" t="s">
        <v>579</v>
      </c>
      <c r="B3200" s="8" t="s">
        <v>10</v>
      </c>
      <c r="C3200" s="58" t="n">
        <f aca="false">C3122*1000*Pressupostos!$C$91</f>
        <v>0</v>
      </c>
      <c r="D3200" s="58" t="n">
        <f aca="false">D3122*1000*Pressupostos!$C$91</f>
        <v>0</v>
      </c>
      <c r="E3200" s="58" t="n">
        <f aca="false">E3122*1000*Pressupostos!$C$91</f>
        <v>306150</v>
      </c>
      <c r="F3200" s="58" t="n">
        <f aca="false">F3122*1000*Pressupostos!$C$91</f>
        <v>612300</v>
      </c>
      <c r="G3200" s="58" t="n">
        <f aca="false">G3122*1000*Pressupostos!$C$91</f>
        <v>1020500</v>
      </c>
      <c r="H3200" s="2" t="s">
        <v>1194</v>
      </c>
    </row>
    <row r="3201" customFormat="false" ht="15" hidden="false" customHeight="false" outlineLevel="1" collapsed="false">
      <c r="A3201" s="2" t="s">
        <v>580</v>
      </c>
      <c r="B3201" s="8" t="s">
        <v>10</v>
      </c>
      <c r="C3201" s="58" t="n">
        <f aca="false">C3120*Pressupostos!$C$78*(1-Pressupostos!$C$79)</f>
        <v>52650</v>
      </c>
      <c r="D3201" s="58" t="n">
        <f aca="false">D3120*Pressupostos!$C$78*(1-Pressupostos!$C$79)</f>
        <v>210600</v>
      </c>
      <c r="E3201" s="58" t="n">
        <f aca="false">E3120*Pressupostos!$C$78*(1-Pressupostos!$C$79)</f>
        <v>351000</v>
      </c>
      <c r="F3201" s="58" t="n">
        <f aca="false">F3120*Pressupostos!$C$78*(1-Pressupostos!$C$79)</f>
        <v>491400</v>
      </c>
      <c r="G3201" s="58" t="n">
        <f aca="false">G3120*Pressupostos!$C$78*(1-Pressupostos!$C$79)</f>
        <v>631800</v>
      </c>
      <c r="H3201" s="2" t="s">
        <v>1195</v>
      </c>
    </row>
    <row r="3202" customFormat="false" ht="15" hidden="false" customHeight="false" outlineLevel="1" collapsed="false">
      <c r="A3202" s="7" t="s">
        <v>581</v>
      </c>
      <c r="B3202" s="8" t="s">
        <v>10</v>
      </c>
      <c r="C3202" s="58" t="n">
        <f aca="false">C3201*Pressupostos!$D$27</f>
        <v>1053</v>
      </c>
      <c r="D3202" s="58" t="n">
        <f aca="false">D3201*Pressupostos!$D$27</f>
        <v>4212</v>
      </c>
      <c r="E3202" s="58" t="n">
        <f aca="false">E3201*Pressupostos!$D$27</f>
        <v>7020</v>
      </c>
      <c r="F3202" s="58" t="n">
        <f aca="false">F3201*Pressupostos!$D$27</f>
        <v>9828</v>
      </c>
      <c r="G3202" s="58" t="n">
        <f aca="false">G3201*Pressupostos!$D$27</f>
        <v>12636</v>
      </c>
      <c r="H3202" s="2" t="s">
        <v>1196</v>
      </c>
    </row>
    <row r="3203" customFormat="false" ht="15" hidden="false" customHeight="false" outlineLevel="1" collapsed="false">
      <c r="A3203" s="7" t="s">
        <v>582</v>
      </c>
      <c r="B3203" s="8" t="s">
        <v>10</v>
      </c>
      <c r="C3203" s="58" t="n">
        <f aca="false">C3124*(Pressupostos!$C$99*Pressupostos!$C$100+Pressupostos!$C$101)</f>
        <v>0</v>
      </c>
      <c r="D3203" s="58" t="n">
        <f aca="false">D3124*(Pressupostos!$C$99*Pressupostos!$C$100+Pressupostos!$C$101)</f>
        <v>20000</v>
      </c>
      <c r="E3203" s="58" t="n">
        <f aca="false">E3124*(Pressupostos!$C$99*Pressupostos!$C$100+Pressupostos!$C$101)</f>
        <v>60000</v>
      </c>
      <c r="F3203" s="58" t="n">
        <f aca="false">F3124*(Pressupostos!$C$99*Pressupostos!$C$100+Pressupostos!$C$101)</f>
        <v>120000</v>
      </c>
      <c r="G3203" s="58" t="n">
        <f aca="false">G3124*(Pressupostos!$C$99*Pressupostos!$C$100+Pressupostos!$C$101)</f>
        <v>200000</v>
      </c>
      <c r="H3203" s="2" t="s">
        <v>1197</v>
      </c>
    </row>
    <row r="3204" customFormat="false" ht="15" hidden="false" customHeight="false" outlineLevel="1" collapsed="false">
      <c r="A3204" s="7" t="s">
        <v>583</v>
      </c>
      <c r="B3204" s="8" t="s">
        <v>10</v>
      </c>
      <c r="C3204" s="50" t="n">
        <f aca="false">Pressupostos!$C$270</f>
        <v>0</v>
      </c>
      <c r="D3204" s="50" t="n">
        <f aca="false">Pressupostos!$D$270</f>
        <v>0</v>
      </c>
      <c r="E3204" s="50" t="n">
        <f aca="false">Pressupostos!$E$270</f>
        <v>0</v>
      </c>
      <c r="F3204" s="50" t="n">
        <f aca="false">Pressupostos!$F$270</f>
        <v>10000</v>
      </c>
      <c r="G3204" s="50" t="n">
        <f aca="false">Pressupostos!$G$270</f>
        <v>30000</v>
      </c>
      <c r="H3204" s="2" t="s">
        <v>1198</v>
      </c>
    </row>
    <row r="3205" customFormat="false" ht="15" hidden="false" customHeight="false" outlineLevel="1" collapsed="false">
      <c r="A3205" s="52" t="s">
        <v>584</v>
      </c>
      <c r="B3205" s="53" t="s">
        <v>10</v>
      </c>
      <c r="C3205" s="59" t="n">
        <f aca="false">C3199+C3200+C3202+C3203+C3204</f>
        <v>361517</v>
      </c>
      <c r="D3205" s="59" t="n">
        <f aca="false">D3199+D3200+D3202+D3203+D3204</f>
        <v>2415945.5</v>
      </c>
      <c r="E3205" s="59" t="n">
        <f aca="false">E3199+E3200+E3202+E3203+E3204</f>
        <v>5493421.5</v>
      </c>
      <c r="F3205" s="59" t="n">
        <f aca="false">F3199+F3200+F3202+F3203+F3204</f>
        <v>9514576.5</v>
      </c>
      <c r="G3205" s="59" t="n">
        <f aca="false">G3199+G3200+G3202+G3203+G3204</f>
        <v>14561291</v>
      </c>
      <c r="H3205" s="2" t="s">
        <v>1199</v>
      </c>
    </row>
    <row r="3206" customFormat="false" ht="15" hidden="false" customHeight="false" outlineLevel="0" collapsed="false">
      <c r="A3206" s="3" t="s">
        <v>1200</v>
      </c>
      <c r="B3206" s="4"/>
      <c r="C3206" s="4"/>
      <c r="D3206" s="4"/>
      <c r="E3206" s="4"/>
      <c r="F3206" s="4"/>
      <c r="G3206" s="4"/>
      <c r="H3206" s="4"/>
    </row>
    <row r="3207" customFormat="false" ht="15" hidden="false" customHeight="false" outlineLevel="1" collapsed="false">
      <c r="A3207" s="52" t="s">
        <v>586</v>
      </c>
      <c r="B3207" s="53" t="s">
        <v>10</v>
      </c>
      <c r="C3207" s="59" t="n">
        <f aca="false">C3199+C3200+C3201</f>
        <v>413114</v>
      </c>
      <c r="D3207" s="59" t="n">
        <f aca="false">D3199+D3200+D3201</f>
        <v>2602333.5</v>
      </c>
      <c r="E3207" s="59" t="n">
        <f aca="false">E3199+E3200+E3201</f>
        <v>5777401.5</v>
      </c>
      <c r="F3207" s="59" t="n">
        <f aca="false">F3199+F3200+F3201</f>
        <v>9866148.5</v>
      </c>
      <c r="G3207" s="59" t="n">
        <f aca="false">G3199+G3200+G3201</f>
        <v>14950455</v>
      </c>
      <c r="H3207" s="2" t="s">
        <v>1201</v>
      </c>
    </row>
    <row r="3208" customFormat="false" ht="15" hidden="false" customHeight="false" outlineLevel="1" collapsed="false">
      <c r="A3208" s="7" t="s">
        <v>587</v>
      </c>
      <c r="B3208" s="8" t="s">
        <v>10</v>
      </c>
      <c r="C3208" s="58" t="n">
        <f aca="false">C3111*1000*(C3127+C3130)+C3112*1000*(C3150+C3153)+C3113*1000*(C3173+C3176)+C3122*1000*Pressupostos!$C$90</f>
        <v>316940</v>
      </c>
      <c r="D3208" s="58" t="n">
        <f aca="false">D3111*1000*(D3127+D3130)+D3112*1000*(D3150+D3153)+D3113*1000*(D3173+D3176)+D3122*1000*Pressupostos!$C$90</f>
        <v>2110810</v>
      </c>
      <c r="E3208" s="58" t="n">
        <f aca="false">E3111*1000*(E3127+E3130)+E3112*1000*(E3150+E3153)+E3113*1000*(E3173+E3176)+E3122*1000*Pressupostos!$C$90</f>
        <v>4765540</v>
      </c>
      <c r="F3208" s="58" t="n">
        <f aca="false">F3111*1000*(F3127+F3130)+F3112*1000*(F3150+F3153)+F3113*1000*(F3173+F3176)+F3122*1000*Pressupostos!$C$90</f>
        <v>8214960</v>
      </c>
      <c r="G3208" s="58" t="n">
        <f aca="false">G3111*1000*(G3127+G3130)+G3112*1000*(G3150+G3153)+G3113*1000*(G3173+G3176)+G3122*1000*Pressupostos!$C$90</f>
        <v>12546300</v>
      </c>
      <c r="H3208" s="2" t="s">
        <v>1202</v>
      </c>
    </row>
    <row r="3209" customFormat="false" ht="15" hidden="false" customHeight="false" outlineLevel="1" collapsed="false">
      <c r="A3209" s="7" t="s">
        <v>588</v>
      </c>
      <c r="B3209" s="8" t="s">
        <v>10</v>
      </c>
      <c r="C3209" s="58" t="n">
        <f aca="false">C3208*Pressupostos!$C$277</f>
        <v>0</v>
      </c>
      <c r="D3209" s="58" t="n">
        <f aca="false">D3208*Pressupostos!$D$277</f>
        <v>1899729</v>
      </c>
      <c r="E3209" s="58" t="n">
        <f aca="false">E3208*Pressupostos!$E$277</f>
        <v>4288986</v>
      </c>
      <c r="F3209" s="58" t="n">
        <f aca="false">F3208*Pressupostos!$F$277</f>
        <v>7393464</v>
      </c>
      <c r="G3209" s="58" t="n">
        <f aca="false">G3208*Pressupostos!$G$277</f>
        <v>11291670</v>
      </c>
      <c r="H3209" s="2" t="s">
        <v>1203</v>
      </c>
    </row>
    <row r="3210" customFormat="false" ht="15" hidden="false" customHeight="false" outlineLevel="0" collapsed="false">
      <c r="A3210" s="3" t="s">
        <v>1204</v>
      </c>
      <c r="B3210" s="4"/>
      <c r="C3210" s="4"/>
      <c r="D3210" s="4"/>
      <c r="E3210" s="4"/>
      <c r="F3210" s="4"/>
      <c r="G3210" s="4"/>
      <c r="H3210" s="4"/>
    </row>
    <row r="3211" customFormat="false" ht="15" hidden="false" customHeight="false" outlineLevel="1" collapsed="false">
      <c r="A3211" s="7" t="s">
        <v>590</v>
      </c>
      <c r="B3211" s="8" t="s">
        <v>10</v>
      </c>
      <c r="C3211" s="58" t="n">
        <f aca="false">C3111*1000*C3146</f>
        <v>3545.76887671235</v>
      </c>
      <c r="D3211" s="58" t="n">
        <f aca="false">D3111*1000*D3146</f>
        <v>7293.45571232887</v>
      </c>
      <c r="E3211" s="58" t="n">
        <f aca="false">E3111*1000*E3146</f>
        <v>60019.7658458906</v>
      </c>
      <c r="F3211" s="58" t="n">
        <f aca="false">F3111*1000*F3146</f>
        <v>125071.755472603</v>
      </c>
      <c r="G3211" s="58" t="n">
        <f aca="false">G3111*1000*G3146</f>
        <v>192057.751849316</v>
      </c>
      <c r="H3211" s="2" t="s">
        <v>1205</v>
      </c>
    </row>
    <row r="3212" customFormat="false" ht="15" hidden="false" customHeight="false" outlineLevel="1" collapsed="false">
      <c r="A3212" s="7" t="s">
        <v>591</v>
      </c>
      <c r="B3212" s="8" t="s">
        <v>10</v>
      </c>
      <c r="C3212" s="58" t="n">
        <f aca="false">C3112*1000*C3169</f>
        <v>19993.2556164384</v>
      </c>
      <c r="D3212" s="58" t="n">
        <f aca="false">D3112*1000*D3169</f>
        <v>118361.893356165</v>
      </c>
      <c r="E3212" s="58" t="n">
        <f aca="false">E3112*1000*E3169</f>
        <v>245728.13442637</v>
      </c>
      <c r="F3212" s="58" t="n">
        <f aca="false">F3112*1000*F3169</f>
        <v>409753.704571918</v>
      </c>
      <c r="G3212" s="58" t="n">
        <f aca="false">G3112*1000*G3169</f>
        <v>619999.265582192</v>
      </c>
      <c r="H3212" s="2" t="s">
        <v>1206</v>
      </c>
    </row>
    <row r="3213" customFormat="false" ht="15" hidden="false" customHeight="false" outlineLevel="1" collapsed="false">
      <c r="A3213" s="7" t="s">
        <v>592</v>
      </c>
      <c r="B3213" s="8" t="s">
        <v>10</v>
      </c>
      <c r="C3213" s="58" t="n">
        <f aca="false">C3113*1000*C3192</f>
        <v>0</v>
      </c>
      <c r="D3213" s="58" t="n">
        <f aca="false">D3113*1000*D3192</f>
        <v>0</v>
      </c>
      <c r="E3213" s="58" t="n">
        <f aca="false">E3113*1000*E3192</f>
        <v>0</v>
      </c>
      <c r="F3213" s="58" t="n">
        <f aca="false">F3113*1000*F3192</f>
        <v>0</v>
      </c>
      <c r="G3213" s="58" t="n">
        <f aca="false">G3113*1000*G3192</f>
        <v>0</v>
      </c>
      <c r="H3213" s="2" t="s">
        <v>1207</v>
      </c>
    </row>
    <row r="3214" customFormat="false" ht="15" hidden="false" customHeight="false" outlineLevel="1" collapsed="false">
      <c r="A3214" s="7" t="s">
        <v>593</v>
      </c>
      <c r="B3214" s="8" t="s">
        <v>10</v>
      </c>
      <c r="C3214" s="58" t="n">
        <f aca="false">C3211+C3212+C3213</f>
        <v>23539.0244931508</v>
      </c>
      <c r="D3214" s="58" t="n">
        <f aca="false">D3211+D3212+D3213</f>
        <v>125655.349068494</v>
      </c>
      <c r="E3214" s="58" t="n">
        <f aca="false">E3211+E3212+E3213</f>
        <v>305747.900272261</v>
      </c>
      <c r="F3214" s="58" t="n">
        <f aca="false">F3211+F3212+F3213</f>
        <v>534825.460044521</v>
      </c>
      <c r="G3214" s="58" t="n">
        <f aca="false">G3211+G3212+G3213</f>
        <v>812057.017431508</v>
      </c>
      <c r="H3214" s="2" t="s">
        <v>1208</v>
      </c>
    </row>
    <row r="3215" customFormat="false" ht="15" hidden="false" customHeight="false" outlineLevel="1" collapsed="false">
      <c r="A3215" s="7" t="s">
        <v>594</v>
      </c>
      <c r="B3215" s="8" t="s">
        <v>59</v>
      </c>
      <c r="C3215" s="60" t="n">
        <f aca="false">IF(C3114&gt;0,C3214/(C3114*1000),0)</f>
        <v>0.301782365296805</v>
      </c>
      <c r="D3215" s="60" t="n">
        <f aca="false">IF(D3114&gt;0,D3214/(D3114*1000),0)</f>
        <v>0.241644902054796</v>
      </c>
      <c r="E3215" s="60" t="n">
        <f aca="false">IF(E3114&gt;0,E3214/(E3114*1000),0)</f>
        <v>0.276694932373087</v>
      </c>
      <c r="F3215" s="60" t="n">
        <f aca="false">IF(F3114&gt;0,F3214/(F3114*1000),0)</f>
        <v>0.283727034506377</v>
      </c>
      <c r="G3215" s="60" t="n">
        <f aca="false">IF(G3114&gt;0,G3214/(G3114*1000),0)</f>
        <v>0.283936020080947</v>
      </c>
      <c r="H3215" s="2" t="s">
        <v>1209</v>
      </c>
    </row>
    <row r="3216" customFormat="false" ht="15" hidden="false" customHeight="false" outlineLevel="1" collapsed="false">
      <c r="A3216" s="7" t="s">
        <v>595</v>
      </c>
      <c r="B3216" s="8" t="s">
        <v>71</v>
      </c>
      <c r="C3216" s="55" t="n">
        <f aca="false">IF(C3199&gt;0,C3214/C3199,0)</f>
        <v>0.0653020121098106</v>
      </c>
      <c r="D3216" s="55" t="n">
        <f aca="false">IF(D3199&gt;0,D3214/D3199,0)</f>
        <v>0.0525373537931771</v>
      </c>
      <c r="E3216" s="55" t="n">
        <f aca="false">IF(E3199&gt;0,E3214/E3199,0)</f>
        <v>0.0597134535817744</v>
      </c>
      <c r="F3216" s="55" t="n">
        <f aca="false">IF(F3199&gt;0,F3214/F3199,0)</f>
        <v>0.0610360745680299</v>
      </c>
      <c r="G3216" s="55" t="n">
        <f aca="false">IF(G3199&gt;0,G3214/G3199,0)</f>
        <v>0.0610653897049258</v>
      </c>
      <c r="H3216" s="2" t="s">
        <v>1210</v>
      </c>
    </row>
    <row r="3217" customFormat="false" ht="15" hidden="false" customHeight="false" outlineLevel="1" collapsed="false">
      <c r="A3217" s="2" t="s">
        <v>596</v>
      </c>
      <c r="B3217" s="8" t="s">
        <v>59</v>
      </c>
      <c r="C3217" s="60" t="n">
        <f aca="false">Pressupostos!$C$283*Pressupostos!$C$90*(Pressupostos!$C$93+Pressupostos!$C$94-Pressupostos!$C$95)/365*Pressupostos!$C$277/Pressupostos!$D$31</f>
        <v>0</v>
      </c>
      <c r="D3217" s="60" t="n">
        <f aca="false">Pressupostos!$D$283*Pressupostos!$C$90*(Pressupostos!$C$93+Pressupostos!$C$94-Pressupostos!$C$95)/365*Pressupostos!$D$277/Pressupostos!$D$31</f>
        <v>0.0776712328767123</v>
      </c>
      <c r="E3217" s="60" t="n">
        <f aca="false">Pressupostos!$E$283*Pressupostos!$C$90*(Pressupostos!$C$93+Pressupostos!$C$94-Pressupostos!$C$95)/365*Pressupostos!$E$277/Pressupostos!$D$31</f>
        <v>0.0728167808219178</v>
      </c>
      <c r="F3217" s="60" t="n">
        <f aca="false">Pressupostos!$F$283*Pressupostos!$C$90*(Pressupostos!$C$93+Pressupostos!$C$94-Pressupostos!$C$95)/365*Pressupostos!$F$277/Pressupostos!$D$31</f>
        <v>0.0679623287671233</v>
      </c>
      <c r="G3217" s="60" t="n">
        <f aca="false">Pressupostos!$G$283*Pressupostos!$C$90*(Pressupostos!$C$93+Pressupostos!$C$94-Pressupostos!$C$95)/365*Pressupostos!$G$277/Pressupostos!$D$31</f>
        <v>0.0679623287671233</v>
      </c>
      <c r="H3217" s="2" t="s">
        <v>1211</v>
      </c>
    </row>
    <row r="3218" customFormat="false" ht="15" hidden="false" customHeight="false" outlineLevel="1" collapsed="false">
      <c r="A3218" s="7" t="s">
        <v>567</v>
      </c>
      <c r="B3218" s="8" t="s">
        <v>10</v>
      </c>
      <c r="C3218" s="58" t="n">
        <f aca="false">C3122*1000*(Pressupostos!$C$91-Pressupostos!$C$90-Pressupostos!$C$92-C3217-Pressupostos!$C$96*Pressupostos!$C$91-Pressupostos!$C$97-Pressupostos!$D$29*Pressupostos!$C$90)</f>
        <v>0</v>
      </c>
      <c r="D3218" s="58" t="n">
        <f aca="false">D3122*1000*(Pressupostos!$C$91-Pressupostos!$C$90-Pressupostos!$C$92-D3217-Pressupostos!$C$96*Pressupostos!$C$91-Pressupostos!$C$97-Pressupostos!$D$29*Pressupostos!$C$90)</f>
        <v>0</v>
      </c>
      <c r="E3218" s="58" t="n">
        <f aca="false">E3122*1000*(Pressupostos!$C$91-Pressupostos!$C$90-Pressupostos!$C$92-E3217-Pressupostos!$C$96*Pressupostos!$C$91-Pressupostos!$C$97-Pressupostos!$D$29*Pressupostos!$C$90)</f>
        <v>21453.2455479452</v>
      </c>
      <c r="F3218" s="58" t="n">
        <f aca="false">F3122*1000*(Pressupostos!$C$91-Pressupostos!$C$90-Pressupostos!$C$92-F3217-Pressupostos!$C$96*Pressupostos!$C$91-Pressupostos!$C$97-Pressupostos!$D$29*Pressupostos!$C$90)</f>
        <v>43285.1383561644</v>
      </c>
      <c r="G3218" s="58" t="n">
        <f aca="false">G3122*1000*(Pressupostos!$C$91-Pressupostos!$C$90-Pressupostos!$C$92-G3217-Pressupostos!$C$96*Pressupostos!$C$91-Pressupostos!$C$97-Pressupostos!$D$29*Pressupostos!$C$90)</f>
        <v>72141.8972602739</v>
      </c>
      <c r="H3218" s="2" t="s">
        <v>1212</v>
      </c>
    </row>
    <row r="3219" customFormat="false" ht="15" hidden="false" customHeight="false" outlineLevel="1" collapsed="false">
      <c r="A3219" s="7" t="s">
        <v>597</v>
      </c>
      <c r="B3219" s="8" t="s">
        <v>10</v>
      </c>
      <c r="C3219" s="58" t="n">
        <f aca="false">C3202</f>
        <v>1053</v>
      </c>
      <c r="D3219" s="58" t="n">
        <f aca="false">D3202</f>
        <v>4212</v>
      </c>
      <c r="E3219" s="58" t="n">
        <f aca="false">E3202</f>
        <v>7020</v>
      </c>
      <c r="F3219" s="58" t="n">
        <f aca="false">F3202</f>
        <v>9828</v>
      </c>
      <c r="G3219" s="58" t="n">
        <f aca="false">G3202</f>
        <v>12636</v>
      </c>
      <c r="H3219" s="2" t="s">
        <v>1213</v>
      </c>
    </row>
    <row r="3220" customFormat="false" ht="15" hidden="false" customHeight="false" outlineLevel="1" collapsed="false">
      <c r="A3220" s="7" t="s">
        <v>598</v>
      </c>
      <c r="B3220" s="8" t="s">
        <v>10</v>
      </c>
      <c r="C3220" s="58" t="n">
        <f aca="false">C3203-C3235</f>
        <v>0</v>
      </c>
      <c r="D3220" s="58" t="n">
        <f aca="false">D3203-D3235</f>
        <v>3542.85714285715</v>
      </c>
      <c r="E3220" s="58" t="n">
        <f aca="false">E3203-E3235</f>
        <v>10628.5714285714</v>
      </c>
      <c r="F3220" s="58" t="n">
        <f aca="false">F3203-F3235</f>
        <v>21257.1428571429</v>
      </c>
      <c r="G3220" s="58" t="n">
        <f aca="false">G3203-G3235</f>
        <v>35428.5714285714</v>
      </c>
      <c r="H3220" s="2" t="s">
        <v>1214</v>
      </c>
    </row>
    <row r="3221" customFormat="false" ht="15" hidden="false" customHeight="false" outlineLevel="1" collapsed="false">
      <c r="A3221" s="7" t="s">
        <v>583</v>
      </c>
      <c r="B3221" s="8" t="s">
        <v>10</v>
      </c>
      <c r="C3221" s="58" t="n">
        <f aca="false">C3204</f>
        <v>0</v>
      </c>
      <c r="D3221" s="58" t="n">
        <f aca="false">D3204</f>
        <v>0</v>
      </c>
      <c r="E3221" s="58" t="n">
        <f aca="false">E3204</f>
        <v>0</v>
      </c>
      <c r="F3221" s="58" t="n">
        <f aca="false">F3204</f>
        <v>10000</v>
      </c>
      <c r="G3221" s="58" t="n">
        <f aca="false">G3204</f>
        <v>30000</v>
      </c>
      <c r="H3221" s="2" t="s">
        <v>1215</v>
      </c>
    </row>
    <row r="3222" customFormat="false" ht="15" hidden="false" customHeight="false" outlineLevel="1" collapsed="false">
      <c r="A3222" s="52" t="s">
        <v>599</v>
      </c>
      <c r="B3222" s="53" t="s">
        <v>10</v>
      </c>
      <c r="C3222" s="59" t="n">
        <f aca="false">C3214+C3218+C3219+C3220+C3221</f>
        <v>24592.0244931508</v>
      </c>
      <c r="D3222" s="59" t="n">
        <f aca="false">D3214+D3218+D3219+D3220+D3221</f>
        <v>133410.206211351</v>
      </c>
      <c r="E3222" s="59" t="n">
        <f aca="false">E3214+E3218+E3219+E3220+E3221</f>
        <v>344849.717248777</v>
      </c>
      <c r="F3222" s="59" t="n">
        <f aca="false">F3214+F3218+F3219+F3220+F3221</f>
        <v>619195.741257829</v>
      </c>
      <c r="G3222" s="59" t="n">
        <f aca="false">G3214+G3218+G3219+G3220+G3221</f>
        <v>962263.486120354</v>
      </c>
      <c r="H3222" s="2" t="s">
        <v>1216</v>
      </c>
    </row>
    <row r="3223" customFormat="false" ht="15" hidden="false" customHeight="false" outlineLevel="0" collapsed="false">
      <c r="A3223" s="3" t="s">
        <v>1217</v>
      </c>
      <c r="B3223" s="4"/>
      <c r="C3223" s="4"/>
      <c r="D3223" s="4"/>
      <c r="E3223" s="4"/>
      <c r="F3223" s="4"/>
      <c r="G3223" s="4"/>
      <c r="H3223" s="4"/>
    </row>
    <row r="3224" customFormat="false" ht="15" hidden="false" customHeight="false" outlineLevel="1" collapsed="false">
      <c r="A3224" s="7" t="s">
        <v>647</v>
      </c>
      <c r="B3224" s="8" t="s">
        <v>10</v>
      </c>
      <c r="C3224" s="58" t="n">
        <f aca="false">C3111*1000*(C3127+C3130)+C3112*1000*(C3150+C3153)+C3113*1000*(C3173+C3176)</f>
        <v>316940</v>
      </c>
      <c r="D3224" s="58" t="n">
        <f aca="false">D3111*1000*(D3127+D3130)+D3112*1000*(D3150+D3153)+D3113*1000*(D3173+D3176)</f>
        <v>2110810</v>
      </c>
      <c r="E3224" s="58" t="n">
        <f aca="false">E3111*1000*(E3127+E3130)+E3112*1000*(E3150+E3153)+E3113*1000*(E3173+E3176)</f>
        <v>4492540</v>
      </c>
      <c r="F3224" s="58" t="n">
        <f aca="false">F3111*1000*(F3127+F3130)+F3112*1000*(F3150+F3153)+F3113*1000*(F3173+F3176)</f>
        <v>7668960</v>
      </c>
      <c r="G3224" s="58" t="n">
        <f aca="false">G3111*1000*(G3127+G3130)+G3112*1000*(G3150+G3153)+G3113*1000*(G3173+G3176)</f>
        <v>11636300</v>
      </c>
      <c r="H3224" s="2" t="s">
        <v>1218</v>
      </c>
    </row>
    <row r="3225" customFormat="false" ht="15" hidden="false" customHeight="false" outlineLevel="1" collapsed="false">
      <c r="A3225" s="7" t="s">
        <v>648</v>
      </c>
      <c r="B3225" s="8" t="s">
        <v>10</v>
      </c>
      <c r="C3225" s="58" t="n">
        <f aca="false">C3122*1000*Pressupostos!$C$90</f>
        <v>0</v>
      </c>
      <c r="D3225" s="58" t="n">
        <f aca="false">D3122*1000*Pressupostos!$C$90</f>
        <v>0</v>
      </c>
      <c r="E3225" s="58" t="n">
        <f aca="false">E3122*1000*Pressupostos!$C$90</f>
        <v>273000</v>
      </c>
      <c r="F3225" s="58" t="n">
        <f aca="false">F3122*1000*Pressupostos!$C$90</f>
        <v>546000</v>
      </c>
      <c r="G3225" s="58" t="n">
        <f aca="false">G3122*1000*Pressupostos!$C$90</f>
        <v>910000</v>
      </c>
      <c r="H3225" s="2" t="s">
        <v>1219</v>
      </c>
    </row>
    <row r="3226" customFormat="false" ht="15" hidden="false" customHeight="false" outlineLevel="1" collapsed="false">
      <c r="A3226" s="7" t="s">
        <v>649</v>
      </c>
      <c r="B3226" s="8" t="s">
        <v>10</v>
      </c>
      <c r="C3226" s="58" t="n">
        <f aca="false">C3224+C3225</f>
        <v>316940</v>
      </c>
      <c r="D3226" s="58" t="n">
        <f aca="false">D3224+D3225</f>
        <v>2110810</v>
      </c>
      <c r="E3226" s="58" t="n">
        <f aca="false">E3224+E3225</f>
        <v>4765540</v>
      </c>
      <c r="F3226" s="58" t="n">
        <f aca="false">F3224+F3225</f>
        <v>8214960</v>
      </c>
      <c r="G3226" s="58" t="n">
        <f aca="false">G3224+G3225</f>
        <v>12546300</v>
      </c>
      <c r="H3226" s="2" t="s">
        <v>1220</v>
      </c>
    </row>
    <row r="3227" customFormat="false" ht="15" hidden="false" customHeight="false" outlineLevel="1" collapsed="false">
      <c r="A3227" s="7" t="s">
        <v>205</v>
      </c>
      <c r="B3227" s="8" t="s">
        <v>10</v>
      </c>
      <c r="C3227" s="58" t="n">
        <f aca="false">C3111*1000*(C3131)+C3112*1000*(C3154)+C3113*1000*(C3177)+C3122*1000*Pressupostos!$C$92</f>
        <v>9880</v>
      </c>
      <c r="D3227" s="58" t="n">
        <f aca="false">D3111*1000*(D3131)+D3112*1000*(D3154)+D3113*1000*(D3177)+D3122*1000*Pressupostos!$C$92</f>
        <v>61620</v>
      </c>
      <c r="E3227" s="58" t="n">
        <f aca="false">E3111*1000*(E3131)+E3112*1000*(E3154)+E3113*1000*(E3177)+E3122*1000*Pressupostos!$C$92</f>
        <v>138151</v>
      </c>
      <c r="F3227" s="58" t="n">
        <f aca="false">F3111*1000*(F3131)+F3112*1000*(F3154)+F3113*1000*(F3177)+F3122*1000*Pressupostos!$C$92</f>
        <v>243828</v>
      </c>
      <c r="G3227" s="58" t="n">
        <f aca="false">G3111*1000*(G3131)+G3112*1000*(G3154)+G3113*1000*(G3177)+G3122*1000*Pressupostos!$C$92</f>
        <v>372840</v>
      </c>
      <c r="H3227" s="2" t="s">
        <v>1221</v>
      </c>
    </row>
    <row r="3228" customFormat="false" ht="15" hidden="false" customHeight="false" outlineLevel="1" collapsed="false">
      <c r="A3228" s="7" t="s">
        <v>109</v>
      </c>
      <c r="B3228" s="8" t="s">
        <v>10</v>
      </c>
      <c r="C3228" s="58" t="n">
        <f aca="false">C3111*1000*(C3132)+C3112*1000*(C3155)+C3113*1000*(C3178)</f>
        <v>624</v>
      </c>
      <c r="D3228" s="58" t="n">
        <f aca="false">D3111*1000*(D3132)+D3112*1000*(D3155)+D3113*1000*(D3178)</f>
        <v>2886</v>
      </c>
      <c r="E3228" s="58" t="n">
        <f aca="false">E3111*1000*(E3132)+E3112*1000*(E3155)+E3113*1000*(E3178)</f>
        <v>10374</v>
      </c>
      <c r="F3228" s="58" t="n">
        <f aca="false">F3111*1000*(F3132)+F3112*1000*(F3155)+F3113*1000*(F3178)</f>
        <v>20826</v>
      </c>
      <c r="G3228" s="58" t="n">
        <f aca="false">G3111*1000*(G3132)+G3112*1000*(G3155)+G3113*1000*(G3178)</f>
        <v>31980</v>
      </c>
      <c r="H3228" s="2" t="s">
        <v>1222</v>
      </c>
    </row>
    <row r="3229" customFormat="false" ht="15" hidden="false" customHeight="false" outlineLevel="1" collapsed="false">
      <c r="A3229" s="7" t="s">
        <v>650</v>
      </c>
      <c r="B3229" s="8" t="s">
        <v>10</v>
      </c>
      <c r="C3229" s="58" t="n">
        <f aca="false">C3111*1000*(C3135+C3136)+C3112*1000*(C3158+C3159)+C3113*1000*(C3181+C3182)</f>
        <v>596.931506849315</v>
      </c>
      <c r="D3229" s="58" t="n">
        <f aca="false">D3111*1000*(D3135+D3136)+D3112*1000*(D3158+D3159)+D3113*1000*(D3181+D3182)</f>
        <v>3492.04931506849</v>
      </c>
      <c r="E3229" s="58" t="n">
        <f aca="false">E3111*1000*(E3135+E3136)+E3112*1000*(E3158+E3159)+E3113*1000*(E3181+E3182)</f>
        <v>5470.87726027397</v>
      </c>
      <c r="F3229" s="58" t="n">
        <f aca="false">F3111*1000*(F3135+F3136)+F3112*1000*(F3158+F3159)+F3113*1000*(F3181+F3182)</f>
        <v>9452.4104109589</v>
      </c>
      <c r="G3229" s="58" t="n">
        <f aca="false">G3111*1000*(G3135+G3136)+G3112*1000*(G3158+G3159)+G3113*1000*(G3181+G3182)</f>
        <v>14356.202739726</v>
      </c>
      <c r="H3229" s="2" t="s">
        <v>1223</v>
      </c>
    </row>
    <row r="3230" customFormat="false" ht="15" hidden="false" customHeight="false" outlineLevel="1" collapsed="false">
      <c r="A3230" s="7" t="s">
        <v>651</v>
      </c>
      <c r="B3230" s="8" t="s">
        <v>10</v>
      </c>
      <c r="C3230" s="58" t="n">
        <f aca="false">C3111*1000*(C3137+C3138+C3139)+C3112*1000*(C3160+C3161+C3162)+C3113*1000*(C3183+C3184+C3185)</f>
        <v>3458</v>
      </c>
      <c r="D3230" s="58" t="n">
        <f aca="false">D3111*1000*(D3137+D3138+D3139)+D3112*1000*(D3160+D3161+D3162)+D3113*1000*(D3183+D3184+D3185)</f>
        <v>22522.5</v>
      </c>
      <c r="E3230" s="58" t="n">
        <f aca="false">E3111*1000*(E3137+E3138+E3139)+E3112*1000*(E3160+E3161+E3162)+E3113*1000*(E3183+E3184+E3185)</f>
        <v>47293.35</v>
      </c>
      <c r="F3230" s="58" t="n">
        <f aca="false">F3111*1000*(F3137+F3138+F3139)+F3112*1000*(F3160+F3161+F3162)+F3113*1000*(F3183+F3184+F3185)</f>
        <v>81276.65</v>
      </c>
      <c r="G3230" s="58" t="n">
        <f aca="false">G3111*1000*(G3137+G3138+G3139)+G3112*1000*(G3160+G3161+G3162)+G3113*1000*(G3183+G3184+G3185)</f>
        <v>123389.5</v>
      </c>
      <c r="H3230" s="2" t="s">
        <v>1224</v>
      </c>
    </row>
    <row r="3231" customFormat="false" ht="15" hidden="false" customHeight="false" outlineLevel="1" collapsed="false">
      <c r="A3231" s="7" t="s">
        <v>637</v>
      </c>
      <c r="B3231" s="8" t="s">
        <v>10</v>
      </c>
      <c r="C3231" s="58" t="n">
        <f aca="false">C3111*1000*(C3140)+C3112*1000*(C3163)+C3113*1000*(C3186)</f>
        <v>3744</v>
      </c>
      <c r="D3231" s="58" t="n">
        <f aca="false">D3111*1000*(D3140)+D3112*1000*(D3163)+D3113*1000*(D3186)</f>
        <v>23686</v>
      </c>
      <c r="E3231" s="58" t="n">
        <f aca="false">E3111*1000*(E3140)+E3112*1000*(E3163)+E3113*1000*(E3186)</f>
        <v>54574</v>
      </c>
      <c r="F3231" s="58" t="n">
        <f aca="false">F3111*1000*(F3140)+F3112*1000*(F3163)+F3113*1000*(F3186)</f>
        <v>96226</v>
      </c>
      <c r="G3231" s="58" t="n">
        <f aca="false">G3111*1000*(G3140)+G3112*1000*(G3163)+G3113*1000*(G3186)</f>
        <v>146380</v>
      </c>
      <c r="H3231" s="2" t="s">
        <v>1225</v>
      </c>
    </row>
    <row r="3232" customFormat="false" ht="15" hidden="false" customHeight="false" outlineLevel="1" collapsed="false">
      <c r="A3232" s="7" t="s">
        <v>652</v>
      </c>
      <c r="B3232" s="8" t="s">
        <v>10</v>
      </c>
      <c r="C3232" s="58" t="n">
        <f aca="false">C3111*1000*(C3141)+C3112*1000*(C3164)+C3113*1000*(C3187)+C3122*1000*Pressupostos!$C$97</f>
        <v>442</v>
      </c>
      <c r="D3232" s="58" t="n">
        <f aca="false">D3111*1000*(D3141)+D3112*1000*(D3164)+D3113*1000*(D3187)+D3122*1000*Pressupostos!$C$97</f>
        <v>2840.5</v>
      </c>
      <c r="E3232" s="58" t="n">
        <f aca="false">E3111*1000*(E3141)+E3112*1000*(E3164)+E3113*1000*(E3187)+E3122*1000*Pressupostos!$C$97</f>
        <v>7559.5</v>
      </c>
      <c r="F3232" s="58" t="n">
        <f aca="false">F3111*1000*(F3141)+F3112*1000*(F3164)+F3113*1000*(F3187)+F3122*1000*Pressupostos!$C$97</f>
        <v>13500.5</v>
      </c>
      <c r="G3232" s="58" t="n">
        <f aca="false">G3111*1000*(G3141)+G3112*1000*(G3164)+G3113*1000*(G3187)+G3122*1000*Pressupostos!$C$97</f>
        <v>20865</v>
      </c>
      <c r="H3232" s="2" t="s">
        <v>1226</v>
      </c>
    </row>
    <row r="3233" customFormat="false" ht="15" hidden="false" customHeight="false" outlineLevel="1" collapsed="false">
      <c r="A3233" s="7" t="s">
        <v>76</v>
      </c>
      <c r="B3233" s="8" t="s">
        <v>10</v>
      </c>
      <c r="C3233" s="58" t="n">
        <f aca="false">C3111*1000*(C3142)+C3112*1000*(C3165)+C3113*1000*(C3188)+C3122*1000*Pressupostos!$C$96*Pressupostos!$C$91</f>
        <v>1240.044</v>
      </c>
      <c r="D3233" s="58" t="n">
        <f aca="false">D3111*1000*(D3142)+D3112*1000*(D3165)+D3113*1000*(D3188)+D3122*1000*Pressupostos!$C$96*Pressupostos!$C$91</f>
        <v>7908.966</v>
      </c>
      <c r="E3233" s="58" t="n">
        <f aca="false">E3111*1000*(E3142)+E3112*1000*(E3165)+E3113*1000*(E3188)+E3122*1000*Pressupostos!$C$96*Pressupostos!$C$91</f>
        <v>19835.244</v>
      </c>
      <c r="F3233" s="58" t="n">
        <f aca="false">F3111*1000*(F3142)+F3112*1000*(F3165)+F3113*1000*(F3188)+F3122*1000*Pressupostos!$C$96*Pressupostos!$C$91</f>
        <v>35256.156</v>
      </c>
      <c r="G3233" s="58" t="n">
        <f aca="false">G3111*1000*(G3142)+G3112*1000*(G3165)+G3113*1000*(G3188)+G3122*1000*Pressupostos!$C$96*Pressupostos!$C$91</f>
        <v>54148.38</v>
      </c>
      <c r="H3233" s="2" t="s">
        <v>1227</v>
      </c>
    </row>
    <row r="3234" customFormat="false" ht="15" hidden="false" customHeight="false" outlineLevel="1" collapsed="false">
      <c r="A3234" s="7" t="s">
        <v>653</v>
      </c>
      <c r="B3234" s="8" t="s">
        <v>10</v>
      </c>
      <c r="C3234" s="58" t="n">
        <f aca="false">C3111*1000*(C3143)+C3112*1000*(C3166)+C3113*1000*(C3189)+C3122*1000*Pressupostos!$D$29*Pressupostos!$C$90</f>
        <v>0</v>
      </c>
      <c r="D3234" s="58" t="n">
        <f aca="false">D3111*1000*(D3143)+D3112*1000*(D3166)+D3113*1000*(D3189)+D3122*1000*Pressupostos!$D$29*Pressupostos!$C$90</f>
        <v>0</v>
      </c>
      <c r="E3234" s="58" t="n">
        <f aca="false">E3111*1000*(E3143)+E3112*1000*(E3166)+E3113*1000*(E3189)+E3122*1000*Pressupostos!$D$29*Pressupostos!$C$90</f>
        <v>0</v>
      </c>
      <c r="F3234" s="58" t="n">
        <f aca="false">F3111*1000*(F3143)+F3112*1000*(F3166)+F3113*1000*(F3189)+F3122*1000*Pressupostos!$D$29*Pressupostos!$C$90</f>
        <v>0</v>
      </c>
      <c r="G3234" s="58" t="n">
        <f aca="false">G3111*1000*(G3143)+G3112*1000*(G3166)+G3113*1000*(G3189)+G3122*1000*Pressupostos!$D$29*Pressupostos!$C$90</f>
        <v>0</v>
      </c>
      <c r="H3234" s="2" t="s">
        <v>1228</v>
      </c>
    </row>
    <row r="3235" customFormat="false" ht="15" hidden="false" customHeight="false" outlineLevel="1" collapsed="false">
      <c r="A3235" s="7" t="s">
        <v>654</v>
      </c>
      <c r="B3235" s="8" t="s">
        <v>10</v>
      </c>
      <c r="C3235" s="58" t="n">
        <f aca="false">C3125*1000*Pressupostos!$C$102*Pressupostos!$D$30</f>
        <v>0</v>
      </c>
      <c r="D3235" s="58" t="n">
        <f aca="false">D3125*1000*Pressupostos!$C$102*Pressupostos!$D$30</f>
        <v>16457.1428571429</v>
      </c>
      <c r="E3235" s="58" t="n">
        <f aca="false">E3125*1000*Pressupostos!$C$102*Pressupostos!$D$30</f>
        <v>49371.4285714286</v>
      </c>
      <c r="F3235" s="58" t="n">
        <f aca="false">F3125*1000*Pressupostos!$C$102*Pressupostos!$D$30</f>
        <v>98742.8571428571</v>
      </c>
      <c r="G3235" s="58" t="n">
        <f aca="false">G3125*1000*Pressupostos!$C$102*Pressupostos!$D$30</f>
        <v>164571.428571429</v>
      </c>
      <c r="H3235" s="2" t="s">
        <v>1229</v>
      </c>
    </row>
    <row r="3236" customFormat="false" ht="15" hidden="false" customHeight="false" outlineLevel="1" collapsed="false">
      <c r="A3236" s="7" t="s">
        <v>655</v>
      </c>
      <c r="B3236" s="8" t="s">
        <v>10</v>
      </c>
      <c r="C3236" s="58" t="n">
        <f aca="false">C3227+C3228+C3229+C3230+C3231+C3232+C3233+C3234+C3235</f>
        <v>19984.9755068493</v>
      </c>
      <c r="D3236" s="58" t="n">
        <f aca="false">D3227+D3228+D3229+D3230+D3231+D3232+D3233+D3234+D3235</f>
        <v>141413.158172211</v>
      </c>
      <c r="E3236" s="58" t="n">
        <f aca="false">E3227+E3228+E3229+E3230+E3231+E3232+E3233+E3234+E3235</f>
        <v>332629.399831703</v>
      </c>
      <c r="F3236" s="58" t="n">
        <f aca="false">F3227+F3228+F3229+F3230+F3231+F3232+F3233+F3234+F3235</f>
        <v>599108.573553816</v>
      </c>
      <c r="G3236" s="58" t="n">
        <f aca="false">G3227+G3228+G3229+G3230+G3231+G3232+G3233+G3234+G3235</f>
        <v>928530.511311155</v>
      </c>
      <c r="H3236" s="2" t="s">
        <v>1230</v>
      </c>
    </row>
    <row r="3237" customFormat="false" ht="15" hidden="false" customHeight="false" outlineLevel="1" collapsed="false">
      <c r="A3237" s="7" t="s">
        <v>656</v>
      </c>
      <c r="B3237" s="8" t="s">
        <v>10</v>
      </c>
      <c r="C3237" s="58" t="n">
        <f aca="false">C3111*1000*(C3144)+C3112*1000*(C3167)+C3113*1000*(C3190)</f>
        <v>0</v>
      </c>
      <c r="D3237" s="58" t="n">
        <f aca="false">D3111*1000*(D3144)+D3112*1000*(D3167)+D3113*1000*(D3190)</f>
        <v>30312.1356164384</v>
      </c>
      <c r="E3237" s="58" t="n">
        <f aca="false">E3111*1000*(E3144)+E3112*1000*(E3167)+E3113*1000*(E3190)</f>
        <v>47562.5284674658</v>
      </c>
      <c r="F3237" s="58" t="n">
        <f aca="false">F3111*1000*(F3144)+F3112*1000*(F3167)+F3113*1000*(F3190)</f>
        <v>76011.1235445206</v>
      </c>
      <c r="G3237" s="58" t="n">
        <f aca="false">G3111*1000*(G3144)+G3112*1000*(G3167)+G3113*1000*(G3190)</f>
        <v>115361.899828767</v>
      </c>
      <c r="H3237" s="2" t="s">
        <v>1231</v>
      </c>
    </row>
    <row r="3238" customFormat="false" ht="15" hidden="false" customHeight="false" outlineLevel="1" collapsed="false">
      <c r="A3238" s="7" t="s">
        <v>657</v>
      </c>
      <c r="B3238" s="8" t="s">
        <v>10</v>
      </c>
      <c r="C3238" s="58" t="n">
        <f aca="false">C3122*1000*C3217</f>
        <v>0</v>
      </c>
      <c r="D3238" s="58" t="n">
        <f aca="false">D3122*1000*D3217</f>
        <v>0</v>
      </c>
      <c r="E3238" s="58" t="n">
        <f aca="false">E3122*1000*E3217</f>
        <v>2839.85445205479</v>
      </c>
      <c r="F3238" s="58" t="n">
        <f aca="false">F3122*1000*F3217</f>
        <v>5301.06164383562</v>
      </c>
      <c r="G3238" s="58" t="n">
        <f aca="false">G3122*1000*G3217</f>
        <v>8835.10273972603</v>
      </c>
      <c r="H3238" s="2" t="s">
        <v>1232</v>
      </c>
    </row>
    <row r="3239" customFormat="false" ht="15" hidden="false" customHeight="false" outlineLevel="1" collapsed="false">
      <c r="A3239" s="7" t="s">
        <v>658</v>
      </c>
      <c r="B3239" s="8" t="s">
        <v>10</v>
      </c>
      <c r="C3239" s="58" t="n">
        <f aca="false">C3237+C3238</f>
        <v>0</v>
      </c>
      <c r="D3239" s="58" t="n">
        <f aca="false">D3237+D3238</f>
        <v>30312.1356164384</v>
      </c>
      <c r="E3239" s="58" t="n">
        <f aca="false">E3237+E3238</f>
        <v>50402.3829195206</v>
      </c>
      <c r="F3239" s="58" t="n">
        <f aca="false">F3237+F3238</f>
        <v>81312.1851883562</v>
      </c>
      <c r="G3239" s="58" t="n">
        <f aca="false">G3237+G3238</f>
        <v>124197.002568493</v>
      </c>
      <c r="H3239" s="2" t="s">
        <v>1233</v>
      </c>
    </row>
    <row r="3240" customFormat="false" ht="15" hidden="false" customHeight="false" outlineLevel="1" collapsed="false">
      <c r="A3240" s="8" t="s">
        <v>659</v>
      </c>
      <c r="B3240" s="8" t="s">
        <v>10</v>
      </c>
      <c r="C3240" s="66" t="n">
        <f aca="false">ROUND(C3205-C3226-C3236-C3239-C3222,6)</f>
        <v>0</v>
      </c>
      <c r="D3240" s="66" t="n">
        <f aca="false">ROUND(D3205-D3226-D3236-D3239-D3222,6)</f>
        <v>-0</v>
      </c>
      <c r="E3240" s="66" t="n">
        <f aca="false">ROUND(E3205-E3226-E3236-E3239-E3222,6)</f>
        <v>0</v>
      </c>
      <c r="F3240" s="66" t="n">
        <f aca="false">ROUND(F3205-F3226-F3236-F3239-F3222,6)</f>
        <v>0</v>
      </c>
      <c r="G3240" s="66" t="n">
        <f aca="false">ROUND(G3205-G3226-G3236-G3239-G3222,6)</f>
        <v>0</v>
      </c>
      <c r="H3240" s="2" t="s">
        <v>1234</v>
      </c>
    </row>
    <row r="3241" customFormat="false" ht="15" hidden="false" customHeight="false" outlineLevel="0" collapsed="false">
      <c r="A3241" s="3" t="s">
        <v>1235</v>
      </c>
      <c r="B3241" s="4"/>
      <c r="C3241" s="4"/>
      <c r="D3241" s="4"/>
      <c r="E3241" s="4"/>
      <c r="F3241" s="4"/>
      <c r="G3241" s="4"/>
      <c r="H3241" s="4"/>
    </row>
    <row r="3242" customFormat="false" ht="15" hidden="false" customHeight="false" outlineLevel="1" collapsed="false">
      <c r="A3242" s="7" t="s">
        <v>602</v>
      </c>
      <c r="B3242" s="8" t="s">
        <v>413</v>
      </c>
      <c r="C3242" s="61" t="n">
        <f aca="false">Pressupostos!$C$315</f>
        <v>1</v>
      </c>
      <c r="D3242" s="61" t="n">
        <f aca="false">Pressupostos!$D$315</f>
        <v>1</v>
      </c>
      <c r="E3242" s="61" t="n">
        <f aca="false">Pressupostos!$E$315</f>
        <v>1</v>
      </c>
      <c r="F3242" s="61" t="n">
        <f aca="false">Pressupostos!$F$315</f>
        <v>1</v>
      </c>
      <c r="G3242" s="61" t="n">
        <f aca="false">Pressupostos!$G$315</f>
        <v>1</v>
      </c>
      <c r="H3242" s="2" t="s">
        <v>1236</v>
      </c>
    </row>
    <row r="3243" customFormat="false" ht="15" hidden="false" customHeight="false" outlineLevel="1" collapsed="false">
      <c r="A3243" s="7" t="s">
        <v>603</v>
      </c>
      <c r="B3243" s="8" t="s">
        <v>413</v>
      </c>
      <c r="C3243" s="61" t="n">
        <f aca="false">Pressupostos!$C$321</f>
        <v>1</v>
      </c>
      <c r="D3243" s="61" t="n">
        <f aca="false">Pressupostos!$D$321</f>
        <v>1</v>
      </c>
      <c r="E3243" s="61" t="n">
        <f aca="false">Pressupostos!$E$321</f>
        <v>1</v>
      </c>
      <c r="F3243" s="61" t="n">
        <f aca="false">Pressupostos!$F$321</f>
        <v>1</v>
      </c>
      <c r="G3243" s="61" t="n">
        <f aca="false">Pressupostos!$G$321</f>
        <v>1</v>
      </c>
      <c r="H3243" s="2" t="s">
        <v>1237</v>
      </c>
    </row>
    <row r="3244" customFormat="false" ht="15" hidden="false" customHeight="false" outlineLevel="1" collapsed="false">
      <c r="A3244" s="7" t="s">
        <v>604</v>
      </c>
      <c r="B3244" s="8" t="s">
        <v>413</v>
      </c>
      <c r="C3244" s="61" t="n">
        <f aca="false">Pressupostos!$C$327</f>
        <v>1</v>
      </c>
      <c r="D3244" s="61" t="n">
        <f aca="false">Pressupostos!$D$327</f>
        <v>1</v>
      </c>
      <c r="E3244" s="61" t="n">
        <f aca="false">Pressupostos!$E$327</f>
        <v>2</v>
      </c>
      <c r="F3244" s="61" t="n">
        <f aca="false">Pressupostos!$F$327</f>
        <v>2</v>
      </c>
      <c r="G3244" s="61" t="n">
        <f aca="false">Pressupostos!$G$327</f>
        <v>2</v>
      </c>
      <c r="H3244" s="2" t="s">
        <v>1238</v>
      </c>
    </row>
    <row r="3245" customFormat="false" ht="15" hidden="false" customHeight="false" outlineLevel="1" collapsed="false">
      <c r="A3245" s="7" t="s">
        <v>605</v>
      </c>
      <c r="B3245" s="8" t="s">
        <v>413</v>
      </c>
      <c r="C3245" s="61" t="n">
        <f aca="false">Pressupostos!$C$333</f>
        <v>1</v>
      </c>
      <c r="D3245" s="61" t="n">
        <f aca="false">Pressupostos!$D$333</f>
        <v>1</v>
      </c>
      <c r="E3245" s="61" t="n">
        <f aca="false">Pressupostos!$E$333</f>
        <v>1</v>
      </c>
      <c r="F3245" s="61" t="n">
        <f aca="false">Pressupostos!$F$333</f>
        <v>1</v>
      </c>
      <c r="G3245" s="61" t="n">
        <f aca="false">Pressupostos!$G$333</f>
        <v>1</v>
      </c>
      <c r="H3245" s="2" t="s">
        <v>1239</v>
      </c>
    </row>
    <row r="3246" customFormat="false" ht="15" hidden="false" customHeight="false" outlineLevel="1" collapsed="false">
      <c r="A3246" s="7" t="s">
        <v>606</v>
      </c>
      <c r="B3246" s="8" t="s">
        <v>413</v>
      </c>
      <c r="C3246" s="61" t="n">
        <f aca="false">Pressupostos!$C$339</f>
        <v>0.5</v>
      </c>
      <c r="D3246" s="61" t="n">
        <f aca="false">Pressupostos!$D$339</f>
        <v>1</v>
      </c>
      <c r="E3246" s="61" t="n">
        <f aca="false">Pressupostos!$E$339</f>
        <v>1</v>
      </c>
      <c r="F3246" s="61" t="n">
        <f aca="false">Pressupostos!$F$339</f>
        <v>1</v>
      </c>
      <c r="G3246" s="61" t="n">
        <f aca="false">Pressupostos!$G$339</f>
        <v>1</v>
      </c>
      <c r="H3246" s="2" t="s">
        <v>1240</v>
      </c>
    </row>
    <row r="3247" customFormat="false" ht="15" hidden="false" customHeight="false" outlineLevel="1" collapsed="false">
      <c r="A3247" s="7" t="s">
        <v>607</v>
      </c>
      <c r="B3247" s="8" t="s">
        <v>413</v>
      </c>
      <c r="C3247" s="61" t="n">
        <f aca="false">Pressupostos!$C$345</f>
        <v>1</v>
      </c>
      <c r="D3247" s="61" t="n">
        <f aca="false">Pressupostos!$D$345</f>
        <v>1</v>
      </c>
      <c r="E3247" s="61" t="n">
        <f aca="false">Pressupostos!$E$345</f>
        <v>1</v>
      </c>
      <c r="F3247" s="61" t="n">
        <f aca="false">Pressupostos!$F$345</f>
        <v>2</v>
      </c>
      <c r="G3247" s="61" t="n">
        <f aca="false">Pressupostos!$G$345</f>
        <v>2</v>
      </c>
      <c r="H3247" s="2" t="s">
        <v>1241</v>
      </c>
    </row>
    <row r="3248" customFormat="false" ht="15" hidden="false" customHeight="false" outlineLevel="1" collapsed="false">
      <c r="A3248" s="7" t="s">
        <v>608</v>
      </c>
      <c r="B3248" s="8" t="s">
        <v>413</v>
      </c>
      <c r="C3248" s="61" t="n">
        <f aca="false">Pressupostos!$C$351</f>
        <v>0.5</v>
      </c>
      <c r="D3248" s="61" t="n">
        <f aca="false">Pressupostos!$D$351</f>
        <v>1</v>
      </c>
      <c r="E3248" s="61" t="n">
        <f aca="false">Pressupostos!$E$351</f>
        <v>1</v>
      </c>
      <c r="F3248" s="61" t="n">
        <f aca="false">Pressupostos!$F$351</f>
        <v>1</v>
      </c>
      <c r="G3248" s="61" t="n">
        <f aca="false">Pressupostos!$G$351</f>
        <v>1</v>
      </c>
      <c r="H3248" s="2" t="s">
        <v>1242</v>
      </c>
    </row>
    <row r="3249" customFormat="false" ht="15" hidden="false" customHeight="false" outlineLevel="1" collapsed="false">
      <c r="A3249" s="7" t="s">
        <v>609</v>
      </c>
      <c r="B3249" s="8" t="s">
        <v>413</v>
      </c>
      <c r="C3249" s="61" t="n">
        <f aca="false">Pressupostos!$C$357</f>
        <v>1</v>
      </c>
      <c r="D3249" s="61" t="n">
        <f aca="false">Pressupostos!$D$357</f>
        <v>1</v>
      </c>
      <c r="E3249" s="61" t="n">
        <f aca="false">Pressupostos!$E$357</f>
        <v>2</v>
      </c>
      <c r="F3249" s="61" t="n">
        <f aca="false">Pressupostos!$F$357</f>
        <v>3</v>
      </c>
      <c r="G3249" s="61" t="n">
        <f aca="false">Pressupostos!$G$357</f>
        <v>5</v>
      </c>
      <c r="H3249" s="2" t="s">
        <v>1243</v>
      </c>
    </row>
    <row r="3250" customFormat="false" ht="15" hidden="false" customHeight="false" outlineLevel="1" collapsed="false">
      <c r="A3250" s="7" t="s">
        <v>610</v>
      </c>
      <c r="B3250" s="8" t="s">
        <v>413</v>
      </c>
      <c r="C3250" s="61" t="n">
        <f aca="false">Pressupostos!$C$363</f>
        <v>0</v>
      </c>
      <c r="D3250" s="61" t="n">
        <f aca="false">Pressupostos!$D$363</f>
        <v>0</v>
      </c>
      <c r="E3250" s="61" t="n">
        <f aca="false">Pressupostos!$E$363</f>
        <v>0</v>
      </c>
      <c r="F3250" s="61" t="n">
        <f aca="false">Pressupostos!$F$363</f>
        <v>1</v>
      </c>
      <c r="G3250" s="61" t="n">
        <f aca="false">Pressupostos!$G$363</f>
        <v>1</v>
      </c>
      <c r="H3250" s="2" t="s">
        <v>1244</v>
      </c>
    </row>
    <row r="3251" customFormat="false" ht="15" hidden="false" customHeight="false" outlineLevel="1" collapsed="false">
      <c r="A3251" s="7" t="s">
        <v>611</v>
      </c>
      <c r="B3251" s="8" t="s">
        <v>413</v>
      </c>
      <c r="C3251" s="61" t="n">
        <f aca="false">Pressupostos!$C$369</f>
        <v>0</v>
      </c>
      <c r="D3251" s="61" t="n">
        <f aca="false">Pressupostos!$D$369</f>
        <v>0</v>
      </c>
      <c r="E3251" s="61" t="n">
        <f aca="false">Pressupostos!$E$369</f>
        <v>0</v>
      </c>
      <c r="F3251" s="61" t="n">
        <f aca="false">Pressupostos!$F$369</f>
        <v>0</v>
      </c>
      <c r="G3251" s="61" t="n">
        <f aca="false">Pressupostos!$G$369</f>
        <v>1</v>
      </c>
      <c r="H3251" s="2" t="s">
        <v>1245</v>
      </c>
    </row>
    <row r="3252" customFormat="false" ht="15" hidden="false" customHeight="false" outlineLevel="1" collapsed="false">
      <c r="A3252" s="7" t="s">
        <v>612</v>
      </c>
      <c r="B3252" s="8" t="s">
        <v>413</v>
      </c>
      <c r="C3252" s="61" t="n">
        <f aca="false">Pressupostos!$C$375</f>
        <v>0</v>
      </c>
      <c r="D3252" s="61" t="n">
        <f aca="false">Pressupostos!$D$375</f>
        <v>0</v>
      </c>
      <c r="E3252" s="61" t="n">
        <f aca="false">Pressupostos!$E$375</f>
        <v>1</v>
      </c>
      <c r="F3252" s="61" t="n">
        <f aca="false">Pressupostos!$F$375</f>
        <v>1</v>
      </c>
      <c r="G3252" s="61" t="n">
        <f aca="false">Pressupostos!$G$375</f>
        <v>1</v>
      </c>
      <c r="H3252" s="2" t="s">
        <v>1246</v>
      </c>
    </row>
    <row r="3253" customFormat="false" ht="15" hidden="false" customHeight="false" outlineLevel="1" collapsed="false">
      <c r="A3253" s="7" t="s">
        <v>613</v>
      </c>
      <c r="B3253" s="8" t="s">
        <v>413</v>
      </c>
      <c r="C3253" s="61" t="n">
        <f aca="false">Pressupostos!$C$381</f>
        <v>0</v>
      </c>
      <c r="D3253" s="61" t="n">
        <f aca="false">Pressupostos!$D$381</f>
        <v>0</v>
      </c>
      <c r="E3253" s="61" t="n">
        <f aca="false">Pressupostos!$E$381</f>
        <v>0</v>
      </c>
      <c r="F3253" s="61" t="n">
        <f aca="false">Pressupostos!$F$381</f>
        <v>0</v>
      </c>
      <c r="G3253" s="61" t="n">
        <f aca="false">Pressupostos!$G$381</f>
        <v>0</v>
      </c>
      <c r="H3253" s="2" t="s">
        <v>1247</v>
      </c>
    </row>
    <row r="3254" customFormat="false" ht="15" hidden="false" customHeight="false" outlineLevel="1" collapsed="false">
      <c r="A3254" s="52" t="s">
        <v>614</v>
      </c>
      <c r="B3254" s="53" t="s">
        <v>413</v>
      </c>
      <c r="C3254" s="62" t="n">
        <f aca="false">C3242+C3243+C3244+C3245+C3246+C3247+C3248+C3249+C3250+C3251+C3252+C3253</f>
        <v>7</v>
      </c>
      <c r="D3254" s="62" t="n">
        <f aca="false">D3242+D3243+D3244+D3245+D3246+D3247+D3248+D3249+D3250+D3251+D3252+D3253</f>
        <v>8</v>
      </c>
      <c r="E3254" s="62" t="n">
        <f aca="false">E3242+E3243+E3244+E3245+E3246+E3247+E3248+E3249+E3250+E3251+E3252+E3253</f>
        <v>11</v>
      </c>
      <c r="F3254" s="62" t="n">
        <f aca="false">F3242+F3243+F3244+F3245+F3246+F3247+F3248+F3249+F3250+F3251+F3252+F3253</f>
        <v>14</v>
      </c>
      <c r="G3254" s="62" t="n">
        <f aca="false">G3242+G3243+G3244+G3245+G3246+G3247+G3248+G3249+G3250+G3251+G3252+G3253</f>
        <v>17</v>
      </c>
      <c r="H3254" s="2" t="s">
        <v>1248</v>
      </c>
    </row>
    <row r="3255" customFormat="false" ht="15" hidden="false" customHeight="false" outlineLevel="0" collapsed="false">
      <c r="A3255" s="3" t="s">
        <v>1249</v>
      </c>
      <c r="B3255" s="4"/>
      <c r="C3255" s="4"/>
      <c r="D3255" s="4"/>
      <c r="E3255" s="4"/>
      <c r="F3255" s="4"/>
      <c r="G3255" s="4"/>
      <c r="H3255" s="4"/>
    </row>
    <row r="3256" customFormat="false" ht="15" hidden="false" customHeight="false" outlineLevel="1" collapsed="false">
      <c r="A3256" s="7" t="s">
        <v>602</v>
      </c>
      <c r="B3256" s="8" t="s">
        <v>10</v>
      </c>
      <c r="C3256" s="58" t="n">
        <f aca="false">C3242*Pressupostos!$C$129*(1+Pressupostos!$C$125)^0*(1+Pressupostos!$C$130)*Pressupostos!$C$126</f>
        <v>43998</v>
      </c>
      <c r="D3256" s="58" t="n">
        <f aca="false">D3242*Pressupostos!$C$129*(1+Pressupostos!$C$125)^1*(1+Pressupostos!$C$130)</f>
        <v>61800</v>
      </c>
      <c r="E3256" s="58" t="n">
        <f aca="false">E3242*Pressupostos!$C$129*(1+Pressupostos!$C$125)^2*(1+Pressupostos!$C$130)</f>
        <v>63654</v>
      </c>
      <c r="F3256" s="58" t="n">
        <f aca="false">F3242*Pressupostos!$C$129*(1+Pressupostos!$C$125)^3*(1+Pressupostos!$C$130)</f>
        <v>65563.62</v>
      </c>
      <c r="G3256" s="58" t="n">
        <f aca="false">G3242*Pressupostos!$C$129*(1+Pressupostos!$C$125)^4*(1+Pressupostos!$C$130)</f>
        <v>67530.5286</v>
      </c>
      <c r="H3256" s="2" t="s">
        <v>1250</v>
      </c>
    </row>
    <row r="3257" customFormat="false" ht="15" hidden="false" customHeight="false" outlineLevel="1" collapsed="false">
      <c r="A3257" s="7" t="s">
        <v>603</v>
      </c>
      <c r="B3257" s="8" t="s">
        <v>10</v>
      </c>
      <c r="C3257" s="58" t="n">
        <f aca="false">C3243*Pressupostos!$C$131*(1+Pressupostos!$C$125)^0*(1+Pressupostos!$C$132)*Pressupostos!$C$126</f>
        <v>47664.5</v>
      </c>
      <c r="D3257" s="58" t="n">
        <f aca="false">D3243*Pressupostos!$C$131*(1+Pressupostos!$C$125)^1*(1+Pressupostos!$C$132)</f>
        <v>66950</v>
      </c>
      <c r="E3257" s="58" t="n">
        <f aca="false">E3243*Pressupostos!$C$131*(1+Pressupostos!$C$125)^2*(1+Pressupostos!$C$132)</f>
        <v>68958.5</v>
      </c>
      <c r="F3257" s="58" t="n">
        <f aca="false">F3243*Pressupostos!$C$131*(1+Pressupostos!$C$125)^3*(1+Pressupostos!$C$132)</f>
        <v>71027.255</v>
      </c>
      <c r="G3257" s="58" t="n">
        <f aca="false">G3243*Pressupostos!$C$131*(1+Pressupostos!$C$125)^4*(1+Pressupostos!$C$132)</f>
        <v>73158.07265</v>
      </c>
      <c r="H3257" s="2" t="s">
        <v>1251</v>
      </c>
    </row>
    <row r="3258" customFormat="false" ht="15" hidden="false" customHeight="false" outlineLevel="1" collapsed="false">
      <c r="A3258" s="7" t="s">
        <v>604</v>
      </c>
      <c r="B3258" s="8" t="s">
        <v>10</v>
      </c>
      <c r="C3258" s="58" t="n">
        <f aca="false">C3244*Pressupostos!$C$133*(1+Pressupostos!$C$125)^0*(1+Pressupostos!$C$134)</f>
        <v>45000</v>
      </c>
      <c r="D3258" s="58" t="n">
        <f aca="false">D3244*Pressupostos!$C$133*(1+Pressupostos!$C$125)^1*(1+Pressupostos!$C$134)</f>
        <v>46350</v>
      </c>
      <c r="E3258" s="58" t="n">
        <f aca="false">E3244*Pressupostos!$C$133*(1+Pressupostos!$C$125)^2*(1+Pressupostos!$C$134)</f>
        <v>95481</v>
      </c>
      <c r="F3258" s="58" t="n">
        <f aca="false">F3244*Pressupostos!$C$133*(1+Pressupostos!$C$125)^3*(1+Pressupostos!$C$134)</f>
        <v>98345.43</v>
      </c>
      <c r="G3258" s="58" t="n">
        <f aca="false">G3244*Pressupostos!$C$133*(1+Pressupostos!$C$125)^4*(1+Pressupostos!$C$134)</f>
        <v>101295.7929</v>
      </c>
      <c r="H3258" s="2" t="s">
        <v>1252</v>
      </c>
    </row>
    <row r="3259" customFormat="false" ht="15" hidden="false" customHeight="false" outlineLevel="1" collapsed="false">
      <c r="A3259" s="7" t="s">
        <v>605</v>
      </c>
      <c r="B3259" s="8" t="s">
        <v>10</v>
      </c>
      <c r="C3259" s="58" t="n">
        <f aca="false">C3245*Pressupostos!$C$135*(1+Pressupostos!$C$125)^0*(1+Pressupostos!$C$136)</f>
        <v>60000</v>
      </c>
      <c r="D3259" s="58" t="n">
        <f aca="false">D3245*Pressupostos!$C$135*(1+Pressupostos!$C$125)^1*(1+Pressupostos!$C$136)</f>
        <v>61800</v>
      </c>
      <c r="E3259" s="58" t="n">
        <f aca="false">E3245*Pressupostos!$C$135*(1+Pressupostos!$C$125)^2*(1+Pressupostos!$C$136)</f>
        <v>63654</v>
      </c>
      <c r="F3259" s="58" t="n">
        <f aca="false">F3245*Pressupostos!$C$135*(1+Pressupostos!$C$125)^3*(1+Pressupostos!$C$136)</f>
        <v>65563.62</v>
      </c>
      <c r="G3259" s="58" t="n">
        <f aca="false">G3245*Pressupostos!$C$135*(1+Pressupostos!$C$125)^4*(1+Pressupostos!$C$136)</f>
        <v>67530.5286</v>
      </c>
      <c r="H3259" s="2" t="s">
        <v>1253</v>
      </c>
    </row>
    <row r="3260" customFormat="false" ht="15" hidden="false" customHeight="false" outlineLevel="1" collapsed="false">
      <c r="A3260" s="7" t="s">
        <v>606</v>
      </c>
      <c r="B3260" s="8" t="s">
        <v>10</v>
      </c>
      <c r="C3260" s="58" t="n">
        <f aca="false">C3246*Pressupostos!$C$137*(1+Pressupostos!$C$125)^0*(1+Pressupostos!$C$138)</f>
        <v>22500</v>
      </c>
      <c r="D3260" s="58" t="n">
        <f aca="false">D3246*Pressupostos!$C$137*(1+Pressupostos!$C$125)^1*(1+Pressupostos!$C$138)</f>
        <v>46350</v>
      </c>
      <c r="E3260" s="58" t="n">
        <f aca="false">E3246*Pressupostos!$C$137*(1+Pressupostos!$C$125)^2*(1+Pressupostos!$C$138)</f>
        <v>47740.5</v>
      </c>
      <c r="F3260" s="58" t="n">
        <f aca="false">F3246*Pressupostos!$C$137*(1+Pressupostos!$C$125)^3*(1+Pressupostos!$C$138)</f>
        <v>49172.715</v>
      </c>
      <c r="G3260" s="58" t="n">
        <f aca="false">G3246*Pressupostos!$C$137*(1+Pressupostos!$C$125)^4*(1+Pressupostos!$C$138)</f>
        <v>50647.89645</v>
      </c>
      <c r="H3260" s="2" t="s">
        <v>1254</v>
      </c>
    </row>
    <row r="3261" customFormat="false" ht="15" hidden="false" customHeight="false" outlineLevel="1" collapsed="false">
      <c r="A3261" s="7" t="s">
        <v>607</v>
      </c>
      <c r="B3261" s="8" t="s">
        <v>10</v>
      </c>
      <c r="C3261" s="58" t="n">
        <f aca="false">C3247*Pressupostos!$C$139*(1+Pressupostos!$C$125)^0*(1+Pressupostos!$C$140)</f>
        <v>38000</v>
      </c>
      <c r="D3261" s="58" t="n">
        <f aca="false">D3247*Pressupostos!$C$139*(1+Pressupostos!$C$125)^1*(1+Pressupostos!$C$140)</f>
        <v>39140</v>
      </c>
      <c r="E3261" s="58" t="n">
        <f aca="false">E3247*Pressupostos!$C$139*(1+Pressupostos!$C$125)^2*(1+Pressupostos!$C$140)</f>
        <v>40314.2</v>
      </c>
      <c r="F3261" s="58" t="n">
        <f aca="false">F3247*Pressupostos!$C$139*(1+Pressupostos!$C$125)^3*(1+Pressupostos!$C$140)</f>
        <v>83047.252</v>
      </c>
      <c r="G3261" s="58" t="n">
        <f aca="false">G3247*Pressupostos!$C$139*(1+Pressupostos!$C$125)^4*(1+Pressupostos!$C$140)</f>
        <v>85538.66956</v>
      </c>
      <c r="H3261" s="2" t="s">
        <v>1255</v>
      </c>
    </row>
    <row r="3262" customFormat="false" ht="15" hidden="false" customHeight="false" outlineLevel="1" collapsed="false">
      <c r="A3262" s="7" t="s">
        <v>608</v>
      </c>
      <c r="B3262" s="8" t="s">
        <v>10</v>
      </c>
      <c r="C3262" s="58" t="n">
        <f aca="false">C3248*Pressupostos!$C$141*(1+Pressupostos!$C$125)^0*(1+Pressupostos!$C$142)</f>
        <v>16000</v>
      </c>
      <c r="D3262" s="58" t="n">
        <f aca="false">D3248*Pressupostos!$C$141*(1+Pressupostos!$C$125)^1*(1+Pressupostos!$C$142)</f>
        <v>32960</v>
      </c>
      <c r="E3262" s="58" t="n">
        <f aca="false">E3248*Pressupostos!$C$141*(1+Pressupostos!$C$125)^2*(1+Pressupostos!$C$142)</f>
        <v>33948.8</v>
      </c>
      <c r="F3262" s="58" t="n">
        <f aca="false">F3248*Pressupostos!$C$141*(1+Pressupostos!$C$125)^3*(1+Pressupostos!$C$142)</f>
        <v>34967.264</v>
      </c>
      <c r="G3262" s="58" t="n">
        <f aca="false">G3248*Pressupostos!$C$141*(1+Pressupostos!$C$125)^4*(1+Pressupostos!$C$142)</f>
        <v>36016.28192</v>
      </c>
      <c r="H3262" s="2" t="s">
        <v>1256</v>
      </c>
    </row>
    <row r="3263" customFormat="false" ht="15" hidden="false" customHeight="false" outlineLevel="1" collapsed="false">
      <c r="A3263" s="7" t="s">
        <v>609</v>
      </c>
      <c r="B3263" s="8" t="s">
        <v>10</v>
      </c>
      <c r="C3263" s="58" t="n">
        <f aca="false">C3249*Pressupostos!$C$143*(1+Pressupostos!$C$125)^0*(1+Pressupostos!$C$144)</f>
        <v>34500</v>
      </c>
      <c r="D3263" s="58" t="n">
        <f aca="false">D3249*Pressupostos!$C$143*(1+Pressupostos!$C$125)^1*(1+Pressupostos!$C$144)</f>
        <v>35535</v>
      </c>
      <c r="E3263" s="58" t="n">
        <f aca="false">E3249*Pressupostos!$C$143*(1+Pressupostos!$C$125)^2*(1+Pressupostos!$C$144)</f>
        <v>73202.1</v>
      </c>
      <c r="F3263" s="58" t="n">
        <f aca="false">F3249*Pressupostos!$C$143*(1+Pressupostos!$C$125)^3*(1+Pressupostos!$C$144)</f>
        <v>113097.2445</v>
      </c>
      <c r="G3263" s="58" t="n">
        <f aca="false">G3249*Pressupostos!$C$143*(1+Pressupostos!$C$125)^4*(1+Pressupostos!$C$144)</f>
        <v>194150.269725</v>
      </c>
      <c r="H3263" s="2" t="s">
        <v>1257</v>
      </c>
    </row>
    <row r="3264" customFormat="false" ht="15" hidden="false" customHeight="false" outlineLevel="1" collapsed="false">
      <c r="A3264" s="7" t="s">
        <v>610</v>
      </c>
      <c r="B3264" s="8" t="s">
        <v>10</v>
      </c>
      <c r="C3264" s="58" t="n">
        <f aca="false">C3250*Pressupostos!$C$145*(1+Pressupostos!$C$125)^0*(1+Pressupostos!$C$146)</f>
        <v>0</v>
      </c>
      <c r="D3264" s="58" t="n">
        <f aca="false">D3250*Pressupostos!$C$145*(1+Pressupostos!$C$125)^1*(1+Pressupostos!$C$146)</f>
        <v>0</v>
      </c>
      <c r="E3264" s="58" t="n">
        <f aca="false">E3250*Pressupostos!$C$145*(1+Pressupostos!$C$125)^2*(1+Pressupostos!$C$146)</f>
        <v>0</v>
      </c>
      <c r="F3264" s="58" t="n">
        <f aca="false">F3250*Pressupostos!$C$145*(1+Pressupostos!$C$125)^3*(1+Pressupostos!$C$146)</f>
        <v>49172.715</v>
      </c>
      <c r="G3264" s="58" t="n">
        <f aca="false">G3250*Pressupostos!$C$145*(1+Pressupostos!$C$125)^4*(1+Pressupostos!$C$146)</f>
        <v>50647.89645</v>
      </c>
      <c r="H3264" s="2" t="s">
        <v>1258</v>
      </c>
    </row>
    <row r="3265" customFormat="false" ht="15" hidden="false" customHeight="false" outlineLevel="1" collapsed="false">
      <c r="A3265" s="7" t="s">
        <v>611</v>
      </c>
      <c r="B3265" s="8" t="s">
        <v>10</v>
      </c>
      <c r="C3265" s="58" t="n">
        <f aca="false">C3251*Pressupostos!$C$147*(1+Pressupostos!$C$125)^0*(1+Pressupostos!$C$148)</f>
        <v>0</v>
      </c>
      <c r="D3265" s="58" t="n">
        <f aca="false">D3251*Pressupostos!$C$147*(1+Pressupostos!$C$125)^1*(1+Pressupostos!$C$148)</f>
        <v>0</v>
      </c>
      <c r="E3265" s="58" t="n">
        <f aca="false">E3251*Pressupostos!$C$147*(1+Pressupostos!$C$125)^2*(1+Pressupostos!$C$148)</f>
        <v>0</v>
      </c>
      <c r="F3265" s="58" t="n">
        <f aca="false">F3251*Pressupostos!$C$147*(1+Pressupostos!$C$125)^3*(1+Pressupostos!$C$148)</f>
        <v>0</v>
      </c>
      <c r="G3265" s="58" t="n">
        <f aca="false">G3251*Pressupostos!$C$147*(1+Pressupostos!$C$125)^4*(1+Pressupostos!$C$148)</f>
        <v>45020.3524</v>
      </c>
      <c r="H3265" s="2" t="s">
        <v>1259</v>
      </c>
    </row>
    <row r="3266" customFormat="false" ht="15" hidden="false" customHeight="false" outlineLevel="1" collapsed="false">
      <c r="A3266" s="7" t="s">
        <v>612</v>
      </c>
      <c r="B3266" s="8" t="s">
        <v>10</v>
      </c>
      <c r="C3266" s="58" t="n">
        <f aca="false">C3252*Pressupostos!$C$149*(1+Pressupostos!$C$125)^0*(1+Pressupostos!$C$150)</f>
        <v>0</v>
      </c>
      <c r="D3266" s="58" t="n">
        <f aca="false">D3252*Pressupostos!$C$149*(1+Pressupostos!$C$125)^1*(1+Pressupostos!$C$150)</f>
        <v>0</v>
      </c>
      <c r="E3266" s="58" t="n">
        <f aca="false">E3252*Pressupostos!$C$149*(1+Pressupostos!$C$125)^2*(1+Pressupostos!$C$150)</f>
        <v>25461.6</v>
      </c>
      <c r="F3266" s="58" t="n">
        <f aca="false">F3252*Pressupostos!$C$149*(1+Pressupostos!$C$125)^3*(1+Pressupostos!$C$150)</f>
        <v>26225.448</v>
      </c>
      <c r="G3266" s="58" t="n">
        <f aca="false">G3252*Pressupostos!$C$149*(1+Pressupostos!$C$125)^4*(1+Pressupostos!$C$150)</f>
        <v>27012.21144</v>
      </c>
      <c r="H3266" s="2" t="s">
        <v>1260</v>
      </c>
    </row>
    <row r="3267" customFormat="false" ht="15" hidden="false" customHeight="false" outlineLevel="1" collapsed="false">
      <c r="A3267" s="7" t="s">
        <v>613</v>
      </c>
      <c r="B3267" s="8" t="s">
        <v>10</v>
      </c>
      <c r="C3267" s="58" t="n">
        <f aca="false">C3253*Pressupostos!$C$151*(1+Pressupostos!$C$125)^0*(1+Pressupostos!$C$152)</f>
        <v>0</v>
      </c>
      <c r="D3267" s="58" t="n">
        <f aca="false">D3253*Pressupostos!$C$151*(1+Pressupostos!$C$125)^1*(1+Pressupostos!$C$152)</f>
        <v>0</v>
      </c>
      <c r="E3267" s="58" t="n">
        <f aca="false">E3253*Pressupostos!$C$151*(1+Pressupostos!$C$125)^2*(1+Pressupostos!$C$152)</f>
        <v>0</v>
      </c>
      <c r="F3267" s="58" t="n">
        <f aca="false">F3253*Pressupostos!$C$151*(1+Pressupostos!$C$125)^3*(1+Pressupostos!$C$152)</f>
        <v>0</v>
      </c>
      <c r="G3267" s="58" t="n">
        <f aca="false">G3253*Pressupostos!$C$151*(1+Pressupostos!$C$125)^4*(1+Pressupostos!$C$152)</f>
        <v>0</v>
      </c>
      <c r="H3267" s="2" t="s">
        <v>1261</v>
      </c>
    </row>
    <row r="3268" customFormat="false" ht="15" hidden="false" customHeight="false" outlineLevel="1" collapsed="false">
      <c r="A3268" s="7" t="s">
        <v>616</v>
      </c>
      <c r="B3268" s="8" t="s">
        <v>10</v>
      </c>
      <c r="C3268" s="58" t="n">
        <f aca="false">C3256+C3257+C3258+C3259+C3260+C3261+C3262+C3263+C3264+C3265+C3266+C3267</f>
        <v>307662.5</v>
      </c>
      <c r="D3268" s="58" t="n">
        <f aca="false">D3256+D3257+D3258+D3259+D3260+D3261+D3262+D3263+D3264+D3265+D3266+D3267</f>
        <v>390885</v>
      </c>
      <c r="E3268" s="58" t="n">
        <f aca="false">E3256+E3257+E3258+E3259+E3260+E3261+E3262+E3263+E3264+E3265+E3266+E3267</f>
        <v>512414.7</v>
      </c>
      <c r="F3268" s="58" t="n">
        <f aca="false">F3256+F3257+F3258+F3259+F3260+F3261+F3262+F3263+F3264+F3265+F3266+F3267</f>
        <v>656182.5635</v>
      </c>
      <c r="G3268" s="58" t="n">
        <f aca="false">G3256+G3257+G3258+G3259+G3260+G3261+G3262+G3263+G3264+G3265+G3266+G3267</f>
        <v>798548.500695</v>
      </c>
      <c r="H3268" s="2" t="s">
        <v>1262</v>
      </c>
    </row>
    <row r="3269" customFormat="false" ht="15" hidden="false" customHeight="false" outlineLevel="1" collapsed="false">
      <c r="A3269" s="7" t="s">
        <v>617</v>
      </c>
      <c r="B3269" s="8" t="s">
        <v>10</v>
      </c>
      <c r="C3269" s="58" t="n">
        <f aca="false">C3268*(Pressupostos!$C$122+Pressupostos!$C$123)</f>
        <v>79223.09375</v>
      </c>
      <c r="D3269" s="58" t="n">
        <f aca="false">D3268*(Pressupostos!$C$122+Pressupostos!$C$123)</f>
        <v>100652.8875</v>
      </c>
      <c r="E3269" s="58" t="n">
        <f aca="false">E3268*(Pressupostos!$C$122+Pressupostos!$C$123)</f>
        <v>131946.78525</v>
      </c>
      <c r="F3269" s="58" t="n">
        <f aca="false">F3268*(Pressupostos!$C$122+Pressupostos!$C$123)</f>
        <v>168967.01010125</v>
      </c>
      <c r="G3269" s="58" t="n">
        <f aca="false">G3268*(Pressupostos!$C$122+Pressupostos!$C$123)</f>
        <v>205626.238928963</v>
      </c>
      <c r="H3269" s="2" t="s">
        <v>1263</v>
      </c>
    </row>
    <row r="3270" customFormat="false" ht="15" hidden="false" customHeight="false" outlineLevel="1" collapsed="false">
      <c r="A3270" s="7" t="s">
        <v>618</v>
      </c>
      <c r="B3270" s="8" t="s">
        <v>10</v>
      </c>
      <c r="C3270" s="58" t="n">
        <f aca="false">C3254*Pressupostos!$C$124*(1+Pressupostos!$C$125)^0</f>
        <v>14000</v>
      </c>
      <c r="D3270" s="58" t="n">
        <f aca="false">D3254*Pressupostos!$C$124*(1+Pressupostos!$C$125)^1</f>
        <v>16480</v>
      </c>
      <c r="E3270" s="58" t="n">
        <f aca="false">E3254*Pressupostos!$C$124*(1+Pressupostos!$C$125)^2</f>
        <v>23339.8</v>
      </c>
      <c r="F3270" s="58" t="n">
        <f aca="false">F3254*Pressupostos!$C$124*(1+Pressupostos!$C$125)^3</f>
        <v>30596.356</v>
      </c>
      <c r="G3270" s="58" t="n">
        <f aca="false">G3254*Pressupostos!$C$124*(1+Pressupostos!$C$125)^4</f>
        <v>38267.29954</v>
      </c>
      <c r="H3270" s="2" t="s">
        <v>1264</v>
      </c>
    </row>
    <row r="3271" customFormat="false" ht="15" hidden="false" customHeight="false" outlineLevel="1" collapsed="false">
      <c r="A3271" s="52" t="s">
        <v>619</v>
      </c>
      <c r="B3271" s="53" t="s">
        <v>10</v>
      </c>
      <c r="C3271" s="59" t="n">
        <f aca="false">C3268+C3269+C3270</f>
        <v>400885.59375</v>
      </c>
      <c r="D3271" s="59" t="n">
        <f aca="false">D3268+D3269+D3270</f>
        <v>508017.8875</v>
      </c>
      <c r="E3271" s="59" t="n">
        <f aca="false">E3268+E3269+E3270</f>
        <v>667701.28525</v>
      </c>
      <c r="F3271" s="59" t="n">
        <f aca="false">F3268+F3269+F3270</f>
        <v>855745.92960125</v>
      </c>
      <c r="G3271" s="59" t="n">
        <f aca="false">G3268+G3269+G3270</f>
        <v>1042442.03916396</v>
      </c>
      <c r="H3271" s="2" t="s">
        <v>1265</v>
      </c>
    </row>
    <row r="3272" customFormat="false" ht="15" hidden="false" customHeight="false" outlineLevel="1" collapsed="false">
      <c r="A3272" s="2" t="s">
        <v>620</v>
      </c>
      <c r="B3272" s="8" t="s">
        <v>10</v>
      </c>
      <c r="C3272" s="58" t="n">
        <f aca="false">IF(C3254&gt;0,C3271/C3254,0)</f>
        <v>57269.3705357143</v>
      </c>
      <c r="D3272" s="58" t="n">
        <f aca="false">IF(D3254&gt;0,D3271/D3254,0)</f>
        <v>63502.2359375</v>
      </c>
      <c r="E3272" s="58" t="n">
        <f aca="false">IF(E3254&gt;0,E3271/E3254,0)</f>
        <v>60700.1168409091</v>
      </c>
      <c r="F3272" s="58" t="n">
        <f aca="false">IF(F3254&gt;0,F3271/F3254,0)</f>
        <v>61124.7092572321</v>
      </c>
      <c r="G3272" s="58" t="n">
        <f aca="false">IF(G3254&gt;0,G3271/G3254,0)</f>
        <v>61320.1199508213</v>
      </c>
      <c r="H3272" s="2" t="s">
        <v>1266</v>
      </c>
    </row>
    <row r="3273" customFormat="false" ht="15" hidden="false" customHeight="false" outlineLevel="0" collapsed="false">
      <c r="A3273" s="3" t="s">
        <v>1267</v>
      </c>
      <c r="B3273" s="4"/>
      <c r="C3273" s="4"/>
      <c r="D3273" s="4"/>
      <c r="E3273" s="4"/>
      <c r="F3273" s="4"/>
      <c r="G3273" s="4"/>
      <c r="H3273" s="4"/>
    </row>
    <row r="3274" customFormat="false" ht="15" hidden="false" customHeight="false" outlineLevel="1" collapsed="false">
      <c r="A3274" s="7" t="s">
        <v>430</v>
      </c>
      <c r="B3274" s="8" t="s">
        <v>10</v>
      </c>
      <c r="C3274" s="58" t="n">
        <f aca="false">Pressupostos!$C$388*(1+Pressupostos!$C$154)*(1+Pressupostos!$C$155)^0</f>
        <v>94500</v>
      </c>
      <c r="D3274" s="58" t="n">
        <f aca="false">Pressupostos!$D$388*(1+Pressupostos!$C$154)*(1+Pressupostos!$C$155)^1</f>
        <v>53550</v>
      </c>
      <c r="E3274" s="58" t="n">
        <f aca="false">Pressupostos!$E$388*(1+Pressupostos!$C$154)*(1+Pressupostos!$C$155)^2</f>
        <v>49158.9</v>
      </c>
      <c r="F3274" s="58" t="n">
        <f aca="false">Pressupostos!$F$388*(1+Pressupostos!$C$154)*(1+Pressupostos!$C$155)^3</f>
        <v>50142.078</v>
      </c>
      <c r="G3274" s="58" t="n">
        <f aca="false">Pressupostos!$G$388*(1+Pressupostos!$C$154)*(1+Pressupostos!$C$155)^4</f>
        <v>51144.91956</v>
      </c>
      <c r="H3274" s="2" t="s">
        <v>1268</v>
      </c>
    </row>
    <row r="3275" customFormat="false" ht="15" hidden="false" customHeight="false" outlineLevel="1" collapsed="false">
      <c r="A3275" s="7" t="s">
        <v>432</v>
      </c>
      <c r="B3275" s="8" t="s">
        <v>10</v>
      </c>
      <c r="C3275" s="58" t="n">
        <f aca="false">Pressupostos!$C$394*(1+Pressupostos!$C$154)*(1+Pressupostos!$C$155)^0</f>
        <v>10500</v>
      </c>
      <c r="D3275" s="58" t="n">
        <f aca="false">Pressupostos!$D$394*(1+Pressupostos!$C$154)*(1+Pressupostos!$C$155)^1</f>
        <v>10710</v>
      </c>
      <c r="E3275" s="58" t="n">
        <f aca="false">Pressupostos!$E$394*(1+Pressupostos!$C$154)*(1+Pressupostos!$C$155)^2</f>
        <v>10924.2</v>
      </c>
      <c r="F3275" s="58" t="n">
        <f aca="false">Pressupostos!$F$394*(1+Pressupostos!$C$154)*(1+Pressupostos!$C$155)^3</f>
        <v>11142.684</v>
      </c>
      <c r="G3275" s="58" t="n">
        <f aca="false">Pressupostos!$G$394*(1+Pressupostos!$C$154)*(1+Pressupostos!$C$155)^4</f>
        <v>11365.53768</v>
      </c>
      <c r="H3275" s="2" t="s">
        <v>1269</v>
      </c>
    </row>
    <row r="3276" customFormat="false" ht="15" hidden="false" customHeight="false" outlineLevel="1" collapsed="false">
      <c r="A3276" s="7" t="s">
        <v>433</v>
      </c>
      <c r="B3276" s="8" t="s">
        <v>10</v>
      </c>
      <c r="C3276" s="58" t="n">
        <f aca="false">Pressupostos!$C$400*(1+Pressupostos!$C$154)*(1+Pressupostos!$C$155)^0</f>
        <v>12600</v>
      </c>
      <c r="D3276" s="58" t="n">
        <f aca="false">Pressupostos!$D$400*(1+Pressupostos!$C$154)*(1+Pressupostos!$C$155)^1</f>
        <v>12852</v>
      </c>
      <c r="E3276" s="58" t="n">
        <f aca="false">Pressupostos!$E$400*(1+Pressupostos!$C$154)*(1+Pressupostos!$C$155)^2</f>
        <v>13109.04</v>
      </c>
      <c r="F3276" s="58" t="n">
        <f aca="false">Pressupostos!$F$400*(1+Pressupostos!$C$154)*(1+Pressupostos!$C$155)^3</f>
        <v>0</v>
      </c>
      <c r="G3276" s="58" t="n">
        <f aca="false">Pressupostos!$G$400*(1+Pressupostos!$C$154)*(1+Pressupostos!$C$155)^4</f>
        <v>0</v>
      </c>
      <c r="H3276" s="2" t="s">
        <v>1270</v>
      </c>
    </row>
    <row r="3277" customFormat="false" ht="15" hidden="false" customHeight="false" outlineLevel="1" collapsed="false">
      <c r="A3277" s="7" t="s">
        <v>435</v>
      </c>
      <c r="B3277" s="8" t="s">
        <v>10</v>
      </c>
      <c r="C3277" s="58" t="n">
        <f aca="false">Pressupostos!$C$406*(1+Pressupostos!$C$154)*(1+Pressupostos!$C$155)^0</f>
        <v>31500</v>
      </c>
      <c r="D3277" s="58" t="n">
        <f aca="false">Pressupostos!$D$406*(1+Pressupostos!$C$154)*(1+Pressupostos!$C$155)^1</f>
        <v>42840</v>
      </c>
      <c r="E3277" s="58" t="n">
        <f aca="false">Pressupostos!$E$406*(1+Pressupostos!$C$154)*(1+Pressupostos!$C$155)^2</f>
        <v>60083.1</v>
      </c>
      <c r="F3277" s="58" t="n">
        <f aca="false">Pressupostos!$F$406*(1+Pressupostos!$C$154)*(1+Pressupostos!$C$155)^3</f>
        <v>77998.788</v>
      </c>
      <c r="G3277" s="58" t="n">
        <f aca="false">Pressupostos!$G$406*(1+Pressupostos!$C$154)*(1+Pressupostos!$C$155)^4</f>
        <v>96607.07028</v>
      </c>
      <c r="H3277" s="2" t="s">
        <v>1271</v>
      </c>
    </row>
    <row r="3278" customFormat="false" ht="15" hidden="false" customHeight="false" outlineLevel="1" collapsed="false">
      <c r="A3278" s="7" t="s">
        <v>437</v>
      </c>
      <c r="B3278" s="8" t="s">
        <v>10</v>
      </c>
      <c r="C3278" s="58" t="n">
        <f aca="false">Pressupostos!$C$412*(1+Pressupostos!$C$154)*(1+Pressupostos!$C$155)^0</f>
        <v>15750</v>
      </c>
      <c r="D3278" s="58" t="n">
        <f aca="false">Pressupostos!$D$412*(1+Pressupostos!$C$154)*(1+Pressupostos!$C$155)^1</f>
        <v>16065</v>
      </c>
      <c r="E3278" s="58" t="n">
        <f aca="false">Pressupostos!$E$412*(1+Pressupostos!$C$154)*(1+Pressupostos!$C$155)^2</f>
        <v>38234.7</v>
      </c>
      <c r="F3278" s="58" t="n">
        <f aca="false">Pressupostos!$F$412*(1+Pressupostos!$C$154)*(1+Pressupostos!$C$155)^3</f>
        <v>22285.368</v>
      </c>
      <c r="G3278" s="58" t="n">
        <f aca="false">Pressupostos!$G$412*(1+Pressupostos!$C$154)*(1+Pressupostos!$C$155)^4</f>
        <v>22731.07536</v>
      </c>
      <c r="H3278" s="2" t="s">
        <v>1272</v>
      </c>
    </row>
    <row r="3279" customFormat="false" ht="15" hidden="false" customHeight="false" outlineLevel="1" collapsed="false">
      <c r="A3279" s="7" t="s">
        <v>439</v>
      </c>
      <c r="B3279" s="8" t="s">
        <v>10</v>
      </c>
      <c r="C3279" s="58" t="n">
        <f aca="false">Pressupostos!$C$418*(1+Pressupostos!$C$154)*(1+Pressupostos!$C$155)^0</f>
        <v>10500</v>
      </c>
      <c r="D3279" s="58" t="n">
        <f aca="false">Pressupostos!$D$418*(1+Pressupostos!$C$154)*(1+Pressupostos!$C$155)^1</f>
        <v>12852</v>
      </c>
      <c r="E3279" s="58" t="n">
        <f aca="false">Pressupostos!$E$418*(1+Pressupostos!$C$154)*(1+Pressupostos!$C$155)^2</f>
        <v>16386.3</v>
      </c>
      <c r="F3279" s="58" t="n">
        <f aca="false">Pressupostos!$F$418*(1+Pressupostos!$C$154)*(1+Pressupostos!$C$155)^3</f>
        <v>20056.8312</v>
      </c>
      <c r="G3279" s="58" t="n">
        <f aca="false">Pressupostos!$G$418*(1+Pressupostos!$C$154)*(1+Pressupostos!$C$155)^4</f>
        <v>22731.07536</v>
      </c>
      <c r="H3279" s="2" t="s">
        <v>1273</v>
      </c>
    </row>
    <row r="3280" customFormat="false" ht="15" hidden="false" customHeight="false" outlineLevel="1" collapsed="false">
      <c r="A3280" s="7" t="s">
        <v>440</v>
      </c>
      <c r="B3280" s="8" t="s">
        <v>10</v>
      </c>
      <c r="C3280" s="58" t="n">
        <f aca="false">Pressupostos!$C$424*(1+Pressupostos!$C$154)*(1+Pressupostos!$C$155)^0</f>
        <v>42000</v>
      </c>
      <c r="D3280" s="58" t="n">
        <f aca="false">Pressupostos!$D$424*(1+Pressupostos!$C$154)*(1+Pressupostos!$C$155)^1</f>
        <v>53550</v>
      </c>
      <c r="E3280" s="58" t="n">
        <f aca="false">Pressupostos!$E$424*(1+Pressupostos!$C$154)*(1+Pressupostos!$C$155)^2</f>
        <v>76469.4</v>
      </c>
      <c r="F3280" s="58" t="n">
        <f aca="false">Pressupostos!$F$424*(1+Pressupostos!$C$154)*(1+Pressupostos!$C$155)^3</f>
        <v>100284.156</v>
      </c>
      <c r="G3280" s="58" t="n">
        <f aca="false">Pressupostos!$G$424*(1+Pressupostos!$C$154)*(1+Pressupostos!$C$155)^4</f>
        <v>125020.91448</v>
      </c>
      <c r="H3280" s="2" t="s">
        <v>1274</v>
      </c>
    </row>
    <row r="3281" customFormat="false" ht="15" hidden="false" customHeight="false" outlineLevel="1" collapsed="false">
      <c r="A3281" s="7" t="s">
        <v>442</v>
      </c>
      <c r="B3281" s="8" t="s">
        <v>10</v>
      </c>
      <c r="C3281" s="58" t="n">
        <f aca="false">Pressupostos!$C$430*(1+Pressupostos!$C$154)*(1+Pressupostos!$C$155)^0</f>
        <v>12600</v>
      </c>
      <c r="D3281" s="58" t="n">
        <f aca="false">Pressupostos!$D$430*(1+Pressupostos!$C$154)*(1+Pressupostos!$C$155)^1</f>
        <v>16065</v>
      </c>
      <c r="E3281" s="58" t="n">
        <f aca="false">Pressupostos!$E$430*(1+Pressupostos!$C$154)*(1+Pressupostos!$C$155)^2</f>
        <v>26218.08</v>
      </c>
      <c r="F3281" s="58" t="n">
        <f aca="false">Pressupostos!$F$430*(1+Pressupostos!$C$154)*(1+Pressupostos!$C$155)^3</f>
        <v>33428.052</v>
      </c>
      <c r="G3281" s="58" t="n">
        <f aca="false">Pressupostos!$G$430*(1+Pressupostos!$C$154)*(1+Pressupostos!$C$155)^4</f>
        <v>40915.935648</v>
      </c>
      <c r="H3281" s="2" t="s">
        <v>1275</v>
      </c>
    </row>
    <row r="3282" customFormat="false" ht="15" hidden="false" customHeight="false" outlineLevel="1" collapsed="false">
      <c r="A3282" s="7" t="s">
        <v>444</v>
      </c>
      <c r="B3282" s="8" t="s">
        <v>10</v>
      </c>
      <c r="C3282" s="58" t="n">
        <f aca="false">Pressupostos!$C$436*(1+Pressupostos!$C$154)*(1+Pressupostos!$C$155)^0</f>
        <v>18900</v>
      </c>
      <c r="D3282" s="58" t="n">
        <f aca="false">Pressupostos!$D$436*(1+Pressupostos!$C$154)*(1+Pressupostos!$C$155)^1</f>
        <v>23562</v>
      </c>
      <c r="E3282" s="58" t="n">
        <f aca="false">Pressupostos!$E$436*(1+Pressupostos!$C$154)*(1+Pressupostos!$C$155)^2</f>
        <v>32772.6</v>
      </c>
      <c r="F3282" s="58" t="n">
        <f aca="false">Pressupostos!$F$436*(1+Pressupostos!$C$154)*(1+Pressupostos!$C$155)^3</f>
        <v>42342.1992</v>
      </c>
      <c r="G3282" s="58" t="n">
        <f aca="false">Pressupostos!$G$436*(1+Pressupostos!$C$154)*(1+Pressupostos!$C$155)^4</f>
        <v>51144.91956</v>
      </c>
      <c r="H3282" s="2" t="s">
        <v>1276</v>
      </c>
    </row>
    <row r="3283" customFormat="false" ht="15" hidden="false" customHeight="false" outlineLevel="1" collapsed="false">
      <c r="A3283" s="7" t="s">
        <v>445</v>
      </c>
      <c r="B3283" s="8" t="s">
        <v>10</v>
      </c>
      <c r="C3283" s="58" t="n">
        <f aca="false">Pressupostos!$C$442*(1+Pressupostos!$C$154)*(1+Pressupostos!$C$155)^0</f>
        <v>5250</v>
      </c>
      <c r="D3283" s="58" t="n">
        <f aca="false">Pressupostos!$D$442*(1+Pressupostos!$C$154)*(1+Pressupostos!$C$155)^1</f>
        <v>8568</v>
      </c>
      <c r="E3283" s="58" t="n">
        <f aca="false">Pressupostos!$E$442*(1+Pressupostos!$C$154)*(1+Pressupostos!$C$155)^2</f>
        <v>13109.04</v>
      </c>
      <c r="F3283" s="58" t="n">
        <f aca="false">Pressupostos!$F$442*(1+Pressupostos!$C$154)*(1+Pressupostos!$C$155)^3</f>
        <v>16714.026</v>
      </c>
      <c r="G3283" s="58" t="n">
        <f aca="false">Pressupostos!$G$442*(1+Pressupostos!$C$154)*(1+Pressupostos!$C$155)^4</f>
        <v>17048.30652</v>
      </c>
      <c r="H3283" s="2" t="s">
        <v>1277</v>
      </c>
    </row>
    <row r="3284" customFormat="false" ht="15" hidden="false" customHeight="false" outlineLevel="1" collapsed="false">
      <c r="A3284" s="7" t="s">
        <v>661</v>
      </c>
      <c r="B3284" s="8" t="s">
        <v>10</v>
      </c>
      <c r="C3284" s="58" t="n">
        <f aca="false">C3274+C3275+C3276+C3277+C3278+C3279+C3280+C3281+C3282+C3283</f>
        <v>254100</v>
      </c>
      <c r="D3284" s="58" t="n">
        <f aca="false">D3274+D3275+D3276+D3277+D3278+D3279+D3280+D3281+D3282+D3283</f>
        <v>250614</v>
      </c>
      <c r="E3284" s="58" t="n">
        <f aca="false">E3274+E3275+E3276+E3277+E3278+E3279+E3280+E3281+E3282+E3283</f>
        <v>336465.36</v>
      </c>
      <c r="F3284" s="58" t="n">
        <f aca="false">F3274+F3275+F3276+F3277+F3278+F3279+F3280+F3281+F3282+F3283</f>
        <v>374394.1824</v>
      </c>
      <c r="G3284" s="58" t="n">
        <f aca="false">G3274+G3275+G3276+G3277+G3278+G3279+G3280+G3281+G3282+G3283</f>
        <v>438709.754448</v>
      </c>
      <c r="H3284" s="2" t="s">
        <v>1278</v>
      </c>
    </row>
    <row r="3285" customFormat="false" ht="15" hidden="false" customHeight="false" outlineLevel="1" collapsed="false">
      <c r="A3285" s="7" t="s">
        <v>662</v>
      </c>
      <c r="B3285" s="8" t="s">
        <v>10</v>
      </c>
      <c r="C3285" s="58" t="n">
        <f aca="false">Pressupostos!$C$112+Pressupostos!$C$113+Pressupostos!$C$114*Pressupostos!$C$289+Pressupostos!$C$449</f>
        <v>65000</v>
      </c>
      <c r="D3285" s="58" t="n">
        <f aca="false">Pressupostos!$C$113+Pressupostos!$C$114*Pressupostos!$D$289+Pressupostos!$D$449</f>
        <v>65000</v>
      </c>
      <c r="E3285" s="58" t="n">
        <f aca="false">Pressupostos!$C$113+Pressupostos!$C$114*Pressupostos!$E$289+Pressupostos!$E$449</f>
        <v>70000</v>
      </c>
      <c r="F3285" s="58" t="n">
        <f aca="false">Pressupostos!$C$113+Pressupostos!$C$114*Pressupostos!$F$289+Pressupostos!$F$449</f>
        <v>75000</v>
      </c>
      <c r="G3285" s="58" t="n">
        <f aca="false">Pressupostos!$C$113+Pressupostos!$C$114*Pressupostos!$G$289+Pressupostos!$G$449</f>
        <v>80000</v>
      </c>
      <c r="H3285" s="2" t="s">
        <v>1279</v>
      </c>
    </row>
    <row r="3286" customFormat="false" ht="15" hidden="false" customHeight="false" outlineLevel="1" collapsed="false">
      <c r="A3286" s="7" t="s">
        <v>663</v>
      </c>
      <c r="B3286" s="8" t="s">
        <v>10</v>
      </c>
      <c r="C3286" s="58" t="n">
        <f aca="false">IF(C3108&lt;Pressupostos!$C$118,0,MAX(Pressupostos!$C$295,Pressupostos!$C$116*(C3196+C3197)+Pressupostos!$C$117*C3198))</f>
        <v>0</v>
      </c>
      <c r="D3286" s="58" t="n">
        <f aca="false">IF(D3108&lt;Pressupostos!$C$118,0,MAX(Pressupostos!$D$295,Pressupostos!$C$116*(D3196+D3197)+Pressupostos!$C$117*D3198))</f>
        <v>9566.934</v>
      </c>
      <c r="E3286" s="58" t="n">
        <f aca="false">IF(E3108&lt;Pressupostos!$C$118,0,MAX(Pressupostos!$E$295,Pressupostos!$C$116*(E3196+E3197)+Pressupostos!$C$117*E3198))</f>
        <v>20481.006</v>
      </c>
      <c r="F3286" s="58" t="n">
        <f aca="false">IF(F3108&lt;Pressupostos!$C$118,0,MAX(Pressupostos!$F$295,Pressupostos!$C$116*(F3196+F3197)+Pressupostos!$C$117*F3198))</f>
        <v>35049.794</v>
      </c>
      <c r="G3286" s="58" t="n">
        <f aca="false">IF(G3108&lt;Pressupostos!$C$118,0,MAX(Pressupostos!$G$295,Pressupostos!$C$116*(G3196+G3197)+Pressupostos!$C$117*G3198))</f>
        <v>53192.62</v>
      </c>
      <c r="H3286" s="2" t="s">
        <v>1280</v>
      </c>
    </row>
    <row r="3287" customFormat="false" ht="15" hidden="false" customHeight="false" outlineLevel="1" collapsed="false">
      <c r="A3287" s="52" t="s">
        <v>664</v>
      </c>
      <c r="B3287" s="53" t="s">
        <v>10</v>
      </c>
      <c r="C3287" s="59" t="n">
        <f aca="false">C3284+C3285+C3286</f>
        <v>319100</v>
      </c>
      <c r="D3287" s="59" t="n">
        <f aca="false">D3284+D3285+D3286</f>
        <v>325180.934</v>
      </c>
      <c r="E3287" s="59" t="n">
        <f aca="false">E3284+E3285+E3286</f>
        <v>426946.366</v>
      </c>
      <c r="F3287" s="59" t="n">
        <f aca="false">F3284+F3285+F3286</f>
        <v>484443.9764</v>
      </c>
      <c r="G3287" s="59" t="n">
        <f aca="false">G3284+G3285+G3286</f>
        <v>571902.374448</v>
      </c>
      <c r="H3287" s="2" t="s">
        <v>1281</v>
      </c>
    </row>
    <row r="3288" customFormat="false" ht="15" hidden="false" customHeight="false" outlineLevel="0" collapsed="false">
      <c r="A3288" s="3" t="s">
        <v>1282</v>
      </c>
      <c r="B3288" s="4"/>
      <c r="C3288" s="4"/>
      <c r="D3288" s="4"/>
      <c r="E3288" s="4"/>
      <c r="F3288" s="4"/>
      <c r="G3288" s="4"/>
      <c r="H3288" s="4"/>
    </row>
    <row r="3289" customFormat="false" ht="15" hidden="false" customHeight="false" outlineLevel="1" collapsed="false">
      <c r="A3289" s="7" t="s">
        <v>666</v>
      </c>
      <c r="B3289" s="8" t="s">
        <v>10</v>
      </c>
      <c r="C3289" s="58" t="n">
        <f aca="false">Pressupostos!$C$163*Pressupostos!$C$302</f>
        <v>18000</v>
      </c>
      <c r="D3289" s="58" t="n">
        <f aca="false">Pressupostos!$C$163*Pressupostos!$D$302</f>
        <v>12000</v>
      </c>
      <c r="E3289" s="58" t="n">
        <f aca="false">Pressupostos!$C$163*Pressupostos!$E$302</f>
        <v>12000</v>
      </c>
      <c r="F3289" s="58" t="n">
        <f aca="false">Pressupostos!$C$163*Pressupostos!$F$302</f>
        <v>12000</v>
      </c>
      <c r="G3289" s="58" t="n">
        <f aca="false">Pressupostos!$C$163*Pressupostos!$G$302</f>
        <v>12000</v>
      </c>
      <c r="H3289" s="2" t="s">
        <v>1283</v>
      </c>
    </row>
    <row r="3290" customFormat="false" ht="15" hidden="false" customHeight="false" outlineLevel="1" collapsed="false">
      <c r="A3290" s="7" t="s">
        <v>667</v>
      </c>
      <c r="B3290" s="8" t="s">
        <v>10</v>
      </c>
      <c r="C3290" s="50" t="n">
        <f aca="false">Pressupostos!$C$308</f>
        <v>60000</v>
      </c>
      <c r="D3290" s="50" t="n">
        <f aca="false">Pressupostos!$D$308</f>
        <v>30000</v>
      </c>
      <c r="E3290" s="50" t="n">
        <f aca="false">Pressupostos!$E$308</f>
        <v>30000</v>
      </c>
      <c r="F3290" s="50" t="n">
        <f aca="false">Pressupostos!$F$308</f>
        <v>20000</v>
      </c>
      <c r="G3290" s="50" t="n">
        <f aca="false">Pressupostos!$G$308</f>
        <v>20000</v>
      </c>
      <c r="H3290" s="2" t="s">
        <v>1284</v>
      </c>
    </row>
    <row r="3291" customFormat="false" ht="15" hidden="false" customHeight="false" outlineLevel="1" collapsed="false">
      <c r="A3291" s="7" t="s">
        <v>668</v>
      </c>
      <c r="B3291" s="8" t="s">
        <v>10</v>
      </c>
      <c r="C3291" s="58" t="n">
        <f aca="false">Pressupostos!$C$164*MAX(0,C3254)</f>
        <v>14000</v>
      </c>
      <c r="D3291" s="58" t="n">
        <f aca="false">Pressupostos!$C$164*MAX(0,D3254-C3254)</f>
        <v>2000</v>
      </c>
      <c r="E3291" s="58" t="n">
        <f aca="false">Pressupostos!$C$164*MAX(0,E3254-D3254)</f>
        <v>6000</v>
      </c>
      <c r="F3291" s="58" t="n">
        <f aca="false">Pressupostos!$C$164*MAX(0,F3254-E3254)</f>
        <v>6000</v>
      </c>
      <c r="G3291" s="58" t="n">
        <f aca="false">Pressupostos!$C$164*MAX(0,G3254-F3254)</f>
        <v>6000</v>
      </c>
      <c r="H3291" s="2" t="s">
        <v>1285</v>
      </c>
    </row>
    <row r="3292" customFormat="false" ht="15" hidden="false" customHeight="false" outlineLevel="1" collapsed="false">
      <c r="A3292" s="7" t="s">
        <v>407</v>
      </c>
      <c r="B3292" s="8" t="s">
        <v>10</v>
      </c>
      <c r="C3292" s="58" t="n">
        <f aca="false">C3289+C3290+C3291</f>
        <v>92000</v>
      </c>
      <c r="D3292" s="58" t="n">
        <f aca="false">D3289+D3290+D3291</f>
        <v>44000</v>
      </c>
      <c r="E3292" s="58" t="n">
        <f aca="false">E3289+E3290+E3291</f>
        <v>48000</v>
      </c>
      <c r="F3292" s="58" t="n">
        <f aca="false">F3289+F3290+F3291</f>
        <v>38000</v>
      </c>
      <c r="G3292" s="58" t="n">
        <f aca="false">G3289+G3290+G3291</f>
        <v>38000</v>
      </c>
      <c r="H3292" s="2" t="s">
        <v>1286</v>
      </c>
    </row>
    <row r="3293" customFormat="false" ht="15" hidden="false" customHeight="false" outlineLevel="1" collapsed="false">
      <c r="A3293" s="7" t="s">
        <v>669</v>
      </c>
      <c r="B3293" s="8" t="s">
        <v>10</v>
      </c>
      <c r="C3293" s="58" t="n">
        <f aca="false">(C3290*((0)&lt;Pressupostos!$C$165))/Pressupostos!$C$165</f>
        <v>20000</v>
      </c>
      <c r="D3293" s="58" t="n">
        <f aca="false">(C3290*((1)&lt;Pressupostos!$C$165)+D3290*((0)&lt;Pressupostos!$C$165))/Pressupostos!$C$165</f>
        <v>30000</v>
      </c>
      <c r="E3293" s="58" t="n">
        <f aca="false">(C3290*((2)&lt;Pressupostos!$C$165)+D3290*((1)&lt;Pressupostos!$C$165)+E3290*((0)&lt;Pressupostos!$C$165))/Pressupostos!$C$165</f>
        <v>40000</v>
      </c>
      <c r="F3293" s="58" t="n">
        <f aca="false">(C3290*((3)&lt;Pressupostos!$C$165)+D3290*((2)&lt;Pressupostos!$C$165)+E3290*((1)&lt;Pressupostos!$C$165)+F3290*((0)&lt;Pressupostos!$C$165))/Pressupostos!$C$165</f>
        <v>26666.6666666667</v>
      </c>
      <c r="G3293" s="58" t="n">
        <f aca="false">(C3290*((4)&lt;Pressupostos!$C$165)+D3290*((3)&lt;Pressupostos!$C$165)+E3290*((2)&lt;Pressupostos!$C$165)+F3290*((1)&lt;Pressupostos!$C$165)+G3290*((0)&lt;Pressupostos!$C$165))/Pressupostos!$C$165</f>
        <v>23333.3333333333</v>
      </c>
      <c r="H3293" s="2" t="s">
        <v>1287</v>
      </c>
    </row>
    <row r="3294" customFormat="false" ht="15" hidden="false" customHeight="false" outlineLevel="1" collapsed="false">
      <c r="A3294" s="7" t="s">
        <v>670</v>
      </c>
      <c r="B3294" s="8" t="s">
        <v>10</v>
      </c>
      <c r="C3294" s="58" t="n">
        <f aca="false">(C3289*((0)&lt;Pressupostos!$C$167))/Pressupostos!$C$167</f>
        <v>3600</v>
      </c>
      <c r="D3294" s="58" t="n">
        <f aca="false">(C3289*((1)&lt;Pressupostos!$C$167)+D3289*((0)&lt;Pressupostos!$C$167))/Pressupostos!$C$167</f>
        <v>6000</v>
      </c>
      <c r="E3294" s="58" t="n">
        <f aca="false">(C3289*((2)&lt;Pressupostos!$C$167)+D3289*((1)&lt;Pressupostos!$C$167)+E3289*((0)&lt;Pressupostos!$C$167))/Pressupostos!$C$167</f>
        <v>8400</v>
      </c>
      <c r="F3294" s="58" t="n">
        <f aca="false">(C3289*((3)&lt;Pressupostos!$C$167)+D3289*((2)&lt;Pressupostos!$C$167)+E3289*((1)&lt;Pressupostos!$C$167)+F3289*((0)&lt;Pressupostos!$C$167))/Pressupostos!$C$167</f>
        <v>10800</v>
      </c>
      <c r="G3294" s="58" t="n">
        <f aca="false">(C3289*((4)&lt;Pressupostos!$C$167)+D3289*((3)&lt;Pressupostos!$C$167)+E3289*((2)&lt;Pressupostos!$C$167)+F3289*((1)&lt;Pressupostos!$C$167)+G3289*((0)&lt;Pressupostos!$C$167))/Pressupostos!$C$167</f>
        <v>13200</v>
      </c>
      <c r="H3294" s="2" t="s">
        <v>1288</v>
      </c>
    </row>
    <row r="3295" customFormat="false" ht="15" hidden="false" customHeight="false" outlineLevel="1" collapsed="false">
      <c r="A3295" s="7" t="s">
        <v>671</v>
      </c>
      <c r="B3295" s="8" t="s">
        <v>10</v>
      </c>
      <c r="C3295" s="58" t="n">
        <f aca="false">(C3291*((0)&lt;Pressupostos!$C$166))/Pressupostos!$C$166</f>
        <v>3500</v>
      </c>
      <c r="D3295" s="58" t="n">
        <f aca="false">(C3291*((1)&lt;Pressupostos!$C$166)+D3291*((0)&lt;Pressupostos!$C$166))/Pressupostos!$C$166</f>
        <v>4000</v>
      </c>
      <c r="E3295" s="58" t="n">
        <f aca="false">(C3291*((2)&lt;Pressupostos!$C$166)+D3291*((1)&lt;Pressupostos!$C$166)+E3291*((0)&lt;Pressupostos!$C$166))/Pressupostos!$C$166</f>
        <v>5500</v>
      </c>
      <c r="F3295" s="58" t="n">
        <f aca="false">(C3291*((3)&lt;Pressupostos!$C$166)+D3291*((2)&lt;Pressupostos!$C$166)+E3291*((1)&lt;Pressupostos!$C$166)+F3291*((0)&lt;Pressupostos!$C$166))/Pressupostos!$C$166</f>
        <v>7000</v>
      </c>
      <c r="G3295" s="58" t="n">
        <f aca="false">(C3291*((4)&lt;Pressupostos!$C$166)+D3291*((3)&lt;Pressupostos!$C$166)+E3291*((2)&lt;Pressupostos!$C$166)+F3291*((1)&lt;Pressupostos!$C$166)+G3291*((0)&lt;Pressupostos!$C$166))/Pressupostos!$C$166</f>
        <v>5000</v>
      </c>
      <c r="H3295" s="2" t="s">
        <v>1289</v>
      </c>
    </row>
    <row r="3296" customFormat="false" ht="15" hidden="false" customHeight="false" outlineLevel="1" collapsed="false">
      <c r="A3296" s="7" t="s">
        <v>672</v>
      </c>
      <c r="B3296" s="8" t="s">
        <v>10</v>
      </c>
      <c r="C3296" s="58" t="n">
        <f aca="false">C3293+C3294+C3295</f>
        <v>27100</v>
      </c>
      <c r="D3296" s="58" t="n">
        <f aca="false">D3293+D3294+D3295</f>
        <v>40000</v>
      </c>
      <c r="E3296" s="58" t="n">
        <f aca="false">E3293+E3294+E3295</f>
        <v>53900</v>
      </c>
      <c r="F3296" s="58" t="n">
        <f aca="false">F3293+F3294+F3295</f>
        <v>44466.6666666667</v>
      </c>
      <c r="G3296" s="58" t="n">
        <f aca="false">G3293+G3294+G3295</f>
        <v>41533.3333333333</v>
      </c>
      <c r="H3296" s="2" t="s">
        <v>1290</v>
      </c>
    </row>
    <row r="3297" customFormat="false" ht="15" hidden="false" customHeight="false" outlineLevel="0" collapsed="false">
      <c r="A3297" s="3" t="s">
        <v>1291</v>
      </c>
      <c r="B3297" s="4"/>
      <c r="C3297" s="4"/>
      <c r="D3297" s="4"/>
      <c r="E3297" s="4"/>
      <c r="F3297" s="4"/>
      <c r="G3297" s="4"/>
      <c r="H3297" s="4"/>
    </row>
    <row r="3298" customFormat="false" ht="15" hidden="false" customHeight="false" outlineLevel="1" collapsed="false">
      <c r="A3298" s="52" t="s">
        <v>676</v>
      </c>
      <c r="B3298" s="53" t="s">
        <v>10</v>
      </c>
      <c r="C3298" s="59" t="n">
        <f aca="false">C3205</f>
        <v>361517</v>
      </c>
      <c r="D3298" s="59" t="n">
        <f aca="false">D3205</f>
        <v>2415945.5</v>
      </c>
      <c r="E3298" s="59" t="n">
        <f aca="false">E3205</f>
        <v>5493421.5</v>
      </c>
      <c r="F3298" s="59" t="n">
        <f aca="false">F3205</f>
        <v>9514576.5</v>
      </c>
      <c r="G3298" s="59" t="n">
        <f aca="false">G3205</f>
        <v>14561291</v>
      </c>
      <c r="H3298" s="2" t="s">
        <v>1292</v>
      </c>
    </row>
    <row r="3299" customFormat="false" ht="15" hidden="false" customHeight="false" outlineLevel="1" collapsed="false">
      <c r="A3299" s="7" t="s">
        <v>649</v>
      </c>
      <c r="B3299" s="8" t="s">
        <v>10</v>
      </c>
      <c r="C3299" s="58" t="n">
        <f aca="false">-C3226</f>
        <v>-316940</v>
      </c>
      <c r="D3299" s="58" t="n">
        <f aca="false">-D3226</f>
        <v>-2110810</v>
      </c>
      <c r="E3299" s="58" t="n">
        <f aca="false">-E3226</f>
        <v>-4765540</v>
      </c>
      <c r="F3299" s="58" t="n">
        <f aca="false">-F3226</f>
        <v>-8214960</v>
      </c>
      <c r="G3299" s="58" t="n">
        <f aca="false">-G3226</f>
        <v>-12546300</v>
      </c>
      <c r="H3299" s="2" t="s">
        <v>1293</v>
      </c>
    </row>
    <row r="3300" customFormat="false" ht="15" hidden="false" customHeight="false" outlineLevel="1" collapsed="false">
      <c r="A3300" s="52" t="s">
        <v>677</v>
      </c>
      <c r="B3300" s="53" t="s">
        <v>10</v>
      </c>
      <c r="C3300" s="59" t="n">
        <f aca="false">C3298+C3299</f>
        <v>44577</v>
      </c>
      <c r="D3300" s="59" t="n">
        <f aca="false">D3298+D3299</f>
        <v>305135.5</v>
      </c>
      <c r="E3300" s="59" t="n">
        <f aca="false">E3298+E3299</f>
        <v>727881.5</v>
      </c>
      <c r="F3300" s="59" t="n">
        <f aca="false">F3298+F3299</f>
        <v>1299616.5</v>
      </c>
      <c r="G3300" s="59" t="n">
        <f aca="false">G3298+G3299</f>
        <v>2014991</v>
      </c>
      <c r="H3300" s="2" t="s">
        <v>1294</v>
      </c>
    </row>
    <row r="3301" customFormat="false" ht="15" hidden="false" customHeight="false" outlineLevel="1" collapsed="false">
      <c r="A3301" s="2" t="s">
        <v>678</v>
      </c>
      <c r="B3301" s="8" t="s">
        <v>71</v>
      </c>
      <c r="C3301" s="55" t="n">
        <f aca="false">IF(C3298&gt;0,C3300/C3298,0)</f>
        <v>0.123305404725089</v>
      </c>
      <c r="D3301" s="55" t="n">
        <f aca="false">IF(D3298&gt;0,D3300/D3298,0)</f>
        <v>0.126300655374883</v>
      </c>
      <c r="E3301" s="55" t="n">
        <f aca="false">IF(E3298&gt;0,E3300/E3298,0)</f>
        <v>0.132500573640672</v>
      </c>
      <c r="F3301" s="55" t="n">
        <f aca="false">IF(F3298&gt;0,F3300/F3298,0)</f>
        <v>0.136592154154208</v>
      </c>
      <c r="G3301" s="55" t="n">
        <f aca="false">IF(G3298&gt;0,G3300/G3298,0)</f>
        <v>0.138379969193666</v>
      </c>
      <c r="H3301" s="2" t="s">
        <v>1295</v>
      </c>
    </row>
    <row r="3302" customFormat="false" ht="15" hidden="false" customHeight="false" outlineLevel="1" collapsed="false">
      <c r="A3302" s="7" t="s">
        <v>679</v>
      </c>
      <c r="B3302" s="8" t="s">
        <v>10</v>
      </c>
      <c r="C3302" s="58" t="n">
        <f aca="false">-C3236</f>
        <v>-19984.9755068493</v>
      </c>
      <c r="D3302" s="58" t="n">
        <f aca="false">-D3236</f>
        <v>-141413.158172211</v>
      </c>
      <c r="E3302" s="58" t="n">
        <f aca="false">-E3236</f>
        <v>-332629.399831703</v>
      </c>
      <c r="F3302" s="58" t="n">
        <f aca="false">-F3236</f>
        <v>-599108.573553816</v>
      </c>
      <c r="G3302" s="58" t="n">
        <f aca="false">-G3236</f>
        <v>-928530.511311155</v>
      </c>
      <c r="H3302" s="2" t="s">
        <v>1296</v>
      </c>
    </row>
    <row r="3303" customFormat="false" ht="15" hidden="false" customHeight="false" outlineLevel="1" collapsed="false">
      <c r="A3303" s="7" t="s">
        <v>658</v>
      </c>
      <c r="B3303" s="8" t="s">
        <v>10</v>
      </c>
      <c r="C3303" s="58" t="n">
        <f aca="false">-C3239</f>
        <v>-0</v>
      </c>
      <c r="D3303" s="58" t="n">
        <f aca="false">-D3239</f>
        <v>-30312.1356164384</v>
      </c>
      <c r="E3303" s="58" t="n">
        <f aca="false">-E3239</f>
        <v>-50402.3829195206</v>
      </c>
      <c r="F3303" s="58" t="n">
        <f aca="false">-F3239</f>
        <v>-81312.1851883562</v>
      </c>
      <c r="G3303" s="58" t="n">
        <f aca="false">-G3239</f>
        <v>-124197.002568493</v>
      </c>
      <c r="H3303" s="2" t="s">
        <v>1297</v>
      </c>
    </row>
    <row r="3304" customFormat="false" ht="15" hidden="false" customHeight="false" outlineLevel="1" collapsed="false">
      <c r="A3304" s="52" t="s">
        <v>641</v>
      </c>
      <c r="B3304" s="53" t="s">
        <v>10</v>
      </c>
      <c r="C3304" s="59" t="n">
        <f aca="false">C3300+C3302+C3303</f>
        <v>24592.0244931507</v>
      </c>
      <c r="D3304" s="59" t="n">
        <f aca="false">D3300+D3302+D3303</f>
        <v>133410.20621135</v>
      </c>
      <c r="E3304" s="59" t="n">
        <f aca="false">E3300+E3302+E3303</f>
        <v>344849.717248777</v>
      </c>
      <c r="F3304" s="59" t="n">
        <f aca="false">F3300+F3302+F3303</f>
        <v>619195.741257828</v>
      </c>
      <c r="G3304" s="59" t="n">
        <f aca="false">G3300+G3302+G3303</f>
        <v>962263.486120352</v>
      </c>
      <c r="H3304" s="2" t="s">
        <v>1298</v>
      </c>
    </row>
    <row r="3305" customFormat="false" ht="15" hidden="false" customHeight="false" outlineLevel="1" collapsed="false">
      <c r="A3305" s="7" t="s">
        <v>251</v>
      </c>
      <c r="B3305" s="8" t="s">
        <v>10</v>
      </c>
      <c r="C3305" s="58" t="n">
        <f aca="false">-C3271</f>
        <v>-400885.59375</v>
      </c>
      <c r="D3305" s="58" t="n">
        <f aca="false">-D3271</f>
        <v>-508017.8875</v>
      </c>
      <c r="E3305" s="58" t="n">
        <f aca="false">-E3271</f>
        <v>-667701.28525</v>
      </c>
      <c r="F3305" s="58" t="n">
        <f aca="false">-F3271</f>
        <v>-855745.92960125</v>
      </c>
      <c r="G3305" s="58" t="n">
        <f aca="false">-G3271</f>
        <v>-1042442.03916396</v>
      </c>
      <c r="H3305" s="2" t="s">
        <v>1299</v>
      </c>
    </row>
    <row r="3306" customFormat="false" ht="15" hidden="false" customHeight="false" outlineLevel="1" collapsed="false">
      <c r="A3306" s="7" t="s">
        <v>680</v>
      </c>
      <c r="B3306" s="8" t="s">
        <v>10</v>
      </c>
      <c r="C3306" s="58" t="n">
        <f aca="false">-C3287</f>
        <v>-319100</v>
      </c>
      <c r="D3306" s="58" t="n">
        <f aca="false">-D3287</f>
        <v>-325180.934</v>
      </c>
      <c r="E3306" s="58" t="n">
        <f aca="false">-E3287</f>
        <v>-426946.366</v>
      </c>
      <c r="F3306" s="58" t="n">
        <f aca="false">-F3287</f>
        <v>-484443.9764</v>
      </c>
      <c r="G3306" s="58" t="n">
        <f aca="false">-G3287</f>
        <v>-571902.374448</v>
      </c>
      <c r="H3306" s="2" t="s">
        <v>1300</v>
      </c>
    </row>
    <row r="3307" customFormat="false" ht="15" hidden="false" customHeight="false" outlineLevel="1" collapsed="false">
      <c r="A3307" s="52" t="s">
        <v>681</v>
      </c>
      <c r="B3307" s="53" t="s">
        <v>10</v>
      </c>
      <c r="C3307" s="59" t="n">
        <f aca="false">C3304+C3305+C3306</f>
        <v>-695393.569256849</v>
      </c>
      <c r="D3307" s="59" t="n">
        <f aca="false">D3304+D3305+D3306</f>
        <v>-699788.61528865</v>
      </c>
      <c r="E3307" s="59" t="n">
        <f aca="false">E3304+E3305+E3306</f>
        <v>-749797.934001223</v>
      </c>
      <c r="F3307" s="59" t="n">
        <f aca="false">F3304+F3305+F3306</f>
        <v>-720994.164743422</v>
      </c>
      <c r="G3307" s="59" t="n">
        <f aca="false">G3304+G3305+G3306</f>
        <v>-652080.92749161</v>
      </c>
      <c r="H3307" s="2" t="s">
        <v>1301</v>
      </c>
    </row>
    <row r="3308" customFormat="false" ht="15" hidden="false" customHeight="false" outlineLevel="1" collapsed="false">
      <c r="A3308" s="2" t="s">
        <v>683</v>
      </c>
      <c r="B3308" s="8" t="s">
        <v>71</v>
      </c>
      <c r="C3308" s="55" t="n">
        <f aca="false">IF(C3298&gt;0,C3307/C3298,0)</f>
        <v>-1.92354320614757</v>
      </c>
      <c r="D3308" s="55" t="n">
        <f aca="false">IF(D3298&gt;0,D3307/D3298,0)</f>
        <v>-0.289654139668569</v>
      </c>
      <c r="E3308" s="55" t="n">
        <f aca="false">IF(E3298&gt;0,E3307/E3298,0)</f>
        <v>-0.136490151720785</v>
      </c>
      <c r="F3308" s="55" t="n">
        <f aca="false">IF(F3298&gt;0,F3307/F3298,0)</f>
        <v>-0.0757778514622718</v>
      </c>
      <c r="G3308" s="55" t="n">
        <f aca="false">IF(G3298&gt;0,G3307/G3298,0)</f>
        <v>-0.0447818072924722</v>
      </c>
      <c r="H3308" s="2" t="s">
        <v>1302</v>
      </c>
    </row>
    <row r="3309" customFormat="false" ht="15" hidden="false" customHeight="false" outlineLevel="1" collapsed="false">
      <c r="A3309" s="2" t="s">
        <v>684</v>
      </c>
      <c r="B3309" s="8" t="s">
        <v>10</v>
      </c>
      <c r="C3309" s="58" t="n">
        <f aca="false">C3307+C3239</f>
        <v>-695393.569256849</v>
      </c>
      <c r="D3309" s="58" t="n">
        <f aca="false">D3307+D3239</f>
        <v>-669476.479672212</v>
      </c>
      <c r="E3309" s="58" t="n">
        <f aca="false">E3307+E3239</f>
        <v>-699395.551081703</v>
      </c>
      <c r="F3309" s="58" t="n">
        <f aca="false">F3307+F3239</f>
        <v>-639681.979555066</v>
      </c>
      <c r="G3309" s="58" t="n">
        <f aca="false">G3307+G3239</f>
        <v>-527883.924923117</v>
      </c>
      <c r="H3309" s="2" t="s">
        <v>1303</v>
      </c>
    </row>
    <row r="3310" customFormat="false" ht="15" hidden="false" customHeight="false" outlineLevel="1" collapsed="false">
      <c r="A3310" s="7" t="s">
        <v>672</v>
      </c>
      <c r="B3310" s="8" t="s">
        <v>10</v>
      </c>
      <c r="C3310" s="58" t="n">
        <f aca="false">-C3296</f>
        <v>-27100</v>
      </c>
      <c r="D3310" s="58" t="n">
        <f aca="false">-D3296</f>
        <v>-40000</v>
      </c>
      <c r="E3310" s="58" t="n">
        <f aca="false">-E3296</f>
        <v>-53900</v>
      </c>
      <c r="F3310" s="58" t="n">
        <f aca="false">-F3296</f>
        <v>-44466.6666666667</v>
      </c>
      <c r="G3310" s="58" t="n">
        <f aca="false">-G3296</f>
        <v>-41533.3333333333</v>
      </c>
      <c r="H3310" s="2" t="s">
        <v>1304</v>
      </c>
    </row>
    <row r="3311" customFormat="false" ht="15" hidden="false" customHeight="false" outlineLevel="1" collapsed="false">
      <c r="A3311" s="52" t="s">
        <v>685</v>
      </c>
      <c r="B3311" s="53" t="s">
        <v>10</v>
      </c>
      <c r="C3311" s="59" t="n">
        <f aca="false">C3307+C3310</f>
        <v>-722493.569256849</v>
      </c>
      <c r="D3311" s="59" t="n">
        <f aca="false">D3307+D3310</f>
        <v>-739788.61528865</v>
      </c>
      <c r="E3311" s="59" t="n">
        <f aca="false">E3307+E3310</f>
        <v>-803697.934001223</v>
      </c>
      <c r="F3311" s="59" t="n">
        <f aca="false">F3307+F3310</f>
        <v>-765460.831410089</v>
      </c>
      <c r="G3311" s="59" t="n">
        <f aca="false">G3307+G3310</f>
        <v>-693614.260824944</v>
      </c>
      <c r="H3311" s="2" t="s">
        <v>1305</v>
      </c>
    </row>
    <row r="3312" customFormat="false" ht="15" hidden="false" customHeight="false" outlineLevel="0" collapsed="false">
      <c r="A3312" s="3" t="s">
        <v>1306</v>
      </c>
      <c r="B3312" s="4"/>
      <c r="C3312" s="4"/>
      <c r="D3312" s="4"/>
      <c r="E3312" s="4"/>
      <c r="F3312" s="4"/>
      <c r="G3312" s="4"/>
      <c r="H3312" s="4"/>
    </row>
    <row r="3313" customFormat="false" ht="15" hidden="false" customHeight="false" outlineLevel="1" collapsed="false">
      <c r="A3313" s="7" t="s">
        <v>687</v>
      </c>
      <c r="B3313" s="8" t="s">
        <v>10</v>
      </c>
      <c r="C3313" s="58" t="n">
        <f aca="false">C3311</f>
        <v>-722493.569256849</v>
      </c>
      <c r="D3313" s="58" t="n">
        <f aca="false">D3311</f>
        <v>-739788.61528865</v>
      </c>
      <c r="E3313" s="58" t="n">
        <f aca="false">E3311</f>
        <v>-803697.934001223</v>
      </c>
      <c r="F3313" s="58" t="n">
        <f aca="false">F3311</f>
        <v>-765460.831410089</v>
      </c>
      <c r="G3313" s="58" t="n">
        <f aca="false">G3311</f>
        <v>-693614.260824944</v>
      </c>
      <c r="H3313" s="2" t="s">
        <v>1307</v>
      </c>
    </row>
    <row r="3314" customFormat="false" ht="15" hidden="false" customHeight="false" outlineLevel="1" collapsed="false">
      <c r="A3314" s="7" t="s">
        <v>688</v>
      </c>
      <c r="B3314" s="8" t="s">
        <v>10</v>
      </c>
      <c r="C3314" s="58" t="n">
        <f aca="false">0</f>
        <v>0</v>
      </c>
      <c r="D3314" s="58" t="n">
        <f aca="false">C3317</f>
        <v>722493.569256849</v>
      </c>
      <c r="E3314" s="58" t="n">
        <f aca="false">D3317</f>
        <v>1462282.1845455</v>
      </c>
      <c r="F3314" s="58" t="n">
        <f aca="false">E3317</f>
        <v>2265980.11854672</v>
      </c>
      <c r="G3314" s="58" t="n">
        <f aca="false">F3317</f>
        <v>3031440.94995681</v>
      </c>
      <c r="H3314" s="2" t="s">
        <v>1308</v>
      </c>
    </row>
    <row r="3315" customFormat="false" ht="15" hidden="false" customHeight="false" outlineLevel="1" collapsed="false">
      <c r="A3315" s="7" t="s">
        <v>689</v>
      </c>
      <c r="B3315" s="8" t="s">
        <v>10</v>
      </c>
      <c r="C3315" s="58" t="n">
        <f aca="false">MAX(0,-C3313)</f>
        <v>722493.569256849</v>
      </c>
      <c r="D3315" s="58" t="n">
        <f aca="false">MAX(0,-D3313)</f>
        <v>739788.61528865</v>
      </c>
      <c r="E3315" s="58" t="n">
        <f aca="false">MAX(0,-E3313)</f>
        <v>803697.934001223</v>
      </c>
      <c r="F3315" s="58" t="n">
        <f aca="false">MAX(0,-F3313)</f>
        <v>765460.831410089</v>
      </c>
      <c r="G3315" s="58" t="n">
        <f aca="false">MAX(0,-G3313)</f>
        <v>693614.260824944</v>
      </c>
      <c r="H3315" s="2" t="s">
        <v>1309</v>
      </c>
    </row>
    <row r="3316" customFormat="false" ht="15" hidden="false" customHeight="false" outlineLevel="1" collapsed="false">
      <c r="A3316" s="7" t="s">
        <v>690</v>
      </c>
      <c r="B3316" s="8" t="s">
        <v>10</v>
      </c>
      <c r="C3316" s="58" t="n">
        <f aca="false">MIN(C3314,Pressupostos!$C$179*MAX(0,C3313))</f>
        <v>0</v>
      </c>
      <c r="D3316" s="58" t="n">
        <f aca="false">MIN(D3314,Pressupostos!$C$179*MAX(0,D3313))</f>
        <v>0</v>
      </c>
      <c r="E3316" s="58" t="n">
        <f aca="false">MIN(E3314,Pressupostos!$C$179*MAX(0,E3313))</f>
        <v>0</v>
      </c>
      <c r="F3316" s="58" t="n">
        <f aca="false">MIN(F3314,Pressupostos!$C$179*MAX(0,F3313))</f>
        <v>0</v>
      </c>
      <c r="G3316" s="58" t="n">
        <f aca="false">MIN(G3314,Pressupostos!$C$179*MAX(0,G3313))</f>
        <v>0</v>
      </c>
      <c r="H3316" s="2" t="s">
        <v>1310</v>
      </c>
    </row>
    <row r="3317" customFormat="false" ht="15" hidden="false" customHeight="false" outlineLevel="1" collapsed="false">
      <c r="A3317" s="7" t="s">
        <v>691</v>
      </c>
      <c r="B3317" s="8" t="s">
        <v>10</v>
      </c>
      <c r="C3317" s="58" t="n">
        <f aca="false">C3314+C3315-C3316</f>
        <v>722493.569256849</v>
      </c>
      <c r="D3317" s="58" t="n">
        <f aca="false">D3314+D3315-D3316</f>
        <v>1462282.1845455</v>
      </c>
      <c r="E3317" s="58" t="n">
        <f aca="false">E3314+E3315-E3316</f>
        <v>2265980.11854672</v>
      </c>
      <c r="F3317" s="58" t="n">
        <f aca="false">F3314+F3315-F3316</f>
        <v>3031440.94995681</v>
      </c>
      <c r="G3317" s="58" t="n">
        <f aca="false">G3314+G3315-G3316</f>
        <v>3725055.21078176</v>
      </c>
      <c r="H3317" s="2" t="s">
        <v>1311</v>
      </c>
    </row>
    <row r="3318" customFormat="false" ht="15" hidden="false" customHeight="false" outlineLevel="1" collapsed="false">
      <c r="A3318" s="7" t="s">
        <v>692</v>
      </c>
      <c r="B3318" s="8" t="s">
        <v>10</v>
      </c>
      <c r="C3318" s="58" t="n">
        <f aca="false">MAX(0,C3313)-C3316</f>
        <v>0</v>
      </c>
      <c r="D3318" s="58" t="n">
        <f aca="false">MAX(0,D3313)-D3316</f>
        <v>0</v>
      </c>
      <c r="E3318" s="58" t="n">
        <f aca="false">MAX(0,E3313)-E3316</f>
        <v>0</v>
      </c>
      <c r="F3318" s="58" t="n">
        <f aca="false">MAX(0,F3313)-F3316</f>
        <v>0</v>
      </c>
      <c r="G3318" s="58" t="n">
        <f aca="false">MAX(0,G3313)-G3316</f>
        <v>0</v>
      </c>
      <c r="H3318" s="2" t="s">
        <v>1312</v>
      </c>
    </row>
    <row r="3319" customFormat="false" ht="15" hidden="false" customHeight="false" outlineLevel="1" collapsed="false">
      <c r="A3319" s="7" t="s">
        <v>693</v>
      </c>
      <c r="B3319" s="8" t="s">
        <v>10</v>
      </c>
      <c r="C3319" s="58" t="n">
        <f aca="false">Pressupostos!$C$170*MIN(C3318,Pressupostos!$C$171)+Pressupostos!$C$450*MAX(0,C3318-Pressupostos!$C$171)</f>
        <v>0</v>
      </c>
      <c r="D3319" s="58" t="n">
        <f aca="false">Pressupostos!$C$170*MIN(D3318,Pressupostos!$C$171)+Pressupostos!$D$450*MAX(0,D3318-Pressupostos!$C$171)</f>
        <v>0</v>
      </c>
      <c r="E3319" s="58" t="n">
        <f aca="false">Pressupostos!$C$170*MIN(E3318,Pressupostos!$C$171)+Pressupostos!$E$450*MAX(0,E3318-Pressupostos!$C$171)</f>
        <v>0</v>
      </c>
      <c r="F3319" s="58" t="n">
        <f aca="false">Pressupostos!$C$170*MIN(F3318,Pressupostos!$C$171)+Pressupostos!$F$450*MAX(0,F3318-Pressupostos!$C$171)</f>
        <v>0</v>
      </c>
      <c r="G3319" s="58" t="n">
        <f aca="false">Pressupostos!$C$170*MIN(G3318,Pressupostos!$C$171)+Pressupostos!$G$450*MAX(0,G3318-Pressupostos!$C$171)</f>
        <v>0</v>
      </c>
      <c r="H3319" s="2" t="s">
        <v>1313</v>
      </c>
    </row>
    <row r="3320" customFormat="false" ht="15" hidden="false" customHeight="false" outlineLevel="1" collapsed="false">
      <c r="A3320" s="7" t="s">
        <v>694</v>
      </c>
      <c r="B3320" s="8" t="s">
        <v>10</v>
      </c>
      <c r="C3320" s="58" t="n">
        <f aca="false">Pressupostos!$C$172*MAX(0,C3313)</f>
        <v>0</v>
      </c>
      <c r="D3320" s="58" t="n">
        <f aca="false">Pressupostos!$C$172*MAX(0,D3313)</f>
        <v>0</v>
      </c>
      <c r="E3320" s="58" t="n">
        <f aca="false">Pressupostos!$C$172*MAX(0,E3313)</f>
        <v>0</v>
      </c>
      <c r="F3320" s="58" t="n">
        <f aca="false">Pressupostos!$C$172*MAX(0,F3313)</f>
        <v>0</v>
      </c>
      <c r="G3320" s="58" t="n">
        <f aca="false">Pressupostos!$C$172*MAX(0,G3313)</f>
        <v>0</v>
      </c>
      <c r="H3320" s="2" t="s">
        <v>1314</v>
      </c>
    </row>
    <row r="3321" customFormat="false" ht="15" hidden="false" customHeight="false" outlineLevel="1" collapsed="false">
      <c r="A3321" s="7" t="s">
        <v>695</v>
      </c>
      <c r="B3321" s="8" t="s">
        <v>10</v>
      </c>
      <c r="C3321" s="58" t="n">
        <f aca="false">Pressupostos!$C$174*MAX(0,MIN(C3313,Pressupostos!$C$175)-Pressupostos!$C$173)+Pressupostos!$C$176*MAX(0,MIN(C3313,Pressupostos!$C$177)-Pressupostos!$C$175)+Pressupostos!$C$178*MAX(0,C3313-Pressupostos!$C$177)</f>
        <v>0</v>
      </c>
      <c r="D3321" s="58" t="n">
        <f aca="false">Pressupostos!$C$174*MAX(0,MIN(D3313,Pressupostos!$C$175)-Pressupostos!$C$173)+Pressupostos!$C$176*MAX(0,MIN(D3313,Pressupostos!$C$177)-Pressupostos!$C$175)+Pressupostos!$C$178*MAX(0,D3313-Pressupostos!$C$177)</f>
        <v>0</v>
      </c>
      <c r="E3321" s="58" t="n">
        <f aca="false">Pressupostos!$C$174*MAX(0,MIN(E3313,Pressupostos!$C$175)-Pressupostos!$C$173)+Pressupostos!$C$176*MAX(0,MIN(E3313,Pressupostos!$C$177)-Pressupostos!$C$175)+Pressupostos!$C$178*MAX(0,E3313-Pressupostos!$C$177)</f>
        <v>0</v>
      </c>
      <c r="F3321" s="58" t="n">
        <f aca="false">Pressupostos!$C$174*MAX(0,MIN(F3313,Pressupostos!$C$175)-Pressupostos!$C$173)+Pressupostos!$C$176*MAX(0,MIN(F3313,Pressupostos!$C$177)-Pressupostos!$C$175)+Pressupostos!$C$178*MAX(0,F3313-Pressupostos!$C$177)</f>
        <v>0</v>
      </c>
      <c r="G3321" s="58" t="n">
        <f aca="false">Pressupostos!$C$174*MAX(0,MIN(G3313,Pressupostos!$C$175)-Pressupostos!$C$173)+Pressupostos!$C$176*MAX(0,MIN(G3313,Pressupostos!$C$177)-Pressupostos!$C$175)+Pressupostos!$C$178*MAX(0,G3313-Pressupostos!$C$177)</f>
        <v>0</v>
      </c>
      <c r="H3321" s="2" t="s">
        <v>1315</v>
      </c>
    </row>
    <row r="3322" customFormat="false" ht="15" hidden="false" customHeight="false" outlineLevel="1" collapsed="false">
      <c r="A3322" s="7" t="s">
        <v>696</v>
      </c>
      <c r="B3322" s="8" t="s">
        <v>10</v>
      </c>
      <c r="C3322" s="58" t="n">
        <f aca="false">C3319+C3320+C3321</f>
        <v>0</v>
      </c>
      <c r="D3322" s="58" t="n">
        <f aca="false">D3319+D3320+D3321</f>
        <v>0</v>
      </c>
      <c r="E3322" s="58" t="n">
        <f aca="false">E3319+E3320+E3321</f>
        <v>0</v>
      </c>
      <c r="F3322" s="58" t="n">
        <f aca="false">F3319+F3320+F3321</f>
        <v>0</v>
      </c>
      <c r="G3322" s="58" t="n">
        <f aca="false">G3319+G3320+G3321</f>
        <v>0</v>
      </c>
      <c r="H3322" s="2" t="s">
        <v>1316</v>
      </c>
    </row>
    <row r="3323" customFormat="false" ht="15" hidden="false" customHeight="false" outlineLevel="0" collapsed="false">
      <c r="A3323" s="3" t="s">
        <v>1317</v>
      </c>
      <c r="B3323" s="4"/>
      <c r="C3323" s="4"/>
      <c r="D3323" s="4"/>
      <c r="E3323" s="4"/>
      <c r="F3323" s="4"/>
      <c r="G3323" s="4"/>
      <c r="H3323" s="4"/>
    </row>
    <row r="3324" customFormat="false" ht="15" hidden="false" customHeight="false" outlineLevel="1" collapsed="false">
      <c r="A3324" s="7" t="s">
        <v>696</v>
      </c>
      <c r="B3324" s="8" t="s">
        <v>10</v>
      </c>
      <c r="C3324" s="58" t="n">
        <f aca="false">-C3322</f>
        <v>-0</v>
      </c>
      <c r="D3324" s="58" t="n">
        <f aca="false">-D3322</f>
        <v>-0</v>
      </c>
      <c r="E3324" s="58" t="n">
        <f aca="false">-E3322</f>
        <v>-0</v>
      </c>
      <c r="F3324" s="58" t="n">
        <f aca="false">-F3322</f>
        <v>-0</v>
      </c>
      <c r="G3324" s="58" t="n">
        <f aca="false">-G3322</f>
        <v>-0</v>
      </c>
      <c r="H3324" s="2" t="s">
        <v>1318</v>
      </c>
    </row>
    <row r="3325" customFormat="false" ht="15" hidden="false" customHeight="false" outlineLevel="1" collapsed="false">
      <c r="A3325" s="52" t="s">
        <v>698</v>
      </c>
      <c r="B3325" s="53" t="s">
        <v>10</v>
      </c>
      <c r="C3325" s="59" t="n">
        <f aca="false">C3311+C3324</f>
        <v>-722493.569256849</v>
      </c>
      <c r="D3325" s="59" t="n">
        <f aca="false">D3311+D3324</f>
        <v>-739788.61528865</v>
      </c>
      <c r="E3325" s="59" t="n">
        <f aca="false">E3311+E3324</f>
        <v>-803697.934001223</v>
      </c>
      <c r="F3325" s="59" t="n">
        <f aca="false">F3311+F3324</f>
        <v>-765460.831410089</v>
      </c>
      <c r="G3325" s="59" t="n">
        <f aca="false">G3311+G3324</f>
        <v>-693614.260824944</v>
      </c>
      <c r="H3325" s="2" t="s">
        <v>1319</v>
      </c>
    </row>
    <row r="3326" customFormat="false" ht="15" hidden="false" customHeight="false" outlineLevel="0" collapsed="false">
      <c r="A3326" s="3" t="s">
        <v>1320</v>
      </c>
      <c r="B3326" s="4"/>
      <c r="C3326" s="4"/>
      <c r="D3326" s="4"/>
      <c r="E3326" s="4"/>
      <c r="F3326" s="4"/>
      <c r="G3326" s="4"/>
      <c r="H3326" s="4"/>
    </row>
    <row r="3327" customFormat="false" ht="15" hidden="false" customHeight="false" outlineLevel="1" collapsed="false">
      <c r="A3327" s="7" t="s">
        <v>702</v>
      </c>
      <c r="B3327" s="8" t="s">
        <v>10</v>
      </c>
      <c r="C3327" s="58" t="n">
        <f aca="false">C3111*1000*((C3127+C3130)*C3133/365)+C3112*1000*((C3150+C3153)*C3156/365)+C3113*1000*((C3173+C3176)*C3179/365)</f>
        <v>43786.8493150685</v>
      </c>
      <c r="D3327" s="58" t="n">
        <f aca="false">D3111*1000*((D3127+D3130)*D3133/365)+D3112*1000*((D3150+D3153)*D3156/365)+D3113*1000*((D3173+D3176)*D3179/365)</f>
        <v>255524.794520548</v>
      </c>
      <c r="E3327" s="58" t="n">
        <f aca="false">E3111*1000*((E3127+E3130)*E3133/365)+E3112*1000*((E3150+E3153)*E3156/365)+E3113*1000*((E3173+E3176)*E3179/365)</f>
        <v>398737.602739726</v>
      </c>
      <c r="F3327" s="58" t="n">
        <f aca="false">F3111*1000*((F3127+F3130)*F3133/365)+F3112*1000*((F3150+F3153)*F3156/365)+F3113*1000*((F3173+F3176)*F3179/365)</f>
        <v>689522.671232877</v>
      </c>
      <c r="G3327" s="58" t="n">
        <f aca="false">G3111*1000*((G3127+G3130)*G3133/365)+G3112*1000*((G3150+G3153)*G3156/365)+G3113*1000*((G3173+G3176)*G3179/365)</f>
        <v>1047310.2739726</v>
      </c>
      <c r="H3327" s="2" t="s">
        <v>1321</v>
      </c>
    </row>
    <row r="3328" customFormat="false" ht="15" hidden="false" customHeight="false" outlineLevel="1" collapsed="false">
      <c r="A3328" s="7" t="s">
        <v>703</v>
      </c>
      <c r="B3328" s="8" t="s">
        <v>10</v>
      </c>
      <c r="C3328" s="58" t="n">
        <f aca="false">C3327+C3122*1000*Pressupostos!$C$90*Pressupostos!$C$93/365</f>
        <v>43786.8493150685</v>
      </c>
      <c r="D3328" s="58" t="n">
        <f aca="false">D3327+D3122*1000*Pressupostos!$C$90*Pressupostos!$C$93/365</f>
        <v>255524.794520548</v>
      </c>
      <c r="E3328" s="58" t="n">
        <f aca="false">E3327+E3122*1000*Pressupostos!$C$90*Pressupostos!$C$93/365</f>
        <v>432395.136986301</v>
      </c>
      <c r="F3328" s="58" t="n">
        <f aca="false">F3327+F3122*1000*Pressupostos!$C$90*Pressupostos!$C$93/365</f>
        <v>756837.739726028</v>
      </c>
      <c r="G3328" s="58" t="n">
        <f aca="false">G3327+G3122*1000*Pressupostos!$C$90*Pressupostos!$C$93/365</f>
        <v>1159502.05479452</v>
      </c>
      <c r="H3328" s="2" t="s">
        <v>1322</v>
      </c>
    </row>
    <row r="3329" customFormat="false" ht="15" hidden="false" customHeight="false" outlineLevel="1" collapsed="false">
      <c r="A3329" s="7" t="s">
        <v>704</v>
      </c>
      <c r="B3329" s="8" t="s">
        <v>10</v>
      </c>
      <c r="C3329" s="58" t="n">
        <f aca="false">C3111*1000*(C3129*C3134/365)+C3112*1000*(C3152*C3157/365)+C3113*1000*(C3175*C3180/365)+C3200*Pressupostos!$C$94/365+C3202*Pressupostos!$C$80/365</f>
        <v>43078.4383561644</v>
      </c>
      <c r="D3329" s="58" t="n">
        <f aca="false">D3111*1000*(D3129*D3134/365)+D3112*1000*(D3152*D3157/365)+D3113*1000*(D3175*D3180/365)+D3200*Pressupostos!$C$94/365+D3202*Pressupostos!$C$80/365</f>
        <v>288516.390410959</v>
      </c>
      <c r="E3329" s="58" t="n">
        <f aca="false">E3111*1000*(E3129*E3134/365)+E3112*1000*(E3152*E3157/365)+E3113*1000*(E3175*E3180/365)+E3200*Pressupostos!$C$94/365+E3202*Pressupostos!$C$80/365</f>
        <v>632916.308219178</v>
      </c>
      <c r="F3329" s="58" t="n">
        <f aca="false">F3111*1000*(F3129*F3134/365)+F3112*1000*(F3152*F3157/365)+F3113*1000*(F3175*F3180/365)+F3200*Pressupostos!$C$94/365+F3202*Pressupostos!$C$80/365</f>
        <v>1083079.41780822</v>
      </c>
      <c r="G3329" s="58" t="n">
        <f aca="false">G3111*1000*(G3129*G3134/365)+G3112*1000*(G3152*G3157/365)+G3113*1000*(G3175*G3180/365)+G3200*Pressupostos!$C$94/365+G3202*Pressupostos!$C$80/365</f>
        <v>1650158.91780822</v>
      </c>
      <c r="H3329" s="2" t="s">
        <v>1323</v>
      </c>
    </row>
    <row r="3330" customFormat="false" ht="15" hidden="false" customHeight="false" outlineLevel="1" collapsed="false">
      <c r="A3330" s="7" t="s">
        <v>705</v>
      </c>
      <c r="B3330" s="8" t="s">
        <v>10</v>
      </c>
      <c r="C3330" s="58" t="n">
        <f aca="false">C3111*1000*((C3127+C3130)*Pressupostos!$C$70/365)+C3112*1000*((C3150+C3153)*Pressupostos!$C$70/365)+C3113*1000*((C3173+C3176)*Pressupostos!$C$70/365)+C3122*1000*Pressupostos!$C$90*Pressupostos!$C$95/365</f>
        <v>26049.8630136986</v>
      </c>
      <c r="D3330" s="58" t="n">
        <f aca="false">D3111*1000*((D3127+D3130)*Pressupostos!$C$70/365)+D3112*1000*((D3150+D3153)*Pressupostos!$C$70/365)+D3113*1000*((D3173+D3176)*Pressupostos!$C$70/365)+D3122*1000*Pressupostos!$C$90*Pressupostos!$C$95/365</f>
        <v>173491.232876712</v>
      </c>
      <c r="E3330" s="58" t="n">
        <f aca="false">E3111*1000*((E3127+E3130)*Pressupostos!$C$70/365)+E3112*1000*((E3150+E3153)*Pressupostos!$C$70/365)+E3113*1000*((E3173+E3176)*Pressupostos!$C$70/365)+E3122*1000*Pressupostos!$C$90*Pressupostos!$C$95/365</f>
        <v>391688.219178082</v>
      </c>
      <c r="F3330" s="58" t="n">
        <f aca="false">F3111*1000*((F3127+F3130)*Pressupostos!$C$70/365)+F3112*1000*((F3150+F3153)*Pressupostos!$C$70/365)+F3113*1000*((F3173+F3176)*Pressupostos!$C$70/365)+F3122*1000*Pressupostos!$C$90*Pressupostos!$C$95/365</f>
        <v>675202.191780822</v>
      </c>
      <c r="G3330" s="58" t="n">
        <f aca="false">G3111*1000*((G3127+G3130)*Pressupostos!$C$70/365)+G3112*1000*((G3150+G3153)*Pressupostos!$C$70/365)+G3113*1000*((G3173+G3176)*Pressupostos!$C$70/365)+G3122*1000*Pressupostos!$C$90*Pressupostos!$C$95/365</f>
        <v>1031202.73972603</v>
      </c>
      <c r="H3330" s="2" t="s">
        <v>1324</v>
      </c>
    </row>
    <row r="3331" customFormat="false" ht="15" hidden="false" customHeight="false" outlineLevel="1" collapsed="false">
      <c r="A3331" s="52" t="s">
        <v>706</v>
      </c>
      <c r="B3331" s="53" t="s">
        <v>10</v>
      </c>
      <c r="C3331" s="59" t="n">
        <f aca="false">C3328+C3329-C3330</f>
        <v>60815.4246575343</v>
      </c>
      <c r="D3331" s="59" t="n">
        <f aca="false">D3328+D3329-D3330</f>
        <v>370549.952054795</v>
      </c>
      <c r="E3331" s="59" t="n">
        <f aca="false">E3328+E3329-E3330</f>
        <v>673623.226027397</v>
      </c>
      <c r="F3331" s="59" t="n">
        <f aca="false">F3328+F3329-F3330</f>
        <v>1164714.96575343</v>
      </c>
      <c r="G3331" s="59" t="n">
        <f aca="false">G3328+G3329-G3330</f>
        <v>1778458.23287671</v>
      </c>
      <c r="H3331" s="2" t="s">
        <v>1325</v>
      </c>
    </row>
    <row r="3332" customFormat="false" ht="15" hidden="false" customHeight="false" outlineLevel="0" collapsed="false">
      <c r="A3332" s="3" t="s">
        <v>1326</v>
      </c>
      <c r="B3332" s="4"/>
      <c r="C3332" s="4"/>
      <c r="D3332" s="4"/>
      <c r="E3332" s="4"/>
      <c r="F3332" s="4"/>
      <c r="G3332" s="4"/>
      <c r="H3332" s="4"/>
    </row>
    <row r="3333" customFormat="false" ht="15" hidden="false" customHeight="false" outlineLevel="1" collapsed="false">
      <c r="A3333" s="52" t="s">
        <v>708</v>
      </c>
      <c r="B3333" s="53" t="s">
        <v>10</v>
      </c>
      <c r="C3333" s="59" t="n">
        <f aca="false">Pressupostos!$C$277*C3331/Pressupostos!$D$31</f>
        <v>0</v>
      </c>
      <c r="D3333" s="59" t="n">
        <f aca="false">Pressupostos!$D$277*D3331/Pressupostos!$D$31</f>
        <v>416868.696061644</v>
      </c>
      <c r="E3333" s="59" t="n">
        <f aca="false">Pressupostos!$E$277*E3331/Pressupostos!$D$31</f>
        <v>757826.129280822</v>
      </c>
      <c r="F3333" s="59" t="n">
        <f aca="false">Pressupostos!$F$277*F3331/Pressupostos!$D$31</f>
        <v>1310304.3364726</v>
      </c>
      <c r="G3333" s="59" t="n">
        <f aca="false">Pressupostos!$G$277*G3331/Pressupostos!$D$31</f>
        <v>2000765.5119863</v>
      </c>
      <c r="H3333" s="2" t="s">
        <v>1327</v>
      </c>
    </row>
    <row r="3334" customFormat="false" ht="15" hidden="false" customHeight="false" outlineLevel="1" collapsed="false">
      <c r="A3334" s="7" t="s">
        <v>709</v>
      </c>
      <c r="B3334" s="8" t="s">
        <v>10</v>
      </c>
      <c r="C3334" s="58" t="n">
        <f aca="false">Pressupostos!$C$277*C3331</f>
        <v>0</v>
      </c>
      <c r="D3334" s="58" t="n">
        <f aca="false">Pressupostos!$D$277*D3331</f>
        <v>333494.956849315</v>
      </c>
      <c r="E3334" s="58" t="n">
        <f aca="false">Pressupostos!$E$277*E3331</f>
        <v>606260.903424658</v>
      </c>
      <c r="F3334" s="58" t="n">
        <f aca="false">Pressupostos!$F$277*F3331</f>
        <v>1048243.46917808</v>
      </c>
      <c r="G3334" s="58" t="n">
        <f aca="false">Pressupostos!$G$277*G3331</f>
        <v>1600612.40958904</v>
      </c>
      <c r="H3334" s="2" t="s">
        <v>1328</v>
      </c>
    </row>
    <row r="3335" customFormat="false" ht="15" hidden="false" customHeight="false" outlineLevel="1" collapsed="false">
      <c r="A3335" s="7" t="s">
        <v>710</v>
      </c>
      <c r="B3335" s="8" t="s">
        <v>10</v>
      </c>
      <c r="C3335" s="58" t="n">
        <f aca="false">C3333-C3334</f>
        <v>0</v>
      </c>
      <c r="D3335" s="58" t="n">
        <f aca="false">D3333-D3334</f>
        <v>83373.7392123287</v>
      </c>
      <c r="E3335" s="58" t="n">
        <f aca="false">E3333-E3334</f>
        <v>151565.225856164</v>
      </c>
      <c r="F3335" s="58" t="n">
        <f aca="false">F3333-F3334</f>
        <v>262060.867294521</v>
      </c>
      <c r="G3335" s="58" t="n">
        <f aca="false">G3333-G3334</f>
        <v>400153.10239726</v>
      </c>
      <c r="H3335" s="2" t="s">
        <v>1329</v>
      </c>
    </row>
    <row r="3336" customFormat="false" ht="15" hidden="false" customHeight="false" outlineLevel="1" collapsed="false">
      <c r="A3336" s="7" t="s">
        <v>711</v>
      </c>
      <c r="B3336" s="8" t="s">
        <v>10</v>
      </c>
      <c r="C3336" s="58" t="n">
        <f aca="false">C3331-C3334</f>
        <v>60815.4246575343</v>
      </c>
      <c r="D3336" s="58" t="n">
        <f aca="false">D3331-D3334</f>
        <v>37054.9952054794</v>
      </c>
      <c r="E3336" s="58" t="n">
        <f aca="false">E3331-E3334</f>
        <v>67362.3226027397</v>
      </c>
      <c r="F3336" s="58" t="n">
        <f aca="false">F3331-F3334</f>
        <v>116471.496575342</v>
      </c>
      <c r="G3336" s="58" t="n">
        <f aca="false">G3331-G3334</f>
        <v>177845.823287671</v>
      </c>
      <c r="H3336" s="2" t="s">
        <v>1330</v>
      </c>
    </row>
    <row r="3337" customFormat="false" ht="15" hidden="false" customHeight="false" outlineLevel="1" collapsed="false">
      <c r="A3337" s="7" t="s">
        <v>712</v>
      </c>
      <c r="B3337" s="8" t="s">
        <v>10</v>
      </c>
      <c r="C3337" s="58" t="n">
        <f aca="false">MAX(0,Pressupostos!$C$106-C3336)</f>
        <v>0</v>
      </c>
      <c r="D3337" s="58" t="n">
        <f aca="false">MAX(0,Pressupostos!$C$106-D3336)</f>
        <v>12945.0047945206</v>
      </c>
      <c r="E3337" s="58" t="n">
        <f aca="false">MAX(0,Pressupostos!$C$106-E3336)</f>
        <v>0</v>
      </c>
      <c r="F3337" s="58" t="n">
        <f aca="false">MAX(0,Pressupostos!$C$106-F3336)</f>
        <v>0</v>
      </c>
      <c r="G3337" s="58" t="n">
        <f aca="false">MAX(0,Pressupostos!$C$106-G3336)</f>
        <v>0</v>
      </c>
      <c r="H3337" s="2" t="s">
        <v>1331</v>
      </c>
    </row>
    <row r="3338" customFormat="false" ht="15" hidden="false" customHeight="false" outlineLevel="1" collapsed="false">
      <c r="A3338" s="7" t="s">
        <v>713</v>
      </c>
      <c r="B3338" s="8" t="s">
        <v>10</v>
      </c>
      <c r="C3338" s="58" t="n">
        <f aca="false">Pressupostos!$C$107*C3333</f>
        <v>0</v>
      </c>
      <c r="D3338" s="58" t="n">
        <f aca="false">Pressupostos!$C$107*D3333</f>
        <v>20843.4348030822</v>
      </c>
      <c r="E3338" s="58" t="n">
        <f aca="false">Pressupostos!$C$107*E3333</f>
        <v>37891.3064640411</v>
      </c>
      <c r="F3338" s="58" t="n">
        <f aca="false">Pressupostos!$C$107*F3333</f>
        <v>65515.2168236302</v>
      </c>
      <c r="G3338" s="58" t="n">
        <f aca="false">Pressupostos!$C$107*G3333</f>
        <v>100038.275599315</v>
      </c>
      <c r="H3338" s="2" t="s">
        <v>1332</v>
      </c>
    </row>
    <row r="3339" customFormat="false" ht="15" hidden="false" customHeight="false" outlineLevel="1" collapsed="false">
      <c r="A3339" s="2" t="s">
        <v>714</v>
      </c>
      <c r="B3339" s="8" t="s">
        <v>115</v>
      </c>
      <c r="C3339" s="58" t="n">
        <f aca="false">C3333/Pressupostos!$C$110</f>
        <v>0</v>
      </c>
      <c r="D3339" s="58" t="n">
        <f aca="false">D3333/Pressupostos!$C$110</f>
        <v>8.33737392123288</v>
      </c>
      <c r="E3339" s="58" t="n">
        <f aca="false">E3333/Pressupostos!$C$110</f>
        <v>15.1565225856164</v>
      </c>
      <c r="F3339" s="58" t="n">
        <f aca="false">F3333/Pressupostos!$C$110</f>
        <v>26.2060867294521</v>
      </c>
      <c r="G3339" s="58" t="n">
        <f aca="false">G3333/Pressupostos!$C$110</f>
        <v>40.015310239726</v>
      </c>
      <c r="H3339" s="2" t="s">
        <v>1333</v>
      </c>
    </row>
    <row r="3340" customFormat="false" ht="15" hidden="false" customHeight="false" outlineLevel="0" collapsed="false">
      <c r="A3340" s="3" t="s">
        <v>1334</v>
      </c>
      <c r="B3340" s="4"/>
      <c r="C3340" s="4"/>
      <c r="D3340" s="4"/>
      <c r="E3340" s="4"/>
      <c r="F3340" s="4"/>
      <c r="G3340" s="4"/>
      <c r="H3340" s="4"/>
    </row>
    <row r="3341" customFormat="false" ht="15" hidden="false" customHeight="false" outlineLevel="1" collapsed="false">
      <c r="A3341" s="7" t="s">
        <v>681</v>
      </c>
      <c r="B3341" s="8" t="s">
        <v>10</v>
      </c>
      <c r="C3341" s="58" t="n">
        <f aca="false">C3307</f>
        <v>-695393.569256849</v>
      </c>
      <c r="D3341" s="58" t="n">
        <f aca="false">D3307</f>
        <v>-699788.61528865</v>
      </c>
      <c r="E3341" s="58" t="n">
        <f aca="false">E3307</f>
        <v>-749797.934001223</v>
      </c>
      <c r="F3341" s="58" t="n">
        <f aca="false">F3307</f>
        <v>-720994.164743422</v>
      </c>
      <c r="G3341" s="58" t="n">
        <f aca="false">G3307</f>
        <v>-652080.92749161</v>
      </c>
      <c r="H3341" s="2" t="s">
        <v>1335</v>
      </c>
    </row>
    <row r="3342" customFormat="false" ht="15" hidden="false" customHeight="false" outlineLevel="1" collapsed="false">
      <c r="A3342" s="7" t="s">
        <v>716</v>
      </c>
      <c r="B3342" s="8" t="s">
        <v>10</v>
      </c>
      <c r="C3342" s="58" t="n">
        <f aca="false">-C3322</f>
        <v>-0</v>
      </c>
      <c r="D3342" s="58" t="n">
        <f aca="false">-D3322</f>
        <v>-0</v>
      </c>
      <c r="E3342" s="58" t="n">
        <f aca="false">-E3322</f>
        <v>-0</v>
      </c>
      <c r="F3342" s="58" t="n">
        <f aca="false">-F3322</f>
        <v>-0</v>
      </c>
      <c r="G3342" s="58" t="n">
        <f aca="false">-G3322</f>
        <v>-0</v>
      </c>
      <c r="H3342" s="2" t="s">
        <v>1336</v>
      </c>
    </row>
    <row r="3343" customFormat="false" ht="15" hidden="false" customHeight="false" outlineLevel="1" collapsed="false">
      <c r="A3343" s="7" t="s">
        <v>717</v>
      </c>
      <c r="B3343" s="8" t="s">
        <v>10</v>
      </c>
      <c r="C3343" s="58" t="n">
        <f aca="false">-C3331</f>
        <v>-60815.4246575343</v>
      </c>
      <c r="D3343" s="58" t="n">
        <f aca="false">-(D3331-C3331)</f>
        <v>-309734.52739726</v>
      </c>
      <c r="E3343" s="58" t="n">
        <f aca="false">-(E3331-D3331)</f>
        <v>-303073.273972603</v>
      </c>
      <c r="F3343" s="58" t="n">
        <f aca="false">-(F3331-E3331)</f>
        <v>-491091.739726028</v>
      </c>
      <c r="G3343" s="58" t="n">
        <f aca="false">-(G3331-F3331)</f>
        <v>-613743.267123288</v>
      </c>
      <c r="H3343" s="2" t="s">
        <v>1337</v>
      </c>
    </row>
    <row r="3344" customFormat="false" ht="15" hidden="false" customHeight="false" outlineLevel="1" collapsed="false">
      <c r="A3344" s="7" t="s">
        <v>407</v>
      </c>
      <c r="B3344" s="8" t="s">
        <v>10</v>
      </c>
      <c r="C3344" s="58" t="n">
        <f aca="false">-C3292</f>
        <v>-92000</v>
      </c>
      <c r="D3344" s="58" t="n">
        <f aca="false">-D3292</f>
        <v>-44000</v>
      </c>
      <c r="E3344" s="58" t="n">
        <f aca="false">-E3292</f>
        <v>-48000</v>
      </c>
      <c r="F3344" s="58" t="n">
        <f aca="false">-F3292</f>
        <v>-38000</v>
      </c>
      <c r="G3344" s="58" t="n">
        <f aca="false">-G3292</f>
        <v>-38000</v>
      </c>
      <c r="H3344" s="2" t="s">
        <v>1338</v>
      </c>
    </row>
    <row r="3345" customFormat="false" ht="15" hidden="false" customHeight="false" outlineLevel="1" collapsed="false">
      <c r="A3345" s="7" t="s">
        <v>718</v>
      </c>
      <c r="B3345" s="8" t="s">
        <v>10</v>
      </c>
      <c r="C3345" s="58" t="n">
        <f aca="false">C3341+C3342+C3343+C3344</f>
        <v>-848208.993914384</v>
      </c>
      <c r="D3345" s="58" t="n">
        <f aca="false">D3341+D3342+D3343+D3344</f>
        <v>-1053523.14268591</v>
      </c>
      <c r="E3345" s="58" t="n">
        <f aca="false">E3341+E3342+E3343+E3344</f>
        <v>-1100871.20797383</v>
      </c>
      <c r="F3345" s="58" t="n">
        <f aca="false">F3341+F3342+F3343+F3344</f>
        <v>-1250085.90446945</v>
      </c>
      <c r="G3345" s="58" t="n">
        <f aca="false">G3341+G3342+G3343+G3344</f>
        <v>-1303824.1946149</v>
      </c>
      <c r="H3345" s="2" t="s">
        <v>1339</v>
      </c>
    </row>
    <row r="3346" customFormat="false" ht="15" hidden="false" customHeight="false" outlineLevel="1" collapsed="false">
      <c r="A3346" s="7" t="s">
        <v>719</v>
      </c>
      <c r="B3346" s="8" t="s">
        <v>10</v>
      </c>
      <c r="C3346" s="58" t="n">
        <f aca="false">C3333</f>
        <v>0</v>
      </c>
      <c r="D3346" s="58" t="n">
        <f aca="false">D3333-C3333</f>
        <v>416868.696061644</v>
      </c>
      <c r="E3346" s="58" t="n">
        <f aca="false">E3333-D3333</f>
        <v>340957.433219178</v>
      </c>
      <c r="F3346" s="58" t="n">
        <f aca="false">F3333-E3333</f>
        <v>552478.207191781</v>
      </c>
      <c r="G3346" s="58" t="n">
        <f aca="false">G3333-F3333</f>
        <v>690461.175513699</v>
      </c>
      <c r="H3346" s="2" t="s">
        <v>1340</v>
      </c>
    </row>
    <row r="3347" customFormat="false" ht="15" hidden="false" customHeight="false" outlineLevel="1" collapsed="false">
      <c r="A3347" s="7" t="s">
        <v>720</v>
      </c>
      <c r="B3347" s="8" t="s">
        <v>10</v>
      </c>
      <c r="C3347" s="58" t="n">
        <f aca="false">-C3335</f>
        <v>-0</v>
      </c>
      <c r="D3347" s="58" t="n">
        <f aca="false">-(D3335-C3335)</f>
        <v>-83373.7392123287</v>
      </c>
      <c r="E3347" s="58" t="n">
        <f aca="false">-(E3335-D3335)</f>
        <v>-68191.4866438356</v>
      </c>
      <c r="F3347" s="58" t="n">
        <f aca="false">-(F3335-E3335)</f>
        <v>-110495.641438356</v>
      </c>
      <c r="G3347" s="58" t="n">
        <f aca="false">-(G3335-F3335)</f>
        <v>-138092.23510274</v>
      </c>
      <c r="H3347" s="2" t="s">
        <v>1341</v>
      </c>
    </row>
    <row r="3348" customFormat="false" ht="15" hidden="false" customHeight="false" outlineLevel="1" collapsed="false">
      <c r="A3348" s="7" t="s">
        <v>721</v>
      </c>
      <c r="B3348" s="8" t="s">
        <v>10</v>
      </c>
      <c r="C3348" s="58" t="n">
        <f aca="false">-C3338</f>
        <v>-0</v>
      </c>
      <c r="D3348" s="58" t="n">
        <f aca="false">-(D3338-C3338)</f>
        <v>-20843.4348030822</v>
      </c>
      <c r="E3348" s="58" t="n">
        <f aca="false">-(E3338-D3338)</f>
        <v>-17047.8716609589</v>
      </c>
      <c r="F3348" s="58" t="n">
        <f aca="false">-(F3338-E3338)</f>
        <v>-27623.9103595891</v>
      </c>
      <c r="G3348" s="58" t="n">
        <f aca="false">-(G3338-F3338)</f>
        <v>-34523.0587756849</v>
      </c>
      <c r="H3348" s="2" t="s">
        <v>1342</v>
      </c>
    </row>
    <row r="3349" customFormat="false" ht="15" hidden="false" customHeight="false" outlineLevel="1" collapsed="false">
      <c r="A3349" s="7" t="s">
        <v>722</v>
      </c>
      <c r="B3349" s="8" t="s">
        <v>10</v>
      </c>
      <c r="C3349" s="58" t="n">
        <f aca="false">-(C3337-Pressupostos!$C$106)</f>
        <v>50000</v>
      </c>
      <c r="D3349" s="58" t="n">
        <f aca="false">-(D3337-C3337)</f>
        <v>-12945.0047945206</v>
      </c>
      <c r="E3349" s="58" t="n">
        <f aca="false">-(E3337-D3337)</f>
        <v>12945.0047945206</v>
      </c>
      <c r="F3349" s="58" t="n">
        <f aca="false">-(F3337-E3337)</f>
        <v>-0</v>
      </c>
      <c r="G3349" s="58" t="n">
        <f aca="false">-(G3337-F3337)</f>
        <v>-0</v>
      </c>
      <c r="H3349" s="2" t="s">
        <v>1343</v>
      </c>
    </row>
    <row r="3350" customFormat="false" ht="15" hidden="false" customHeight="false" outlineLevel="1" collapsed="false">
      <c r="A3350" s="52" t="s">
        <v>723</v>
      </c>
      <c r="B3350" s="53" t="s">
        <v>10</v>
      </c>
      <c r="C3350" s="59" t="n">
        <f aca="false">C3345+C3346+C3347+C3348+C3349</f>
        <v>-798208.993914384</v>
      </c>
      <c r="D3350" s="59" t="n">
        <f aca="false">D3345+D3346+D3347+D3348+D3349</f>
        <v>-753816.625434198</v>
      </c>
      <c r="E3350" s="59" t="n">
        <f aca="false">E3345+E3346+E3347+E3348+E3349</f>
        <v>-832208.128264922</v>
      </c>
      <c r="F3350" s="59" t="n">
        <f aca="false">F3345+F3346+F3347+F3348+F3349</f>
        <v>-835727.249075614</v>
      </c>
      <c r="G3350" s="59" t="n">
        <f aca="false">G3345+G3346+G3347+G3348+G3349</f>
        <v>-785978.312979624</v>
      </c>
      <c r="H3350" s="2" t="s">
        <v>1344</v>
      </c>
    </row>
    <row r="3351" customFormat="false" ht="15" hidden="false" customHeight="false" outlineLevel="1" collapsed="false">
      <c r="A3351" s="52" t="s">
        <v>724</v>
      </c>
      <c r="B3351" s="53" t="s">
        <v>10</v>
      </c>
      <c r="C3351" s="59" t="n">
        <f aca="false">C3350</f>
        <v>-798208.993914384</v>
      </c>
      <c r="D3351" s="59" t="n">
        <f aca="false">C3351+D3350</f>
        <v>-1552025.61934858</v>
      </c>
      <c r="E3351" s="59" t="n">
        <f aca="false">D3351+E3350</f>
        <v>-2384233.7476135</v>
      </c>
      <c r="F3351" s="59" t="n">
        <f aca="false">E3351+F3350</f>
        <v>-3219960.99668912</v>
      </c>
      <c r="G3351" s="59" t="n">
        <f aca="false">F3351+G3350</f>
        <v>-4005939.30966874</v>
      </c>
      <c r="H3351" s="2" t="s">
        <v>1345</v>
      </c>
    </row>
    <row r="3352" customFormat="false" ht="15" hidden="false" customHeight="false" outlineLevel="1" collapsed="false">
      <c r="A3352" s="8" t="s">
        <v>725</v>
      </c>
      <c r="B3352" s="8" t="s">
        <v>10</v>
      </c>
      <c r="C3352" s="66" t="n">
        <f aca="false">ROUND(C3307-C3292-C3322-(MAX(C3336,Pressupostos!$C$106)-Pressupostos!$C$106)-(C3338)-C3350,6)</f>
        <v>0</v>
      </c>
      <c r="D3352" s="66" t="n">
        <f aca="false">ROUND(D3307-D3292-D3322-(MAX(D3336,Pressupostos!$C$106)-MAX(C3336,Pressupostos!$C$106))-(D3338-C3338)-D3350,6)</f>
        <v>0</v>
      </c>
      <c r="E3352" s="66" t="n">
        <f aca="false">ROUND(E3307-E3292-E3322-(MAX(E3336,Pressupostos!$C$106)-MAX(D3336,Pressupostos!$C$106))-(E3338-D3338)-E3350,6)</f>
        <v>0</v>
      </c>
      <c r="F3352" s="66" t="n">
        <f aca="false">ROUND(F3307-F3292-F3322-(MAX(F3336,Pressupostos!$C$106)-MAX(E3336,Pressupostos!$C$106))-(F3338-E3338)-F3350,6)</f>
        <v>0</v>
      </c>
      <c r="G3352" s="66" t="n">
        <f aca="false">ROUND(G3307-G3292-G3322-(MAX(G3336,Pressupostos!$C$106)-MAX(F3336,Pressupostos!$C$106))-(G3338-F3338)-G3350,6)</f>
        <v>0</v>
      </c>
      <c r="H3352" s="2" t="s">
        <v>1346</v>
      </c>
    </row>
    <row r="3353" customFormat="false" ht="15" hidden="false" customHeight="false" outlineLevel="0" collapsed="false">
      <c r="A3353" s="3" t="s">
        <v>1347</v>
      </c>
      <c r="B3353" s="4"/>
      <c r="C3353" s="4"/>
      <c r="D3353" s="4"/>
      <c r="E3353" s="4"/>
      <c r="F3353" s="4"/>
      <c r="G3353" s="4"/>
      <c r="H3353" s="4"/>
    </row>
    <row r="3354" customFormat="false" ht="15" hidden="false" customHeight="false" outlineLevel="1" collapsed="false">
      <c r="A3354" s="7" t="s">
        <v>727</v>
      </c>
      <c r="B3354" s="8" t="s">
        <v>10</v>
      </c>
      <c r="C3354" s="58" t="n">
        <f aca="false">0</f>
        <v>0</v>
      </c>
      <c r="D3354" s="58" t="n">
        <f aca="false">C3359</f>
        <v>156791.006085616</v>
      </c>
      <c r="E3354" s="58" t="n">
        <f aca="false">D3359</f>
        <v>150000</v>
      </c>
      <c r="F3354" s="58" t="n">
        <f aca="false">E3359</f>
        <v>150000</v>
      </c>
      <c r="G3354" s="58" t="n">
        <f aca="false">F3359</f>
        <v>150000</v>
      </c>
      <c r="H3354" s="2" t="s">
        <v>1348</v>
      </c>
    </row>
    <row r="3355" customFormat="false" ht="15" hidden="false" customHeight="false" outlineLevel="1" collapsed="false">
      <c r="A3355" s="7" t="s">
        <v>728</v>
      </c>
      <c r="B3355" s="8" t="s">
        <v>10</v>
      </c>
      <c r="C3355" s="58" t="n">
        <f aca="false">-(Pressupostos!$C$157+Pressupostos!$C$158+Pressupostos!$C$159+Pressupostos!$C$160+Pressupostos!$C$161+Pressupostos!$C$106)</f>
        <v>-145000</v>
      </c>
      <c r="D3355" s="58" t="n">
        <f aca="false">0</f>
        <v>0</v>
      </c>
      <c r="E3355" s="58" t="n">
        <f aca="false">0</f>
        <v>0</v>
      </c>
      <c r="F3355" s="58" t="n">
        <f aca="false">0</f>
        <v>0</v>
      </c>
      <c r="G3355" s="58" t="n">
        <f aca="false">0</f>
        <v>0</v>
      </c>
      <c r="H3355" s="2" t="s">
        <v>1349</v>
      </c>
    </row>
    <row r="3356" customFormat="false" ht="15" hidden="false" customHeight="false" outlineLevel="1" collapsed="false">
      <c r="A3356" s="7" t="s">
        <v>729</v>
      </c>
      <c r="B3356" s="8" t="s">
        <v>10</v>
      </c>
      <c r="C3356" s="50" t="n">
        <f aca="false">Pressupostos!$D$32</f>
        <v>1100000</v>
      </c>
      <c r="D3356" s="58" t="n">
        <f aca="false">0</f>
        <v>0</v>
      </c>
      <c r="E3356" s="58" t="n">
        <f aca="false">0</f>
        <v>0</v>
      </c>
      <c r="F3356" s="58" t="n">
        <f aca="false">0</f>
        <v>0</v>
      </c>
      <c r="G3356" s="58" t="n">
        <f aca="false">0</f>
        <v>0</v>
      </c>
      <c r="H3356" s="2" t="s">
        <v>1350</v>
      </c>
    </row>
    <row r="3357" customFormat="false" ht="15" hidden="false" customHeight="false" outlineLevel="1" collapsed="false">
      <c r="A3357" s="7" t="s">
        <v>730</v>
      </c>
      <c r="B3357" s="8" t="s">
        <v>10</v>
      </c>
      <c r="C3357" s="58" t="n">
        <f aca="false">C3354+C3355+C3356+C3350</f>
        <v>156791.006085616</v>
      </c>
      <c r="D3357" s="58" t="n">
        <f aca="false">D3354+D3355+D3356+D3350</f>
        <v>-597025.619348582</v>
      </c>
      <c r="E3357" s="58" t="n">
        <f aca="false">E3354+E3355+E3356+E3350</f>
        <v>-682208.128264922</v>
      </c>
      <c r="F3357" s="58" t="n">
        <f aca="false">F3354+F3355+F3356+F3350</f>
        <v>-685727.249075614</v>
      </c>
      <c r="G3357" s="58" t="n">
        <f aca="false">G3354+G3355+G3356+G3350</f>
        <v>-635978.312979624</v>
      </c>
      <c r="H3357" s="2" t="s">
        <v>1351</v>
      </c>
    </row>
    <row r="3358" customFormat="false" ht="15" hidden="false" customHeight="false" outlineLevel="1" collapsed="false">
      <c r="A3358" s="52" t="s">
        <v>731</v>
      </c>
      <c r="B3358" s="53" t="s">
        <v>10</v>
      </c>
      <c r="C3358" s="59" t="n">
        <f aca="false">MAX(0,Pressupostos!$C$168-C3357)</f>
        <v>0</v>
      </c>
      <c r="D3358" s="59" t="n">
        <f aca="false">MAX(0,Pressupostos!$C$168-D3357)</f>
        <v>747025.619348582</v>
      </c>
      <c r="E3358" s="59" t="n">
        <f aca="false">MAX(0,Pressupostos!$C$168-E3357)</f>
        <v>832208.128264922</v>
      </c>
      <c r="F3358" s="59" t="n">
        <f aca="false">MAX(0,Pressupostos!$C$168-F3357)</f>
        <v>835727.249075614</v>
      </c>
      <c r="G3358" s="59" t="n">
        <f aca="false">MAX(0,Pressupostos!$C$168-G3357)</f>
        <v>785978.312979624</v>
      </c>
      <c r="H3358" s="2" t="s">
        <v>1352</v>
      </c>
    </row>
    <row r="3359" customFormat="false" ht="15" hidden="false" customHeight="false" outlineLevel="1" collapsed="false">
      <c r="A3359" s="52" t="s">
        <v>732</v>
      </c>
      <c r="B3359" s="53" t="s">
        <v>10</v>
      </c>
      <c r="C3359" s="59" t="n">
        <f aca="false">C3357+C3358</f>
        <v>156791.006085616</v>
      </c>
      <c r="D3359" s="59" t="n">
        <f aca="false">D3357+D3358</f>
        <v>150000</v>
      </c>
      <c r="E3359" s="59" t="n">
        <f aca="false">E3357+E3358</f>
        <v>150000</v>
      </c>
      <c r="F3359" s="59" t="n">
        <f aca="false">F3357+F3358</f>
        <v>150000</v>
      </c>
      <c r="G3359" s="59" t="n">
        <f aca="false">G3357+G3358</f>
        <v>150000</v>
      </c>
      <c r="H3359" s="2" t="s">
        <v>1353</v>
      </c>
    </row>
    <row r="3360" customFormat="false" ht="15" hidden="false" customHeight="false" outlineLevel="1" collapsed="false">
      <c r="A3360" s="7" t="s">
        <v>733</v>
      </c>
      <c r="B3360" s="8" t="s">
        <v>10</v>
      </c>
      <c r="C3360" s="58" t="n">
        <f aca="false">C3335+C3338+C3337</f>
        <v>0</v>
      </c>
      <c r="D3360" s="58" t="n">
        <f aca="false">D3335+D3338+D3337</f>
        <v>117162.178809932</v>
      </c>
      <c r="E3360" s="58" t="n">
        <f aca="false">E3335+E3338+E3337</f>
        <v>189456.532320205</v>
      </c>
      <c r="F3360" s="58" t="n">
        <f aca="false">F3335+F3338+F3337</f>
        <v>327576.084118151</v>
      </c>
      <c r="G3360" s="58" t="n">
        <f aca="false">G3335+G3338+G3337</f>
        <v>500191.377996575</v>
      </c>
      <c r="H3360" s="2" t="s">
        <v>1354</v>
      </c>
    </row>
    <row r="3361" customFormat="false" ht="15" hidden="false" customHeight="false" outlineLevel="1" collapsed="false">
      <c r="A3361" s="7" t="s">
        <v>734</v>
      </c>
      <c r="B3361" s="8" t="s">
        <v>10</v>
      </c>
      <c r="C3361" s="58" t="n">
        <f aca="false">C3359+C3360</f>
        <v>156791.006085616</v>
      </c>
      <c r="D3361" s="58" t="n">
        <f aca="false">D3359+D3360</f>
        <v>267162.178809932</v>
      </c>
      <c r="E3361" s="58" t="n">
        <f aca="false">E3359+E3360</f>
        <v>339456.532320206</v>
      </c>
      <c r="F3361" s="58" t="n">
        <f aca="false">F3359+F3360</f>
        <v>477576.084118151</v>
      </c>
      <c r="G3361" s="58" t="n">
        <f aca="false">G3359+G3360</f>
        <v>650191.377996575</v>
      </c>
      <c r="H3361" s="2" t="s">
        <v>1355</v>
      </c>
    </row>
    <row r="3362" customFormat="false" ht="15" hidden="false" customHeight="false" outlineLevel="1" collapsed="false">
      <c r="A3362" s="7" t="s">
        <v>735</v>
      </c>
      <c r="B3362" s="8" t="s">
        <v>10</v>
      </c>
      <c r="C3362" s="58" t="n">
        <f aca="false">C3356+C3358</f>
        <v>1100000</v>
      </c>
      <c r="D3362" s="58" t="n">
        <f aca="false">C3362+D3356+D3358</f>
        <v>1847025.61934858</v>
      </c>
      <c r="E3362" s="58" t="n">
        <f aca="false">D3362+E3356+E3358</f>
        <v>2679233.7476135</v>
      </c>
      <c r="F3362" s="58" t="n">
        <f aca="false">E3362+F3356+F3358</f>
        <v>3514960.99668912</v>
      </c>
      <c r="G3362" s="58" t="n">
        <f aca="false">F3362+G3356+G3358</f>
        <v>4300939.30966874</v>
      </c>
      <c r="H3362" s="2" t="s">
        <v>1356</v>
      </c>
    </row>
    <row r="3363" customFormat="false" ht="15" hidden="false" customHeight="false" outlineLevel="0" collapsed="false">
      <c r="A3363" s="3" t="s">
        <v>1357</v>
      </c>
      <c r="B3363" s="4"/>
      <c r="C3363" s="4"/>
      <c r="D3363" s="4"/>
      <c r="E3363" s="4"/>
      <c r="F3363" s="4"/>
      <c r="G3363" s="4"/>
      <c r="H3363" s="4"/>
    </row>
    <row r="3364" customFormat="false" ht="15" hidden="false" customHeight="false" outlineLevel="1" collapsed="false">
      <c r="A3364" s="7" t="s">
        <v>739</v>
      </c>
      <c r="B3364" s="8" t="s">
        <v>10</v>
      </c>
      <c r="C3364" s="68" t="n">
        <f aca="false">Pressupostos!$C$157+Pressupostos!$C$158+Pressupostos!$C$159+Pressupostos!$C$160+Pressupostos!$C$161</f>
        <v>95000</v>
      </c>
      <c r="H3364" s="2" t="s">
        <v>1358</v>
      </c>
    </row>
    <row r="3365" customFormat="false" ht="15" hidden="false" customHeight="false" outlineLevel="1" collapsed="false">
      <c r="A3365" s="7" t="s">
        <v>740</v>
      </c>
      <c r="B3365" s="8" t="s">
        <v>10</v>
      </c>
      <c r="C3365" s="69" t="n">
        <f aca="false">Pressupostos!$C$106</f>
        <v>50000</v>
      </c>
      <c r="H3365" s="2" t="s">
        <v>1359</v>
      </c>
    </row>
    <row r="3366" customFormat="false" ht="15" hidden="false" customHeight="false" outlineLevel="1" collapsed="false">
      <c r="A3366" s="7" t="s">
        <v>312</v>
      </c>
      <c r="B3366" s="8" t="s">
        <v>10</v>
      </c>
      <c r="C3366" s="69" t="n">
        <f aca="false">Pressupostos!$C$168</f>
        <v>150000</v>
      </c>
      <c r="H3366" s="2" t="s">
        <v>1360</v>
      </c>
    </row>
    <row r="3367" customFormat="false" ht="15" hidden="false" customHeight="false" outlineLevel="1" collapsed="false">
      <c r="A3367" s="7" t="s">
        <v>741</v>
      </c>
      <c r="B3367" s="8" t="s">
        <v>10</v>
      </c>
      <c r="C3367" s="68" t="n">
        <f aca="false">MAX(0,-MIN($C$3351:$G$3351))</f>
        <v>4005939.30966874</v>
      </c>
      <c r="H3367" s="2" t="s">
        <v>1361</v>
      </c>
    </row>
    <row r="3368" customFormat="false" ht="15" hidden="false" customHeight="false" outlineLevel="1" collapsed="false">
      <c r="A3368" s="52" t="s">
        <v>14</v>
      </c>
      <c r="B3368" s="53" t="s">
        <v>10</v>
      </c>
      <c r="C3368" s="70" t="n">
        <f aca="false">C3364+C3365+C3366+C3367</f>
        <v>4300939.30966874</v>
      </c>
      <c r="H3368" s="2" t="s">
        <v>1362</v>
      </c>
    </row>
    <row r="3369" customFormat="false" ht="15" hidden="false" customHeight="false" outlineLevel="1" collapsed="false">
      <c r="A3369" s="7" t="s">
        <v>742</v>
      </c>
      <c r="B3369" s="8" t="s">
        <v>18</v>
      </c>
      <c r="C3369" s="71" t="n">
        <f aca="false">INDEX($C$3108:$G$3108,1,MATCH(MIN($C$3351:$G$3351),$C$3351:$G$3351,0))</f>
        <v>2031</v>
      </c>
      <c r="H3369" s="2" t="s">
        <v>1363</v>
      </c>
    </row>
    <row r="3370" customFormat="false" ht="15" hidden="false" customHeight="false" outlineLevel="1" collapsed="false">
      <c r="A3370" s="7" t="s">
        <v>743</v>
      </c>
      <c r="B3370" s="8"/>
      <c r="C3370" s="72" t="str">
        <f aca="false">IF(G3350&lt;0,"sim","não")</f>
        <v>sim</v>
      </c>
      <c r="H3370" s="2" t="s">
        <v>1364</v>
      </c>
    </row>
    <row r="3371" customFormat="false" ht="15" hidden="false" customHeight="false" outlineLevel="1" collapsed="false">
      <c r="A3371" s="7" t="s">
        <v>744</v>
      </c>
      <c r="B3371" s="8" t="s">
        <v>10</v>
      </c>
      <c r="C3371" s="68" t="n">
        <f aca="false">G3362</f>
        <v>4300939.30966874</v>
      </c>
      <c r="H3371" s="2" t="s">
        <v>1365</v>
      </c>
    </row>
    <row r="3372" customFormat="false" ht="15" hidden="false" customHeight="false" outlineLevel="0" collapsed="false">
      <c r="A3372" s="3" t="s">
        <v>1366</v>
      </c>
      <c r="B3372" s="4"/>
      <c r="C3372" s="4"/>
      <c r="D3372" s="4"/>
      <c r="E3372" s="4"/>
      <c r="F3372" s="4"/>
      <c r="G3372" s="4"/>
      <c r="H3372" s="4"/>
    </row>
    <row r="3373" customFormat="false" ht="15" hidden="false" customHeight="false" outlineLevel="1" collapsed="false">
      <c r="A3373" s="7" t="s">
        <v>746</v>
      </c>
      <c r="B3373" s="8" t="s">
        <v>10</v>
      </c>
      <c r="C3373" s="68" t="n">
        <f aca="false">C3364+C3365</f>
        <v>145000</v>
      </c>
      <c r="H3373" s="2" t="s">
        <v>1367</v>
      </c>
    </row>
    <row r="3374" customFormat="false" ht="15" hidden="false" customHeight="false" outlineLevel="1" collapsed="false">
      <c r="A3374" s="7" t="s">
        <v>747</v>
      </c>
      <c r="B3374" s="8" t="s">
        <v>10</v>
      </c>
      <c r="C3374" s="68" t="n">
        <f aca="false">-SUMPRODUCT(($C$3108:$G$3108&lt;=C3369)*$C$3307:$G$3307)</f>
        <v>3518055.21078176</v>
      </c>
      <c r="H3374" s="2" t="s">
        <v>1368</v>
      </c>
    </row>
    <row r="3375" customFormat="false" ht="15" hidden="false" customHeight="false" outlineLevel="1" collapsed="false">
      <c r="A3375" s="7" t="s">
        <v>407</v>
      </c>
      <c r="B3375" s="8" t="s">
        <v>10</v>
      </c>
      <c r="C3375" s="68" t="n">
        <f aca="false">SUMPRODUCT(($C$3108:$G$3108&lt;=C3369)*$C$3292:$G$3292)</f>
        <v>260000</v>
      </c>
      <c r="H3375" s="2" t="s">
        <v>1369</v>
      </c>
    </row>
    <row r="3376" customFormat="false" ht="15" hidden="false" customHeight="false" outlineLevel="1" collapsed="false">
      <c r="A3376" s="7" t="s">
        <v>748</v>
      </c>
      <c r="B3376" s="8" t="s">
        <v>10</v>
      </c>
      <c r="C3376" s="68" t="n">
        <f aca="false">SUMPRODUCT(($C$3108:$G$3108&lt;=C3369)*$C$3322:$G$3322)</f>
        <v>0</v>
      </c>
      <c r="H3376" s="2" t="s">
        <v>1370</v>
      </c>
    </row>
    <row r="3377" customFormat="false" ht="15" hidden="false" customHeight="false" outlineLevel="1" collapsed="false">
      <c r="A3377" s="7" t="s">
        <v>749</v>
      </c>
      <c r="B3377" s="8" t="s">
        <v>10</v>
      </c>
      <c r="C3377" s="68" t="n">
        <f aca="false">C3367-C3374-C3375-C3376</f>
        <v>227884.098886987</v>
      </c>
      <c r="H3377" s="2" t="s">
        <v>1371</v>
      </c>
    </row>
    <row r="3378" customFormat="false" ht="15" hidden="false" customHeight="false" outlineLevel="1" collapsed="false">
      <c r="A3378" s="7" t="s">
        <v>312</v>
      </c>
      <c r="B3378" s="8" t="s">
        <v>10</v>
      </c>
      <c r="C3378" s="68" t="n">
        <f aca="false">C3366</f>
        <v>150000</v>
      </c>
      <c r="H3378" s="2" t="s">
        <v>1372</v>
      </c>
    </row>
    <row r="3379" customFormat="false" ht="15" hidden="false" customHeight="false" outlineLevel="1" collapsed="false">
      <c r="A3379" s="52" t="s">
        <v>750</v>
      </c>
      <c r="B3379" s="53" t="s">
        <v>10</v>
      </c>
      <c r="C3379" s="70" t="n">
        <f aca="false">C3373+C3374+C3375+C3376+C3377+C3378</f>
        <v>4300939.30966874</v>
      </c>
      <c r="H3379" s="2" t="s">
        <v>1373</v>
      </c>
    </row>
    <row r="3380" customFormat="false" ht="15" hidden="false" customHeight="false" outlineLevel="0" collapsed="false">
      <c r="A3380" s="3" t="s">
        <v>1374</v>
      </c>
      <c r="B3380" s="4"/>
      <c r="C3380" s="4"/>
      <c r="D3380" s="4"/>
      <c r="E3380" s="4"/>
      <c r="F3380" s="4"/>
      <c r="G3380" s="4"/>
      <c r="H3380" s="4"/>
    </row>
    <row r="3381" customFormat="false" ht="15" hidden="false" customHeight="false" outlineLevel="1" collapsed="false">
      <c r="A3381" s="7" t="s">
        <v>729</v>
      </c>
      <c r="B3381" s="8" t="s">
        <v>10</v>
      </c>
      <c r="C3381" s="69" t="n">
        <f aca="false">Pressupostos!$D$32</f>
        <v>1100000</v>
      </c>
      <c r="H3381" s="2" t="s">
        <v>1375</v>
      </c>
    </row>
    <row r="3382" customFormat="false" ht="15" hidden="false" customHeight="false" outlineLevel="1" collapsed="false">
      <c r="A3382" s="7" t="s">
        <v>752</v>
      </c>
      <c r="B3382" s="8" t="s">
        <v>10</v>
      </c>
      <c r="C3382" s="68" t="n">
        <f aca="false">C3364+Pressupostos!$C$106+Pressupostos!$C$128/12*((C3268-C3256-C3257+(C3256+C3257)/Pressupostos!$C$126*Pressupostos!$C$127)*(1+Pressupostos!$C$122+Pressupostos!$C$123)+C3254*Pressupostos!$C$124+C3287)+C3292+MAX(0,Pressupostos!$C$181*1000*(C3127+C3130)+Pressupostos!$C$182*1000*(C3150+C3153)-Pressupostos!$C$106)</f>
        <v>734421.666666667</v>
      </c>
      <c r="H3382" s="2" t="s">
        <v>1376</v>
      </c>
    </row>
    <row r="3383" customFormat="false" ht="15" hidden="false" customHeight="false" outlineLevel="1" collapsed="false">
      <c r="A3383" s="7" t="s">
        <v>754</v>
      </c>
      <c r="B3383" s="8" t="s">
        <v>10</v>
      </c>
      <c r="C3383" s="68" t="n">
        <f aca="false">C3364+Pressupostos!$C$106-C3350</f>
        <v>943208.993914384</v>
      </c>
      <c r="H3383" s="2" t="s">
        <v>1377</v>
      </c>
    </row>
    <row r="3384" customFormat="false" ht="15" hidden="false" customHeight="false" outlineLevel="1" collapsed="false">
      <c r="A3384" s="7" t="s">
        <v>755</v>
      </c>
      <c r="B3384" s="8" t="s">
        <v>10</v>
      </c>
      <c r="C3384" s="58" t="n">
        <f aca="false">Pressupostos!$D$32-C3364-Pressupostos!$C$106+C3351</f>
        <v>156791.006085616</v>
      </c>
      <c r="D3384" s="58" t="n">
        <f aca="false">Pressupostos!$D$32-C3364-Pressupostos!$C$106+D3351</f>
        <v>-597025.619348582</v>
      </c>
      <c r="E3384" s="58" t="n">
        <f aca="false">Pressupostos!$D$32-C3364-Pressupostos!$C$106+E3351</f>
        <v>-1429233.7476135</v>
      </c>
      <c r="F3384" s="58" t="n">
        <f aca="false">Pressupostos!$D$32-C3364-Pressupostos!$C$106+F3351</f>
        <v>-2264960.99668912</v>
      </c>
      <c r="G3384" s="58" t="n">
        <f aca="false">Pressupostos!$D$32-C3364-Pressupostos!$C$106+G3351</f>
        <v>-3050939.30966874</v>
      </c>
      <c r="H3384" s="2" t="s">
        <v>1378</v>
      </c>
    </row>
    <row r="3385" customFormat="false" ht="15" hidden="false" customHeight="false" outlineLevel="1" collapsed="false">
      <c r="A3385" s="7" t="s">
        <v>756</v>
      </c>
      <c r="B3385" s="8" t="s">
        <v>16</v>
      </c>
      <c r="C3385" s="73" t="str">
        <f aca="false">IF(AND(Pressupostos!$D$32-C3364-Pressupostos!$C$106&gt;0,C3384&lt;=0),12*(Pressupostos!$D$32-C3364-Pressupostos!$C$106)/(Pressupostos!$D$32-C3364-Pressupostos!$C$106-C3384),"")</f>
        <v/>
      </c>
      <c r="D3385" s="73" t="n">
        <f aca="false">IF(AND(C3384&gt;0,D3384&lt;=0),12+12*C3384/(C3384-D3384),"")</f>
        <v>14.4959545989632</v>
      </c>
      <c r="E3385" s="73" t="str">
        <f aca="false">IF(AND(D3384&gt;0,E3384&lt;=0),24+12*D3384/(D3384-E3384),"")</f>
        <v/>
      </c>
      <c r="F3385" s="73" t="str">
        <f aca="false">IF(AND(E3384&gt;0,F3384&lt;=0),36+12*E3384/(E3384-F3384),"")</f>
        <v/>
      </c>
      <c r="G3385" s="73" t="str">
        <f aca="false">IF(AND(F3384&gt;0,G3384&lt;=0),48+12*F3384/(F3384-G3384),"")</f>
        <v/>
      </c>
      <c r="H3385" s="2" t="s">
        <v>1379</v>
      </c>
    </row>
    <row r="3386" customFormat="false" ht="15" hidden="false" customHeight="false" outlineLevel="1" collapsed="false">
      <c r="A3386" s="52" t="s">
        <v>757</v>
      </c>
      <c r="B3386" s="53" t="s">
        <v>264</v>
      </c>
      <c r="C3386" s="74" t="n">
        <f aca="false">IF(COUNT($C$3385:$G$3385)=0,"&gt; 60",MIN($C$3385:$G$3385))</f>
        <v>14.4959545989632</v>
      </c>
      <c r="H3386" s="2" t="s">
        <v>1380</v>
      </c>
    </row>
    <row r="3387" customFormat="false" ht="15" hidden="false" customHeight="false" outlineLevel="0" collapsed="false">
      <c r="A3387" s="3" t="s">
        <v>1381</v>
      </c>
      <c r="B3387" s="4"/>
      <c r="C3387" s="4"/>
      <c r="D3387" s="4"/>
      <c r="E3387" s="4"/>
      <c r="F3387" s="4"/>
      <c r="G3387" s="4"/>
      <c r="H3387" s="4"/>
    </row>
    <row r="3388" customFormat="false" ht="15" hidden="false" customHeight="false" outlineLevel="1" collapsed="false">
      <c r="A3388" s="7" t="s">
        <v>759</v>
      </c>
      <c r="B3388" s="8" t="s">
        <v>16</v>
      </c>
      <c r="C3388" s="73" t="str">
        <f aca="false">IF(C3307&gt;=0,1,"")</f>
        <v/>
      </c>
      <c r="D3388" s="73" t="str">
        <f aca="false">IF(AND(C3307&lt;0,D3307&gt;=0),6.5+12*(-C3307)/(D3307-C3307),"")</f>
        <v/>
      </c>
      <c r="E3388" s="73" t="str">
        <f aca="false">IF(AND(D3307&lt;0,E3307&gt;=0),18.5+12*(-D3307)/(E3307-D3307),"")</f>
        <v/>
      </c>
      <c r="F3388" s="73" t="str">
        <f aca="false">IF(AND(E3307&lt;0,F3307&gt;=0),30.5+12*(-E3307)/(F3307-E3307),"")</f>
        <v/>
      </c>
      <c r="G3388" s="73" t="str">
        <f aca="false">IF(AND(F3307&lt;0,G3307&gt;=0),42.5+12*(-F3307)/(G3307-F3307),"")</f>
        <v/>
      </c>
      <c r="H3388" s="2" t="s">
        <v>1382</v>
      </c>
    </row>
    <row r="3389" customFormat="false" ht="15" hidden="false" customHeight="false" outlineLevel="1" collapsed="false">
      <c r="A3389" s="7" t="s">
        <v>760</v>
      </c>
      <c r="B3389" s="8" t="s">
        <v>16</v>
      </c>
      <c r="C3389" s="75" t="str">
        <f aca="false">IF(COUNT($C$3388:$G$3388)=0,"não atinge até 2031",ROUNDUP(MIN($C$3388:$G$3388),0))</f>
        <v>não atinge até 2031</v>
      </c>
      <c r="H3389" s="2" t="s">
        <v>1383</v>
      </c>
    </row>
    <row r="3390" customFormat="false" ht="15" hidden="false" customHeight="false" outlineLevel="1" collapsed="false">
      <c r="A3390" s="52" t="s">
        <v>761</v>
      </c>
      <c r="B3390" s="53" t="s">
        <v>762</v>
      </c>
      <c r="C3390" s="76" t="str">
        <f aca="false">IF(ISNUMBER(C3389),DATE(2027,C3389,1),"não atinge até 2031")</f>
        <v>não atinge até 2031</v>
      </c>
      <c r="H3390" s="2" t="s">
        <v>1384</v>
      </c>
    </row>
    <row r="3391" customFormat="false" ht="15" hidden="false" customHeight="false" outlineLevel="1" collapsed="false">
      <c r="A3391" s="7" t="s">
        <v>763</v>
      </c>
      <c r="B3391" s="8" t="s">
        <v>18</v>
      </c>
      <c r="C3391" s="77" t="str">
        <f aca="false">IF(C3307&gt;=0,C3108,"")</f>
        <v/>
      </c>
      <c r="D3391" s="77" t="str">
        <f aca="false">IF(D3307&gt;=0,D3108,"")</f>
        <v/>
      </c>
      <c r="E3391" s="77" t="str">
        <f aca="false">IF(E3307&gt;=0,E3108,"")</f>
        <v/>
      </c>
      <c r="F3391" s="77" t="str">
        <f aca="false">IF(F3307&gt;=0,F3108,"")</f>
        <v/>
      </c>
      <c r="G3391" s="77" t="str">
        <f aca="false">IF(G3307&gt;=0,G3108,"")</f>
        <v/>
      </c>
      <c r="H3391" s="2" t="s">
        <v>1385</v>
      </c>
    </row>
    <row r="3392" customFormat="false" ht="15" hidden="false" customHeight="false" outlineLevel="1" collapsed="false">
      <c r="A3392" s="7" t="s">
        <v>764</v>
      </c>
      <c r="B3392" s="8" t="s">
        <v>18</v>
      </c>
      <c r="C3392" s="71" t="str">
        <f aca="false">IF(COUNT($C$3391:$G$3391)=0,"não atinge até 2031",MIN($C$3391:$G$3391))</f>
        <v>não atinge até 2031</v>
      </c>
      <c r="H3392" s="2" t="s">
        <v>1386</v>
      </c>
    </row>
    <row r="3393" customFormat="false" ht="15" hidden="false" customHeight="false" outlineLevel="1" collapsed="false">
      <c r="A3393" s="7" t="s">
        <v>765</v>
      </c>
      <c r="B3393" s="8" t="s">
        <v>18</v>
      </c>
      <c r="C3393" s="77" t="str">
        <f aca="false">IF(C3325&gt;=0,C3108,"")</f>
        <v/>
      </c>
      <c r="D3393" s="77" t="str">
        <f aca="false">IF(D3325&gt;=0,D3108,"")</f>
        <v/>
      </c>
      <c r="E3393" s="77" t="str">
        <f aca="false">IF(E3325&gt;=0,E3108,"")</f>
        <v/>
      </c>
      <c r="F3393" s="77" t="str">
        <f aca="false">IF(F3325&gt;=0,F3108,"")</f>
        <v/>
      </c>
      <c r="G3393" s="77" t="str">
        <f aca="false">IF(G3325&gt;=0,G3108,"")</f>
        <v/>
      </c>
      <c r="H3393" s="2" t="s">
        <v>1387</v>
      </c>
    </row>
    <row r="3394" customFormat="false" ht="15" hidden="false" customHeight="false" outlineLevel="1" collapsed="false">
      <c r="A3394" s="7" t="s">
        <v>766</v>
      </c>
      <c r="B3394" s="8" t="s">
        <v>18</v>
      </c>
      <c r="C3394" s="71" t="str">
        <f aca="false">IF(COUNT($C$3393:$G$3393)=0,"não atinge até 2031",MIN($C$3393:$G$3393))</f>
        <v>não atinge até 2031</v>
      </c>
      <c r="H3394" s="2" t="s">
        <v>1388</v>
      </c>
    </row>
    <row r="3395" customFormat="false" ht="15" hidden="false" customHeight="false" outlineLevel="1" collapsed="false">
      <c r="A3395" s="7" t="s">
        <v>767</v>
      </c>
      <c r="B3395" s="8" t="s">
        <v>18</v>
      </c>
      <c r="C3395" s="77" t="str">
        <f aca="false">IF(C3350&gt;=0,C3108,"")</f>
        <v/>
      </c>
      <c r="D3395" s="77" t="str">
        <f aca="false">IF(D3350&gt;=0,D3108,"")</f>
        <v/>
      </c>
      <c r="E3395" s="77" t="str">
        <f aca="false">IF(E3350&gt;=0,E3108,"")</f>
        <v/>
      </c>
      <c r="F3395" s="77" t="str">
        <f aca="false">IF(F3350&gt;=0,F3108,"")</f>
        <v/>
      </c>
      <c r="G3395" s="77" t="str">
        <f aca="false">IF(G3350&gt;=0,G3108,"")</f>
        <v/>
      </c>
      <c r="H3395" s="2" t="s">
        <v>1389</v>
      </c>
    </row>
    <row r="3396" customFormat="false" ht="15" hidden="false" customHeight="false" outlineLevel="1" collapsed="false">
      <c r="A3396" s="7" t="s">
        <v>17</v>
      </c>
      <c r="B3396" s="8" t="s">
        <v>18</v>
      </c>
      <c r="C3396" s="71" t="str">
        <f aca="false">IF(COUNT($C$3395:$G$3395)=0,"não atinge até 2031",MIN($C$3395:$G$3395))</f>
        <v>não atinge até 2031</v>
      </c>
      <c r="H3396" s="2" t="s">
        <v>1390</v>
      </c>
    </row>
    <row r="3397" customFormat="false" ht="15" hidden="false" customHeight="false" outlineLevel="0" collapsed="false">
      <c r="A3397" s="3" t="s">
        <v>1391</v>
      </c>
      <c r="B3397" s="4"/>
      <c r="C3397" s="4"/>
      <c r="D3397" s="4"/>
      <c r="E3397" s="4"/>
      <c r="F3397" s="4"/>
      <c r="G3397" s="4"/>
      <c r="H3397" s="4"/>
    </row>
    <row r="3398" customFormat="false" ht="15" hidden="false" customHeight="false" outlineLevel="1" collapsed="false">
      <c r="A3398" s="7" t="s">
        <v>769</v>
      </c>
      <c r="B3398" s="8" t="s">
        <v>10</v>
      </c>
      <c r="C3398" s="58" t="n">
        <f aca="false">C3333</f>
        <v>0</v>
      </c>
      <c r="D3398" s="58" t="n">
        <f aca="false">D3333</f>
        <v>416868.696061644</v>
      </c>
      <c r="E3398" s="58" t="n">
        <f aca="false">E3333</f>
        <v>757826.129280822</v>
      </c>
      <c r="F3398" s="58" t="n">
        <f aca="false">F3333</f>
        <v>1310304.3364726</v>
      </c>
      <c r="G3398" s="58" t="n">
        <f aca="false">G3333</f>
        <v>2000765.5119863</v>
      </c>
      <c r="H3398" s="2" t="s">
        <v>1392</v>
      </c>
    </row>
    <row r="3399" customFormat="false" ht="15" hidden="false" customHeight="false" outlineLevel="1" collapsed="false">
      <c r="A3399" s="7" t="s">
        <v>487</v>
      </c>
      <c r="B3399" s="8" t="s">
        <v>71</v>
      </c>
      <c r="C3399" s="78" t="n">
        <f aca="false">Pressupostos!$C$283</f>
        <v>0.08</v>
      </c>
      <c r="D3399" s="78" t="n">
        <f aca="false">Pressupostos!$D$283</f>
        <v>0.08</v>
      </c>
      <c r="E3399" s="78" t="n">
        <f aca="false">Pressupostos!$E$283</f>
        <v>0.075</v>
      </c>
      <c r="F3399" s="78" t="n">
        <f aca="false">Pressupostos!$F$283</f>
        <v>0.07</v>
      </c>
      <c r="G3399" s="78" t="n">
        <f aca="false">Pressupostos!$G$283</f>
        <v>0.07</v>
      </c>
      <c r="H3399" s="2" t="s">
        <v>1393</v>
      </c>
    </row>
    <row r="3400" customFormat="false" ht="15" hidden="false" customHeight="false" outlineLevel="1" collapsed="false">
      <c r="A3400" s="7" t="s">
        <v>770</v>
      </c>
      <c r="B3400" s="8" t="s">
        <v>71</v>
      </c>
      <c r="C3400" s="56" t="n">
        <f aca="false">Pressupostos!$C$283*(1-Pressupostos!$C$109)</f>
        <v>0.0576</v>
      </c>
      <c r="D3400" s="56" t="n">
        <f aca="false">Pressupostos!$D$283*(1-Pressupostos!$C$109)</f>
        <v>0.0576</v>
      </c>
      <c r="E3400" s="56" t="n">
        <f aca="false">Pressupostos!$E$283*(1-Pressupostos!$C$109)</f>
        <v>0.054</v>
      </c>
      <c r="F3400" s="56" t="n">
        <f aca="false">Pressupostos!$F$283*(1-Pressupostos!$C$109)</f>
        <v>0.0504</v>
      </c>
      <c r="G3400" s="56" t="n">
        <f aca="false">Pressupostos!$G$283*(1-Pressupostos!$C$109)</f>
        <v>0.0504</v>
      </c>
      <c r="H3400" s="2" t="s">
        <v>1394</v>
      </c>
    </row>
    <row r="3401" customFormat="false" ht="15" hidden="false" customHeight="false" outlineLevel="1" collapsed="false">
      <c r="A3401" s="7" t="s">
        <v>771</v>
      </c>
      <c r="B3401" s="8" t="s">
        <v>10</v>
      </c>
      <c r="C3401" s="58" t="n">
        <f aca="false">C3239</f>
        <v>0</v>
      </c>
      <c r="D3401" s="58" t="n">
        <f aca="false">D3239</f>
        <v>30312.1356164384</v>
      </c>
      <c r="E3401" s="58" t="n">
        <f aca="false">E3239</f>
        <v>50402.3829195206</v>
      </c>
      <c r="F3401" s="58" t="n">
        <f aca="false">F3239</f>
        <v>81312.1851883562</v>
      </c>
      <c r="G3401" s="58" t="n">
        <f aca="false">G3239</f>
        <v>124197.002568493</v>
      </c>
      <c r="H3401" s="2" t="s">
        <v>1395</v>
      </c>
    </row>
    <row r="3402" customFormat="false" ht="15" hidden="false" customHeight="false" outlineLevel="1" collapsed="false">
      <c r="A3402" s="7" t="s">
        <v>772</v>
      </c>
      <c r="B3402" s="8" t="s">
        <v>71</v>
      </c>
      <c r="C3402" s="55" t="n">
        <f aca="false">IF(C3333&gt;0,(C3336+C3338)/C3333,0)</f>
        <v>0</v>
      </c>
      <c r="D3402" s="55" t="n">
        <f aca="false">IF(D3333&gt;0,(D3336+D3338)/D3333,0)</f>
        <v>0.138888888888889</v>
      </c>
      <c r="E3402" s="55" t="n">
        <f aca="false">IF(E3333&gt;0,(E3336+E3338)/E3333,0)</f>
        <v>0.138888888888889</v>
      </c>
      <c r="F3402" s="55" t="n">
        <f aca="false">IF(F3333&gt;0,(F3336+F3338)/F3333,0)</f>
        <v>0.138888888888889</v>
      </c>
      <c r="G3402" s="55" t="n">
        <f aca="false">IF(G3333&gt;0,(G3336+G3338)/G3333,0)</f>
        <v>0.138888888888889</v>
      </c>
      <c r="H3402" s="2" t="s">
        <v>1396</v>
      </c>
    </row>
    <row r="3403" customFormat="false" ht="15" hidden="false" customHeight="false" outlineLevel="1" collapsed="false">
      <c r="A3403" s="7" t="s">
        <v>773</v>
      </c>
      <c r="B3403" s="8" t="s">
        <v>115</v>
      </c>
      <c r="C3403" s="58" t="n">
        <f aca="false">C3339</f>
        <v>0</v>
      </c>
      <c r="D3403" s="58" t="n">
        <f aca="false">D3339</f>
        <v>8.33737392123288</v>
      </c>
      <c r="E3403" s="58" t="n">
        <f aca="false">E3339</f>
        <v>15.1565225856164</v>
      </c>
      <c r="F3403" s="58" t="n">
        <f aca="false">F3339</f>
        <v>26.2060867294521</v>
      </c>
      <c r="G3403" s="58" t="n">
        <f aca="false">G3339</f>
        <v>40.015310239726</v>
      </c>
      <c r="H3403" s="2" t="s">
        <v>1397</v>
      </c>
    </row>
    <row r="3404" customFormat="false" ht="15" hidden="false" customHeight="false" outlineLevel="0" collapsed="false">
      <c r="A3404" s="3" t="s">
        <v>1398</v>
      </c>
      <c r="B3404" s="4"/>
      <c r="C3404" s="4"/>
      <c r="D3404" s="4"/>
      <c r="E3404" s="4"/>
      <c r="F3404" s="4"/>
      <c r="G3404" s="4"/>
      <c r="H3404" s="4"/>
    </row>
    <row r="3405" customFormat="false" ht="15" hidden="false" customHeight="false" outlineLevel="1" collapsed="false">
      <c r="A3405" s="7" t="s">
        <v>775</v>
      </c>
      <c r="B3405" s="8" t="s">
        <v>10</v>
      </c>
      <c r="C3405" s="58" t="n">
        <f aca="false">MAX(0,-C3307)</f>
        <v>695393.569256849</v>
      </c>
      <c r="D3405" s="58" t="n">
        <f aca="false">MAX(0,-D3307)</f>
        <v>699788.61528865</v>
      </c>
      <c r="E3405" s="58" t="n">
        <f aca="false">MAX(0,-E3307)</f>
        <v>749797.934001223</v>
      </c>
      <c r="F3405" s="58" t="n">
        <f aca="false">MAX(0,-F3307)</f>
        <v>720994.164743422</v>
      </c>
      <c r="G3405" s="58" t="n">
        <f aca="false">MAX(0,-G3307)</f>
        <v>652080.92749161</v>
      </c>
      <c r="H3405" s="2" t="s">
        <v>1399</v>
      </c>
    </row>
    <row r="3406" customFormat="false" ht="15" hidden="false" customHeight="false" outlineLevel="1" collapsed="false">
      <c r="A3406" s="2" t="s">
        <v>776</v>
      </c>
      <c r="B3406" s="8"/>
      <c r="C3406" s="58" t="n">
        <f aca="false">IF(AND(C3108&gt;=Pressupostos!$C$118,Pressupostos!$C$116*(C3196+C3197)+Pressupostos!$C$117*C3198&gt;Pressupostos!$C$295),1,0)</f>
        <v>0</v>
      </c>
      <c r="D3406" s="58" t="n">
        <f aca="false">IF(AND(D3108&gt;=Pressupostos!$C$118,Pressupostos!$C$116*(D3196+D3197)+Pressupostos!$C$117*D3198&gt;Pressupostos!$D$295),1,0)</f>
        <v>1</v>
      </c>
      <c r="E3406" s="58" t="n">
        <f aca="false">IF(AND(E3108&gt;=Pressupostos!$C$118,Pressupostos!$C$116*(E3196+E3197)+Pressupostos!$C$117*E3198&gt;Pressupostos!$E$295),1,0)</f>
        <v>1</v>
      </c>
      <c r="F3406" s="58" t="n">
        <f aca="false">IF(AND(F3108&gt;=Pressupostos!$C$118,Pressupostos!$C$116*(F3196+F3197)+Pressupostos!$C$117*F3198&gt;Pressupostos!$F$295),1,0)</f>
        <v>1</v>
      </c>
      <c r="G3406" s="58" t="n">
        <f aca="false">IF(AND(G3108&gt;=Pressupostos!$C$118,Pressupostos!$C$116*(G3196+G3197)+Pressupostos!$C$117*G3198&gt;Pressupostos!$G$295),1,0)</f>
        <v>1</v>
      </c>
      <c r="H3406" s="2" t="s">
        <v>1400</v>
      </c>
    </row>
    <row r="3407" customFormat="false" ht="15" hidden="false" customHeight="false" outlineLevel="1" collapsed="false">
      <c r="A3407" s="7" t="s">
        <v>777</v>
      </c>
      <c r="B3407" s="8" t="s">
        <v>59</v>
      </c>
      <c r="C3407" s="60" t="n">
        <f aca="false">IF(C3112&gt;0,C3405/(C3112*1000*(1-Pressupostos!$D$22)*(1-Pressupostos!$D$25-C3406*Pressupostos!$C$116)),"n/a")</f>
        <v>10.3178406411075</v>
      </c>
      <c r="D3407" s="60" t="n">
        <f aca="false">IF(D3112&gt;0,D3405/(D3112*1000*(1-Pressupostos!$D$22)*(1-Pressupostos!$D$25-D3406*Pressupostos!$C$116)),"n/a")</f>
        <v>1.49337077125949</v>
      </c>
      <c r="E3407" s="60" t="n">
        <f aca="false">IF(E3112&gt;0,E3405/(E3112*1000*(1-Pressupostos!$D$22)*(1-Pressupostos!$D$25-E3406*Pressupostos!$C$116)),"n/a")</f>
        <v>0.810088529805433</v>
      </c>
      <c r="F3407" s="60" t="n">
        <f aca="false">IF(F3112&gt;0,F3405/(F3112*1000*(1-Pressupostos!$D$22)*(1-Pressupostos!$D$25-F3406*Pressupostos!$C$116)),"n/a")</f>
        <v>0.4721221806717</v>
      </c>
      <c r="G3407" s="60" t="n">
        <f aca="false">IF(G3112&gt;0,G3405/(G3112*1000*(1-Pressupostos!$D$22)*(1-Pressupostos!$D$25-G3406*Pressupostos!$C$116)),"n/a")</f>
        <v>0.282199257064865</v>
      </c>
      <c r="H3407" s="2" t="s">
        <v>1401</v>
      </c>
    </row>
    <row r="3408" customFormat="false" ht="15" hidden="false" customHeight="false" outlineLevel="1" collapsed="false">
      <c r="A3408" s="7" t="s">
        <v>778</v>
      </c>
      <c r="B3408" s="8" t="s">
        <v>59</v>
      </c>
      <c r="C3408" s="60" t="n">
        <f aca="false">IF(C3111&gt;0,Pressupostos!$D$15+C3405/(C3111*1000*(1-Pressupostos!$D$16)*(1-Pressupostos!$D$18-C3406*Pressupostos!$C$116)),"n/a")</f>
        <v>80.3926405932227</v>
      </c>
      <c r="D3408" s="60" t="n">
        <f aca="false">IF(D3111&gt;0,Pressupostos!$D$15+D3405/(D3111*1000*(1-Pressupostos!$D$16)*(1-Pressupostos!$D$18-D3406*Pressupostos!$C$116)),"n/a")</f>
        <v>21.9784173518192</v>
      </c>
      <c r="E3408" s="60" t="n">
        <f aca="false">IF(E3111&gt;0,Pressupostos!$D$15+E3405/(E3111*1000*(1-Pressupostos!$D$16)*(1-Pressupostos!$D$18-E3406*Pressupostos!$C$116)),"n/a")</f>
        <v>10.5171142632626</v>
      </c>
      <c r="F3408" s="60" t="n">
        <f aca="false">IF(F3111&gt;0,Pressupostos!$D$15+F3405/(F3111*1000*(1-Pressupostos!$D$16)*(1-Pressupostos!$D$18-F3406*Pressupostos!$C$116)),"n/a")</f>
        <v>7.98130680906644</v>
      </c>
      <c r="G3408" s="60" t="n">
        <f aca="false">IF(G3111&gt;0,Pressupostos!$D$15+G3405/(G3111*1000*(1-Pressupostos!$D$16)*(1-Pressupostos!$D$18-G3406*Pressupostos!$C$116)),"n/a")</f>
        <v>7.02308235048338</v>
      </c>
      <c r="H3408" s="2" t="s">
        <v>1402</v>
      </c>
    </row>
    <row r="3409" customFormat="false" ht="15" hidden="false" customHeight="false" outlineLevel="1" collapsed="false">
      <c r="A3409" s="7" t="s">
        <v>779</v>
      </c>
      <c r="B3409" s="8" t="s">
        <v>59</v>
      </c>
      <c r="C3409" s="60" t="n">
        <f aca="false">C3192-C3406*Pressupostos!$C$117*C3175</f>
        <v>0.058762328767124</v>
      </c>
      <c r="D3409" s="60" t="n">
        <f aca="false">D3192-D3406*Pressupostos!$C$117*D3175</f>
        <v>0.0255719178082197</v>
      </c>
      <c r="E3409" s="60" t="n">
        <f aca="false">E3192-E3406*Pressupostos!$C$117*E3175</f>
        <v>0.0271900684931515</v>
      </c>
      <c r="F3409" s="60" t="n">
        <f aca="false">F3192-F3406*Pressupostos!$C$117*F3175</f>
        <v>0.0288082191780828</v>
      </c>
      <c r="G3409" s="60" t="n">
        <f aca="false">G3192-G3406*Pressupostos!$C$117*G3175</f>
        <v>0.0288082191780828</v>
      </c>
      <c r="H3409" s="2" t="s">
        <v>1403</v>
      </c>
    </row>
    <row r="3410" customFormat="false" ht="15" hidden="false" customHeight="false" outlineLevel="1" collapsed="false">
      <c r="A3410" s="7" t="s">
        <v>780</v>
      </c>
      <c r="B3410" s="8" t="s">
        <v>112</v>
      </c>
      <c r="C3410" s="57" t="n">
        <f aca="false">IF(C3409&gt;0,C3113+C3405/(C3409*1000),"n/a")</f>
        <v>11834.002903675</v>
      </c>
      <c r="D3410" s="57" t="n">
        <f aca="false">IF(D3409&gt;0,D3113+D3405/(D3409*1000),"n/a")</f>
        <v>27365.5116732666</v>
      </c>
      <c r="E3410" s="57" t="n">
        <f aca="false">IF(E3409&gt;0,E3113+E3405/(E3409*1000),"n/a")</f>
        <v>27576.169371919</v>
      </c>
      <c r="F3410" s="57" t="n">
        <f aca="false">IF(F3409&gt;0,F3113+F3405/(F3409*1000),"n/a")</f>
        <v>25027.3770928524</v>
      </c>
      <c r="G3410" s="57" t="n">
        <f aca="false">IF(G3409&gt;0,G3113+G3405/(G3409*1000),"n/a")</f>
        <v>22635.239042742</v>
      </c>
      <c r="H3410" s="2" t="s">
        <v>1404</v>
      </c>
    </row>
    <row r="3411" customFormat="false" ht="15" hidden="false" customHeight="false" outlineLevel="1" collapsed="false">
      <c r="A3411" s="7" t="s">
        <v>781</v>
      </c>
      <c r="B3411" s="8" t="s">
        <v>71</v>
      </c>
      <c r="C3411" s="55" t="n">
        <f aca="false">C3405/(C3271+C3284+C3285)</f>
        <v>0.965843727004224</v>
      </c>
      <c r="D3411" s="55" t="n">
        <f aca="false">D3405/(D3271+D3284+D3285)</f>
        <v>0.849637594062493</v>
      </c>
      <c r="E3411" s="55" t="n">
        <f aca="false">E3405/(E3271+E3284+E3285)</f>
        <v>0.698027570784155</v>
      </c>
      <c r="F3411" s="55" t="n">
        <f aca="false">F3405/(F3271+F3284+F3285)</f>
        <v>0.552426638422658</v>
      </c>
      <c r="G3411" s="55" t="n">
        <f aca="false">G3405/(G3271+G3284+G3285)</f>
        <v>0.417692200181842</v>
      </c>
      <c r="H3411" s="2" t="s">
        <v>1405</v>
      </c>
    </row>
    <row r="3412" customFormat="false" ht="15" hidden="false" customHeight="false" outlineLevel="1" collapsed="false">
      <c r="A3412" s="2" t="s">
        <v>782</v>
      </c>
      <c r="B3412" s="8" t="s">
        <v>71</v>
      </c>
      <c r="C3412" s="56" t="n">
        <f aca="false">Pressupostos!$C$99*Pressupostos!$C$100+Pressupostos!$C$101-Pressupostos!$D$30*Pressupostos!$C$102*Pressupostos!$C$100/(Pressupostos!$C$103*Pressupostos!$C$104)</f>
        <v>0.00354285714285715</v>
      </c>
      <c r="D3412" s="56" t="n">
        <f aca="false">Pressupostos!$C$99*Pressupostos!$C$100+Pressupostos!$C$101-Pressupostos!$D$30*Pressupostos!$C$102*Pressupostos!$C$100/(Pressupostos!$C$103*Pressupostos!$C$104)</f>
        <v>0.00354285714285715</v>
      </c>
      <c r="E3412" s="56" t="n">
        <f aca="false">Pressupostos!$C$99*Pressupostos!$C$100+Pressupostos!$C$101-Pressupostos!$D$30*Pressupostos!$C$102*Pressupostos!$C$100/(Pressupostos!$C$103*Pressupostos!$C$104)</f>
        <v>0.00354285714285715</v>
      </c>
      <c r="F3412" s="56" t="n">
        <f aca="false">Pressupostos!$C$99*Pressupostos!$C$100+Pressupostos!$C$101-Pressupostos!$D$30*Pressupostos!$C$102*Pressupostos!$C$100/(Pressupostos!$C$103*Pressupostos!$C$104)</f>
        <v>0.00354285714285715</v>
      </c>
      <c r="G3412" s="56" t="n">
        <f aca="false">Pressupostos!$C$99*Pressupostos!$C$100+Pressupostos!$C$101-Pressupostos!$D$30*Pressupostos!$C$102*Pressupostos!$C$100/(Pressupostos!$C$103*Pressupostos!$C$104)</f>
        <v>0.00354285714285715</v>
      </c>
      <c r="H3412" s="2" t="s">
        <v>1406</v>
      </c>
    </row>
    <row r="3413" customFormat="false" ht="15" hidden="false" customHeight="false" outlineLevel="1" collapsed="false">
      <c r="A3413" s="7" t="s">
        <v>783</v>
      </c>
      <c r="B3413" s="8" t="s">
        <v>10</v>
      </c>
      <c r="C3413" s="58" t="n">
        <f aca="false">IF(C3412&gt;0,C3124+C3405/C3412,"n/a")</f>
        <v>196280442.935401</v>
      </c>
      <c r="D3413" s="58" t="n">
        <f aca="false">IF(D3412&gt;0,D3124+D3405/D3412,"n/a")</f>
        <v>198520980.121796</v>
      </c>
      <c r="E3413" s="58" t="n">
        <f aca="false">IF(E3412&gt;0,E3124+E3405/E3412,"n/a")</f>
        <v>214636513.629377</v>
      </c>
      <c r="F3413" s="58" t="n">
        <f aca="false">IF(F3412&gt;0,F3124+F3405/F3412,"n/a")</f>
        <v>209506417.467901</v>
      </c>
      <c r="G3413" s="58" t="n">
        <f aca="false">IF(G3412&gt;0,G3124+G3405/G3412,"n/a")</f>
        <v>194055100.501664</v>
      </c>
      <c r="H3413" s="2" t="s">
        <v>1407</v>
      </c>
    </row>
    <row r="3416" customFormat="false" ht="15" hidden="false" customHeight="false" outlineLevel="0" collapsed="false">
      <c r="A3416" s="104" t="s">
        <v>1418</v>
      </c>
      <c r="B3416" s="105"/>
      <c r="C3416" s="105"/>
      <c r="D3416" s="105"/>
      <c r="E3416" s="105"/>
      <c r="F3416" s="105"/>
      <c r="G3416" s="105"/>
      <c r="H3416" s="105"/>
    </row>
    <row r="3417" customFormat="false" ht="15" hidden="false" customHeight="false" outlineLevel="0" collapsed="false">
      <c r="A3417" s="3" t="s">
        <v>1102</v>
      </c>
      <c r="B3417" s="4"/>
      <c r="C3417" s="4"/>
      <c r="D3417" s="4"/>
      <c r="E3417" s="4"/>
      <c r="F3417" s="4"/>
      <c r="G3417" s="4"/>
      <c r="H3417" s="4"/>
    </row>
    <row r="3418" customFormat="false" ht="15" hidden="false" customHeight="false" outlineLevel="1" collapsed="false">
      <c r="A3418" s="7" t="s">
        <v>557</v>
      </c>
      <c r="B3418" s="8"/>
      <c r="C3418" s="49" t="n">
        <v>2027</v>
      </c>
      <c r="D3418" s="49" t="n">
        <v>2028</v>
      </c>
      <c r="E3418" s="49" t="n">
        <v>2029</v>
      </c>
      <c r="F3418" s="49" t="n">
        <v>2030</v>
      </c>
      <c r="G3418" s="49" t="n">
        <v>2031</v>
      </c>
      <c r="H3418" s="2" t="s">
        <v>18</v>
      </c>
    </row>
    <row r="3419" customFormat="false" ht="15" hidden="false" customHeight="false" outlineLevel="0" collapsed="false">
      <c r="A3419" s="3" t="s">
        <v>1103</v>
      </c>
      <c r="B3419" s="4"/>
      <c r="C3419" s="4"/>
      <c r="D3419" s="4"/>
      <c r="E3419" s="4"/>
      <c r="F3419" s="4"/>
      <c r="G3419" s="4"/>
      <c r="H3419" s="4"/>
    </row>
    <row r="3420" customFormat="false" ht="15" hidden="false" customHeight="false" outlineLevel="1" collapsed="false">
      <c r="A3420" s="7" t="s">
        <v>372</v>
      </c>
      <c r="B3420" s="8" t="s">
        <v>115</v>
      </c>
      <c r="C3420" s="50" t="n">
        <f aca="false">Pressupostos!$C$210</f>
        <v>40</v>
      </c>
      <c r="D3420" s="50" t="n">
        <f aca="false">Pressupostos!$D$210</f>
        <v>150</v>
      </c>
      <c r="E3420" s="50" t="n">
        <f aca="false">Pressupostos!$E$210</f>
        <v>400</v>
      </c>
      <c r="F3420" s="50" t="n">
        <f aca="false">Pressupostos!$F$210</f>
        <v>700</v>
      </c>
      <c r="G3420" s="50" t="n">
        <f aca="false">Pressupostos!$G$210</f>
        <v>1000</v>
      </c>
      <c r="H3420" s="2" t="s">
        <v>1104</v>
      </c>
    </row>
    <row r="3421" customFormat="false" ht="15" hidden="false" customHeight="false" outlineLevel="1" collapsed="false">
      <c r="A3421" s="7" t="s">
        <v>559</v>
      </c>
      <c r="B3421" s="8" t="s">
        <v>112</v>
      </c>
      <c r="C3421" s="51" t="n">
        <f aca="false">Pressupostos!$C$216</f>
        <v>8.2</v>
      </c>
      <c r="D3421" s="51" t="n">
        <f aca="false">Pressupostos!$D$216</f>
        <v>30.75</v>
      </c>
      <c r="E3421" s="51" t="n">
        <f aca="false">Pressupostos!$E$216</f>
        <v>82</v>
      </c>
      <c r="F3421" s="51" t="n">
        <f aca="false">Pressupostos!$F$216</f>
        <v>143.5</v>
      </c>
      <c r="G3421" s="51" t="n">
        <f aca="false">Pressupostos!$G$216</f>
        <v>205</v>
      </c>
      <c r="H3421" s="2" t="s">
        <v>1105</v>
      </c>
    </row>
    <row r="3422" customFormat="false" ht="15" hidden="false" customHeight="false" outlineLevel="1" collapsed="false">
      <c r="A3422" s="7" t="s">
        <v>560</v>
      </c>
      <c r="B3422" s="8" t="s">
        <v>112</v>
      </c>
      <c r="C3422" s="51" t="n">
        <f aca="false">Pressupostos!$C$222</f>
        <v>52</v>
      </c>
      <c r="D3422" s="51" t="n">
        <f aca="false">Pressupostos!$D$222</f>
        <v>363</v>
      </c>
      <c r="E3422" s="51" t="n">
        <f aca="false">Pressupostos!$E$222</f>
        <v>717</v>
      </c>
      <c r="F3422" s="51" t="n">
        <f aca="false">Pressupostos!$F$222</f>
        <v>1183</v>
      </c>
      <c r="G3422" s="51" t="n">
        <f aca="false">Pressupostos!$G$222</f>
        <v>1790</v>
      </c>
      <c r="H3422" s="2" t="s">
        <v>1106</v>
      </c>
    </row>
    <row r="3423" customFormat="false" ht="15" hidden="false" customHeight="false" outlineLevel="1" collapsed="false">
      <c r="A3423" s="7" t="s">
        <v>383</v>
      </c>
      <c r="B3423" s="8" t="s">
        <v>112</v>
      </c>
      <c r="C3423" s="51" t="n">
        <f aca="false">Pressupostos!$C$228</f>
        <v>0</v>
      </c>
      <c r="D3423" s="51" t="n">
        <f aca="false">Pressupostos!$D$228</f>
        <v>500</v>
      </c>
      <c r="E3423" s="51" t="n">
        <f aca="false">Pressupostos!$E$228</f>
        <v>1500</v>
      </c>
      <c r="F3423" s="51" t="n">
        <f aca="false">Pressupostos!$F$228</f>
        <v>2500</v>
      </c>
      <c r="G3423" s="51" t="n">
        <f aca="false">Pressupostos!$G$228</f>
        <v>3500</v>
      </c>
      <c r="H3423" s="2" t="s">
        <v>1107</v>
      </c>
    </row>
    <row r="3424" customFormat="false" ht="15" hidden="false" customHeight="false" outlineLevel="1" collapsed="false">
      <c r="A3424" s="52" t="s">
        <v>561</v>
      </c>
      <c r="B3424" s="53" t="s">
        <v>112</v>
      </c>
      <c r="C3424" s="54" t="n">
        <f aca="false">C3421+C3422+C3423</f>
        <v>60.2</v>
      </c>
      <c r="D3424" s="54" t="n">
        <f aca="false">D3421+D3422+D3423</f>
        <v>893.75</v>
      </c>
      <c r="E3424" s="54" t="n">
        <f aca="false">E3421+E3422+E3423</f>
        <v>2299</v>
      </c>
      <c r="F3424" s="54" t="n">
        <f aca="false">F3421+F3422+F3423</f>
        <v>3826.5</v>
      </c>
      <c r="G3424" s="54" t="n">
        <f aca="false">G3421+G3422+G3423</f>
        <v>5495</v>
      </c>
      <c r="H3424" s="2" t="s">
        <v>1108</v>
      </c>
    </row>
    <row r="3425" customFormat="false" ht="15" hidden="false" customHeight="false" outlineLevel="1" collapsed="false">
      <c r="A3425" s="7" t="s">
        <v>562</v>
      </c>
      <c r="B3425" s="8" t="s">
        <v>71</v>
      </c>
      <c r="C3425" s="55" t="n">
        <f aca="false">IF(C3424&gt;0,C3421/C3424,0)</f>
        <v>0.136212624584718</v>
      </c>
      <c r="D3425" s="55" t="n">
        <f aca="false">IF(D3424&gt;0,D3421/D3424,0)</f>
        <v>0.0344055944055944</v>
      </c>
      <c r="E3425" s="55" t="n">
        <f aca="false">IF(E3424&gt;0,E3421/E3424,0)</f>
        <v>0.035667681600696</v>
      </c>
      <c r="F3425" s="55" t="n">
        <f aca="false">IF(F3424&gt;0,F3421/F3424,0)</f>
        <v>0.0375016333464001</v>
      </c>
      <c r="G3425" s="55" t="n">
        <f aca="false">IF(G3424&gt;0,G3421/G3424,0)</f>
        <v>0.0373066424021838</v>
      </c>
      <c r="H3425" s="2" t="s">
        <v>1109</v>
      </c>
    </row>
    <row r="3426" customFormat="false" ht="15" hidden="false" customHeight="false" outlineLevel="1" collapsed="false">
      <c r="A3426" s="7" t="s">
        <v>563</v>
      </c>
      <c r="B3426" s="8" t="s">
        <v>71</v>
      </c>
      <c r="C3426" s="56" t="n">
        <f aca="false">C3424/(Pressupostos!$C$74*1000)</f>
        <v>0.000344</v>
      </c>
      <c r="D3426" s="56" t="n">
        <f aca="false">D3424/(Pressupostos!$C$74*1000)</f>
        <v>0.00510714285714286</v>
      </c>
      <c r="E3426" s="56" t="n">
        <f aca="false">E3424/(Pressupostos!$C$74*1000)</f>
        <v>0.0131371428571429</v>
      </c>
      <c r="F3426" s="56" t="n">
        <f aca="false">F3424/(Pressupostos!$C$74*1000)</f>
        <v>0.0218657142857143</v>
      </c>
      <c r="G3426" s="56" t="n">
        <f aca="false">G3424/(Pressupostos!$C$74*1000)</f>
        <v>0.0314</v>
      </c>
      <c r="H3426" s="2" t="s">
        <v>1110</v>
      </c>
    </row>
    <row r="3427" customFormat="false" ht="15" hidden="false" customHeight="false" outlineLevel="1" collapsed="false">
      <c r="A3427" s="7" t="s">
        <v>564</v>
      </c>
      <c r="B3427" s="8" t="s">
        <v>115</v>
      </c>
      <c r="C3427" s="57" t="n">
        <f aca="false">C3421/Pressupostos!$C$39+C3422/Pressupostos!$C$46+C3423/Pressupostos!$C$58</f>
        <v>2.14333333333333</v>
      </c>
      <c r="D3427" s="57" t="n">
        <f aca="false">D3421/Pressupostos!$C$39+D3422/Pressupostos!$C$46+D3423/Pressupostos!$C$58</f>
        <v>18.6375</v>
      </c>
      <c r="E3427" s="57" t="n">
        <f aca="false">E3421/Pressupostos!$C$39+E3422/Pressupostos!$C$46+E3423/Pressupostos!$C$58</f>
        <v>43</v>
      </c>
      <c r="F3427" s="57" t="n">
        <f aca="false">F3421/Pressupostos!$C$39+F3422/Pressupostos!$C$46+F3423/Pressupostos!$C$58</f>
        <v>71.6083333333333</v>
      </c>
      <c r="G3427" s="57" t="n">
        <f aca="false">G3421/Pressupostos!$C$39+G3422/Pressupostos!$C$46+G3423/Pressupostos!$C$58</f>
        <v>104.916666666667</v>
      </c>
      <c r="H3427" s="2" t="s">
        <v>1111</v>
      </c>
    </row>
    <row r="3428" customFormat="false" ht="15" hidden="false" customHeight="false" outlineLevel="0" collapsed="false">
      <c r="A3428" s="3" t="s">
        <v>1112</v>
      </c>
      <c r="B3428" s="4"/>
      <c r="C3428" s="4"/>
      <c r="D3428" s="4"/>
      <c r="E3428" s="4"/>
      <c r="F3428" s="4"/>
      <c r="G3428" s="4"/>
      <c r="H3428" s="4"/>
    </row>
    <row r="3429" customFormat="false" ht="15" hidden="false" customHeight="false" outlineLevel="1" collapsed="false">
      <c r="A3429" s="7" t="s">
        <v>566</v>
      </c>
      <c r="B3429" s="8" t="s">
        <v>192</v>
      </c>
      <c r="C3429" s="50" t="n">
        <f aca="false">Pressupostos!$C$254</f>
        <v>36</v>
      </c>
      <c r="D3429" s="50" t="n">
        <f aca="false">Pressupostos!$D$254</f>
        <v>135</v>
      </c>
      <c r="E3429" s="50" t="n">
        <f aca="false">Pressupostos!$E$254</f>
        <v>360</v>
      </c>
      <c r="F3429" s="50" t="n">
        <f aca="false">Pressupostos!$F$254</f>
        <v>630</v>
      </c>
      <c r="G3429" s="50" t="n">
        <f aca="false">Pressupostos!$G$254</f>
        <v>900</v>
      </c>
      <c r="H3429" s="2" t="s">
        <v>1113</v>
      </c>
    </row>
    <row r="3430" customFormat="false" ht="15" hidden="false" customHeight="false" outlineLevel="1" collapsed="false">
      <c r="A3430" s="7" t="s">
        <v>566</v>
      </c>
      <c r="B3430" s="8" t="s">
        <v>179</v>
      </c>
      <c r="C3430" s="58" t="n">
        <f aca="false">C3429*Pressupostos!$C$76</f>
        <v>27000</v>
      </c>
      <c r="D3430" s="58" t="n">
        <f aca="false">D3429*Pressupostos!$C$76</f>
        <v>101250</v>
      </c>
      <c r="E3430" s="58" t="n">
        <f aca="false">E3429*Pressupostos!$C$76</f>
        <v>270000</v>
      </c>
      <c r="F3430" s="58" t="n">
        <f aca="false">F3429*Pressupostos!$C$76</f>
        <v>472500</v>
      </c>
      <c r="G3430" s="58" t="n">
        <f aca="false">G3429*Pressupostos!$C$76</f>
        <v>675000</v>
      </c>
      <c r="H3430" s="2" t="s">
        <v>1114</v>
      </c>
    </row>
    <row r="3431" customFormat="false" ht="15" hidden="false" customHeight="false" outlineLevel="0" collapsed="false">
      <c r="A3431" s="3" t="s">
        <v>1115</v>
      </c>
      <c r="B3431" s="4"/>
      <c r="C3431" s="4"/>
      <c r="D3431" s="4"/>
      <c r="E3431" s="4"/>
      <c r="F3431" s="4"/>
      <c r="G3431" s="4"/>
      <c r="H3431" s="4"/>
    </row>
    <row r="3432" customFormat="false" ht="15" hidden="false" customHeight="false" outlineLevel="1" collapsed="false">
      <c r="A3432" s="7" t="s">
        <v>568</v>
      </c>
      <c r="B3432" s="8" t="s">
        <v>112</v>
      </c>
      <c r="C3432" s="57" t="n">
        <f aca="false">IF(C3418&lt;Pressupostos!$F$28,0,Pressupostos!$C$260)</f>
        <v>0</v>
      </c>
      <c r="D3432" s="57" t="n">
        <f aca="false">IF(D3418&lt;Pressupostos!$F$28,0,Pressupostos!$D$260)</f>
        <v>0</v>
      </c>
      <c r="E3432" s="57" t="n">
        <f aca="false">IF(E3418&lt;Pressupostos!$F$28,0,Pressupostos!$E$260)</f>
        <v>0</v>
      </c>
      <c r="F3432" s="57" t="n">
        <f aca="false">IF(F3418&lt;Pressupostos!$F$28,0,Pressupostos!$F$260)</f>
        <v>20</v>
      </c>
      <c r="G3432" s="57" t="n">
        <f aca="false">IF(G3418&lt;Pressupostos!$F$28,0,Pressupostos!$G$260)</f>
        <v>50</v>
      </c>
      <c r="H3432" s="2" t="s">
        <v>1116</v>
      </c>
    </row>
    <row r="3433" customFormat="false" ht="15" hidden="false" customHeight="false" outlineLevel="0" collapsed="false">
      <c r="A3433" s="3" t="s">
        <v>1117</v>
      </c>
      <c r="B3433" s="4"/>
      <c r="C3433" s="4"/>
      <c r="D3433" s="4"/>
      <c r="E3433" s="4"/>
      <c r="F3433" s="4"/>
      <c r="G3433" s="4"/>
      <c r="H3433" s="4"/>
    </row>
    <row r="3434" customFormat="false" ht="15" hidden="false" customHeight="false" outlineLevel="1" collapsed="false">
      <c r="A3434" s="7" t="s">
        <v>570</v>
      </c>
      <c r="B3434" s="8" t="s">
        <v>10</v>
      </c>
      <c r="C3434" s="50" t="n">
        <f aca="false">Pressupostos!$C$266</f>
        <v>0</v>
      </c>
      <c r="D3434" s="50" t="n">
        <f aca="false">Pressupostos!$D$266</f>
        <v>500000</v>
      </c>
      <c r="E3434" s="50" t="n">
        <f aca="false">Pressupostos!$E$266</f>
        <v>1500000</v>
      </c>
      <c r="F3434" s="50" t="n">
        <f aca="false">Pressupostos!$F$266</f>
        <v>3000000</v>
      </c>
      <c r="G3434" s="50" t="n">
        <f aca="false">Pressupostos!$G$266</f>
        <v>5000000</v>
      </c>
      <c r="H3434" s="2" t="s">
        <v>1118</v>
      </c>
    </row>
    <row r="3435" customFormat="false" ht="15" hidden="false" customHeight="false" outlineLevel="1" collapsed="false">
      <c r="A3435" s="7" t="s">
        <v>571</v>
      </c>
      <c r="B3435" s="8" t="s">
        <v>112</v>
      </c>
      <c r="C3435" s="57" t="n">
        <f aca="false">C3434/(Pressupostos!$C$103*Pressupostos!$C$104)*Pressupostos!$C$100/1000</f>
        <v>0</v>
      </c>
      <c r="D3435" s="57" t="n">
        <f aca="false">D3434/(Pressupostos!$C$103*Pressupostos!$C$104)*Pressupostos!$C$100/1000</f>
        <v>457.142857142857</v>
      </c>
      <c r="E3435" s="57" t="n">
        <f aca="false">E3434/(Pressupostos!$C$103*Pressupostos!$C$104)*Pressupostos!$C$100/1000</f>
        <v>1371.42857142857</v>
      </c>
      <c r="F3435" s="57" t="n">
        <f aca="false">F3434/(Pressupostos!$C$103*Pressupostos!$C$104)*Pressupostos!$C$100/1000</f>
        <v>2742.85714285714</v>
      </c>
      <c r="G3435" s="57" t="n">
        <f aca="false">G3434/(Pressupostos!$C$103*Pressupostos!$C$104)*Pressupostos!$C$100/1000</f>
        <v>4571.42857142857</v>
      </c>
      <c r="H3435" s="2" t="s">
        <v>1119</v>
      </c>
    </row>
    <row r="3436" customFormat="false" ht="15" hidden="false" customHeight="false" outlineLevel="0" collapsed="false">
      <c r="A3436" s="3" t="s">
        <v>1120</v>
      </c>
      <c r="B3436" s="4"/>
      <c r="C3436" s="4"/>
      <c r="D3436" s="4"/>
      <c r="E3436" s="4"/>
      <c r="F3436" s="4"/>
      <c r="G3436" s="4"/>
      <c r="H3436" s="4"/>
    </row>
    <row r="3437" customFormat="false" ht="15" hidden="false" customHeight="false" outlineLevel="1" collapsed="false">
      <c r="A3437" s="7" t="s">
        <v>633</v>
      </c>
      <c r="B3437" s="8" t="s">
        <v>59</v>
      </c>
      <c r="C3437" s="60" t="n">
        <f aca="false">Pressupostos!$F$10+Pressupostos!$F$11</f>
        <v>3.65</v>
      </c>
      <c r="D3437" s="60" t="n">
        <f aca="false">Pressupostos!$F$10+Pressupostos!$F$11</f>
        <v>3.65</v>
      </c>
      <c r="E3437" s="60" t="n">
        <f aca="false">Pressupostos!$F$10+Pressupostos!$F$11</f>
        <v>3.65</v>
      </c>
      <c r="F3437" s="60" t="n">
        <f aca="false">Pressupostos!$F$10+Pressupostos!$F$11</f>
        <v>3.65</v>
      </c>
      <c r="G3437" s="60" t="n">
        <f aca="false">Pressupostos!$F$10+Pressupostos!$F$11</f>
        <v>3.65</v>
      </c>
      <c r="H3437" s="2" t="s">
        <v>1121</v>
      </c>
    </row>
    <row r="3438" customFormat="false" ht="15" hidden="false" customHeight="false" outlineLevel="1" collapsed="false">
      <c r="A3438" s="7" t="s">
        <v>634</v>
      </c>
      <c r="B3438" s="8" t="s">
        <v>59</v>
      </c>
      <c r="C3438" s="63" t="n">
        <f aca="false">Pressupostos!$F$15</f>
        <v>6</v>
      </c>
      <c r="D3438" s="63" t="n">
        <f aca="false">Pressupostos!$F$15</f>
        <v>6</v>
      </c>
      <c r="E3438" s="63" t="n">
        <f aca="false">Pressupostos!$F$15</f>
        <v>6</v>
      </c>
      <c r="F3438" s="63" t="n">
        <f aca="false">Pressupostos!$F$15</f>
        <v>6</v>
      </c>
      <c r="G3438" s="63" t="n">
        <f aca="false">Pressupostos!$F$15</f>
        <v>6</v>
      </c>
      <c r="H3438" s="2" t="s">
        <v>1122</v>
      </c>
    </row>
    <row r="3439" customFormat="false" ht="15" hidden="false" customHeight="false" outlineLevel="1" collapsed="false">
      <c r="A3439" s="52" t="s">
        <v>635</v>
      </c>
      <c r="B3439" s="53" t="s">
        <v>59</v>
      </c>
      <c r="C3439" s="64" t="n">
        <f aca="false">C3438*(1-(Pressupostos!$C$189))</f>
        <v>5.4</v>
      </c>
      <c r="D3439" s="64" t="n">
        <f aca="false">D3438*(1-(Pressupostos!$C$189))</f>
        <v>5.4</v>
      </c>
      <c r="E3439" s="64" t="n">
        <f aca="false">E3438*(1-(Pressupostos!$C$189))</f>
        <v>5.4</v>
      </c>
      <c r="F3439" s="64" t="n">
        <f aca="false">F3438*(1-(Pressupostos!$C$189))</f>
        <v>5.4</v>
      </c>
      <c r="G3439" s="64" t="n">
        <f aca="false">G3438*(1-(Pressupostos!$C$189))</f>
        <v>5.4</v>
      </c>
      <c r="H3439" s="2" t="s">
        <v>1123</v>
      </c>
    </row>
    <row r="3440" customFormat="false" ht="15" hidden="false" customHeight="false" outlineLevel="1" collapsed="false">
      <c r="A3440" s="7" t="s">
        <v>136</v>
      </c>
      <c r="B3440" s="8" t="s">
        <v>59</v>
      </c>
      <c r="C3440" s="63" t="n">
        <f aca="false">Pressupostos!$C$37</f>
        <v>0.55</v>
      </c>
      <c r="D3440" s="63" t="n">
        <f aca="false">Pressupostos!$C$37</f>
        <v>0.55</v>
      </c>
      <c r="E3440" s="63" t="n">
        <f aca="false">Pressupostos!$C$37</f>
        <v>0.55</v>
      </c>
      <c r="F3440" s="63" t="n">
        <f aca="false">Pressupostos!$C$37</f>
        <v>0.55</v>
      </c>
      <c r="G3440" s="63" t="n">
        <f aca="false">Pressupostos!$C$37</f>
        <v>0.55</v>
      </c>
      <c r="H3440" s="2" t="s">
        <v>1124</v>
      </c>
    </row>
    <row r="3441" customFormat="false" ht="15" hidden="false" customHeight="false" outlineLevel="1" collapsed="false">
      <c r="A3441" s="7" t="s">
        <v>205</v>
      </c>
      <c r="B3441" s="8" t="s">
        <v>59</v>
      </c>
      <c r="C3441" s="63" t="n">
        <f aca="false">Pressupostos!$C$235</f>
        <v>0.3</v>
      </c>
      <c r="D3441" s="63" t="n">
        <f aca="false">Pressupostos!$D$235</f>
        <v>0.3</v>
      </c>
      <c r="E3441" s="63" t="n">
        <f aca="false">Pressupostos!$E$235</f>
        <v>0.28</v>
      </c>
      <c r="F3441" s="63" t="n">
        <f aca="false">Pressupostos!$F$235</f>
        <v>0.27</v>
      </c>
      <c r="G3441" s="63" t="n">
        <f aca="false">Pressupostos!$G$235</f>
        <v>0.27</v>
      </c>
      <c r="H3441" s="2" t="s">
        <v>1125</v>
      </c>
    </row>
    <row r="3442" customFormat="false" ht="15" hidden="false" customHeight="false" outlineLevel="1" collapsed="false">
      <c r="A3442" s="7" t="s">
        <v>109</v>
      </c>
      <c r="B3442" s="8" t="s">
        <v>59</v>
      </c>
      <c r="C3442" s="63" t="n">
        <f aca="false">Pressupostos!$C$38</f>
        <v>0.06</v>
      </c>
      <c r="D3442" s="63" t="n">
        <f aca="false">Pressupostos!$C$38</f>
        <v>0.06</v>
      </c>
      <c r="E3442" s="63" t="n">
        <f aca="false">Pressupostos!$C$38</f>
        <v>0.06</v>
      </c>
      <c r="F3442" s="63" t="n">
        <f aca="false">Pressupostos!$C$38</f>
        <v>0.06</v>
      </c>
      <c r="G3442" s="63" t="n">
        <f aca="false">Pressupostos!$C$38</f>
        <v>0.06</v>
      </c>
      <c r="H3442" s="2" t="s">
        <v>1126</v>
      </c>
    </row>
    <row r="3443" customFormat="false" ht="15" hidden="false" customHeight="false" outlineLevel="1" collapsed="false">
      <c r="A3443" s="7" t="s">
        <v>86</v>
      </c>
      <c r="B3443" s="8" t="s">
        <v>74</v>
      </c>
      <c r="C3443" s="65" t="n">
        <f aca="false">Pressupostos!$C$241</f>
        <v>180</v>
      </c>
      <c r="D3443" s="65" t="n">
        <f aca="false">Pressupostos!$D$241</f>
        <v>180</v>
      </c>
      <c r="E3443" s="65" t="n">
        <f aca="false">Pressupostos!$E$241</f>
        <v>45</v>
      </c>
      <c r="F3443" s="65" t="n">
        <f aca="false">Pressupostos!$F$241</f>
        <v>45</v>
      </c>
      <c r="G3443" s="65" t="n">
        <f aca="false">Pressupostos!$G$241</f>
        <v>45</v>
      </c>
      <c r="H3443" s="2" t="s">
        <v>1127</v>
      </c>
    </row>
    <row r="3444" customFormat="false" ht="15" hidden="false" customHeight="false" outlineLevel="1" collapsed="false">
      <c r="A3444" s="7" t="s">
        <v>73</v>
      </c>
      <c r="B3444" s="8" t="s">
        <v>74</v>
      </c>
      <c r="C3444" s="65" t="n">
        <f aca="false">Pressupostos!$F$17</f>
        <v>35</v>
      </c>
      <c r="D3444" s="65" t="n">
        <f aca="false">Pressupostos!$F$17</f>
        <v>35</v>
      </c>
      <c r="E3444" s="65" t="n">
        <f aca="false">Pressupostos!$F$17</f>
        <v>35</v>
      </c>
      <c r="F3444" s="65" t="n">
        <f aca="false">Pressupostos!$F$17</f>
        <v>35</v>
      </c>
      <c r="G3444" s="65" t="n">
        <f aca="false">Pressupostos!$F$17</f>
        <v>35</v>
      </c>
      <c r="H3444" s="2" t="s">
        <v>1128</v>
      </c>
    </row>
    <row r="3445" customFormat="false" ht="15" hidden="false" customHeight="false" outlineLevel="1" collapsed="false">
      <c r="A3445" s="7" t="s">
        <v>471</v>
      </c>
      <c r="B3445" s="8" t="s">
        <v>59</v>
      </c>
      <c r="C3445" s="60" t="n">
        <f aca="false">Pressupostos!$C$64*C3443/30/1000</f>
        <v>0.024</v>
      </c>
      <c r="D3445" s="60" t="n">
        <f aca="false">Pressupostos!$C$64*D3443/30/1000</f>
        <v>0.024</v>
      </c>
      <c r="E3445" s="60" t="n">
        <f aca="false">Pressupostos!$C$64*E3443/30/1000</f>
        <v>0.006</v>
      </c>
      <c r="F3445" s="60" t="n">
        <f aca="false">Pressupostos!$C$64*F3443/30/1000</f>
        <v>0.006</v>
      </c>
      <c r="G3445" s="60" t="n">
        <f aca="false">Pressupostos!$C$64*G3443/30/1000</f>
        <v>0.006</v>
      </c>
      <c r="H3445" s="2" t="s">
        <v>1129</v>
      </c>
    </row>
    <row r="3446" customFormat="false" ht="15" hidden="false" customHeight="false" outlineLevel="1" collapsed="false">
      <c r="A3446" s="7" t="s">
        <v>154</v>
      </c>
      <c r="B3446" s="8" t="s">
        <v>59</v>
      </c>
      <c r="C3446" s="60" t="n">
        <f aca="false">C3437*Pressupostos!$C$65*C3443/365</f>
        <v>0.0036</v>
      </c>
      <c r="D3446" s="60" t="n">
        <f aca="false">D3437*Pressupostos!$C$65*D3443/365</f>
        <v>0.0036</v>
      </c>
      <c r="E3446" s="60" t="n">
        <f aca="false">E3437*Pressupostos!$C$65*E3443/365</f>
        <v>0.0009</v>
      </c>
      <c r="F3446" s="60" t="n">
        <f aca="false">F3437*Pressupostos!$C$65*F3443/365</f>
        <v>0.0009</v>
      </c>
      <c r="G3446" s="60" t="n">
        <f aca="false">G3437*Pressupostos!$C$65*G3443/365</f>
        <v>0.0009</v>
      </c>
      <c r="H3446" s="2" t="s">
        <v>1130</v>
      </c>
    </row>
    <row r="3447" customFormat="false" ht="15" hidden="false" customHeight="false" outlineLevel="1" collapsed="false">
      <c r="A3447" s="7" t="s">
        <v>636</v>
      </c>
      <c r="B3447" s="8" t="s">
        <v>59</v>
      </c>
      <c r="C3447" s="60" t="n">
        <f aca="false">Pressupostos!$C$40*Pressupostos!$C$66/(Pressupostos!$C$39*1000)</f>
        <v>0.03</v>
      </c>
      <c r="D3447" s="60" t="n">
        <f aca="false">Pressupostos!$C$40*Pressupostos!$C$66/(Pressupostos!$C$39*1000)</f>
        <v>0.03</v>
      </c>
      <c r="E3447" s="60" t="n">
        <f aca="false">Pressupostos!$C$40*Pressupostos!$C$66/(Pressupostos!$C$39*1000)</f>
        <v>0.03</v>
      </c>
      <c r="F3447" s="60" t="n">
        <f aca="false">Pressupostos!$C$40*Pressupostos!$C$66/(Pressupostos!$C$39*1000)</f>
        <v>0.03</v>
      </c>
      <c r="G3447" s="60" t="n">
        <f aca="false">Pressupostos!$C$40*Pressupostos!$C$66/(Pressupostos!$C$39*1000)</f>
        <v>0.03</v>
      </c>
      <c r="H3447" s="2" t="s">
        <v>1131</v>
      </c>
    </row>
    <row r="3448" customFormat="false" ht="15" hidden="false" customHeight="false" outlineLevel="1" collapsed="false">
      <c r="A3448" s="7" t="s">
        <v>473</v>
      </c>
      <c r="B3448" s="8" t="s">
        <v>59</v>
      </c>
      <c r="C3448" s="60" t="n">
        <f aca="false">Pressupostos!$C$67*C3437</f>
        <v>0.01825</v>
      </c>
      <c r="D3448" s="60" t="n">
        <f aca="false">Pressupostos!$C$67*D3437</f>
        <v>0.01825</v>
      </c>
      <c r="E3448" s="60" t="n">
        <f aca="false">Pressupostos!$C$67*E3437</f>
        <v>0.01825</v>
      </c>
      <c r="F3448" s="60" t="n">
        <f aca="false">Pressupostos!$C$67*F3437</f>
        <v>0.01825</v>
      </c>
      <c r="G3448" s="60" t="n">
        <f aca="false">Pressupostos!$C$67*G3437</f>
        <v>0.01825</v>
      </c>
      <c r="H3448" s="2" t="s">
        <v>1132</v>
      </c>
    </row>
    <row r="3449" customFormat="false" ht="15" hidden="false" customHeight="false" outlineLevel="1" collapsed="false">
      <c r="A3449" s="7" t="s">
        <v>474</v>
      </c>
      <c r="B3449" s="8" t="s">
        <v>59</v>
      </c>
      <c r="C3449" s="60" t="n">
        <f aca="false">Pressupostos!$C$68*Pressupostos!$C$69*C3443/90</f>
        <v>0.018</v>
      </c>
      <c r="D3449" s="60" t="n">
        <f aca="false">Pressupostos!$C$68*Pressupostos!$C$69*D3443/90</f>
        <v>0.018</v>
      </c>
      <c r="E3449" s="60" t="n">
        <f aca="false">Pressupostos!$C$68*Pressupostos!$C$69*E3443/90</f>
        <v>0.0045</v>
      </c>
      <c r="F3449" s="60" t="n">
        <f aca="false">Pressupostos!$C$68*Pressupostos!$C$69*F3443/90</f>
        <v>0.0045</v>
      </c>
      <c r="G3449" s="60" t="n">
        <f aca="false">Pressupostos!$C$68*Pressupostos!$C$69*G3443/90</f>
        <v>0.0045</v>
      </c>
      <c r="H3449" s="2" t="s">
        <v>1133</v>
      </c>
    </row>
    <row r="3450" customFormat="false" ht="15" hidden="false" customHeight="false" outlineLevel="1" collapsed="false">
      <c r="A3450" s="7" t="s">
        <v>637</v>
      </c>
      <c r="B3450" s="8" t="s">
        <v>59</v>
      </c>
      <c r="C3450" s="60" t="n">
        <f aca="false">Pressupostos!$C$41/(Pressupostos!$C$39*1000)</f>
        <v>0.1</v>
      </c>
      <c r="D3450" s="60" t="n">
        <f aca="false">Pressupostos!$C$41/(Pressupostos!$C$39*1000)</f>
        <v>0.1</v>
      </c>
      <c r="E3450" s="60" t="n">
        <f aca="false">Pressupostos!$C$41/(Pressupostos!$C$39*1000)</f>
        <v>0.1</v>
      </c>
      <c r="F3450" s="60" t="n">
        <f aca="false">Pressupostos!$C$41/(Pressupostos!$C$39*1000)</f>
        <v>0.1</v>
      </c>
      <c r="G3450" s="60" t="n">
        <f aca="false">Pressupostos!$C$41/(Pressupostos!$C$39*1000)</f>
        <v>0.1</v>
      </c>
      <c r="H3450" s="2" t="s">
        <v>1134</v>
      </c>
    </row>
    <row r="3451" customFormat="false" ht="15" hidden="false" customHeight="false" outlineLevel="1" collapsed="false">
      <c r="A3451" s="7" t="s">
        <v>131</v>
      </c>
      <c r="B3451" s="8" t="s">
        <v>59</v>
      </c>
      <c r="C3451" s="63" t="n">
        <f aca="false">Pressupostos!$C$42</f>
        <v>0.01</v>
      </c>
      <c r="D3451" s="63" t="n">
        <f aca="false">Pressupostos!$C$42</f>
        <v>0.01</v>
      </c>
      <c r="E3451" s="63" t="n">
        <f aca="false">Pressupostos!$C$42</f>
        <v>0.01</v>
      </c>
      <c r="F3451" s="63" t="n">
        <f aca="false">Pressupostos!$C$42</f>
        <v>0.01</v>
      </c>
      <c r="G3451" s="63" t="n">
        <f aca="false">Pressupostos!$C$42</f>
        <v>0.01</v>
      </c>
      <c r="H3451" s="2" t="s">
        <v>1135</v>
      </c>
    </row>
    <row r="3452" customFormat="false" ht="15" hidden="false" customHeight="false" outlineLevel="1" collapsed="false">
      <c r="A3452" s="7" t="s">
        <v>76</v>
      </c>
      <c r="B3452" s="8" t="s">
        <v>59</v>
      </c>
      <c r="C3452" s="60" t="n">
        <f aca="false">Pressupostos!$F$18*C3439</f>
        <v>0.0324</v>
      </c>
      <c r="D3452" s="60" t="n">
        <f aca="false">Pressupostos!$F$18*D3439</f>
        <v>0.0324</v>
      </c>
      <c r="E3452" s="60" t="n">
        <f aca="false">Pressupostos!$F$18*E3439</f>
        <v>0.0324</v>
      </c>
      <c r="F3452" s="60" t="n">
        <f aca="false">Pressupostos!$F$18*F3439</f>
        <v>0.0324</v>
      </c>
      <c r="G3452" s="60" t="n">
        <f aca="false">Pressupostos!$F$18*G3439</f>
        <v>0.0324</v>
      </c>
      <c r="H3452" s="2" t="s">
        <v>1136</v>
      </c>
    </row>
    <row r="3453" customFormat="false" ht="15" hidden="false" customHeight="false" outlineLevel="1" collapsed="false">
      <c r="A3453" s="7" t="s">
        <v>638</v>
      </c>
      <c r="B3453" s="8" t="s">
        <v>59</v>
      </c>
      <c r="C3453" s="60" t="n">
        <f aca="false">Pressupostos!$C$71*C3439</f>
        <v>0</v>
      </c>
      <c r="D3453" s="60" t="n">
        <f aca="false">Pressupostos!$C$71*D3439</f>
        <v>0</v>
      </c>
      <c r="E3453" s="60" t="n">
        <f aca="false">Pressupostos!$C$71*E3439</f>
        <v>0</v>
      </c>
      <c r="F3453" s="60" t="n">
        <f aca="false">Pressupostos!$C$71*F3439</f>
        <v>0</v>
      </c>
      <c r="G3453" s="60" t="n">
        <f aca="false">Pressupostos!$C$71*G3439</f>
        <v>0</v>
      </c>
      <c r="H3453" s="2" t="s">
        <v>1137</v>
      </c>
    </row>
    <row r="3454" customFormat="false" ht="15" hidden="false" customHeight="false" outlineLevel="1" collapsed="false">
      <c r="A3454" s="7" t="s">
        <v>639</v>
      </c>
      <c r="B3454" s="8" t="s">
        <v>59</v>
      </c>
      <c r="C3454" s="60" t="n">
        <f aca="false">Pressupostos!$C$285*(C3437+C3440)*(C3443+C3444-Pressupostos!$C$70)/365*Pressupostos!$C$279/Pressupostos!$F$31</f>
        <v>0</v>
      </c>
      <c r="D3454" s="60" t="n">
        <f aca="false">Pressupostos!$D$285*(D3437+D3440)*(D3443+D3444-Pressupostos!$C$70)/365*Pressupostos!$D$279/Pressupostos!$F$31</f>
        <v>0.19158904109589</v>
      </c>
      <c r="E3454" s="60" t="n">
        <f aca="false">Pressupostos!$E$285*(E3437+E3440)*(E3443+E3444-Pressupostos!$C$70)/365*Pressupostos!$E$279/Pressupostos!$F$31</f>
        <v>0.0485445205479452</v>
      </c>
      <c r="F3454" s="60" t="n">
        <f aca="false">Pressupostos!$F$285*(F3437+F3440)*(F3443+F3444-Pressupostos!$C$70)/365*Pressupostos!$F$279/Pressupostos!$F$31</f>
        <v>0.0453082191780822</v>
      </c>
      <c r="G3454" s="60" t="n">
        <f aca="false">Pressupostos!$G$285*(G3437+G3440)*(G3443+G3444-Pressupostos!$C$70)/365*Pressupostos!$G$279/Pressupostos!$F$31</f>
        <v>0.0453082191780822</v>
      </c>
      <c r="H3454" s="2" t="s">
        <v>1138</v>
      </c>
    </row>
    <row r="3455" customFormat="false" ht="15" hidden="false" customHeight="false" outlineLevel="1" collapsed="false">
      <c r="A3455" s="7" t="s">
        <v>640</v>
      </c>
      <c r="B3455" s="8" t="s">
        <v>59</v>
      </c>
      <c r="C3455" s="60" t="n">
        <f aca="false">C3437+C3440+C3441+C3442+C3445+C3446+C3447+C3448+C3449+C3450+C3451+C3452+C3453+C3454</f>
        <v>4.79625</v>
      </c>
      <c r="D3455" s="60" t="n">
        <f aca="false">D3437+D3440+D3441+D3442+D3445+D3446+D3447+D3448+D3449+D3450+D3451+D3452+D3453+D3454</f>
        <v>4.98783904109589</v>
      </c>
      <c r="E3455" s="60" t="n">
        <f aca="false">E3437+E3440+E3441+E3442+E3445+E3446+E3447+E3448+E3449+E3450+E3451+E3452+E3453+E3454</f>
        <v>4.79059452054795</v>
      </c>
      <c r="F3455" s="60" t="n">
        <f aca="false">F3437+F3440+F3441+F3442+F3445+F3446+F3447+F3448+F3449+F3450+F3451+F3452+F3453+F3454</f>
        <v>4.77735821917808</v>
      </c>
      <c r="G3455" s="60" t="n">
        <f aca="false">G3437+G3440+G3441+G3442+G3445+G3446+G3447+G3448+G3449+G3450+G3451+G3452+G3453+G3454</f>
        <v>4.77735821917808</v>
      </c>
      <c r="H3455" s="2" t="s">
        <v>1139</v>
      </c>
    </row>
    <row r="3456" customFormat="false" ht="15" hidden="false" customHeight="false" outlineLevel="1" collapsed="false">
      <c r="A3456" s="52" t="s">
        <v>641</v>
      </c>
      <c r="B3456" s="53" t="s">
        <v>59</v>
      </c>
      <c r="C3456" s="64" t="n">
        <f aca="false">C3439-C3455</f>
        <v>0.603750000000002</v>
      </c>
      <c r="D3456" s="64" t="n">
        <f aca="false">D3439-D3455</f>
        <v>0.412160958904111</v>
      </c>
      <c r="E3456" s="64" t="n">
        <f aca="false">E3439-E3455</f>
        <v>0.609405479452056</v>
      </c>
      <c r="F3456" s="64" t="n">
        <f aca="false">F3439-F3455</f>
        <v>0.622641780821918</v>
      </c>
      <c r="G3456" s="64" t="n">
        <f aca="false">G3439-G3455</f>
        <v>0.622641780821918</v>
      </c>
      <c r="H3456" s="2" t="s">
        <v>1140</v>
      </c>
    </row>
    <row r="3457" customFormat="false" ht="15" hidden="false" customHeight="false" outlineLevel="1" collapsed="false">
      <c r="A3457" s="7" t="s">
        <v>642</v>
      </c>
      <c r="B3457" s="8" t="s">
        <v>71</v>
      </c>
      <c r="C3457" s="55" t="n">
        <f aca="false">IF(C3439&gt;0,C3456/C3439,0)</f>
        <v>0.111805555555556</v>
      </c>
      <c r="D3457" s="55" t="n">
        <f aca="false">IF(D3439&gt;0,D3456/D3439,0)</f>
        <v>0.0763261035007613</v>
      </c>
      <c r="E3457" s="55" t="n">
        <f aca="false">IF(E3439&gt;0,E3456/E3439,0)</f>
        <v>0.112852866565195</v>
      </c>
      <c r="F3457" s="55" t="n">
        <f aca="false">IF(F3439&gt;0,F3456/F3439,0)</f>
        <v>0.11530403348554</v>
      </c>
      <c r="G3457" s="55" t="n">
        <f aca="false">IF(G3439&gt;0,G3456/G3439,0)</f>
        <v>0.11530403348554</v>
      </c>
      <c r="H3457" s="2" t="s">
        <v>1141</v>
      </c>
    </row>
    <row r="3458" customFormat="false" ht="15" hidden="false" customHeight="false" outlineLevel="1" collapsed="false">
      <c r="A3458" s="7" t="s">
        <v>643</v>
      </c>
      <c r="B3458" s="8" t="s">
        <v>59</v>
      </c>
      <c r="C3458" s="60" t="n">
        <f aca="false">(C3437+C3440)*(C3443-Pressupostos!$C$70)/365+C3439*C3444/365</f>
        <v>2.24383561643836</v>
      </c>
      <c r="D3458" s="60" t="n">
        <f aca="false">(D3437+D3440)*(D3443-Pressupostos!$C$70)/365+D3439*D3444/365</f>
        <v>2.24383561643836</v>
      </c>
      <c r="E3458" s="60" t="n">
        <f aca="false">(E3437+E3440)*(E3443-Pressupostos!$C$70)/365+E3439*E3444/365</f>
        <v>0.69041095890411</v>
      </c>
      <c r="F3458" s="60" t="n">
        <f aca="false">(F3437+F3440)*(F3443-Pressupostos!$C$70)/365+F3439*F3444/365</f>
        <v>0.69041095890411</v>
      </c>
      <c r="G3458" s="60" t="n">
        <f aca="false">(G3437+G3440)*(G3443-Pressupostos!$C$70)/365+G3439*G3444/365</f>
        <v>0.69041095890411</v>
      </c>
      <c r="H3458" s="2" t="s">
        <v>1142</v>
      </c>
    </row>
    <row r="3459" customFormat="false" ht="15" hidden="false" customHeight="false" outlineLevel="0" collapsed="false">
      <c r="A3459" s="3" t="s">
        <v>1143</v>
      </c>
      <c r="B3459" s="4"/>
      <c r="C3459" s="4"/>
      <c r="D3459" s="4"/>
      <c r="E3459" s="4"/>
      <c r="F3459" s="4"/>
      <c r="G3459" s="4"/>
      <c r="H3459" s="4"/>
    </row>
    <row r="3460" customFormat="false" ht="15" hidden="false" customHeight="false" outlineLevel="1" collapsed="false">
      <c r="A3460" s="7" t="s">
        <v>633</v>
      </c>
      <c r="B3460" s="8" t="s">
        <v>59</v>
      </c>
      <c r="C3460" s="60" t="n">
        <f aca="false">Pressupostos!$F$10+Pressupostos!$F$12</f>
        <v>3.6</v>
      </c>
      <c r="D3460" s="60" t="n">
        <f aca="false">Pressupostos!$F$10+Pressupostos!$F$12</f>
        <v>3.6</v>
      </c>
      <c r="E3460" s="60" t="n">
        <f aca="false">Pressupostos!$F$10+Pressupostos!$F$12</f>
        <v>3.6</v>
      </c>
      <c r="F3460" s="60" t="n">
        <f aca="false">Pressupostos!$F$10+Pressupostos!$F$12</f>
        <v>3.6</v>
      </c>
      <c r="G3460" s="60" t="n">
        <f aca="false">Pressupostos!$F$10+Pressupostos!$F$12</f>
        <v>3.6</v>
      </c>
      <c r="H3460" s="2" t="s">
        <v>1144</v>
      </c>
    </row>
    <row r="3461" customFormat="false" ht="15" hidden="false" customHeight="false" outlineLevel="1" collapsed="false">
      <c r="A3461" s="7" t="s">
        <v>634</v>
      </c>
      <c r="B3461" s="8" t="s">
        <v>59</v>
      </c>
      <c r="C3461" s="60" t="n">
        <f aca="false">Pressupostos!$F$20+Pressupostos!$F$21</f>
        <v>4.45</v>
      </c>
      <c r="D3461" s="60" t="n">
        <f aca="false">Pressupostos!$F$20+Pressupostos!$F$21</f>
        <v>4.45</v>
      </c>
      <c r="E3461" s="60" t="n">
        <f aca="false">Pressupostos!$F$20+Pressupostos!$F$21</f>
        <v>4.45</v>
      </c>
      <c r="F3461" s="60" t="n">
        <f aca="false">Pressupostos!$F$20+Pressupostos!$F$21</f>
        <v>4.45</v>
      </c>
      <c r="G3461" s="60" t="n">
        <f aca="false">Pressupostos!$F$20+Pressupostos!$F$21</f>
        <v>4.45</v>
      </c>
      <c r="H3461" s="2" t="s">
        <v>1145</v>
      </c>
    </row>
    <row r="3462" customFormat="false" ht="15" hidden="false" customHeight="false" outlineLevel="1" collapsed="false">
      <c r="A3462" s="52" t="s">
        <v>635</v>
      </c>
      <c r="B3462" s="53" t="s">
        <v>59</v>
      </c>
      <c r="C3462" s="64" t="n">
        <f aca="false">C3461*(1-Pressupostos!$F$22)</f>
        <v>4.45</v>
      </c>
      <c r="D3462" s="64" t="n">
        <f aca="false">D3461*(1-Pressupostos!$F$22)</f>
        <v>4.45</v>
      </c>
      <c r="E3462" s="64" t="n">
        <f aca="false">E3461*(1-Pressupostos!$F$22)</f>
        <v>4.45</v>
      </c>
      <c r="F3462" s="64" t="n">
        <f aca="false">F3461*(1-Pressupostos!$F$22)</f>
        <v>4.45</v>
      </c>
      <c r="G3462" s="64" t="n">
        <f aca="false">G3461*(1-Pressupostos!$F$22)</f>
        <v>4.45</v>
      </c>
      <c r="H3462" s="2" t="s">
        <v>1146</v>
      </c>
    </row>
    <row r="3463" customFormat="false" ht="15" hidden="false" customHeight="false" outlineLevel="1" collapsed="false">
      <c r="A3463" s="7" t="s">
        <v>136</v>
      </c>
      <c r="B3463" s="8" t="s">
        <v>59</v>
      </c>
      <c r="C3463" s="63" t="n">
        <f aca="false">Pressupostos!$C$44</f>
        <v>0.45</v>
      </c>
      <c r="D3463" s="63" t="n">
        <f aca="false">Pressupostos!$C$44</f>
        <v>0.45</v>
      </c>
      <c r="E3463" s="63" t="n">
        <f aca="false">Pressupostos!$C$44</f>
        <v>0.45</v>
      </c>
      <c r="F3463" s="63" t="n">
        <f aca="false">Pressupostos!$C$44</f>
        <v>0.45</v>
      </c>
      <c r="G3463" s="63" t="n">
        <f aca="false">Pressupostos!$C$44</f>
        <v>0.45</v>
      </c>
      <c r="H3463" s="2" t="s">
        <v>1147</v>
      </c>
    </row>
    <row r="3464" customFormat="false" ht="15" hidden="false" customHeight="false" outlineLevel="1" collapsed="false">
      <c r="A3464" s="7" t="s">
        <v>205</v>
      </c>
      <c r="B3464" s="8" t="s">
        <v>59</v>
      </c>
      <c r="C3464" s="63" t="n">
        <f aca="false">Pressupostos!$C$247</f>
        <v>0.1</v>
      </c>
      <c r="D3464" s="63" t="n">
        <f aca="false">Pressupostos!$D$247</f>
        <v>0.1</v>
      </c>
      <c r="E3464" s="63" t="n">
        <f aca="false">Pressupostos!$E$247</f>
        <v>0.09</v>
      </c>
      <c r="F3464" s="63" t="n">
        <f aca="false">Pressupostos!$F$247</f>
        <v>0.09</v>
      </c>
      <c r="G3464" s="63" t="n">
        <f aca="false">Pressupostos!$G$247</f>
        <v>0.09</v>
      </c>
      <c r="H3464" s="2" t="s">
        <v>1148</v>
      </c>
    </row>
    <row r="3465" customFormat="false" ht="15" hidden="false" customHeight="false" outlineLevel="1" collapsed="false">
      <c r="A3465" s="7" t="s">
        <v>109</v>
      </c>
      <c r="B3465" s="8" t="s">
        <v>59</v>
      </c>
      <c r="C3465" s="63" t="n">
        <f aca="false">Pressupostos!$C$45</f>
        <v>0</v>
      </c>
      <c r="D3465" s="63" t="n">
        <f aca="false">Pressupostos!$C$45</f>
        <v>0</v>
      </c>
      <c r="E3465" s="63" t="n">
        <f aca="false">Pressupostos!$C$45</f>
        <v>0</v>
      </c>
      <c r="F3465" s="63" t="n">
        <f aca="false">Pressupostos!$C$45</f>
        <v>0</v>
      </c>
      <c r="G3465" s="63" t="n">
        <f aca="false">Pressupostos!$C$45</f>
        <v>0</v>
      </c>
      <c r="H3465" s="2" t="s">
        <v>1149</v>
      </c>
    </row>
    <row r="3466" customFormat="false" ht="15" hidden="false" customHeight="false" outlineLevel="1" collapsed="false">
      <c r="A3466" s="7" t="s">
        <v>86</v>
      </c>
      <c r="B3466" s="8" t="s">
        <v>74</v>
      </c>
      <c r="C3466" s="65" t="n">
        <f aca="false">Pressupostos!$F$23</f>
        <v>30</v>
      </c>
      <c r="D3466" s="65" t="n">
        <f aca="false">Pressupostos!$F$23</f>
        <v>30</v>
      </c>
      <c r="E3466" s="65" t="n">
        <f aca="false">Pressupostos!$F$23</f>
        <v>30</v>
      </c>
      <c r="F3466" s="65" t="n">
        <f aca="false">Pressupostos!$F$23</f>
        <v>30</v>
      </c>
      <c r="G3466" s="65" t="n">
        <f aca="false">Pressupostos!$F$23</f>
        <v>30</v>
      </c>
      <c r="H3466" s="2" t="s">
        <v>1150</v>
      </c>
    </row>
    <row r="3467" customFormat="false" ht="15" hidden="false" customHeight="false" outlineLevel="1" collapsed="false">
      <c r="A3467" s="7" t="s">
        <v>73</v>
      </c>
      <c r="B3467" s="8" t="s">
        <v>74</v>
      </c>
      <c r="C3467" s="65" t="n">
        <f aca="false">Pressupostos!$F$24</f>
        <v>55</v>
      </c>
      <c r="D3467" s="65" t="n">
        <f aca="false">Pressupostos!$F$24</f>
        <v>55</v>
      </c>
      <c r="E3467" s="65" t="n">
        <f aca="false">Pressupostos!$F$24</f>
        <v>55</v>
      </c>
      <c r="F3467" s="65" t="n">
        <f aca="false">Pressupostos!$F$24</f>
        <v>55</v>
      </c>
      <c r="G3467" s="65" t="n">
        <f aca="false">Pressupostos!$F$24</f>
        <v>55</v>
      </c>
      <c r="H3467" s="2" t="s">
        <v>1151</v>
      </c>
    </row>
    <row r="3468" customFormat="false" ht="15" hidden="false" customHeight="false" outlineLevel="1" collapsed="false">
      <c r="A3468" s="7" t="s">
        <v>471</v>
      </c>
      <c r="B3468" s="8" t="s">
        <v>59</v>
      </c>
      <c r="C3468" s="60" t="n">
        <f aca="false">Pressupostos!$C$64*C3466/30/1000</f>
        <v>0.004</v>
      </c>
      <c r="D3468" s="60" t="n">
        <f aca="false">Pressupostos!$C$64*D3466/30/1000</f>
        <v>0.004</v>
      </c>
      <c r="E3468" s="60" t="n">
        <f aca="false">Pressupostos!$C$64*E3466/30/1000</f>
        <v>0.004</v>
      </c>
      <c r="F3468" s="60" t="n">
        <f aca="false">Pressupostos!$C$64*F3466/30/1000</f>
        <v>0.004</v>
      </c>
      <c r="G3468" s="60" t="n">
        <f aca="false">Pressupostos!$C$64*G3466/30/1000</f>
        <v>0.004</v>
      </c>
      <c r="H3468" s="2" t="s">
        <v>1152</v>
      </c>
    </row>
    <row r="3469" customFormat="false" ht="15" hidden="false" customHeight="false" outlineLevel="1" collapsed="false">
      <c r="A3469" s="7" t="s">
        <v>154</v>
      </c>
      <c r="B3469" s="8" t="s">
        <v>59</v>
      </c>
      <c r="C3469" s="60" t="n">
        <f aca="false">C3460*Pressupostos!$C$65*C3466/365</f>
        <v>0.000591780821917808</v>
      </c>
      <c r="D3469" s="60" t="n">
        <f aca="false">D3460*Pressupostos!$C$65*D3466/365</f>
        <v>0.000591780821917808</v>
      </c>
      <c r="E3469" s="60" t="n">
        <f aca="false">E3460*Pressupostos!$C$65*E3466/365</f>
        <v>0.000591780821917808</v>
      </c>
      <c r="F3469" s="60" t="n">
        <f aca="false">F3460*Pressupostos!$C$65*F3466/365</f>
        <v>0.000591780821917808</v>
      </c>
      <c r="G3469" s="60" t="n">
        <f aca="false">G3460*Pressupostos!$C$65*G3466/365</f>
        <v>0.000591780821917808</v>
      </c>
      <c r="H3469" s="2" t="s">
        <v>1153</v>
      </c>
    </row>
    <row r="3470" customFormat="false" ht="15" hidden="false" customHeight="false" outlineLevel="1" collapsed="false">
      <c r="A3470" s="7" t="s">
        <v>636</v>
      </c>
      <c r="B3470" s="8" t="s">
        <v>59</v>
      </c>
      <c r="C3470" s="60" t="n">
        <f aca="false">Pressupostos!$C$47*Pressupostos!$C$66/(Pressupostos!$C$46*1000)</f>
        <v>0.02</v>
      </c>
      <c r="D3470" s="60" t="n">
        <f aca="false">Pressupostos!$C$47*Pressupostos!$C$66/(Pressupostos!$C$46*1000)</f>
        <v>0.02</v>
      </c>
      <c r="E3470" s="60" t="n">
        <f aca="false">Pressupostos!$C$47*Pressupostos!$C$66/(Pressupostos!$C$46*1000)</f>
        <v>0.02</v>
      </c>
      <c r="F3470" s="60" t="n">
        <f aca="false">Pressupostos!$C$47*Pressupostos!$C$66/(Pressupostos!$C$46*1000)</f>
        <v>0.02</v>
      </c>
      <c r="G3470" s="60" t="n">
        <f aca="false">Pressupostos!$C$47*Pressupostos!$C$66/(Pressupostos!$C$46*1000)</f>
        <v>0.02</v>
      </c>
      <c r="H3470" s="2" t="s">
        <v>1154</v>
      </c>
    </row>
    <row r="3471" customFormat="false" ht="15" hidden="false" customHeight="false" outlineLevel="1" collapsed="false">
      <c r="A3471" s="7" t="s">
        <v>473</v>
      </c>
      <c r="B3471" s="8" t="s">
        <v>59</v>
      </c>
      <c r="C3471" s="60" t="n">
        <f aca="false">Pressupostos!$C$67*C3460</f>
        <v>0.018</v>
      </c>
      <c r="D3471" s="60" t="n">
        <f aca="false">Pressupostos!$C$67*D3460</f>
        <v>0.018</v>
      </c>
      <c r="E3471" s="60" t="n">
        <f aca="false">Pressupostos!$C$67*E3460</f>
        <v>0.018</v>
      </c>
      <c r="F3471" s="60" t="n">
        <f aca="false">Pressupostos!$C$67*F3460</f>
        <v>0.018</v>
      </c>
      <c r="G3471" s="60" t="n">
        <f aca="false">Pressupostos!$C$67*G3460</f>
        <v>0.018</v>
      </c>
      <c r="H3471" s="2" t="s">
        <v>1155</v>
      </c>
    </row>
    <row r="3472" customFormat="false" ht="15" hidden="false" customHeight="false" outlineLevel="1" collapsed="false">
      <c r="A3472" s="7" t="s">
        <v>474</v>
      </c>
      <c r="B3472" s="8" t="s">
        <v>59</v>
      </c>
      <c r="C3472" s="60" t="n">
        <f aca="false">Pressupostos!$C$68*Pressupostos!$C$69*C3466/90</f>
        <v>0.003</v>
      </c>
      <c r="D3472" s="60" t="n">
        <f aca="false">Pressupostos!$C$68*Pressupostos!$C$69*D3466/90</f>
        <v>0.003</v>
      </c>
      <c r="E3472" s="60" t="n">
        <f aca="false">Pressupostos!$C$68*Pressupostos!$C$69*E3466/90</f>
        <v>0.003</v>
      </c>
      <c r="F3472" s="60" t="n">
        <f aca="false">Pressupostos!$C$68*Pressupostos!$C$69*F3466/90</f>
        <v>0.003</v>
      </c>
      <c r="G3472" s="60" t="n">
        <f aca="false">Pressupostos!$C$68*Pressupostos!$C$69*G3466/90</f>
        <v>0.003</v>
      </c>
      <c r="H3472" s="2" t="s">
        <v>1156</v>
      </c>
    </row>
    <row r="3473" customFormat="false" ht="15" hidden="false" customHeight="false" outlineLevel="1" collapsed="false">
      <c r="A3473" s="7" t="s">
        <v>637</v>
      </c>
      <c r="B3473" s="8" t="s">
        <v>59</v>
      </c>
      <c r="C3473" s="60" t="n">
        <f aca="false">Pressupostos!$C$48/(Pressupostos!$C$46*1000)</f>
        <v>0.04</v>
      </c>
      <c r="D3473" s="60" t="n">
        <f aca="false">Pressupostos!$C$48/(Pressupostos!$C$46*1000)</f>
        <v>0.04</v>
      </c>
      <c r="E3473" s="60" t="n">
        <f aca="false">Pressupostos!$C$48/(Pressupostos!$C$46*1000)</f>
        <v>0.04</v>
      </c>
      <c r="F3473" s="60" t="n">
        <f aca="false">Pressupostos!$C$48/(Pressupostos!$C$46*1000)</f>
        <v>0.04</v>
      </c>
      <c r="G3473" s="60" t="n">
        <f aca="false">Pressupostos!$C$48/(Pressupostos!$C$46*1000)</f>
        <v>0.04</v>
      </c>
      <c r="H3473" s="2" t="s">
        <v>1157</v>
      </c>
    </row>
    <row r="3474" customFormat="false" ht="15" hidden="false" customHeight="false" outlineLevel="1" collapsed="false">
      <c r="A3474" s="7" t="s">
        <v>131</v>
      </c>
      <c r="B3474" s="8" t="s">
        <v>59</v>
      </c>
      <c r="C3474" s="63" t="n">
        <f aca="false">Pressupostos!$C$49</f>
        <v>0.005</v>
      </c>
      <c r="D3474" s="63" t="n">
        <f aca="false">Pressupostos!$C$49</f>
        <v>0.005</v>
      </c>
      <c r="E3474" s="63" t="n">
        <f aca="false">Pressupostos!$C$49</f>
        <v>0.005</v>
      </c>
      <c r="F3474" s="63" t="n">
        <f aca="false">Pressupostos!$C$49</f>
        <v>0.005</v>
      </c>
      <c r="G3474" s="63" t="n">
        <f aca="false">Pressupostos!$C$49</f>
        <v>0.005</v>
      </c>
      <c r="H3474" s="2" t="s">
        <v>1158</v>
      </c>
    </row>
    <row r="3475" customFormat="false" ht="15" hidden="false" customHeight="false" outlineLevel="1" collapsed="false">
      <c r="A3475" s="7" t="s">
        <v>76</v>
      </c>
      <c r="B3475" s="8" t="s">
        <v>59</v>
      </c>
      <c r="C3475" s="60" t="n">
        <f aca="false">Pressupostos!$F$25*C3462</f>
        <v>0.01335</v>
      </c>
      <c r="D3475" s="60" t="n">
        <f aca="false">Pressupostos!$F$25*D3462</f>
        <v>0.01335</v>
      </c>
      <c r="E3475" s="60" t="n">
        <f aca="false">Pressupostos!$F$25*E3462</f>
        <v>0.01335</v>
      </c>
      <c r="F3475" s="60" t="n">
        <f aca="false">Pressupostos!$F$25*F3462</f>
        <v>0.01335</v>
      </c>
      <c r="G3475" s="60" t="n">
        <f aca="false">Pressupostos!$F$25*G3462</f>
        <v>0.01335</v>
      </c>
      <c r="H3475" s="2" t="s">
        <v>1159</v>
      </c>
    </row>
    <row r="3476" customFormat="false" ht="15" hidden="false" customHeight="false" outlineLevel="1" collapsed="false">
      <c r="A3476" s="7" t="s">
        <v>638</v>
      </c>
      <c r="B3476" s="8" t="s">
        <v>59</v>
      </c>
      <c r="C3476" s="60" t="n">
        <f aca="false">Pressupostos!$C$71*C3462</f>
        <v>0</v>
      </c>
      <c r="D3476" s="60" t="n">
        <f aca="false">Pressupostos!$C$71*D3462</f>
        <v>0</v>
      </c>
      <c r="E3476" s="60" t="n">
        <f aca="false">Pressupostos!$C$71*E3462</f>
        <v>0</v>
      </c>
      <c r="F3476" s="60" t="n">
        <f aca="false">Pressupostos!$C$71*F3462</f>
        <v>0</v>
      </c>
      <c r="G3476" s="60" t="n">
        <f aca="false">Pressupostos!$C$71*G3462</f>
        <v>0</v>
      </c>
      <c r="H3476" s="2" t="s">
        <v>1160</v>
      </c>
    </row>
    <row r="3477" customFormat="false" ht="15" hidden="false" customHeight="false" outlineLevel="1" collapsed="false">
      <c r="A3477" s="7" t="s">
        <v>639</v>
      </c>
      <c r="B3477" s="8" t="s">
        <v>59</v>
      </c>
      <c r="C3477" s="60" t="n">
        <f aca="false">Pressupostos!$C$285*(C3460+C3463)*(C3466+C3467-Pressupostos!$C$70)/365*Pressupostos!$C$279/Pressupostos!$F$31</f>
        <v>0</v>
      </c>
      <c r="D3477" s="60" t="n">
        <f aca="false">Pressupostos!$D$285*(D3460+D3463)*(D3466+D3467-Pressupostos!$C$70)/365*Pressupostos!$D$279/Pressupostos!$F$31</f>
        <v>0.0549246575342466</v>
      </c>
      <c r="E3477" s="60" t="n">
        <f aca="false">Pressupostos!$E$285*(E3460+E3463)*(E3466+E3467-Pressupostos!$C$70)/365*Pressupostos!$E$279/Pressupostos!$F$31</f>
        <v>0.0514918664383562</v>
      </c>
      <c r="F3477" s="60" t="n">
        <f aca="false">Pressupostos!$F$285*(F3460+F3463)*(F3466+F3467-Pressupostos!$C$70)/365*Pressupostos!$F$279/Pressupostos!$F$31</f>
        <v>0.0480590753424658</v>
      </c>
      <c r="G3477" s="60" t="n">
        <f aca="false">Pressupostos!$G$285*(G3460+G3463)*(G3466+G3467-Pressupostos!$C$70)/365*Pressupostos!$G$279/Pressupostos!$F$31</f>
        <v>0.0480590753424658</v>
      </c>
      <c r="H3477" s="2" t="s">
        <v>1161</v>
      </c>
    </row>
    <row r="3478" customFormat="false" ht="15" hidden="false" customHeight="false" outlineLevel="1" collapsed="false">
      <c r="A3478" s="7" t="s">
        <v>640</v>
      </c>
      <c r="B3478" s="8" t="s">
        <v>59</v>
      </c>
      <c r="C3478" s="60" t="n">
        <f aca="false">C3460+C3463+C3464+C3465+C3468+C3469+C3470+C3471+C3472+C3473+C3474+C3475+C3476+C3477</f>
        <v>4.25394178082192</v>
      </c>
      <c r="D3478" s="60" t="n">
        <f aca="false">D3460+D3463+D3464+D3465+D3468+D3469+D3470+D3471+D3472+D3473+D3474+D3475+D3476+D3477</f>
        <v>4.30886643835616</v>
      </c>
      <c r="E3478" s="60" t="n">
        <f aca="false">E3460+E3463+E3464+E3465+E3468+E3469+E3470+E3471+E3472+E3473+E3474+E3475+E3476+E3477</f>
        <v>4.29543364726027</v>
      </c>
      <c r="F3478" s="60" t="n">
        <f aca="false">F3460+F3463+F3464+F3465+F3468+F3469+F3470+F3471+F3472+F3473+F3474+F3475+F3476+F3477</f>
        <v>4.29200085616438</v>
      </c>
      <c r="G3478" s="60" t="n">
        <f aca="false">G3460+G3463+G3464+G3465+G3468+G3469+G3470+G3471+G3472+G3473+G3474+G3475+G3476+G3477</f>
        <v>4.29200085616438</v>
      </c>
      <c r="H3478" s="2" t="s">
        <v>1162</v>
      </c>
    </row>
    <row r="3479" customFormat="false" ht="15" hidden="false" customHeight="false" outlineLevel="1" collapsed="false">
      <c r="A3479" s="52" t="s">
        <v>641</v>
      </c>
      <c r="B3479" s="53" t="s">
        <v>59</v>
      </c>
      <c r="C3479" s="64" t="n">
        <f aca="false">C3462-C3478</f>
        <v>0.196058219178083</v>
      </c>
      <c r="D3479" s="64" t="n">
        <f aca="false">D3462-D3478</f>
        <v>0.141133561643836</v>
      </c>
      <c r="E3479" s="64" t="n">
        <f aca="false">E3462-E3478</f>
        <v>0.154566352739726</v>
      </c>
      <c r="F3479" s="64" t="n">
        <f aca="false">F3462-F3478</f>
        <v>0.157999143835617</v>
      </c>
      <c r="G3479" s="64" t="n">
        <f aca="false">G3462-G3478</f>
        <v>0.157999143835617</v>
      </c>
      <c r="H3479" s="2" t="s">
        <v>1163</v>
      </c>
    </row>
    <row r="3480" customFormat="false" ht="15" hidden="false" customHeight="false" outlineLevel="1" collapsed="false">
      <c r="A3480" s="7" t="s">
        <v>642</v>
      </c>
      <c r="B3480" s="8" t="s">
        <v>71</v>
      </c>
      <c r="C3480" s="55" t="n">
        <f aca="false">IF(C3462&gt;0,C3479/C3462,0)</f>
        <v>0.0440580267815916</v>
      </c>
      <c r="D3480" s="55" t="n">
        <f aca="false">IF(D3462&gt;0,D3479/D3462,0)</f>
        <v>0.0317154071109745</v>
      </c>
      <c r="E3480" s="55" t="n">
        <f aca="false">IF(E3462&gt;0,E3479/E3462,0)</f>
        <v>0.0347340118516239</v>
      </c>
      <c r="F3480" s="55" t="n">
        <f aca="false">IF(F3462&gt;0,F3479/F3462,0)</f>
        <v>0.0355054255810374</v>
      </c>
      <c r="G3480" s="55" t="n">
        <f aca="false">IF(G3462&gt;0,G3479/G3462,0)</f>
        <v>0.0355054255810374</v>
      </c>
      <c r="H3480" s="2" t="s">
        <v>1164</v>
      </c>
    </row>
    <row r="3481" customFormat="false" ht="15" hidden="false" customHeight="false" outlineLevel="1" collapsed="false">
      <c r="A3481" s="7" t="s">
        <v>643</v>
      </c>
      <c r="B3481" s="8" t="s">
        <v>59</v>
      </c>
      <c r="C3481" s="60" t="n">
        <f aca="false">(C3460+C3463)*(C3466-Pressupostos!$C$70)/365+C3462*C3467/365</f>
        <v>0.670547945205479</v>
      </c>
      <c r="D3481" s="60" t="n">
        <f aca="false">(D3460+D3463)*(D3466-Pressupostos!$C$70)/365+D3462*D3467/365</f>
        <v>0.670547945205479</v>
      </c>
      <c r="E3481" s="60" t="n">
        <f aca="false">(E3460+E3463)*(E3466-Pressupostos!$C$70)/365+E3462*E3467/365</f>
        <v>0.670547945205479</v>
      </c>
      <c r="F3481" s="60" t="n">
        <f aca="false">(F3460+F3463)*(F3466-Pressupostos!$C$70)/365+F3462*F3467/365</f>
        <v>0.670547945205479</v>
      </c>
      <c r="G3481" s="60" t="n">
        <f aca="false">(G3460+G3463)*(G3466-Pressupostos!$C$70)/365+G3462*G3467/365</f>
        <v>0.670547945205479</v>
      </c>
      <c r="H3481" s="2" t="s">
        <v>1165</v>
      </c>
    </row>
    <row r="3482" customFormat="false" ht="15" hidden="false" customHeight="false" outlineLevel="0" collapsed="false">
      <c r="A3482" s="3" t="s">
        <v>1166</v>
      </c>
      <c r="B3482" s="4"/>
      <c r="C3482" s="4"/>
      <c r="D3482" s="4"/>
      <c r="E3482" s="4"/>
      <c r="F3482" s="4"/>
      <c r="G3482" s="4"/>
      <c r="H3482" s="4"/>
    </row>
    <row r="3483" customFormat="false" ht="15" hidden="false" customHeight="false" outlineLevel="1" collapsed="false">
      <c r="A3483" s="7" t="s">
        <v>633</v>
      </c>
      <c r="B3483" s="8" t="s">
        <v>59</v>
      </c>
      <c r="C3483" s="60" t="n">
        <f aca="false">Pressupostos!$F$10+Pressupostos!$F$13</f>
        <v>3.5</v>
      </c>
      <c r="D3483" s="60" t="n">
        <f aca="false">Pressupostos!$F$10+Pressupostos!$F$13</f>
        <v>3.5</v>
      </c>
      <c r="E3483" s="60" t="n">
        <f aca="false">Pressupostos!$F$10+Pressupostos!$F$13</f>
        <v>3.5</v>
      </c>
      <c r="F3483" s="60" t="n">
        <f aca="false">Pressupostos!$F$10+Pressupostos!$F$13</f>
        <v>3.5</v>
      </c>
      <c r="G3483" s="60" t="n">
        <f aca="false">Pressupostos!$F$10+Pressupostos!$F$13</f>
        <v>3.5</v>
      </c>
      <c r="H3483" s="2" t="s">
        <v>1167</v>
      </c>
    </row>
    <row r="3484" customFormat="false" ht="15" hidden="false" customHeight="false" outlineLevel="1" collapsed="false">
      <c r="A3484" s="7" t="s">
        <v>634</v>
      </c>
      <c r="B3484" s="8" t="s">
        <v>59</v>
      </c>
      <c r="C3484" s="60" t="n">
        <f aca="false">Pressupostos!$F$10+Pressupostos!$C$51</f>
        <v>3.65</v>
      </c>
      <c r="D3484" s="60" t="n">
        <f aca="false">Pressupostos!$F$10+Pressupostos!$C$51</f>
        <v>3.65</v>
      </c>
      <c r="E3484" s="60" t="n">
        <f aca="false">Pressupostos!$F$10+Pressupostos!$C$51</f>
        <v>3.65</v>
      </c>
      <c r="F3484" s="60" t="n">
        <f aca="false">Pressupostos!$F$10+Pressupostos!$C$51</f>
        <v>3.65</v>
      </c>
      <c r="G3484" s="60" t="n">
        <f aca="false">Pressupostos!$F$10+Pressupostos!$C$51</f>
        <v>3.65</v>
      </c>
      <c r="H3484" s="2" t="s">
        <v>1168</v>
      </c>
    </row>
    <row r="3485" customFormat="false" ht="15" hidden="false" customHeight="false" outlineLevel="1" collapsed="false">
      <c r="A3485" s="52" t="s">
        <v>635</v>
      </c>
      <c r="B3485" s="53" t="s">
        <v>59</v>
      </c>
      <c r="C3485" s="64" t="n">
        <f aca="false">C3484*(1-Pressupostos!$C$52)</f>
        <v>3.65</v>
      </c>
      <c r="D3485" s="64" t="n">
        <f aca="false">D3484*(1-Pressupostos!$C$52)</f>
        <v>3.65</v>
      </c>
      <c r="E3485" s="64" t="n">
        <f aca="false">E3484*(1-Pressupostos!$C$52)</f>
        <v>3.65</v>
      </c>
      <c r="F3485" s="64" t="n">
        <f aca="false">F3484*(1-Pressupostos!$C$52)</f>
        <v>3.65</v>
      </c>
      <c r="G3485" s="64" t="n">
        <f aca="false">G3484*(1-Pressupostos!$C$52)</f>
        <v>3.65</v>
      </c>
      <c r="H3485" s="2" t="s">
        <v>1169</v>
      </c>
    </row>
    <row r="3486" customFormat="false" ht="15" hidden="false" customHeight="false" outlineLevel="1" collapsed="false">
      <c r="A3486" s="7" t="s">
        <v>136</v>
      </c>
      <c r="B3486" s="8" t="s">
        <v>59</v>
      </c>
      <c r="C3486" s="63" t="n">
        <f aca="false">Pressupostos!$C$53</f>
        <v>0</v>
      </c>
      <c r="D3486" s="63" t="n">
        <f aca="false">Pressupostos!$C$53</f>
        <v>0</v>
      </c>
      <c r="E3486" s="63" t="n">
        <f aca="false">Pressupostos!$C$53</f>
        <v>0</v>
      </c>
      <c r="F3486" s="63" t="n">
        <f aca="false">Pressupostos!$C$53</f>
        <v>0</v>
      </c>
      <c r="G3486" s="63" t="n">
        <f aca="false">Pressupostos!$C$53</f>
        <v>0</v>
      </c>
      <c r="H3486" s="2" t="s">
        <v>1170</v>
      </c>
    </row>
    <row r="3487" customFormat="false" ht="15" hidden="false" customHeight="false" outlineLevel="1" collapsed="false">
      <c r="A3487" s="7" t="s">
        <v>205</v>
      </c>
      <c r="B3487" s="8" t="s">
        <v>59</v>
      </c>
      <c r="C3487" s="63" t="n">
        <f aca="false">Pressupostos!$C$54</f>
        <v>0.04</v>
      </c>
      <c r="D3487" s="63" t="n">
        <f aca="false">Pressupostos!$C$54</f>
        <v>0.04</v>
      </c>
      <c r="E3487" s="63" t="n">
        <f aca="false">Pressupostos!$C$54</f>
        <v>0.04</v>
      </c>
      <c r="F3487" s="63" t="n">
        <f aca="false">Pressupostos!$C$54</f>
        <v>0.04</v>
      </c>
      <c r="G3487" s="63" t="n">
        <f aca="false">Pressupostos!$C$54</f>
        <v>0.04</v>
      </c>
      <c r="H3487" s="2" t="s">
        <v>1171</v>
      </c>
    </row>
    <row r="3488" customFormat="false" ht="15" hidden="false" customHeight="false" outlineLevel="1" collapsed="false">
      <c r="A3488" s="7" t="s">
        <v>109</v>
      </c>
      <c r="B3488" s="8" t="s">
        <v>59</v>
      </c>
      <c r="C3488" s="63" t="n">
        <f aca="false">Pressupostos!$C$55</f>
        <v>0</v>
      </c>
      <c r="D3488" s="63" t="n">
        <f aca="false">Pressupostos!$C$55</f>
        <v>0</v>
      </c>
      <c r="E3488" s="63" t="n">
        <f aca="false">Pressupostos!$C$55</f>
        <v>0</v>
      </c>
      <c r="F3488" s="63" t="n">
        <f aca="false">Pressupostos!$C$55</f>
        <v>0</v>
      </c>
      <c r="G3488" s="63" t="n">
        <f aca="false">Pressupostos!$C$55</f>
        <v>0</v>
      </c>
      <c r="H3488" s="2" t="s">
        <v>1172</v>
      </c>
    </row>
    <row r="3489" customFormat="false" ht="15" hidden="false" customHeight="false" outlineLevel="1" collapsed="false">
      <c r="A3489" s="7" t="s">
        <v>86</v>
      </c>
      <c r="B3489" s="8" t="s">
        <v>74</v>
      </c>
      <c r="C3489" s="65" t="n">
        <f aca="false">Pressupostos!$C$56</f>
        <v>15</v>
      </c>
      <c r="D3489" s="65" t="n">
        <f aca="false">Pressupostos!$C$56</f>
        <v>15</v>
      </c>
      <c r="E3489" s="65" t="n">
        <f aca="false">Pressupostos!$C$56</f>
        <v>15</v>
      </c>
      <c r="F3489" s="65" t="n">
        <f aca="false">Pressupostos!$C$56</f>
        <v>15</v>
      </c>
      <c r="G3489" s="65" t="n">
        <f aca="false">Pressupostos!$C$56</f>
        <v>15</v>
      </c>
      <c r="H3489" s="2" t="s">
        <v>1173</v>
      </c>
    </row>
    <row r="3490" customFormat="false" ht="15" hidden="false" customHeight="false" outlineLevel="1" collapsed="false">
      <c r="A3490" s="7" t="s">
        <v>73</v>
      </c>
      <c r="B3490" s="8" t="s">
        <v>74</v>
      </c>
      <c r="C3490" s="65" t="n">
        <f aca="false">Pressupostos!$C$57</f>
        <v>45</v>
      </c>
      <c r="D3490" s="65" t="n">
        <f aca="false">Pressupostos!$C$57</f>
        <v>45</v>
      </c>
      <c r="E3490" s="65" t="n">
        <f aca="false">Pressupostos!$C$57</f>
        <v>45</v>
      </c>
      <c r="F3490" s="65" t="n">
        <f aca="false">Pressupostos!$C$57</f>
        <v>45</v>
      </c>
      <c r="G3490" s="65" t="n">
        <f aca="false">Pressupostos!$C$57</f>
        <v>45</v>
      </c>
      <c r="H3490" s="2" t="s">
        <v>1174</v>
      </c>
    </row>
    <row r="3491" customFormat="false" ht="15" hidden="false" customHeight="false" outlineLevel="1" collapsed="false">
      <c r="A3491" s="7" t="s">
        <v>471</v>
      </c>
      <c r="B3491" s="8" t="s">
        <v>59</v>
      </c>
      <c r="C3491" s="60" t="n">
        <f aca="false">Pressupostos!$C$64*C3489/30/1000</f>
        <v>0.002</v>
      </c>
      <c r="D3491" s="60" t="n">
        <f aca="false">Pressupostos!$C$64*D3489/30/1000</f>
        <v>0.002</v>
      </c>
      <c r="E3491" s="60" t="n">
        <f aca="false">Pressupostos!$C$64*E3489/30/1000</f>
        <v>0.002</v>
      </c>
      <c r="F3491" s="60" t="n">
        <f aca="false">Pressupostos!$C$64*F3489/30/1000</f>
        <v>0.002</v>
      </c>
      <c r="G3491" s="60" t="n">
        <f aca="false">Pressupostos!$C$64*G3489/30/1000</f>
        <v>0.002</v>
      </c>
      <c r="H3491" s="2" t="s">
        <v>1175</v>
      </c>
    </row>
    <row r="3492" customFormat="false" ht="15" hidden="false" customHeight="false" outlineLevel="1" collapsed="false">
      <c r="A3492" s="7" t="s">
        <v>154</v>
      </c>
      <c r="B3492" s="8" t="s">
        <v>59</v>
      </c>
      <c r="C3492" s="60" t="n">
        <f aca="false">C3483*Pressupostos!$C$65*C3489/365</f>
        <v>0.000287671232876712</v>
      </c>
      <c r="D3492" s="60" t="n">
        <f aca="false">D3483*Pressupostos!$C$65*D3489/365</f>
        <v>0.000287671232876712</v>
      </c>
      <c r="E3492" s="60" t="n">
        <f aca="false">E3483*Pressupostos!$C$65*E3489/365</f>
        <v>0.000287671232876712</v>
      </c>
      <c r="F3492" s="60" t="n">
        <f aca="false">F3483*Pressupostos!$C$65*F3489/365</f>
        <v>0.000287671232876712</v>
      </c>
      <c r="G3492" s="60" t="n">
        <f aca="false">G3483*Pressupostos!$C$65*G3489/365</f>
        <v>0.000287671232876712</v>
      </c>
      <c r="H3492" s="2" t="s">
        <v>1176</v>
      </c>
    </row>
    <row r="3493" customFormat="false" ht="15" hidden="false" customHeight="false" outlineLevel="1" collapsed="false">
      <c r="A3493" s="7" t="s">
        <v>636</v>
      </c>
      <c r="B3493" s="8" t="s">
        <v>59</v>
      </c>
      <c r="C3493" s="60" t="n">
        <f aca="false">Pressupostos!$C$59*Pressupostos!$C$66/(Pressupostos!$C$58*1000)</f>
        <v>0.006</v>
      </c>
      <c r="D3493" s="60" t="n">
        <f aca="false">Pressupostos!$C$59*Pressupostos!$C$66/(Pressupostos!$C$58*1000)</f>
        <v>0.006</v>
      </c>
      <c r="E3493" s="60" t="n">
        <f aca="false">Pressupostos!$C$59*Pressupostos!$C$66/(Pressupostos!$C$58*1000)</f>
        <v>0.006</v>
      </c>
      <c r="F3493" s="60" t="n">
        <f aca="false">Pressupostos!$C$59*Pressupostos!$C$66/(Pressupostos!$C$58*1000)</f>
        <v>0.006</v>
      </c>
      <c r="G3493" s="60" t="n">
        <f aca="false">Pressupostos!$C$59*Pressupostos!$C$66/(Pressupostos!$C$58*1000)</f>
        <v>0.006</v>
      </c>
      <c r="H3493" s="2" t="s">
        <v>1177</v>
      </c>
    </row>
    <row r="3494" customFormat="false" ht="15" hidden="false" customHeight="false" outlineLevel="1" collapsed="false">
      <c r="A3494" s="7" t="s">
        <v>473</v>
      </c>
      <c r="B3494" s="8" t="s">
        <v>59</v>
      </c>
      <c r="C3494" s="60" t="n">
        <f aca="false">Pressupostos!$C$67*C3483</f>
        <v>0.0175</v>
      </c>
      <c r="D3494" s="60" t="n">
        <f aca="false">Pressupostos!$C$67*D3483</f>
        <v>0.0175</v>
      </c>
      <c r="E3494" s="60" t="n">
        <f aca="false">Pressupostos!$C$67*E3483</f>
        <v>0.0175</v>
      </c>
      <c r="F3494" s="60" t="n">
        <f aca="false">Pressupostos!$C$67*F3483</f>
        <v>0.0175</v>
      </c>
      <c r="G3494" s="60" t="n">
        <f aca="false">Pressupostos!$C$67*G3483</f>
        <v>0.0175</v>
      </c>
      <c r="H3494" s="2" t="s">
        <v>1178</v>
      </c>
    </row>
    <row r="3495" customFormat="false" ht="15" hidden="false" customHeight="false" outlineLevel="1" collapsed="false">
      <c r="A3495" s="7" t="s">
        <v>474</v>
      </c>
      <c r="B3495" s="8" t="s">
        <v>59</v>
      </c>
      <c r="C3495" s="60" t="n">
        <f aca="false">Pressupostos!$C$68*Pressupostos!$C$69*C3489/90</f>
        <v>0.0015</v>
      </c>
      <c r="D3495" s="60" t="n">
        <f aca="false">Pressupostos!$C$68*Pressupostos!$C$69*D3489/90</f>
        <v>0.0015</v>
      </c>
      <c r="E3495" s="60" t="n">
        <f aca="false">Pressupostos!$C$68*Pressupostos!$C$69*E3489/90</f>
        <v>0.0015</v>
      </c>
      <c r="F3495" s="60" t="n">
        <f aca="false">Pressupostos!$C$68*Pressupostos!$C$69*F3489/90</f>
        <v>0.0015</v>
      </c>
      <c r="G3495" s="60" t="n">
        <f aca="false">Pressupostos!$C$68*Pressupostos!$C$69*G3489/90</f>
        <v>0.0015</v>
      </c>
      <c r="H3495" s="2" t="s">
        <v>1179</v>
      </c>
    </row>
    <row r="3496" customFormat="false" ht="15" hidden="false" customHeight="false" outlineLevel="1" collapsed="false">
      <c r="A3496" s="7" t="s">
        <v>637</v>
      </c>
      <c r="B3496" s="8" t="s">
        <v>59</v>
      </c>
      <c r="C3496" s="60" t="n">
        <f aca="false">Pressupostos!$C$60/(Pressupostos!$C$58*1000)</f>
        <v>0.012</v>
      </c>
      <c r="D3496" s="60" t="n">
        <f aca="false">Pressupostos!$C$60/(Pressupostos!$C$58*1000)</f>
        <v>0.012</v>
      </c>
      <c r="E3496" s="60" t="n">
        <f aca="false">Pressupostos!$C$60/(Pressupostos!$C$58*1000)</f>
        <v>0.012</v>
      </c>
      <c r="F3496" s="60" t="n">
        <f aca="false">Pressupostos!$C$60/(Pressupostos!$C$58*1000)</f>
        <v>0.012</v>
      </c>
      <c r="G3496" s="60" t="n">
        <f aca="false">Pressupostos!$C$60/(Pressupostos!$C$58*1000)</f>
        <v>0.012</v>
      </c>
      <c r="H3496" s="2" t="s">
        <v>1180</v>
      </c>
    </row>
    <row r="3497" customFormat="false" ht="15" hidden="false" customHeight="false" outlineLevel="1" collapsed="false">
      <c r="A3497" s="7" t="s">
        <v>131</v>
      </c>
      <c r="B3497" s="8" t="s">
        <v>59</v>
      </c>
      <c r="C3497" s="63" t="n">
        <f aca="false">Pressupostos!$C$61</f>
        <v>0.001</v>
      </c>
      <c r="D3497" s="63" t="n">
        <f aca="false">Pressupostos!$C$61</f>
        <v>0.001</v>
      </c>
      <c r="E3497" s="63" t="n">
        <f aca="false">Pressupostos!$C$61</f>
        <v>0.001</v>
      </c>
      <c r="F3497" s="63" t="n">
        <f aca="false">Pressupostos!$C$61</f>
        <v>0.001</v>
      </c>
      <c r="G3497" s="63" t="n">
        <f aca="false">Pressupostos!$C$61</f>
        <v>0.001</v>
      </c>
      <c r="H3497" s="2" t="s">
        <v>1181</v>
      </c>
    </row>
    <row r="3498" customFormat="false" ht="15" hidden="false" customHeight="false" outlineLevel="1" collapsed="false">
      <c r="A3498" s="7" t="s">
        <v>76</v>
      </c>
      <c r="B3498" s="8" t="s">
        <v>59</v>
      </c>
      <c r="C3498" s="60" t="n">
        <f aca="false">Pressupostos!$C$62*C3485</f>
        <v>0.01095</v>
      </c>
      <c r="D3498" s="60" t="n">
        <f aca="false">Pressupostos!$C$62*D3485</f>
        <v>0.01095</v>
      </c>
      <c r="E3498" s="60" t="n">
        <f aca="false">Pressupostos!$C$62*E3485</f>
        <v>0.01095</v>
      </c>
      <c r="F3498" s="60" t="n">
        <f aca="false">Pressupostos!$C$62*F3485</f>
        <v>0.01095</v>
      </c>
      <c r="G3498" s="60" t="n">
        <f aca="false">Pressupostos!$C$62*G3485</f>
        <v>0.01095</v>
      </c>
      <c r="H3498" s="2" t="s">
        <v>1182</v>
      </c>
    </row>
    <row r="3499" customFormat="false" ht="15" hidden="false" customHeight="false" outlineLevel="1" collapsed="false">
      <c r="A3499" s="7" t="s">
        <v>638</v>
      </c>
      <c r="B3499" s="8" t="s">
        <v>59</v>
      </c>
      <c r="C3499" s="60" t="n">
        <f aca="false">Pressupostos!$C$71*C3485</f>
        <v>0</v>
      </c>
      <c r="D3499" s="60" t="n">
        <f aca="false">Pressupostos!$C$71*D3485</f>
        <v>0</v>
      </c>
      <c r="E3499" s="60" t="n">
        <f aca="false">Pressupostos!$C$71*E3485</f>
        <v>0</v>
      </c>
      <c r="F3499" s="60" t="n">
        <f aca="false">Pressupostos!$C$71*F3485</f>
        <v>0</v>
      </c>
      <c r="G3499" s="60" t="n">
        <f aca="false">Pressupostos!$C$71*G3485</f>
        <v>0</v>
      </c>
      <c r="H3499" s="2" t="s">
        <v>1183</v>
      </c>
    </row>
    <row r="3500" customFormat="false" ht="15" hidden="false" customHeight="false" outlineLevel="1" collapsed="false">
      <c r="A3500" s="7" t="s">
        <v>639</v>
      </c>
      <c r="B3500" s="8" t="s">
        <v>59</v>
      </c>
      <c r="C3500" s="60" t="n">
        <f aca="false">Pressupostos!$C$285*(C3483+C3486)*(C3489+C3490-Pressupostos!$C$70)/365*Pressupostos!$C$279/Pressupostos!$F$31</f>
        <v>0</v>
      </c>
      <c r="D3500" s="60" t="n">
        <f aca="false">Pressupostos!$D$285*(D3483+D3486)*(D3489+D3490-Pressupostos!$C$70)/365*Pressupostos!$D$279/Pressupostos!$F$31</f>
        <v>0.0258904109589041</v>
      </c>
      <c r="E3500" s="60" t="n">
        <f aca="false">Pressupostos!$E$285*(E3483+E3486)*(E3489+E3490-Pressupostos!$C$70)/365*Pressupostos!$E$279/Pressupostos!$F$31</f>
        <v>0.0242722602739726</v>
      </c>
      <c r="F3500" s="60" t="n">
        <f aca="false">Pressupostos!$F$285*(F3483+F3486)*(F3489+F3490-Pressupostos!$C$70)/365*Pressupostos!$F$279/Pressupostos!$F$31</f>
        <v>0.0226541095890411</v>
      </c>
      <c r="G3500" s="60" t="n">
        <f aca="false">Pressupostos!$G$285*(G3483+G3486)*(G3489+G3490-Pressupostos!$C$70)/365*Pressupostos!$G$279/Pressupostos!$F$31</f>
        <v>0.0226541095890411</v>
      </c>
      <c r="H3500" s="2" t="s">
        <v>1184</v>
      </c>
    </row>
    <row r="3501" customFormat="false" ht="15" hidden="false" customHeight="false" outlineLevel="1" collapsed="false">
      <c r="A3501" s="7" t="s">
        <v>640</v>
      </c>
      <c r="B3501" s="8" t="s">
        <v>59</v>
      </c>
      <c r="C3501" s="60" t="n">
        <f aca="false">C3483+C3486+C3487+C3488+C3491+C3492+C3493+C3494+C3495+C3496+C3497+C3498+C3499+C3500</f>
        <v>3.59123767123288</v>
      </c>
      <c r="D3501" s="60" t="n">
        <f aca="false">D3483+D3486+D3487+D3488+D3491+D3492+D3493+D3494+D3495+D3496+D3497+D3498+D3499+D3500</f>
        <v>3.61712808219178</v>
      </c>
      <c r="E3501" s="60" t="n">
        <f aca="false">E3483+E3486+E3487+E3488+E3491+E3492+E3493+E3494+E3495+E3496+E3497+E3498+E3499+E3500</f>
        <v>3.61550993150685</v>
      </c>
      <c r="F3501" s="60" t="n">
        <f aca="false">F3483+F3486+F3487+F3488+F3491+F3492+F3493+F3494+F3495+F3496+F3497+F3498+F3499+F3500</f>
        <v>3.61389178082192</v>
      </c>
      <c r="G3501" s="60" t="n">
        <f aca="false">G3483+G3486+G3487+G3488+G3491+G3492+G3493+G3494+G3495+G3496+G3497+G3498+G3499+G3500</f>
        <v>3.61389178082192</v>
      </c>
      <c r="H3501" s="2" t="s">
        <v>1185</v>
      </c>
    </row>
    <row r="3502" customFormat="false" ht="15" hidden="false" customHeight="false" outlineLevel="1" collapsed="false">
      <c r="A3502" s="52" t="s">
        <v>641</v>
      </c>
      <c r="B3502" s="53" t="s">
        <v>59</v>
      </c>
      <c r="C3502" s="64" t="n">
        <f aca="false">C3485-C3501</f>
        <v>0.058762328767124</v>
      </c>
      <c r="D3502" s="64" t="n">
        <f aca="false">D3485-D3501</f>
        <v>0.0328719178082197</v>
      </c>
      <c r="E3502" s="64" t="n">
        <f aca="false">E3485-E3501</f>
        <v>0.0344900684931515</v>
      </c>
      <c r="F3502" s="64" t="n">
        <f aca="false">F3485-F3501</f>
        <v>0.0361082191780828</v>
      </c>
      <c r="G3502" s="64" t="n">
        <f aca="false">G3485-G3501</f>
        <v>0.0361082191780828</v>
      </c>
      <c r="H3502" s="2" t="s">
        <v>1186</v>
      </c>
    </row>
    <row r="3503" customFormat="false" ht="15" hidden="false" customHeight="false" outlineLevel="1" collapsed="false">
      <c r="A3503" s="7" t="s">
        <v>642</v>
      </c>
      <c r="B3503" s="8" t="s">
        <v>71</v>
      </c>
      <c r="C3503" s="55" t="n">
        <f aca="false">IF(C3485&gt;0,C3502/C3485,0)</f>
        <v>0.0160992681553764</v>
      </c>
      <c r="D3503" s="55" t="n">
        <f aca="false">IF(D3485&gt;0,D3502/D3485,0)</f>
        <v>0.00900600487896431</v>
      </c>
      <c r="E3503" s="55" t="n">
        <f aca="false">IF(E3485&gt;0,E3502/E3485,0)</f>
        <v>0.00944933383374014</v>
      </c>
      <c r="F3503" s="55" t="n">
        <f aca="false">IF(F3485&gt;0,F3502/F3485,0)</f>
        <v>0.00989266278851584</v>
      </c>
      <c r="G3503" s="55" t="n">
        <f aca="false">IF(G3485&gt;0,G3502/G3485,0)</f>
        <v>0.00989266278851584</v>
      </c>
      <c r="H3503" s="2" t="s">
        <v>1187</v>
      </c>
    </row>
    <row r="3504" customFormat="false" ht="15" hidden="false" customHeight="false" outlineLevel="1" collapsed="false">
      <c r="A3504" s="7" t="s">
        <v>643</v>
      </c>
      <c r="B3504" s="8" t="s">
        <v>59</v>
      </c>
      <c r="C3504" s="60" t="n">
        <f aca="false">(C3483+C3486)*(C3489-Pressupostos!$C$70)/365+C3485*C3490/365</f>
        <v>0.306164383561644</v>
      </c>
      <c r="D3504" s="60" t="n">
        <f aca="false">(D3483+D3486)*(D3489-Pressupostos!$C$70)/365+D3485*D3490/365</f>
        <v>0.306164383561644</v>
      </c>
      <c r="E3504" s="60" t="n">
        <f aca="false">(E3483+E3486)*(E3489-Pressupostos!$C$70)/365+E3485*E3490/365</f>
        <v>0.306164383561644</v>
      </c>
      <c r="F3504" s="60" t="n">
        <f aca="false">(F3483+F3486)*(F3489-Pressupostos!$C$70)/365+F3485*F3490/365</f>
        <v>0.306164383561644</v>
      </c>
      <c r="G3504" s="60" t="n">
        <f aca="false">(G3483+G3486)*(G3489-Pressupostos!$C$70)/365+G3485*G3490/365</f>
        <v>0.306164383561644</v>
      </c>
      <c r="H3504" s="2" t="s">
        <v>1188</v>
      </c>
    </row>
    <row r="3505" customFormat="false" ht="15" hidden="false" customHeight="false" outlineLevel="0" collapsed="false">
      <c r="A3505" s="3" t="s">
        <v>1189</v>
      </c>
      <c r="B3505" s="4"/>
      <c r="C3505" s="4"/>
      <c r="D3505" s="4"/>
      <c r="E3505" s="4"/>
      <c r="F3505" s="4"/>
      <c r="G3505" s="4"/>
      <c r="H3505" s="4"/>
    </row>
    <row r="3506" customFormat="false" ht="15" hidden="false" customHeight="false" outlineLevel="1" collapsed="false">
      <c r="A3506" s="7" t="s">
        <v>575</v>
      </c>
      <c r="B3506" s="8" t="s">
        <v>10</v>
      </c>
      <c r="C3506" s="58" t="n">
        <f aca="false">C3421*1000*C3439</f>
        <v>44280</v>
      </c>
      <c r="D3506" s="58" t="n">
        <f aca="false">D3421*1000*D3439</f>
        <v>166050</v>
      </c>
      <c r="E3506" s="58" t="n">
        <f aca="false">E3421*1000*E3439</f>
        <v>442800</v>
      </c>
      <c r="F3506" s="58" t="n">
        <f aca="false">F3421*1000*F3439</f>
        <v>774900</v>
      </c>
      <c r="G3506" s="58" t="n">
        <f aca="false">G3421*1000*G3439</f>
        <v>1107000</v>
      </c>
      <c r="H3506" s="2" t="s">
        <v>1190</v>
      </c>
    </row>
    <row r="3507" customFormat="false" ht="15" hidden="false" customHeight="false" outlineLevel="1" collapsed="false">
      <c r="A3507" s="7" t="s">
        <v>576</v>
      </c>
      <c r="B3507" s="8" t="s">
        <v>10</v>
      </c>
      <c r="C3507" s="58" t="n">
        <f aca="false">C3422*1000*C3462</f>
        <v>231400</v>
      </c>
      <c r="D3507" s="58" t="n">
        <f aca="false">D3422*1000*D3462</f>
        <v>1615350</v>
      </c>
      <c r="E3507" s="58" t="n">
        <f aca="false">E3422*1000*E3462</f>
        <v>3190650</v>
      </c>
      <c r="F3507" s="58" t="n">
        <f aca="false">F3422*1000*F3462</f>
        <v>5264350</v>
      </c>
      <c r="G3507" s="58" t="n">
        <f aca="false">G3422*1000*G3462</f>
        <v>7965500</v>
      </c>
      <c r="H3507" s="2" t="s">
        <v>1191</v>
      </c>
    </row>
    <row r="3508" customFormat="false" ht="15" hidden="false" customHeight="false" outlineLevel="1" collapsed="false">
      <c r="A3508" s="7" t="s">
        <v>577</v>
      </c>
      <c r="B3508" s="8" t="s">
        <v>10</v>
      </c>
      <c r="C3508" s="58" t="n">
        <f aca="false">C3423*1000*C3485</f>
        <v>0</v>
      </c>
      <c r="D3508" s="58" t="n">
        <f aca="false">D3423*1000*D3485</f>
        <v>1825000</v>
      </c>
      <c r="E3508" s="58" t="n">
        <f aca="false">E3423*1000*E3485</f>
        <v>5475000</v>
      </c>
      <c r="F3508" s="58" t="n">
        <f aca="false">F3423*1000*F3485</f>
        <v>9125000</v>
      </c>
      <c r="G3508" s="58" t="n">
        <f aca="false">G3423*1000*G3485</f>
        <v>12775000</v>
      </c>
      <c r="H3508" s="2" t="s">
        <v>1192</v>
      </c>
    </row>
    <row r="3509" customFormat="false" ht="15" hidden="false" customHeight="false" outlineLevel="1" collapsed="false">
      <c r="A3509" s="7" t="s">
        <v>578</v>
      </c>
      <c r="B3509" s="8" t="s">
        <v>10</v>
      </c>
      <c r="C3509" s="58" t="n">
        <f aca="false">C3506+C3507+C3508</f>
        <v>275680</v>
      </c>
      <c r="D3509" s="58" t="n">
        <f aca="false">D3506+D3507+D3508</f>
        <v>3606400</v>
      </c>
      <c r="E3509" s="58" t="n">
        <f aca="false">E3506+E3507+E3508</f>
        <v>9108450</v>
      </c>
      <c r="F3509" s="58" t="n">
        <f aca="false">F3506+F3507+F3508</f>
        <v>15164250</v>
      </c>
      <c r="G3509" s="58" t="n">
        <f aca="false">G3506+G3507+G3508</f>
        <v>21847500</v>
      </c>
      <c r="H3509" s="2" t="s">
        <v>1193</v>
      </c>
    </row>
    <row r="3510" customFormat="false" ht="15" hidden="false" customHeight="false" outlineLevel="1" collapsed="false">
      <c r="A3510" s="7" t="s">
        <v>579</v>
      </c>
      <c r="B3510" s="8" t="s">
        <v>10</v>
      </c>
      <c r="C3510" s="58" t="n">
        <f aca="false">C3432*1000*Pressupostos!$C$91</f>
        <v>0</v>
      </c>
      <c r="D3510" s="58" t="n">
        <f aca="false">D3432*1000*Pressupostos!$C$91</f>
        <v>0</v>
      </c>
      <c r="E3510" s="58" t="n">
        <f aca="false">E3432*1000*Pressupostos!$C$91</f>
        <v>0</v>
      </c>
      <c r="F3510" s="58" t="n">
        <f aca="false">F3432*1000*Pressupostos!$C$91</f>
        <v>157000</v>
      </c>
      <c r="G3510" s="58" t="n">
        <f aca="false">G3432*1000*Pressupostos!$C$91</f>
        <v>392500</v>
      </c>
      <c r="H3510" s="2" t="s">
        <v>1194</v>
      </c>
    </row>
    <row r="3511" customFormat="false" ht="15" hidden="false" customHeight="false" outlineLevel="1" collapsed="false">
      <c r="A3511" s="2" t="s">
        <v>580</v>
      </c>
      <c r="B3511" s="8" t="s">
        <v>10</v>
      </c>
      <c r="C3511" s="58" t="n">
        <f aca="false">C3430*Pressupostos!$C$78*(1-Pressupostos!$C$79)</f>
        <v>9720</v>
      </c>
      <c r="D3511" s="58" t="n">
        <f aca="false">D3430*Pressupostos!$C$78*(1-Pressupostos!$C$79)</f>
        <v>36450</v>
      </c>
      <c r="E3511" s="58" t="n">
        <f aca="false">E3430*Pressupostos!$C$78*(1-Pressupostos!$C$79)</f>
        <v>97200</v>
      </c>
      <c r="F3511" s="58" t="n">
        <f aca="false">F3430*Pressupostos!$C$78*(1-Pressupostos!$C$79)</f>
        <v>170100</v>
      </c>
      <c r="G3511" s="58" t="n">
        <f aca="false">G3430*Pressupostos!$C$78*(1-Pressupostos!$C$79)</f>
        <v>243000</v>
      </c>
      <c r="H3511" s="2" t="s">
        <v>1195</v>
      </c>
    </row>
    <row r="3512" customFormat="false" ht="15" hidden="false" customHeight="false" outlineLevel="1" collapsed="false">
      <c r="A3512" s="7" t="s">
        <v>581</v>
      </c>
      <c r="B3512" s="8" t="s">
        <v>10</v>
      </c>
      <c r="C3512" s="58" t="n">
        <f aca="false">C3511*Pressupostos!$F$27</f>
        <v>194.4</v>
      </c>
      <c r="D3512" s="58" t="n">
        <f aca="false">D3511*Pressupostos!$F$27</f>
        <v>729</v>
      </c>
      <c r="E3512" s="58" t="n">
        <f aca="false">E3511*Pressupostos!$F$27</f>
        <v>1944</v>
      </c>
      <c r="F3512" s="58" t="n">
        <f aca="false">F3511*Pressupostos!$F$27</f>
        <v>3402</v>
      </c>
      <c r="G3512" s="58" t="n">
        <f aca="false">G3511*Pressupostos!$F$27</f>
        <v>4860</v>
      </c>
      <c r="H3512" s="2" t="s">
        <v>1196</v>
      </c>
    </row>
    <row r="3513" customFormat="false" ht="15" hidden="false" customHeight="false" outlineLevel="1" collapsed="false">
      <c r="A3513" s="7" t="s">
        <v>582</v>
      </c>
      <c r="B3513" s="8" t="s">
        <v>10</v>
      </c>
      <c r="C3513" s="58" t="n">
        <f aca="false">C3434*(Pressupostos!$C$99*Pressupostos!$C$100+Pressupostos!$C$101)</f>
        <v>0</v>
      </c>
      <c r="D3513" s="58" t="n">
        <f aca="false">D3434*(Pressupostos!$C$99*Pressupostos!$C$100+Pressupostos!$C$101)</f>
        <v>10000</v>
      </c>
      <c r="E3513" s="58" t="n">
        <f aca="false">E3434*(Pressupostos!$C$99*Pressupostos!$C$100+Pressupostos!$C$101)</f>
        <v>30000</v>
      </c>
      <c r="F3513" s="58" t="n">
        <f aca="false">F3434*(Pressupostos!$C$99*Pressupostos!$C$100+Pressupostos!$C$101)</f>
        <v>60000</v>
      </c>
      <c r="G3513" s="58" t="n">
        <f aca="false">G3434*(Pressupostos!$C$99*Pressupostos!$C$100+Pressupostos!$C$101)</f>
        <v>100000</v>
      </c>
      <c r="H3513" s="2" t="s">
        <v>1197</v>
      </c>
    </row>
    <row r="3514" customFormat="false" ht="15" hidden="false" customHeight="false" outlineLevel="1" collapsed="false">
      <c r="A3514" s="7" t="s">
        <v>583</v>
      </c>
      <c r="B3514" s="8" t="s">
        <v>10</v>
      </c>
      <c r="C3514" s="50" t="n">
        <f aca="false">Pressupostos!$C$272</f>
        <v>0</v>
      </c>
      <c r="D3514" s="50" t="n">
        <f aca="false">Pressupostos!$D$272</f>
        <v>0</v>
      </c>
      <c r="E3514" s="50" t="n">
        <f aca="false">Pressupostos!$E$272</f>
        <v>0</v>
      </c>
      <c r="F3514" s="50" t="n">
        <f aca="false">Pressupostos!$F$272</f>
        <v>10000</v>
      </c>
      <c r="G3514" s="50" t="n">
        <f aca="false">Pressupostos!$G$272</f>
        <v>30000</v>
      </c>
      <c r="H3514" s="2" t="s">
        <v>1198</v>
      </c>
    </row>
    <row r="3515" customFormat="false" ht="15" hidden="false" customHeight="false" outlineLevel="1" collapsed="false">
      <c r="A3515" s="52" t="s">
        <v>584</v>
      </c>
      <c r="B3515" s="53" t="s">
        <v>10</v>
      </c>
      <c r="C3515" s="59" t="n">
        <f aca="false">C3509+C3510+C3512+C3513+C3514</f>
        <v>275874.4</v>
      </c>
      <c r="D3515" s="59" t="n">
        <f aca="false">D3509+D3510+D3512+D3513+D3514</f>
        <v>3617129</v>
      </c>
      <c r="E3515" s="59" t="n">
        <f aca="false">E3509+E3510+E3512+E3513+E3514</f>
        <v>9140394</v>
      </c>
      <c r="F3515" s="59" t="n">
        <f aca="false">F3509+F3510+F3512+F3513+F3514</f>
        <v>15394652</v>
      </c>
      <c r="G3515" s="59" t="n">
        <f aca="false">G3509+G3510+G3512+G3513+G3514</f>
        <v>22374860</v>
      </c>
      <c r="H3515" s="2" t="s">
        <v>1199</v>
      </c>
    </row>
    <row r="3516" customFormat="false" ht="15" hidden="false" customHeight="false" outlineLevel="0" collapsed="false">
      <c r="A3516" s="3" t="s">
        <v>1200</v>
      </c>
      <c r="B3516" s="4"/>
      <c r="C3516" s="4"/>
      <c r="D3516" s="4"/>
      <c r="E3516" s="4"/>
      <c r="F3516" s="4"/>
      <c r="G3516" s="4"/>
      <c r="H3516" s="4"/>
    </row>
    <row r="3517" customFormat="false" ht="15" hidden="false" customHeight="false" outlineLevel="1" collapsed="false">
      <c r="A3517" s="52" t="s">
        <v>586</v>
      </c>
      <c r="B3517" s="53" t="s">
        <v>10</v>
      </c>
      <c r="C3517" s="59" t="n">
        <f aca="false">C3509+C3510+C3511</f>
        <v>285400</v>
      </c>
      <c r="D3517" s="59" t="n">
        <f aca="false">D3509+D3510+D3511</f>
        <v>3642850</v>
      </c>
      <c r="E3517" s="59" t="n">
        <f aca="false">E3509+E3510+E3511</f>
        <v>9205650</v>
      </c>
      <c r="F3517" s="59" t="n">
        <f aca="false">F3509+F3510+F3511</f>
        <v>15491350</v>
      </c>
      <c r="G3517" s="59" t="n">
        <f aca="false">G3509+G3510+G3511</f>
        <v>22483000</v>
      </c>
      <c r="H3517" s="2" t="s">
        <v>1201</v>
      </c>
    </row>
    <row r="3518" customFormat="false" ht="15" hidden="false" customHeight="false" outlineLevel="1" collapsed="false">
      <c r="A3518" s="7" t="s">
        <v>587</v>
      </c>
      <c r="B3518" s="8" t="s">
        <v>10</v>
      </c>
      <c r="C3518" s="58" t="n">
        <f aca="false">C3421*1000*(C3437+C3440)+C3422*1000*(C3460+C3463)+C3423*1000*(C3483+C3486)+C3432*1000*Pressupostos!$C$90</f>
        <v>245040</v>
      </c>
      <c r="D3518" s="58" t="n">
        <f aca="false">D3421*1000*(D3437+D3440)+D3422*1000*(D3460+D3463)+D3423*1000*(D3483+D3486)+D3432*1000*Pressupostos!$C$90</f>
        <v>3349300</v>
      </c>
      <c r="E3518" s="58" t="n">
        <f aca="false">E3421*1000*(E3437+E3440)+E3422*1000*(E3460+E3463)+E3423*1000*(E3483+E3486)+E3432*1000*Pressupostos!$C$90</f>
        <v>8498250</v>
      </c>
      <c r="F3518" s="58" t="n">
        <f aca="false">F3421*1000*(F3437+F3440)+F3422*1000*(F3460+F3463)+F3423*1000*(F3483+F3486)+F3432*1000*Pressupostos!$C$90</f>
        <v>14283850</v>
      </c>
      <c r="G3518" s="58" t="n">
        <f aca="false">G3421*1000*(G3437+G3440)+G3422*1000*(G3460+G3463)+G3423*1000*(G3483+G3486)+G3432*1000*Pressupostos!$C$90</f>
        <v>20710500</v>
      </c>
      <c r="H3518" s="2" t="s">
        <v>1202</v>
      </c>
    </row>
    <row r="3519" customFormat="false" ht="15" hidden="false" customHeight="false" outlineLevel="1" collapsed="false">
      <c r="A3519" s="7" t="s">
        <v>588</v>
      </c>
      <c r="B3519" s="8" t="s">
        <v>10</v>
      </c>
      <c r="C3519" s="58" t="n">
        <f aca="false">C3518*Pressupostos!$C$279</f>
        <v>0</v>
      </c>
      <c r="D3519" s="58" t="n">
        <f aca="false">D3518*Pressupostos!$D$279</f>
        <v>3014370</v>
      </c>
      <c r="E3519" s="58" t="n">
        <f aca="false">E3518*Pressupostos!$E$279</f>
        <v>7648425</v>
      </c>
      <c r="F3519" s="58" t="n">
        <f aca="false">F3518*Pressupostos!$F$279</f>
        <v>12855465</v>
      </c>
      <c r="G3519" s="58" t="n">
        <f aca="false">G3518*Pressupostos!$G$279</f>
        <v>18639450</v>
      </c>
      <c r="H3519" s="2" t="s">
        <v>1203</v>
      </c>
    </row>
    <row r="3520" customFormat="false" ht="15" hidden="false" customHeight="false" outlineLevel="0" collapsed="false">
      <c r="A3520" s="3" t="s">
        <v>1204</v>
      </c>
      <c r="B3520" s="4"/>
      <c r="C3520" s="4"/>
      <c r="D3520" s="4"/>
      <c r="E3520" s="4"/>
      <c r="F3520" s="4"/>
      <c r="G3520" s="4"/>
      <c r="H3520" s="4"/>
    </row>
    <row r="3521" customFormat="false" ht="15" hidden="false" customHeight="false" outlineLevel="1" collapsed="false">
      <c r="A3521" s="7" t="s">
        <v>590</v>
      </c>
      <c r="B3521" s="8" t="s">
        <v>10</v>
      </c>
      <c r="C3521" s="58" t="n">
        <f aca="false">C3421*1000*C3456</f>
        <v>4950.75000000001</v>
      </c>
      <c r="D3521" s="58" t="n">
        <f aca="false">D3421*1000*D3456</f>
        <v>12673.9494863014</v>
      </c>
      <c r="E3521" s="58" t="n">
        <f aca="false">E3421*1000*E3456</f>
        <v>49971.2493150686</v>
      </c>
      <c r="F3521" s="58" t="n">
        <f aca="false">F3421*1000*F3456</f>
        <v>89349.0955479452</v>
      </c>
      <c r="G3521" s="58" t="n">
        <f aca="false">G3421*1000*G3456</f>
        <v>127641.565068493</v>
      </c>
      <c r="H3521" s="2" t="s">
        <v>1205</v>
      </c>
    </row>
    <row r="3522" customFormat="false" ht="15" hidden="false" customHeight="false" outlineLevel="1" collapsed="false">
      <c r="A3522" s="7" t="s">
        <v>591</v>
      </c>
      <c r="B3522" s="8" t="s">
        <v>10</v>
      </c>
      <c r="C3522" s="58" t="n">
        <f aca="false">C3422*1000*C3479</f>
        <v>10195.0273972603</v>
      </c>
      <c r="D3522" s="58" t="n">
        <f aca="false">D3422*1000*D3479</f>
        <v>51231.4828767126</v>
      </c>
      <c r="E3522" s="58" t="n">
        <f aca="false">E3422*1000*E3479</f>
        <v>110824.074914384</v>
      </c>
      <c r="F3522" s="58" t="n">
        <f aca="false">F3422*1000*F3479</f>
        <v>186912.987157534</v>
      </c>
      <c r="G3522" s="58" t="n">
        <f aca="false">G3422*1000*G3479</f>
        <v>282818.467465754</v>
      </c>
      <c r="H3522" s="2" t="s">
        <v>1206</v>
      </c>
    </row>
    <row r="3523" customFormat="false" ht="15" hidden="false" customHeight="false" outlineLevel="1" collapsed="false">
      <c r="A3523" s="7" t="s">
        <v>592</v>
      </c>
      <c r="B3523" s="8" t="s">
        <v>10</v>
      </c>
      <c r="C3523" s="58" t="n">
        <f aca="false">C3423*1000*C3502</f>
        <v>0</v>
      </c>
      <c r="D3523" s="58" t="n">
        <f aca="false">D3423*1000*D3502</f>
        <v>16435.9589041099</v>
      </c>
      <c r="E3523" s="58" t="n">
        <f aca="false">E3423*1000*E3502</f>
        <v>51735.1027397273</v>
      </c>
      <c r="F3523" s="58" t="n">
        <f aca="false">F3423*1000*F3502</f>
        <v>90270.5479452071</v>
      </c>
      <c r="G3523" s="58" t="n">
        <f aca="false">G3423*1000*G3502</f>
        <v>126378.76712329</v>
      </c>
      <c r="H3523" s="2" t="s">
        <v>1207</v>
      </c>
    </row>
    <row r="3524" customFormat="false" ht="15" hidden="false" customHeight="false" outlineLevel="1" collapsed="false">
      <c r="A3524" s="7" t="s">
        <v>593</v>
      </c>
      <c r="B3524" s="8" t="s">
        <v>10</v>
      </c>
      <c r="C3524" s="58" t="n">
        <f aca="false">C3521+C3522+C3523</f>
        <v>15145.7773972603</v>
      </c>
      <c r="D3524" s="58" t="n">
        <f aca="false">D3521+D3522+D3523</f>
        <v>80341.3912671239</v>
      </c>
      <c r="E3524" s="58" t="n">
        <f aca="false">E3521+E3522+E3523</f>
        <v>212530.42696918</v>
      </c>
      <c r="F3524" s="58" t="n">
        <f aca="false">F3521+F3522+F3523</f>
        <v>366532.630650687</v>
      </c>
      <c r="G3524" s="58" t="n">
        <f aca="false">G3521+G3522+G3523</f>
        <v>536838.799657537</v>
      </c>
      <c r="H3524" s="2" t="s">
        <v>1208</v>
      </c>
    </row>
    <row r="3525" customFormat="false" ht="15" hidden="false" customHeight="false" outlineLevel="1" collapsed="false">
      <c r="A3525" s="7" t="s">
        <v>594</v>
      </c>
      <c r="B3525" s="8" t="s">
        <v>59</v>
      </c>
      <c r="C3525" s="60" t="n">
        <f aca="false">IF(C3424&gt;0,C3524/(C3424*1000),0)</f>
        <v>0.251590986665454</v>
      </c>
      <c r="D3525" s="60" t="n">
        <f aca="false">IF(D3424&gt;0,D3524/(D3424*1000),0)</f>
        <v>0.0898924657534253</v>
      </c>
      <c r="E3525" s="60" t="n">
        <f aca="false">IF(E3424&gt;0,E3524/(E3424*1000),0)</f>
        <v>0.0924447268243495</v>
      </c>
      <c r="F3525" s="60" t="n">
        <f aca="false">IF(F3424&gt;0,F3524/(F3424*1000),0)</f>
        <v>0.095787960447063</v>
      </c>
      <c r="G3525" s="60" t="n">
        <f aca="false">IF(G3424&gt;0,G3524/(G3424*1000),0)</f>
        <v>0.0976958689094698</v>
      </c>
      <c r="H3525" s="2" t="s">
        <v>1209</v>
      </c>
    </row>
    <row r="3526" customFormat="false" ht="15" hidden="false" customHeight="false" outlineLevel="1" collapsed="false">
      <c r="A3526" s="7" t="s">
        <v>595</v>
      </c>
      <c r="B3526" s="8" t="s">
        <v>71</v>
      </c>
      <c r="C3526" s="55" t="n">
        <f aca="false">IF(C3509&gt;0,C3524/C3509,0)</f>
        <v>0.0549397032692263</v>
      </c>
      <c r="D3526" s="55" t="n">
        <f aca="false">IF(D3509&gt;0,D3524/D3509,0)</f>
        <v>0.0222774487763764</v>
      </c>
      <c r="E3526" s="55" t="n">
        <f aca="false">IF(E3509&gt;0,E3524/E3509,0)</f>
        <v>0.0233333253154137</v>
      </c>
      <c r="F3526" s="55" t="n">
        <f aca="false">IF(F3509&gt;0,F3524/F3509,0)</f>
        <v>0.0241708380335781</v>
      </c>
      <c r="G3526" s="55" t="n">
        <f aca="false">IF(G3509&gt;0,G3524/G3509,0)</f>
        <v>0.0245720929011345</v>
      </c>
      <c r="H3526" s="2" t="s">
        <v>1210</v>
      </c>
    </row>
    <row r="3527" customFormat="false" ht="15" hidden="false" customHeight="false" outlineLevel="1" collapsed="false">
      <c r="A3527" s="2" t="s">
        <v>596</v>
      </c>
      <c r="B3527" s="8" t="s">
        <v>59</v>
      </c>
      <c r="C3527" s="60" t="n">
        <f aca="false">Pressupostos!$C$285*Pressupostos!$C$90*(Pressupostos!$C$93+Pressupostos!$C$94-Pressupostos!$C$95)/365*Pressupostos!$C$279/Pressupostos!$F$31</f>
        <v>0</v>
      </c>
      <c r="D3527" s="60" t="n">
        <f aca="false">Pressupostos!$D$285*Pressupostos!$C$90*(Pressupostos!$C$93+Pressupostos!$C$94-Pressupostos!$C$95)/365*Pressupostos!$D$279/Pressupostos!$F$31</f>
        <v>0.0776712328767123</v>
      </c>
      <c r="E3527" s="60" t="n">
        <f aca="false">Pressupostos!$E$285*Pressupostos!$C$90*(Pressupostos!$C$93+Pressupostos!$C$94-Pressupostos!$C$95)/365*Pressupostos!$E$279/Pressupostos!$F$31</f>
        <v>0.0728167808219178</v>
      </c>
      <c r="F3527" s="60" t="n">
        <f aca="false">Pressupostos!$F$285*Pressupostos!$C$90*(Pressupostos!$C$93+Pressupostos!$C$94-Pressupostos!$C$95)/365*Pressupostos!$F$279/Pressupostos!$F$31</f>
        <v>0.0679623287671233</v>
      </c>
      <c r="G3527" s="60" t="n">
        <f aca="false">Pressupostos!$G$285*Pressupostos!$C$90*(Pressupostos!$C$93+Pressupostos!$C$94-Pressupostos!$C$95)/365*Pressupostos!$G$279/Pressupostos!$F$31</f>
        <v>0.0679623287671233</v>
      </c>
      <c r="H3527" s="2" t="s">
        <v>1211</v>
      </c>
    </row>
    <row r="3528" customFormat="false" ht="15" hidden="false" customHeight="false" outlineLevel="1" collapsed="false">
      <c r="A3528" s="7" t="s">
        <v>567</v>
      </c>
      <c r="B3528" s="8" t="s">
        <v>10</v>
      </c>
      <c r="C3528" s="58" t="n">
        <f aca="false">C3432*1000*(Pressupostos!$C$91-Pressupostos!$C$90-Pressupostos!$C$92-C3527-Pressupostos!$C$96*Pressupostos!$C$91-Pressupostos!$C$97-Pressupostos!$F$29*Pressupostos!$C$90)</f>
        <v>0</v>
      </c>
      <c r="D3528" s="58" t="n">
        <f aca="false">D3432*1000*(Pressupostos!$C$91-Pressupostos!$C$90-Pressupostos!$C$92-D3527-Pressupostos!$C$96*Pressupostos!$C$91-Pressupostos!$C$97-Pressupostos!$F$29*Pressupostos!$C$90)</f>
        <v>0</v>
      </c>
      <c r="E3528" s="58" t="n">
        <f aca="false">E3432*1000*(Pressupostos!$C$91-Pressupostos!$C$90-Pressupostos!$C$92-E3527-Pressupostos!$C$96*Pressupostos!$C$91-Pressupostos!$C$97-Pressupostos!$F$29*Pressupostos!$C$90)</f>
        <v>0</v>
      </c>
      <c r="F3528" s="58" t="n">
        <f aca="false">F3432*1000*(Pressupostos!$C$91-Pressupostos!$C$90-Pressupostos!$C$92-F3527-Pressupostos!$C$96*Pressupostos!$C$91-Pressupostos!$C$97-Pressupostos!$F$29*Pressupostos!$C$90)</f>
        <v>10678.7534246575</v>
      </c>
      <c r="G3528" s="58" t="n">
        <f aca="false">G3432*1000*(Pressupostos!$C$91-Pressupostos!$C$90-Pressupostos!$C$92-G3527-Pressupostos!$C$96*Pressupostos!$C$91-Pressupostos!$C$97-Pressupostos!$F$29*Pressupostos!$C$90)</f>
        <v>26696.8835616438</v>
      </c>
      <c r="H3528" s="2" t="s">
        <v>1212</v>
      </c>
    </row>
    <row r="3529" customFormat="false" ht="15" hidden="false" customHeight="false" outlineLevel="1" collapsed="false">
      <c r="A3529" s="7" t="s">
        <v>597</v>
      </c>
      <c r="B3529" s="8" t="s">
        <v>10</v>
      </c>
      <c r="C3529" s="58" t="n">
        <f aca="false">C3512</f>
        <v>194.4</v>
      </c>
      <c r="D3529" s="58" t="n">
        <f aca="false">D3512</f>
        <v>729</v>
      </c>
      <c r="E3529" s="58" t="n">
        <f aca="false">E3512</f>
        <v>1944</v>
      </c>
      <c r="F3529" s="58" t="n">
        <f aca="false">F3512</f>
        <v>3402</v>
      </c>
      <c r="G3529" s="58" t="n">
        <f aca="false">G3512</f>
        <v>4860</v>
      </c>
      <c r="H3529" s="2" t="s">
        <v>1213</v>
      </c>
    </row>
    <row r="3530" customFormat="false" ht="15" hidden="false" customHeight="false" outlineLevel="1" collapsed="false">
      <c r="A3530" s="7" t="s">
        <v>598</v>
      </c>
      <c r="B3530" s="8" t="s">
        <v>10</v>
      </c>
      <c r="C3530" s="58" t="n">
        <f aca="false">C3513-C3545</f>
        <v>0</v>
      </c>
      <c r="D3530" s="58" t="n">
        <f aca="false">D3513-D3545</f>
        <v>10000</v>
      </c>
      <c r="E3530" s="58" t="n">
        <f aca="false">E3513-E3545</f>
        <v>30000</v>
      </c>
      <c r="F3530" s="58" t="n">
        <f aca="false">F3513-F3545</f>
        <v>60000</v>
      </c>
      <c r="G3530" s="58" t="n">
        <f aca="false">G3513-G3545</f>
        <v>100000</v>
      </c>
      <c r="H3530" s="2" t="s">
        <v>1214</v>
      </c>
    </row>
    <row r="3531" customFormat="false" ht="15" hidden="false" customHeight="false" outlineLevel="1" collapsed="false">
      <c r="A3531" s="7" t="s">
        <v>583</v>
      </c>
      <c r="B3531" s="8" t="s">
        <v>10</v>
      </c>
      <c r="C3531" s="58" t="n">
        <f aca="false">C3514</f>
        <v>0</v>
      </c>
      <c r="D3531" s="58" t="n">
        <f aca="false">D3514</f>
        <v>0</v>
      </c>
      <c r="E3531" s="58" t="n">
        <f aca="false">E3514</f>
        <v>0</v>
      </c>
      <c r="F3531" s="58" t="n">
        <f aca="false">F3514</f>
        <v>10000</v>
      </c>
      <c r="G3531" s="58" t="n">
        <f aca="false">G3514</f>
        <v>30000</v>
      </c>
      <c r="H3531" s="2" t="s">
        <v>1215</v>
      </c>
    </row>
    <row r="3532" customFormat="false" ht="15" hidden="false" customHeight="false" outlineLevel="1" collapsed="false">
      <c r="A3532" s="52" t="s">
        <v>599</v>
      </c>
      <c r="B3532" s="53" t="s">
        <v>10</v>
      </c>
      <c r="C3532" s="59" t="n">
        <f aca="false">C3524+C3528+C3529+C3530+C3531</f>
        <v>15340.1773972603</v>
      </c>
      <c r="D3532" s="59" t="n">
        <f aca="false">D3524+D3528+D3529+D3530+D3531</f>
        <v>91070.3912671239</v>
      </c>
      <c r="E3532" s="59" t="n">
        <f aca="false">E3524+E3528+E3529+E3530+E3531</f>
        <v>244474.42696918</v>
      </c>
      <c r="F3532" s="59" t="n">
        <f aca="false">F3524+F3528+F3529+F3530+F3531</f>
        <v>450613.384075344</v>
      </c>
      <c r="G3532" s="59" t="n">
        <f aca="false">G3524+G3528+G3529+G3530+G3531</f>
        <v>698395.68321918</v>
      </c>
      <c r="H3532" s="2" t="s">
        <v>1216</v>
      </c>
    </row>
    <row r="3533" customFormat="false" ht="15" hidden="false" customHeight="false" outlineLevel="0" collapsed="false">
      <c r="A3533" s="3" t="s">
        <v>1217</v>
      </c>
      <c r="B3533" s="4"/>
      <c r="C3533" s="4"/>
      <c r="D3533" s="4"/>
      <c r="E3533" s="4"/>
      <c r="F3533" s="4"/>
      <c r="G3533" s="4"/>
      <c r="H3533" s="4"/>
    </row>
    <row r="3534" customFormat="false" ht="15" hidden="false" customHeight="false" outlineLevel="1" collapsed="false">
      <c r="A3534" s="7" t="s">
        <v>647</v>
      </c>
      <c r="B3534" s="8" t="s">
        <v>10</v>
      </c>
      <c r="C3534" s="58" t="n">
        <f aca="false">C3421*1000*(C3437+C3440)+C3422*1000*(C3460+C3463)+C3423*1000*(C3483+C3486)</f>
        <v>245040</v>
      </c>
      <c r="D3534" s="58" t="n">
        <f aca="false">D3421*1000*(D3437+D3440)+D3422*1000*(D3460+D3463)+D3423*1000*(D3483+D3486)</f>
        <v>3349300</v>
      </c>
      <c r="E3534" s="58" t="n">
        <f aca="false">E3421*1000*(E3437+E3440)+E3422*1000*(E3460+E3463)+E3423*1000*(E3483+E3486)</f>
        <v>8498250</v>
      </c>
      <c r="F3534" s="58" t="n">
        <f aca="false">F3421*1000*(F3437+F3440)+F3422*1000*(F3460+F3463)+F3423*1000*(F3483+F3486)</f>
        <v>14143850</v>
      </c>
      <c r="G3534" s="58" t="n">
        <f aca="false">G3421*1000*(G3437+G3440)+G3422*1000*(G3460+G3463)+G3423*1000*(G3483+G3486)</f>
        <v>20360500</v>
      </c>
      <c r="H3534" s="2" t="s">
        <v>1218</v>
      </c>
    </row>
    <row r="3535" customFormat="false" ht="15" hidden="false" customHeight="false" outlineLevel="1" collapsed="false">
      <c r="A3535" s="7" t="s">
        <v>648</v>
      </c>
      <c r="B3535" s="8" t="s">
        <v>10</v>
      </c>
      <c r="C3535" s="58" t="n">
        <f aca="false">C3432*1000*Pressupostos!$C$90</f>
        <v>0</v>
      </c>
      <c r="D3535" s="58" t="n">
        <f aca="false">D3432*1000*Pressupostos!$C$90</f>
        <v>0</v>
      </c>
      <c r="E3535" s="58" t="n">
        <f aca="false">E3432*1000*Pressupostos!$C$90</f>
        <v>0</v>
      </c>
      <c r="F3535" s="58" t="n">
        <f aca="false">F3432*1000*Pressupostos!$C$90</f>
        <v>140000</v>
      </c>
      <c r="G3535" s="58" t="n">
        <f aca="false">G3432*1000*Pressupostos!$C$90</f>
        <v>350000</v>
      </c>
      <c r="H3535" s="2" t="s">
        <v>1219</v>
      </c>
    </row>
    <row r="3536" customFormat="false" ht="15" hidden="false" customHeight="false" outlineLevel="1" collapsed="false">
      <c r="A3536" s="7" t="s">
        <v>649</v>
      </c>
      <c r="B3536" s="8" t="s">
        <v>10</v>
      </c>
      <c r="C3536" s="58" t="n">
        <f aca="false">C3534+C3535</f>
        <v>245040</v>
      </c>
      <c r="D3536" s="58" t="n">
        <f aca="false">D3534+D3535</f>
        <v>3349300</v>
      </c>
      <c r="E3536" s="58" t="n">
        <f aca="false">E3534+E3535</f>
        <v>8498250</v>
      </c>
      <c r="F3536" s="58" t="n">
        <f aca="false">F3534+F3535</f>
        <v>14283850</v>
      </c>
      <c r="G3536" s="58" t="n">
        <f aca="false">G3534+G3535</f>
        <v>20710500</v>
      </c>
      <c r="H3536" s="2" t="s">
        <v>1220</v>
      </c>
    </row>
    <row r="3537" customFormat="false" ht="15" hidden="false" customHeight="false" outlineLevel="1" collapsed="false">
      <c r="A3537" s="7" t="s">
        <v>205</v>
      </c>
      <c r="B3537" s="8" t="s">
        <v>10</v>
      </c>
      <c r="C3537" s="58" t="n">
        <f aca="false">C3421*1000*(C3441)+C3422*1000*(C3464)+C3423*1000*(C3487)+C3432*1000*Pressupostos!$C$92</f>
        <v>7660</v>
      </c>
      <c r="D3537" s="58" t="n">
        <f aca="false">D3421*1000*(D3441)+D3422*1000*(D3464)+D3423*1000*(D3487)+D3432*1000*Pressupostos!$C$92</f>
        <v>65525</v>
      </c>
      <c r="E3537" s="58" t="n">
        <f aca="false">E3421*1000*(E3441)+E3422*1000*(E3464)+E3423*1000*(E3487)+E3432*1000*Pressupostos!$C$92</f>
        <v>147490</v>
      </c>
      <c r="F3537" s="58" t="n">
        <f aca="false">F3421*1000*(F3441)+F3422*1000*(F3464)+F3423*1000*(F3487)+F3432*1000*Pressupostos!$C$92</f>
        <v>248215</v>
      </c>
      <c r="G3537" s="58" t="n">
        <f aca="false">G3421*1000*(G3441)+G3422*1000*(G3464)+G3423*1000*(G3487)+G3432*1000*Pressupostos!$C$92</f>
        <v>363950</v>
      </c>
      <c r="H3537" s="2" t="s">
        <v>1221</v>
      </c>
    </row>
    <row r="3538" customFormat="false" ht="15" hidden="false" customHeight="false" outlineLevel="1" collapsed="false">
      <c r="A3538" s="7" t="s">
        <v>109</v>
      </c>
      <c r="B3538" s="8" t="s">
        <v>10</v>
      </c>
      <c r="C3538" s="58" t="n">
        <f aca="false">C3421*1000*(C3442)+C3422*1000*(C3465)+C3423*1000*(C3488)</f>
        <v>492</v>
      </c>
      <c r="D3538" s="58" t="n">
        <f aca="false">D3421*1000*(D3442)+D3422*1000*(D3465)+D3423*1000*(D3488)</f>
        <v>1845</v>
      </c>
      <c r="E3538" s="58" t="n">
        <f aca="false">E3421*1000*(E3442)+E3422*1000*(E3465)+E3423*1000*(E3488)</f>
        <v>4920</v>
      </c>
      <c r="F3538" s="58" t="n">
        <f aca="false">F3421*1000*(F3442)+F3422*1000*(F3465)+F3423*1000*(F3488)</f>
        <v>8610</v>
      </c>
      <c r="G3538" s="58" t="n">
        <f aca="false">G3421*1000*(G3442)+G3422*1000*(G3465)+G3423*1000*(G3488)</f>
        <v>12300</v>
      </c>
      <c r="H3538" s="2" t="s">
        <v>1222</v>
      </c>
    </row>
    <row r="3539" customFormat="false" ht="15" hidden="false" customHeight="false" outlineLevel="1" collapsed="false">
      <c r="A3539" s="7" t="s">
        <v>650</v>
      </c>
      <c r="B3539" s="8" t="s">
        <v>10</v>
      </c>
      <c r="C3539" s="58" t="n">
        <f aca="false">C3421*1000*(C3445+C3446)+C3422*1000*(C3468+C3469)+C3423*1000*(C3491+C3492)</f>
        <v>465.092602739726</v>
      </c>
      <c r="D3539" s="58" t="n">
        <f aca="false">D3421*1000*(D3445+D3446)+D3422*1000*(D3468+D3469)+D3423*1000*(D3491+D3492)</f>
        <v>3659.35205479452</v>
      </c>
      <c r="E3539" s="58" t="n">
        <f aca="false">E3421*1000*(E3445+E3446)+E3422*1000*(E3468+E3469)+E3423*1000*(E3491+E3492)</f>
        <v>7289.61369863014</v>
      </c>
      <c r="F3539" s="58" t="n">
        <f aca="false">F3421*1000*(F3445+F3446)+F3422*1000*(F3468+F3469)+F3423*1000*(F3491+F3492)</f>
        <v>12141.4047945205</v>
      </c>
      <c r="G3539" s="58" t="n">
        <f aca="false">G3421*1000*(G3445+G3446)+G3422*1000*(G3468+G3469)+G3423*1000*(G3491+G3492)</f>
        <v>17640.6369863014</v>
      </c>
      <c r="H3539" s="2" t="s">
        <v>1223</v>
      </c>
    </row>
    <row r="3540" customFormat="false" ht="15" hidden="false" customHeight="false" outlineLevel="1" collapsed="false">
      <c r="A3540" s="7" t="s">
        <v>651</v>
      </c>
      <c r="B3540" s="8" t="s">
        <v>10</v>
      </c>
      <c r="C3540" s="58" t="n">
        <f aca="false">C3421*1000*(C3447+C3448+C3449)+C3422*1000*(C3470+C3471+C3472)+C3423*1000*(C3493+C3494+C3495)</f>
        <v>2675.25</v>
      </c>
      <c r="D3540" s="58" t="n">
        <f aca="false">D3421*1000*(D3447+D3448+D3449)+D3422*1000*(D3470+D3471+D3472)+D3423*1000*(D3493+D3494+D3495)</f>
        <v>29420.1875</v>
      </c>
      <c r="E3540" s="58" t="n">
        <f aca="false">E3421*1000*(E3447+E3448+E3449)+E3422*1000*(E3470+E3471+E3472)+E3423*1000*(E3493+E3494+E3495)</f>
        <v>71222.5</v>
      </c>
      <c r="F3540" s="58" t="n">
        <f aca="false">F3421*1000*(F3447+F3448+F3449)+F3422*1000*(F3470+F3471+F3472)+F3423*1000*(F3493+F3494+F3495)</f>
        <v>118572.625</v>
      </c>
      <c r="G3540" s="58" t="n">
        <f aca="false">G3421*1000*(G3447+G3448+G3449)+G3422*1000*(G3470+G3471+G3472)+G3423*1000*(G3493+G3494+G3495)</f>
        <v>171703.75</v>
      </c>
      <c r="H3540" s="2" t="s">
        <v>1224</v>
      </c>
    </row>
    <row r="3541" customFormat="false" ht="15" hidden="false" customHeight="false" outlineLevel="1" collapsed="false">
      <c r="A3541" s="7" t="s">
        <v>637</v>
      </c>
      <c r="B3541" s="8" t="s">
        <v>10</v>
      </c>
      <c r="C3541" s="58" t="n">
        <f aca="false">C3421*1000*(C3450)+C3422*1000*(C3473)+C3423*1000*(C3496)</f>
        <v>2900</v>
      </c>
      <c r="D3541" s="58" t="n">
        <f aca="false">D3421*1000*(D3450)+D3422*1000*(D3473)+D3423*1000*(D3496)</f>
        <v>23595</v>
      </c>
      <c r="E3541" s="58" t="n">
        <f aca="false">E3421*1000*(E3450)+E3422*1000*(E3473)+E3423*1000*(E3496)</f>
        <v>54880</v>
      </c>
      <c r="F3541" s="58" t="n">
        <f aca="false">F3421*1000*(F3450)+F3422*1000*(F3473)+F3423*1000*(F3496)</f>
        <v>91670</v>
      </c>
      <c r="G3541" s="58" t="n">
        <f aca="false">G3421*1000*(G3450)+G3422*1000*(G3473)+G3423*1000*(G3496)</f>
        <v>134100</v>
      </c>
      <c r="H3541" s="2" t="s">
        <v>1225</v>
      </c>
    </row>
    <row r="3542" customFormat="false" ht="15" hidden="false" customHeight="false" outlineLevel="1" collapsed="false">
      <c r="A3542" s="7" t="s">
        <v>652</v>
      </c>
      <c r="B3542" s="8" t="s">
        <v>10</v>
      </c>
      <c r="C3542" s="58" t="n">
        <f aca="false">C3421*1000*(C3451)+C3422*1000*(C3474)+C3423*1000*(C3497)+C3432*1000*Pressupostos!$C$97</f>
        <v>342</v>
      </c>
      <c r="D3542" s="58" t="n">
        <f aca="false">D3421*1000*(D3451)+D3422*1000*(D3474)+D3423*1000*(D3497)+D3432*1000*Pressupostos!$C$97</f>
        <v>2622.5</v>
      </c>
      <c r="E3542" s="58" t="n">
        <f aca="false">E3421*1000*(E3451)+E3422*1000*(E3474)+E3423*1000*(E3497)+E3432*1000*Pressupostos!$C$97</f>
        <v>5905</v>
      </c>
      <c r="F3542" s="58" t="n">
        <f aca="false">F3421*1000*(F3451)+F3422*1000*(F3474)+F3423*1000*(F3497)+F3432*1000*Pressupostos!$C$97</f>
        <v>10450</v>
      </c>
      <c r="G3542" s="58" t="n">
        <f aca="false">G3421*1000*(G3451)+G3422*1000*(G3474)+G3423*1000*(G3497)+G3432*1000*Pressupostos!$C$97</f>
        <v>16000</v>
      </c>
      <c r="H3542" s="2" t="s">
        <v>1226</v>
      </c>
    </row>
    <row r="3543" customFormat="false" ht="15" hidden="false" customHeight="false" outlineLevel="1" collapsed="false">
      <c r="A3543" s="7" t="s">
        <v>76</v>
      </c>
      <c r="B3543" s="8" t="s">
        <v>10</v>
      </c>
      <c r="C3543" s="58" t="n">
        <f aca="false">C3421*1000*(C3452)+C3422*1000*(C3475)+C3423*1000*(C3498)+C3432*1000*Pressupostos!$C$96*Pressupostos!$C$91</f>
        <v>959.88</v>
      </c>
      <c r="D3543" s="58" t="n">
        <f aca="false">D3421*1000*(D3452)+D3422*1000*(D3475)+D3423*1000*(D3498)+D3432*1000*Pressupostos!$C$96*Pressupostos!$C$91</f>
        <v>11317.35</v>
      </c>
      <c r="E3543" s="58" t="n">
        <f aca="false">E3421*1000*(E3452)+E3422*1000*(E3475)+E3423*1000*(E3498)+E3432*1000*Pressupostos!$C$96*Pressupostos!$C$91</f>
        <v>28653.75</v>
      </c>
      <c r="F3543" s="58" t="n">
        <f aca="false">F3421*1000*(F3452)+F3422*1000*(F3475)+F3423*1000*(F3498)+F3432*1000*Pressupostos!$C$96*Pressupostos!$C$91</f>
        <v>48759.45</v>
      </c>
      <c r="G3543" s="58" t="n">
        <f aca="false">G3421*1000*(G3452)+G3422*1000*(G3475)+G3423*1000*(G3498)+G3432*1000*Pressupostos!$C$96*Pressupostos!$C$91</f>
        <v>71218.5</v>
      </c>
      <c r="H3543" s="2" t="s">
        <v>1227</v>
      </c>
    </row>
    <row r="3544" customFormat="false" ht="15" hidden="false" customHeight="false" outlineLevel="1" collapsed="false">
      <c r="A3544" s="7" t="s">
        <v>653</v>
      </c>
      <c r="B3544" s="8" t="s">
        <v>10</v>
      </c>
      <c r="C3544" s="58" t="n">
        <f aca="false">C3421*1000*(C3453)+C3422*1000*(C3476)+C3423*1000*(C3499)+C3432*1000*Pressupostos!$F$29*Pressupostos!$C$90</f>
        <v>0</v>
      </c>
      <c r="D3544" s="58" t="n">
        <f aca="false">D3421*1000*(D3453)+D3422*1000*(D3476)+D3423*1000*(D3499)+D3432*1000*Pressupostos!$F$29*Pressupostos!$C$90</f>
        <v>0</v>
      </c>
      <c r="E3544" s="58" t="n">
        <f aca="false">E3421*1000*(E3453)+E3422*1000*(E3476)+E3423*1000*(E3499)+E3432*1000*Pressupostos!$F$29*Pressupostos!$C$90</f>
        <v>0</v>
      </c>
      <c r="F3544" s="58" t="n">
        <f aca="false">F3421*1000*(F3453)+F3422*1000*(F3476)+F3423*1000*(F3499)+F3432*1000*Pressupostos!$F$29*Pressupostos!$C$90</f>
        <v>420</v>
      </c>
      <c r="G3544" s="58" t="n">
        <f aca="false">G3421*1000*(G3453)+G3422*1000*(G3476)+G3423*1000*(G3499)+G3432*1000*Pressupostos!$F$29*Pressupostos!$C$90</f>
        <v>1050</v>
      </c>
      <c r="H3544" s="2" t="s">
        <v>1228</v>
      </c>
    </row>
    <row r="3545" customFormat="false" ht="15" hidden="false" customHeight="false" outlineLevel="1" collapsed="false">
      <c r="A3545" s="7" t="s">
        <v>654</v>
      </c>
      <c r="B3545" s="8" t="s">
        <v>10</v>
      </c>
      <c r="C3545" s="58" t="n">
        <f aca="false">C3435*1000*Pressupostos!$C$102*Pressupostos!$F$30</f>
        <v>0</v>
      </c>
      <c r="D3545" s="58" t="n">
        <f aca="false">D3435*1000*Pressupostos!$C$102*Pressupostos!$F$30</f>
        <v>0</v>
      </c>
      <c r="E3545" s="58" t="n">
        <f aca="false">E3435*1000*Pressupostos!$C$102*Pressupostos!$F$30</f>
        <v>0</v>
      </c>
      <c r="F3545" s="58" t="n">
        <f aca="false">F3435*1000*Pressupostos!$C$102*Pressupostos!$F$30</f>
        <v>0</v>
      </c>
      <c r="G3545" s="58" t="n">
        <f aca="false">G3435*1000*Pressupostos!$C$102*Pressupostos!$F$30</f>
        <v>0</v>
      </c>
      <c r="H3545" s="2" t="s">
        <v>1229</v>
      </c>
    </row>
    <row r="3546" customFormat="false" ht="15" hidden="false" customHeight="false" outlineLevel="1" collapsed="false">
      <c r="A3546" s="7" t="s">
        <v>655</v>
      </c>
      <c r="B3546" s="8" t="s">
        <v>10</v>
      </c>
      <c r="C3546" s="58" t="n">
        <f aca="false">C3537+C3538+C3539+C3540+C3541+C3542+C3543+C3544+C3545</f>
        <v>15494.2226027397</v>
      </c>
      <c r="D3546" s="58" t="n">
        <f aca="false">D3537+D3538+D3539+D3540+D3541+D3542+D3543+D3544+D3545</f>
        <v>137984.389554795</v>
      </c>
      <c r="E3546" s="58" t="n">
        <f aca="false">E3537+E3538+E3539+E3540+E3541+E3542+E3543+E3544+E3545</f>
        <v>320360.86369863</v>
      </c>
      <c r="F3546" s="58" t="n">
        <f aca="false">F3537+F3538+F3539+F3540+F3541+F3542+F3543+F3544+F3545</f>
        <v>538838.479794521</v>
      </c>
      <c r="G3546" s="58" t="n">
        <f aca="false">G3537+G3538+G3539+G3540+G3541+G3542+G3543+G3544+G3545</f>
        <v>787962.886986301</v>
      </c>
      <c r="H3546" s="2" t="s">
        <v>1230</v>
      </c>
    </row>
    <row r="3547" customFormat="false" ht="15" hidden="false" customHeight="false" outlineLevel="1" collapsed="false">
      <c r="A3547" s="7" t="s">
        <v>656</v>
      </c>
      <c r="B3547" s="8" t="s">
        <v>10</v>
      </c>
      <c r="C3547" s="58" t="n">
        <f aca="false">C3421*1000*(C3454)+C3422*1000*(C3477)+C3423*1000*(C3500)</f>
        <v>0</v>
      </c>
      <c r="D3547" s="58" t="n">
        <f aca="false">D3421*1000*(D3454)+D3422*1000*(D3477)+D3423*1000*(D3500)</f>
        <v>38774.2191780822</v>
      </c>
      <c r="E3547" s="58" t="n">
        <f aca="false">E3421*1000*(E3454)+E3422*1000*(E3477)+E3423*1000*(E3500)</f>
        <v>77308.7093321918</v>
      </c>
      <c r="F3547" s="58" t="n">
        <f aca="false">F3421*1000*(F3454)+F3422*1000*(F3477)+F3423*1000*(F3500)</f>
        <v>119990.889554795</v>
      </c>
      <c r="G3547" s="58" t="n">
        <f aca="false">G3421*1000*(G3454)+G3422*1000*(G3477)+G3423*1000*(G3500)</f>
        <v>174603.313356164</v>
      </c>
      <c r="H3547" s="2" t="s">
        <v>1231</v>
      </c>
    </row>
    <row r="3548" customFormat="false" ht="15" hidden="false" customHeight="false" outlineLevel="1" collapsed="false">
      <c r="A3548" s="7" t="s">
        <v>657</v>
      </c>
      <c r="B3548" s="8" t="s">
        <v>10</v>
      </c>
      <c r="C3548" s="58" t="n">
        <f aca="false">C3432*1000*C3527</f>
        <v>0</v>
      </c>
      <c r="D3548" s="58" t="n">
        <f aca="false">D3432*1000*D3527</f>
        <v>0</v>
      </c>
      <c r="E3548" s="58" t="n">
        <f aca="false">E3432*1000*E3527</f>
        <v>0</v>
      </c>
      <c r="F3548" s="58" t="n">
        <f aca="false">F3432*1000*F3527</f>
        <v>1359.24657534247</v>
      </c>
      <c r="G3548" s="58" t="n">
        <f aca="false">G3432*1000*G3527</f>
        <v>3398.11643835617</v>
      </c>
      <c r="H3548" s="2" t="s">
        <v>1232</v>
      </c>
    </row>
    <row r="3549" customFormat="false" ht="15" hidden="false" customHeight="false" outlineLevel="1" collapsed="false">
      <c r="A3549" s="7" t="s">
        <v>658</v>
      </c>
      <c r="B3549" s="8" t="s">
        <v>10</v>
      </c>
      <c r="C3549" s="58" t="n">
        <f aca="false">C3547+C3548</f>
        <v>0</v>
      </c>
      <c r="D3549" s="58" t="n">
        <f aca="false">D3547+D3548</f>
        <v>38774.2191780822</v>
      </c>
      <c r="E3549" s="58" t="n">
        <f aca="false">E3547+E3548</f>
        <v>77308.7093321918</v>
      </c>
      <c r="F3549" s="58" t="n">
        <f aca="false">F3547+F3548</f>
        <v>121350.136130137</v>
      </c>
      <c r="G3549" s="58" t="n">
        <f aca="false">G3547+G3548</f>
        <v>178001.429794521</v>
      </c>
      <c r="H3549" s="2" t="s">
        <v>1233</v>
      </c>
    </row>
    <row r="3550" customFormat="false" ht="15" hidden="false" customHeight="false" outlineLevel="1" collapsed="false">
      <c r="A3550" s="8" t="s">
        <v>659</v>
      </c>
      <c r="B3550" s="8" t="s">
        <v>10</v>
      </c>
      <c r="C3550" s="66" t="n">
        <f aca="false">ROUND(C3515-C3536-C3546-C3549-C3532,6)</f>
        <v>0</v>
      </c>
      <c r="D3550" s="66" t="n">
        <f aca="false">ROUND(D3515-D3536-D3546-D3549-D3532,6)</f>
        <v>-0</v>
      </c>
      <c r="E3550" s="66" t="n">
        <f aca="false">ROUND(E3515-E3536-E3546-E3549-E3532,6)</f>
        <v>-0</v>
      </c>
      <c r="F3550" s="66" t="n">
        <f aca="false">ROUND(F3515-F3536-F3546-F3549-F3532,6)</f>
        <v>-0</v>
      </c>
      <c r="G3550" s="66" t="n">
        <f aca="false">ROUND(G3515-G3536-G3546-G3549-G3532,6)</f>
        <v>0</v>
      </c>
      <c r="H3550" s="2" t="s">
        <v>1234</v>
      </c>
    </row>
    <row r="3551" customFormat="false" ht="15" hidden="false" customHeight="false" outlineLevel="0" collapsed="false">
      <c r="A3551" s="3" t="s">
        <v>1235</v>
      </c>
      <c r="B3551" s="4"/>
      <c r="C3551" s="4"/>
      <c r="D3551" s="4"/>
      <c r="E3551" s="4"/>
      <c r="F3551" s="4"/>
      <c r="G3551" s="4"/>
      <c r="H3551" s="4"/>
    </row>
    <row r="3552" customFormat="false" ht="15" hidden="false" customHeight="false" outlineLevel="1" collapsed="false">
      <c r="A3552" s="7" t="s">
        <v>602</v>
      </c>
      <c r="B3552" s="8" t="s">
        <v>413</v>
      </c>
      <c r="C3552" s="61" t="n">
        <f aca="false">Pressupostos!$C$317</f>
        <v>1</v>
      </c>
      <c r="D3552" s="61" t="n">
        <f aca="false">Pressupostos!$D$317</f>
        <v>1</v>
      </c>
      <c r="E3552" s="61" t="n">
        <f aca="false">Pressupostos!$E$317</f>
        <v>1</v>
      </c>
      <c r="F3552" s="61" t="n">
        <f aca="false">Pressupostos!$F$317</f>
        <v>1</v>
      </c>
      <c r="G3552" s="61" t="n">
        <f aca="false">Pressupostos!$G$317</f>
        <v>1</v>
      </c>
      <c r="H3552" s="2" t="s">
        <v>1236</v>
      </c>
    </row>
    <row r="3553" customFormat="false" ht="15" hidden="false" customHeight="false" outlineLevel="1" collapsed="false">
      <c r="A3553" s="7" t="s">
        <v>603</v>
      </c>
      <c r="B3553" s="8" t="s">
        <v>413</v>
      </c>
      <c r="C3553" s="61" t="n">
        <f aca="false">Pressupostos!$C$323</f>
        <v>1</v>
      </c>
      <c r="D3553" s="61" t="n">
        <f aca="false">Pressupostos!$D$323</f>
        <v>1</v>
      </c>
      <c r="E3553" s="61" t="n">
        <f aca="false">Pressupostos!$E$323</f>
        <v>1</v>
      </c>
      <c r="F3553" s="61" t="n">
        <f aca="false">Pressupostos!$F$323</f>
        <v>1</v>
      </c>
      <c r="G3553" s="61" t="n">
        <f aca="false">Pressupostos!$G$323</f>
        <v>1</v>
      </c>
      <c r="H3553" s="2" t="s">
        <v>1237</v>
      </c>
    </row>
    <row r="3554" customFormat="false" ht="15" hidden="false" customHeight="false" outlineLevel="1" collapsed="false">
      <c r="A3554" s="7" t="s">
        <v>604</v>
      </c>
      <c r="B3554" s="8" t="s">
        <v>413</v>
      </c>
      <c r="C3554" s="61" t="n">
        <f aca="false">Pressupostos!$C$329</f>
        <v>0</v>
      </c>
      <c r="D3554" s="61" t="n">
        <f aca="false">Pressupostos!$D$329</f>
        <v>1</v>
      </c>
      <c r="E3554" s="61" t="n">
        <f aca="false">Pressupostos!$E$329</f>
        <v>1</v>
      </c>
      <c r="F3554" s="61" t="n">
        <f aca="false">Pressupostos!$F$329</f>
        <v>1</v>
      </c>
      <c r="G3554" s="61" t="n">
        <f aca="false">Pressupostos!$G$329</f>
        <v>1</v>
      </c>
      <c r="H3554" s="2" t="s">
        <v>1238</v>
      </c>
    </row>
    <row r="3555" customFormat="false" ht="15" hidden="false" customHeight="false" outlineLevel="1" collapsed="false">
      <c r="A3555" s="7" t="s">
        <v>605</v>
      </c>
      <c r="B3555" s="8" t="s">
        <v>413</v>
      </c>
      <c r="C3555" s="61" t="n">
        <f aca="false">Pressupostos!$C$335</f>
        <v>0.5</v>
      </c>
      <c r="D3555" s="61" t="n">
        <f aca="false">Pressupostos!$D$335</f>
        <v>1</v>
      </c>
      <c r="E3555" s="61" t="n">
        <f aca="false">Pressupostos!$E$335</f>
        <v>1</v>
      </c>
      <c r="F3555" s="61" t="n">
        <f aca="false">Pressupostos!$F$335</f>
        <v>1</v>
      </c>
      <c r="G3555" s="61" t="n">
        <f aca="false">Pressupostos!$G$335</f>
        <v>1</v>
      </c>
      <c r="H3555" s="2" t="s">
        <v>1239</v>
      </c>
    </row>
    <row r="3556" customFormat="false" ht="15" hidden="false" customHeight="false" outlineLevel="1" collapsed="false">
      <c r="A3556" s="7" t="s">
        <v>606</v>
      </c>
      <c r="B3556" s="8" t="s">
        <v>413</v>
      </c>
      <c r="C3556" s="61" t="n">
        <f aca="false">Pressupostos!$C$341</f>
        <v>0.5</v>
      </c>
      <c r="D3556" s="61" t="n">
        <f aca="false">Pressupostos!$D$341</f>
        <v>0.5</v>
      </c>
      <c r="E3556" s="61" t="n">
        <f aca="false">Pressupostos!$E$341</f>
        <v>0.5</v>
      </c>
      <c r="F3556" s="61" t="n">
        <f aca="false">Pressupostos!$F$341</f>
        <v>1</v>
      </c>
      <c r="G3556" s="61" t="n">
        <f aca="false">Pressupostos!$G$341</f>
        <v>1</v>
      </c>
      <c r="H3556" s="2" t="s">
        <v>1240</v>
      </c>
    </row>
    <row r="3557" customFormat="false" ht="15" hidden="false" customHeight="false" outlineLevel="1" collapsed="false">
      <c r="A3557" s="7" t="s">
        <v>607</v>
      </c>
      <c r="B3557" s="8" t="s">
        <v>413</v>
      </c>
      <c r="C3557" s="61" t="n">
        <f aca="false">Pressupostos!$C$347</f>
        <v>1</v>
      </c>
      <c r="D3557" s="61" t="n">
        <f aca="false">Pressupostos!$D$347</f>
        <v>1</v>
      </c>
      <c r="E3557" s="61" t="n">
        <f aca="false">Pressupostos!$E$347</f>
        <v>1</v>
      </c>
      <c r="F3557" s="61" t="n">
        <f aca="false">Pressupostos!$F$347</f>
        <v>1</v>
      </c>
      <c r="G3557" s="61" t="n">
        <f aca="false">Pressupostos!$G$347</f>
        <v>1</v>
      </c>
      <c r="H3557" s="2" t="s">
        <v>1241</v>
      </c>
    </row>
    <row r="3558" customFormat="false" ht="15" hidden="false" customHeight="false" outlineLevel="1" collapsed="false">
      <c r="A3558" s="7" t="s">
        <v>608</v>
      </c>
      <c r="B3558" s="8" t="s">
        <v>413</v>
      </c>
      <c r="C3558" s="61" t="n">
        <f aca="false">Pressupostos!$C$353</f>
        <v>0.5</v>
      </c>
      <c r="D3558" s="61" t="n">
        <f aca="false">Pressupostos!$D$353</f>
        <v>1</v>
      </c>
      <c r="E3558" s="61" t="n">
        <f aca="false">Pressupostos!$E$353</f>
        <v>1</v>
      </c>
      <c r="F3558" s="61" t="n">
        <f aca="false">Pressupostos!$F$353</f>
        <v>1</v>
      </c>
      <c r="G3558" s="61" t="n">
        <f aca="false">Pressupostos!$G$353</f>
        <v>1</v>
      </c>
      <c r="H3558" s="2" t="s">
        <v>1242</v>
      </c>
    </row>
    <row r="3559" customFormat="false" ht="15" hidden="false" customHeight="false" outlineLevel="1" collapsed="false">
      <c r="A3559" s="7" t="s">
        <v>609</v>
      </c>
      <c r="B3559" s="8" t="s">
        <v>413</v>
      </c>
      <c r="C3559" s="61" t="n">
        <f aca="false">Pressupostos!$C$359</f>
        <v>1</v>
      </c>
      <c r="D3559" s="61" t="n">
        <f aca="false">Pressupostos!$D$359</f>
        <v>1</v>
      </c>
      <c r="E3559" s="61" t="n">
        <f aca="false">Pressupostos!$E$359</f>
        <v>1</v>
      </c>
      <c r="F3559" s="61" t="n">
        <f aca="false">Pressupostos!$F$359</f>
        <v>2</v>
      </c>
      <c r="G3559" s="61" t="n">
        <f aca="false">Pressupostos!$G$359</f>
        <v>3</v>
      </c>
      <c r="H3559" s="2" t="s">
        <v>1243</v>
      </c>
    </row>
    <row r="3560" customFormat="false" ht="15" hidden="false" customHeight="false" outlineLevel="1" collapsed="false">
      <c r="A3560" s="7" t="s">
        <v>610</v>
      </c>
      <c r="B3560" s="8" t="s">
        <v>413</v>
      </c>
      <c r="C3560" s="61" t="n">
        <f aca="false">Pressupostos!$C$365</f>
        <v>0</v>
      </c>
      <c r="D3560" s="61" t="n">
        <f aca="false">Pressupostos!$D$365</f>
        <v>0</v>
      </c>
      <c r="E3560" s="61" t="n">
        <f aca="false">Pressupostos!$E$365</f>
        <v>0</v>
      </c>
      <c r="F3560" s="61" t="n">
        <f aca="false">Pressupostos!$F$365</f>
        <v>0</v>
      </c>
      <c r="G3560" s="61" t="n">
        <f aca="false">Pressupostos!$G$365</f>
        <v>0</v>
      </c>
      <c r="H3560" s="2" t="s">
        <v>1244</v>
      </c>
    </row>
    <row r="3561" customFormat="false" ht="15" hidden="false" customHeight="false" outlineLevel="1" collapsed="false">
      <c r="A3561" s="7" t="s">
        <v>611</v>
      </c>
      <c r="B3561" s="8" t="s">
        <v>413</v>
      </c>
      <c r="C3561" s="61" t="n">
        <f aca="false">Pressupostos!$C$371</f>
        <v>0</v>
      </c>
      <c r="D3561" s="61" t="n">
        <f aca="false">Pressupostos!$D$371</f>
        <v>0</v>
      </c>
      <c r="E3561" s="61" t="n">
        <f aca="false">Pressupostos!$E$371</f>
        <v>0</v>
      </c>
      <c r="F3561" s="61" t="n">
        <f aca="false">Pressupostos!$F$371</f>
        <v>0</v>
      </c>
      <c r="G3561" s="61" t="n">
        <f aca="false">Pressupostos!$G$371</f>
        <v>0</v>
      </c>
      <c r="H3561" s="2" t="s">
        <v>1245</v>
      </c>
    </row>
    <row r="3562" customFormat="false" ht="15" hidden="false" customHeight="false" outlineLevel="1" collapsed="false">
      <c r="A3562" s="7" t="s">
        <v>612</v>
      </c>
      <c r="B3562" s="8" t="s">
        <v>413</v>
      </c>
      <c r="C3562" s="61" t="n">
        <f aca="false">Pressupostos!$C$377</f>
        <v>0</v>
      </c>
      <c r="D3562" s="61" t="n">
        <f aca="false">Pressupostos!$D$377</f>
        <v>0</v>
      </c>
      <c r="E3562" s="61" t="n">
        <f aca="false">Pressupostos!$E$377</f>
        <v>0</v>
      </c>
      <c r="F3562" s="61" t="n">
        <f aca="false">Pressupostos!$F$377</f>
        <v>1</v>
      </c>
      <c r="G3562" s="61" t="n">
        <f aca="false">Pressupostos!$G$377</f>
        <v>1</v>
      </c>
      <c r="H3562" s="2" t="s">
        <v>1246</v>
      </c>
    </row>
    <row r="3563" customFormat="false" ht="15" hidden="false" customHeight="false" outlineLevel="1" collapsed="false">
      <c r="A3563" s="7" t="s">
        <v>613</v>
      </c>
      <c r="B3563" s="8" t="s">
        <v>413</v>
      </c>
      <c r="C3563" s="61" t="n">
        <f aca="false">Pressupostos!$C$383</f>
        <v>0</v>
      </c>
      <c r="D3563" s="61" t="n">
        <f aca="false">Pressupostos!$D$383</f>
        <v>0</v>
      </c>
      <c r="E3563" s="61" t="n">
        <f aca="false">Pressupostos!$E$383</f>
        <v>1</v>
      </c>
      <c r="F3563" s="61" t="n">
        <f aca="false">Pressupostos!$F$383</f>
        <v>1</v>
      </c>
      <c r="G3563" s="61" t="n">
        <f aca="false">Pressupostos!$G$383</f>
        <v>1</v>
      </c>
      <c r="H3563" s="2" t="s">
        <v>1247</v>
      </c>
    </row>
    <row r="3564" customFormat="false" ht="15" hidden="false" customHeight="false" outlineLevel="1" collapsed="false">
      <c r="A3564" s="52" t="s">
        <v>614</v>
      </c>
      <c r="B3564" s="53" t="s">
        <v>413</v>
      </c>
      <c r="C3564" s="62" t="n">
        <f aca="false">C3552+C3553+C3554+C3555+C3556+C3557+C3558+C3559+C3560+C3561+C3562+C3563</f>
        <v>5.5</v>
      </c>
      <c r="D3564" s="62" t="n">
        <f aca="false">D3552+D3553+D3554+D3555+D3556+D3557+D3558+D3559+D3560+D3561+D3562+D3563</f>
        <v>7.5</v>
      </c>
      <c r="E3564" s="62" t="n">
        <f aca="false">E3552+E3553+E3554+E3555+E3556+E3557+E3558+E3559+E3560+E3561+E3562+E3563</f>
        <v>8.5</v>
      </c>
      <c r="F3564" s="62" t="n">
        <f aca="false">F3552+F3553+F3554+F3555+F3556+F3557+F3558+F3559+F3560+F3561+F3562+F3563</f>
        <v>11</v>
      </c>
      <c r="G3564" s="62" t="n">
        <f aca="false">G3552+G3553+G3554+G3555+G3556+G3557+G3558+G3559+G3560+G3561+G3562+G3563</f>
        <v>12</v>
      </c>
      <c r="H3564" s="2" t="s">
        <v>1248</v>
      </c>
    </row>
    <row r="3565" customFormat="false" ht="15" hidden="false" customHeight="false" outlineLevel="0" collapsed="false">
      <c r="A3565" s="3" t="s">
        <v>1249</v>
      </c>
      <c r="B3565" s="4"/>
      <c r="C3565" s="4"/>
      <c r="D3565" s="4"/>
      <c r="E3565" s="4"/>
      <c r="F3565" s="4"/>
      <c r="G3565" s="4"/>
      <c r="H3565" s="4"/>
    </row>
    <row r="3566" customFormat="false" ht="15" hidden="false" customHeight="false" outlineLevel="1" collapsed="false">
      <c r="A3566" s="7" t="s">
        <v>602</v>
      </c>
      <c r="B3566" s="8" t="s">
        <v>10</v>
      </c>
      <c r="C3566" s="58" t="n">
        <f aca="false">C3552*Pressupostos!$C$129*(1+Pressupostos!$C$125)^0*(1+Pressupostos!$C$130)*Pressupostos!$C$126</f>
        <v>43998</v>
      </c>
      <c r="D3566" s="58" t="n">
        <f aca="false">D3552*Pressupostos!$C$129*(1+Pressupostos!$C$125)^1*(1+Pressupostos!$C$130)</f>
        <v>61800</v>
      </c>
      <c r="E3566" s="58" t="n">
        <f aca="false">E3552*Pressupostos!$C$129*(1+Pressupostos!$C$125)^2*(1+Pressupostos!$C$130)</f>
        <v>63654</v>
      </c>
      <c r="F3566" s="58" t="n">
        <f aca="false">F3552*Pressupostos!$C$129*(1+Pressupostos!$C$125)^3*(1+Pressupostos!$C$130)</f>
        <v>65563.62</v>
      </c>
      <c r="G3566" s="58" t="n">
        <f aca="false">G3552*Pressupostos!$C$129*(1+Pressupostos!$C$125)^4*(1+Pressupostos!$C$130)</f>
        <v>67530.5286</v>
      </c>
      <c r="H3566" s="2" t="s">
        <v>1250</v>
      </c>
    </row>
    <row r="3567" customFormat="false" ht="15" hidden="false" customHeight="false" outlineLevel="1" collapsed="false">
      <c r="A3567" s="7" t="s">
        <v>603</v>
      </c>
      <c r="B3567" s="8" t="s">
        <v>10</v>
      </c>
      <c r="C3567" s="58" t="n">
        <f aca="false">C3553*Pressupostos!$C$131*(1+Pressupostos!$C$125)^0*(1+Pressupostos!$C$132)*Pressupostos!$C$126</f>
        <v>47664.5</v>
      </c>
      <c r="D3567" s="58" t="n">
        <f aca="false">D3553*Pressupostos!$C$131*(1+Pressupostos!$C$125)^1*(1+Pressupostos!$C$132)</f>
        <v>66950</v>
      </c>
      <c r="E3567" s="58" t="n">
        <f aca="false">E3553*Pressupostos!$C$131*(1+Pressupostos!$C$125)^2*(1+Pressupostos!$C$132)</f>
        <v>68958.5</v>
      </c>
      <c r="F3567" s="58" t="n">
        <f aca="false">F3553*Pressupostos!$C$131*(1+Pressupostos!$C$125)^3*(1+Pressupostos!$C$132)</f>
        <v>71027.255</v>
      </c>
      <c r="G3567" s="58" t="n">
        <f aca="false">G3553*Pressupostos!$C$131*(1+Pressupostos!$C$125)^4*(1+Pressupostos!$C$132)</f>
        <v>73158.07265</v>
      </c>
      <c r="H3567" s="2" t="s">
        <v>1251</v>
      </c>
    </row>
    <row r="3568" customFormat="false" ht="15" hidden="false" customHeight="false" outlineLevel="1" collapsed="false">
      <c r="A3568" s="7" t="s">
        <v>604</v>
      </c>
      <c r="B3568" s="8" t="s">
        <v>10</v>
      </c>
      <c r="C3568" s="58" t="n">
        <f aca="false">C3554*Pressupostos!$C$133*(1+Pressupostos!$C$125)^0*(1+Pressupostos!$C$134)</f>
        <v>0</v>
      </c>
      <c r="D3568" s="58" t="n">
        <f aca="false">D3554*Pressupostos!$C$133*(1+Pressupostos!$C$125)^1*(1+Pressupostos!$C$134)</f>
        <v>46350</v>
      </c>
      <c r="E3568" s="58" t="n">
        <f aca="false">E3554*Pressupostos!$C$133*(1+Pressupostos!$C$125)^2*(1+Pressupostos!$C$134)</f>
        <v>47740.5</v>
      </c>
      <c r="F3568" s="58" t="n">
        <f aca="false">F3554*Pressupostos!$C$133*(1+Pressupostos!$C$125)^3*(1+Pressupostos!$C$134)</f>
        <v>49172.715</v>
      </c>
      <c r="G3568" s="58" t="n">
        <f aca="false">G3554*Pressupostos!$C$133*(1+Pressupostos!$C$125)^4*(1+Pressupostos!$C$134)</f>
        <v>50647.89645</v>
      </c>
      <c r="H3568" s="2" t="s">
        <v>1252</v>
      </c>
    </row>
    <row r="3569" customFormat="false" ht="15" hidden="false" customHeight="false" outlineLevel="1" collapsed="false">
      <c r="A3569" s="7" t="s">
        <v>605</v>
      </c>
      <c r="B3569" s="8" t="s">
        <v>10</v>
      </c>
      <c r="C3569" s="58" t="n">
        <f aca="false">C3555*Pressupostos!$C$135*(1+Pressupostos!$C$125)^0*(1+Pressupostos!$C$136)</f>
        <v>30000</v>
      </c>
      <c r="D3569" s="58" t="n">
        <f aca="false">D3555*Pressupostos!$C$135*(1+Pressupostos!$C$125)^1*(1+Pressupostos!$C$136)</f>
        <v>61800</v>
      </c>
      <c r="E3569" s="58" t="n">
        <f aca="false">E3555*Pressupostos!$C$135*(1+Pressupostos!$C$125)^2*(1+Pressupostos!$C$136)</f>
        <v>63654</v>
      </c>
      <c r="F3569" s="58" t="n">
        <f aca="false">F3555*Pressupostos!$C$135*(1+Pressupostos!$C$125)^3*(1+Pressupostos!$C$136)</f>
        <v>65563.62</v>
      </c>
      <c r="G3569" s="58" t="n">
        <f aca="false">G3555*Pressupostos!$C$135*(1+Pressupostos!$C$125)^4*(1+Pressupostos!$C$136)</f>
        <v>67530.5286</v>
      </c>
      <c r="H3569" s="2" t="s">
        <v>1253</v>
      </c>
    </row>
    <row r="3570" customFormat="false" ht="15" hidden="false" customHeight="false" outlineLevel="1" collapsed="false">
      <c r="A3570" s="7" t="s">
        <v>606</v>
      </c>
      <c r="B3570" s="8" t="s">
        <v>10</v>
      </c>
      <c r="C3570" s="58" t="n">
        <f aca="false">C3556*Pressupostos!$C$137*(1+Pressupostos!$C$125)^0*(1+Pressupostos!$C$138)</f>
        <v>22500</v>
      </c>
      <c r="D3570" s="58" t="n">
        <f aca="false">D3556*Pressupostos!$C$137*(1+Pressupostos!$C$125)^1*(1+Pressupostos!$C$138)</f>
        <v>23175</v>
      </c>
      <c r="E3570" s="58" t="n">
        <f aca="false">E3556*Pressupostos!$C$137*(1+Pressupostos!$C$125)^2*(1+Pressupostos!$C$138)</f>
        <v>23870.25</v>
      </c>
      <c r="F3570" s="58" t="n">
        <f aca="false">F3556*Pressupostos!$C$137*(1+Pressupostos!$C$125)^3*(1+Pressupostos!$C$138)</f>
        <v>49172.715</v>
      </c>
      <c r="G3570" s="58" t="n">
        <f aca="false">G3556*Pressupostos!$C$137*(1+Pressupostos!$C$125)^4*(1+Pressupostos!$C$138)</f>
        <v>50647.89645</v>
      </c>
      <c r="H3570" s="2" t="s">
        <v>1254</v>
      </c>
    </row>
    <row r="3571" customFormat="false" ht="15" hidden="false" customHeight="false" outlineLevel="1" collapsed="false">
      <c r="A3571" s="7" t="s">
        <v>607</v>
      </c>
      <c r="B3571" s="8" t="s">
        <v>10</v>
      </c>
      <c r="C3571" s="58" t="n">
        <f aca="false">C3557*Pressupostos!$C$139*(1+Pressupostos!$C$125)^0*(1+Pressupostos!$C$140)</f>
        <v>38000</v>
      </c>
      <c r="D3571" s="58" t="n">
        <f aca="false">D3557*Pressupostos!$C$139*(1+Pressupostos!$C$125)^1*(1+Pressupostos!$C$140)</f>
        <v>39140</v>
      </c>
      <c r="E3571" s="58" t="n">
        <f aca="false">E3557*Pressupostos!$C$139*(1+Pressupostos!$C$125)^2*(1+Pressupostos!$C$140)</f>
        <v>40314.2</v>
      </c>
      <c r="F3571" s="58" t="n">
        <f aca="false">F3557*Pressupostos!$C$139*(1+Pressupostos!$C$125)^3*(1+Pressupostos!$C$140)</f>
        <v>41523.626</v>
      </c>
      <c r="G3571" s="58" t="n">
        <f aca="false">G3557*Pressupostos!$C$139*(1+Pressupostos!$C$125)^4*(1+Pressupostos!$C$140)</f>
        <v>42769.33478</v>
      </c>
      <c r="H3571" s="2" t="s">
        <v>1255</v>
      </c>
    </row>
    <row r="3572" customFormat="false" ht="15" hidden="false" customHeight="false" outlineLevel="1" collapsed="false">
      <c r="A3572" s="7" t="s">
        <v>608</v>
      </c>
      <c r="B3572" s="8" t="s">
        <v>10</v>
      </c>
      <c r="C3572" s="58" t="n">
        <f aca="false">C3558*Pressupostos!$C$141*(1+Pressupostos!$C$125)^0*(1+Pressupostos!$C$142)</f>
        <v>16000</v>
      </c>
      <c r="D3572" s="58" t="n">
        <f aca="false">D3558*Pressupostos!$C$141*(1+Pressupostos!$C$125)^1*(1+Pressupostos!$C$142)</f>
        <v>32960</v>
      </c>
      <c r="E3572" s="58" t="n">
        <f aca="false">E3558*Pressupostos!$C$141*(1+Pressupostos!$C$125)^2*(1+Pressupostos!$C$142)</f>
        <v>33948.8</v>
      </c>
      <c r="F3572" s="58" t="n">
        <f aca="false">F3558*Pressupostos!$C$141*(1+Pressupostos!$C$125)^3*(1+Pressupostos!$C$142)</f>
        <v>34967.264</v>
      </c>
      <c r="G3572" s="58" t="n">
        <f aca="false">G3558*Pressupostos!$C$141*(1+Pressupostos!$C$125)^4*(1+Pressupostos!$C$142)</f>
        <v>36016.28192</v>
      </c>
      <c r="H3572" s="2" t="s">
        <v>1256</v>
      </c>
    </row>
    <row r="3573" customFormat="false" ht="15" hidden="false" customHeight="false" outlineLevel="1" collapsed="false">
      <c r="A3573" s="7" t="s">
        <v>609</v>
      </c>
      <c r="B3573" s="8" t="s">
        <v>10</v>
      </c>
      <c r="C3573" s="58" t="n">
        <f aca="false">C3559*Pressupostos!$C$143*(1+Pressupostos!$C$125)^0*(1+Pressupostos!$C$144)</f>
        <v>34500</v>
      </c>
      <c r="D3573" s="58" t="n">
        <f aca="false">D3559*Pressupostos!$C$143*(1+Pressupostos!$C$125)^1*(1+Pressupostos!$C$144)</f>
        <v>35535</v>
      </c>
      <c r="E3573" s="58" t="n">
        <f aca="false">E3559*Pressupostos!$C$143*(1+Pressupostos!$C$125)^2*(1+Pressupostos!$C$144)</f>
        <v>36601.05</v>
      </c>
      <c r="F3573" s="58" t="n">
        <f aca="false">F3559*Pressupostos!$C$143*(1+Pressupostos!$C$125)^3*(1+Pressupostos!$C$144)</f>
        <v>75398.163</v>
      </c>
      <c r="G3573" s="58" t="n">
        <f aca="false">G3559*Pressupostos!$C$143*(1+Pressupostos!$C$125)^4*(1+Pressupostos!$C$144)</f>
        <v>116490.161835</v>
      </c>
      <c r="H3573" s="2" t="s">
        <v>1257</v>
      </c>
    </row>
    <row r="3574" customFormat="false" ht="15" hidden="false" customHeight="false" outlineLevel="1" collapsed="false">
      <c r="A3574" s="7" t="s">
        <v>610</v>
      </c>
      <c r="B3574" s="8" t="s">
        <v>10</v>
      </c>
      <c r="C3574" s="58" t="n">
        <f aca="false">C3560*Pressupostos!$C$145*(1+Pressupostos!$C$125)^0*(1+Pressupostos!$C$146)</f>
        <v>0</v>
      </c>
      <c r="D3574" s="58" t="n">
        <f aca="false">D3560*Pressupostos!$C$145*(1+Pressupostos!$C$125)^1*(1+Pressupostos!$C$146)</f>
        <v>0</v>
      </c>
      <c r="E3574" s="58" t="n">
        <f aca="false">E3560*Pressupostos!$C$145*(1+Pressupostos!$C$125)^2*(1+Pressupostos!$C$146)</f>
        <v>0</v>
      </c>
      <c r="F3574" s="58" t="n">
        <f aca="false">F3560*Pressupostos!$C$145*(1+Pressupostos!$C$125)^3*(1+Pressupostos!$C$146)</f>
        <v>0</v>
      </c>
      <c r="G3574" s="58" t="n">
        <f aca="false">G3560*Pressupostos!$C$145*(1+Pressupostos!$C$125)^4*(1+Pressupostos!$C$146)</f>
        <v>0</v>
      </c>
      <c r="H3574" s="2" t="s">
        <v>1258</v>
      </c>
    </row>
    <row r="3575" customFormat="false" ht="15" hidden="false" customHeight="false" outlineLevel="1" collapsed="false">
      <c r="A3575" s="7" t="s">
        <v>611</v>
      </c>
      <c r="B3575" s="8" t="s">
        <v>10</v>
      </c>
      <c r="C3575" s="58" t="n">
        <f aca="false">C3561*Pressupostos!$C$147*(1+Pressupostos!$C$125)^0*(1+Pressupostos!$C$148)</f>
        <v>0</v>
      </c>
      <c r="D3575" s="58" t="n">
        <f aca="false">D3561*Pressupostos!$C$147*(1+Pressupostos!$C$125)^1*(1+Pressupostos!$C$148)</f>
        <v>0</v>
      </c>
      <c r="E3575" s="58" t="n">
        <f aca="false">E3561*Pressupostos!$C$147*(1+Pressupostos!$C$125)^2*(1+Pressupostos!$C$148)</f>
        <v>0</v>
      </c>
      <c r="F3575" s="58" t="n">
        <f aca="false">F3561*Pressupostos!$C$147*(1+Pressupostos!$C$125)^3*(1+Pressupostos!$C$148)</f>
        <v>0</v>
      </c>
      <c r="G3575" s="58" t="n">
        <f aca="false">G3561*Pressupostos!$C$147*(1+Pressupostos!$C$125)^4*(1+Pressupostos!$C$148)</f>
        <v>0</v>
      </c>
      <c r="H3575" s="2" t="s">
        <v>1259</v>
      </c>
    </row>
    <row r="3576" customFormat="false" ht="15" hidden="false" customHeight="false" outlineLevel="1" collapsed="false">
      <c r="A3576" s="7" t="s">
        <v>612</v>
      </c>
      <c r="B3576" s="8" t="s">
        <v>10</v>
      </c>
      <c r="C3576" s="58" t="n">
        <f aca="false">C3562*Pressupostos!$C$149*(1+Pressupostos!$C$125)^0*(1+Pressupostos!$C$150)</f>
        <v>0</v>
      </c>
      <c r="D3576" s="58" t="n">
        <f aca="false">D3562*Pressupostos!$C$149*(1+Pressupostos!$C$125)^1*(1+Pressupostos!$C$150)</f>
        <v>0</v>
      </c>
      <c r="E3576" s="58" t="n">
        <f aca="false">E3562*Pressupostos!$C$149*(1+Pressupostos!$C$125)^2*(1+Pressupostos!$C$150)</f>
        <v>0</v>
      </c>
      <c r="F3576" s="58" t="n">
        <f aca="false">F3562*Pressupostos!$C$149*(1+Pressupostos!$C$125)^3*(1+Pressupostos!$C$150)</f>
        <v>26225.448</v>
      </c>
      <c r="G3576" s="58" t="n">
        <f aca="false">G3562*Pressupostos!$C$149*(1+Pressupostos!$C$125)^4*(1+Pressupostos!$C$150)</f>
        <v>27012.21144</v>
      </c>
      <c r="H3576" s="2" t="s">
        <v>1260</v>
      </c>
    </row>
    <row r="3577" customFormat="false" ht="15" hidden="false" customHeight="false" outlineLevel="1" collapsed="false">
      <c r="A3577" s="7" t="s">
        <v>613</v>
      </c>
      <c r="B3577" s="8" t="s">
        <v>10</v>
      </c>
      <c r="C3577" s="58" t="n">
        <f aca="false">C3563*Pressupostos!$C$151*(1+Pressupostos!$C$125)^0*(1+Pressupostos!$C$152)</f>
        <v>0</v>
      </c>
      <c r="D3577" s="58" t="n">
        <f aca="false">D3563*Pressupostos!$C$151*(1+Pressupostos!$C$125)^1*(1+Pressupostos!$C$152)</f>
        <v>0</v>
      </c>
      <c r="E3577" s="58" t="n">
        <f aca="false">E3563*Pressupostos!$C$151*(1+Pressupostos!$C$125)^2*(1+Pressupostos!$C$152)</f>
        <v>54901.575</v>
      </c>
      <c r="F3577" s="58" t="n">
        <f aca="false">F3563*Pressupostos!$C$151*(1+Pressupostos!$C$125)^3*(1+Pressupostos!$C$152)</f>
        <v>56548.62225</v>
      </c>
      <c r="G3577" s="58" t="n">
        <f aca="false">G3563*Pressupostos!$C$151*(1+Pressupostos!$C$125)^4*(1+Pressupostos!$C$152)</f>
        <v>58245.0809175</v>
      </c>
      <c r="H3577" s="2" t="s">
        <v>1261</v>
      </c>
    </row>
    <row r="3578" customFormat="false" ht="15" hidden="false" customHeight="false" outlineLevel="1" collapsed="false">
      <c r="A3578" s="7" t="s">
        <v>616</v>
      </c>
      <c r="B3578" s="8" t="s">
        <v>10</v>
      </c>
      <c r="C3578" s="58" t="n">
        <f aca="false">C3566+C3567+C3568+C3569+C3570+C3571+C3572+C3573+C3574+C3575+C3576+C3577</f>
        <v>232662.5</v>
      </c>
      <c r="D3578" s="58" t="n">
        <f aca="false">D3566+D3567+D3568+D3569+D3570+D3571+D3572+D3573+D3574+D3575+D3576+D3577</f>
        <v>367710</v>
      </c>
      <c r="E3578" s="58" t="n">
        <f aca="false">E3566+E3567+E3568+E3569+E3570+E3571+E3572+E3573+E3574+E3575+E3576+E3577</f>
        <v>433642.875</v>
      </c>
      <c r="F3578" s="58" t="n">
        <f aca="false">F3566+F3567+F3568+F3569+F3570+F3571+F3572+F3573+F3574+F3575+F3576+F3577</f>
        <v>535163.04825</v>
      </c>
      <c r="G3578" s="58" t="n">
        <f aca="false">G3566+G3567+G3568+G3569+G3570+G3571+G3572+G3573+G3574+G3575+G3576+G3577</f>
        <v>590047.9936425</v>
      </c>
      <c r="H3578" s="2" t="s">
        <v>1262</v>
      </c>
    </row>
    <row r="3579" customFormat="false" ht="15" hidden="false" customHeight="false" outlineLevel="1" collapsed="false">
      <c r="A3579" s="7" t="s">
        <v>617</v>
      </c>
      <c r="B3579" s="8" t="s">
        <v>10</v>
      </c>
      <c r="C3579" s="58" t="n">
        <f aca="false">C3578*(Pressupostos!$C$122+Pressupostos!$C$123)</f>
        <v>59910.59375</v>
      </c>
      <c r="D3579" s="58" t="n">
        <f aca="false">D3578*(Pressupostos!$C$122+Pressupostos!$C$123)</f>
        <v>94685.325</v>
      </c>
      <c r="E3579" s="58" t="n">
        <f aca="false">E3578*(Pressupostos!$C$122+Pressupostos!$C$123)</f>
        <v>111663.0403125</v>
      </c>
      <c r="F3579" s="58" t="n">
        <f aca="false">F3578*(Pressupostos!$C$122+Pressupostos!$C$123)</f>
        <v>137804.484924375</v>
      </c>
      <c r="G3579" s="58" t="n">
        <f aca="false">G3578*(Pressupostos!$C$122+Pressupostos!$C$123)</f>
        <v>151937.358362944</v>
      </c>
      <c r="H3579" s="2" t="s">
        <v>1263</v>
      </c>
    </row>
    <row r="3580" customFormat="false" ht="15" hidden="false" customHeight="false" outlineLevel="1" collapsed="false">
      <c r="A3580" s="7" t="s">
        <v>618</v>
      </c>
      <c r="B3580" s="8" t="s">
        <v>10</v>
      </c>
      <c r="C3580" s="58" t="n">
        <f aca="false">C3564*Pressupostos!$C$124*(1+Pressupostos!$C$125)^0</f>
        <v>11000</v>
      </c>
      <c r="D3580" s="58" t="n">
        <f aca="false">D3564*Pressupostos!$C$124*(1+Pressupostos!$C$125)^1</f>
        <v>15450</v>
      </c>
      <c r="E3580" s="58" t="n">
        <f aca="false">E3564*Pressupostos!$C$124*(1+Pressupostos!$C$125)^2</f>
        <v>18035.3</v>
      </c>
      <c r="F3580" s="58" t="n">
        <f aca="false">F3564*Pressupostos!$C$124*(1+Pressupostos!$C$125)^3</f>
        <v>24039.994</v>
      </c>
      <c r="G3580" s="58" t="n">
        <f aca="false">G3564*Pressupostos!$C$124*(1+Pressupostos!$C$125)^4</f>
        <v>27012.21144</v>
      </c>
      <c r="H3580" s="2" t="s">
        <v>1264</v>
      </c>
    </row>
    <row r="3581" customFormat="false" ht="15" hidden="false" customHeight="false" outlineLevel="1" collapsed="false">
      <c r="A3581" s="52" t="s">
        <v>619</v>
      </c>
      <c r="B3581" s="53" t="s">
        <v>10</v>
      </c>
      <c r="C3581" s="59" t="n">
        <f aca="false">C3578+C3579+C3580</f>
        <v>303573.09375</v>
      </c>
      <c r="D3581" s="59" t="n">
        <f aca="false">D3578+D3579+D3580</f>
        <v>477845.325</v>
      </c>
      <c r="E3581" s="59" t="n">
        <f aca="false">E3578+E3579+E3580</f>
        <v>563341.2153125</v>
      </c>
      <c r="F3581" s="59" t="n">
        <f aca="false">F3578+F3579+F3580</f>
        <v>697007.527174375</v>
      </c>
      <c r="G3581" s="59" t="n">
        <f aca="false">G3578+G3579+G3580</f>
        <v>768997.563445444</v>
      </c>
      <c r="H3581" s="2" t="s">
        <v>1265</v>
      </c>
    </row>
    <row r="3582" customFormat="false" ht="15" hidden="false" customHeight="false" outlineLevel="1" collapsed="false">
      <c r="A3582" s="2" t="s">
        <v>620</v>
      </c>
      <c r="B3582" s="8" t="s">
        <v>10</v>
      </c>
      <c r="C3582" s="58" t="n">
        <f aca="false">IF(C3564&gt;0,C3581/C3564,0)</f>
        <v>55195.1079545455</v>
      </c>
      <c r="D3582" s="58" t="n">
        <f aca="false">IF(D3564&gt;0,D3581/D3564,0)</f>
        <v>63712.71</v>
      </c>
      <c r="E3582" s="58" t="n">
        <f aca="false">IF(E3564&gt;0,E3581/E3564,0)</f>
        <v>66275.4370955882</v>
      </c>
      <c r="F3582" s="58" t="n">
        <f aca="false">IF(F3564&gt;0,F3581/F3564,0)</f>
        <v>63364.3206522159</v>
      </c>
      <c r="G3582" s="58" t="n">
        <f aca="false">IF(G3564&gt;0,G3581/G3564,0)</f>
        <v>64083.1302871203</v>
      </c>
      <c r="H3582" s="2" t="s">
        <v>1266</v>
      </c>
    </row>
    <row r="3583" customFormat="false" ht="15" hidden="false" customHeight="false" outlineLevel="0" collapsed="false">
      <c r="A3583" s="3" t="s">
        <v>1267</v>
      </c>
      <c r="B3583" s="4"/>
      <c r="C3583" s="4"/>
      <c r="D3583" s="4"/>
      <c r="E3583" s="4"/>
      <c r="F3583" s="4"/>
      <c r="G3583" s="4"/>
      <c r="H3583" s="4"/>
    </row>
    <row r="3584" customFormat="false" ht="15" hidden="false" customHeight="false" outlineLevel="1" collapsed="false">
      <c r="A3584" s="7" t="s">
        <v>430</v>
      </c>
      <c r="B3584" s="8" t="s">
        <v>10</v>
      </c>
      <c r="C3584" s="58" t="n">
        <f aca="false">Pressupostos!$C$390*(1+Pressupostos!$C$154)*(1+Pressupostos!$C$155)^0</f>
        <v>94500</v>
      </c>
      <c r="D3584" s="58" t="n">
        <f aca="false">Pressupostos!$D$390*(1+Pressupostos!$C$154)*(1+Pressupostos!$C$155)^1</f>
        <v>53550</v>
      </c>
      <c r="E3584" s="58" t="n">
        <f aca="false">Pressupostos!$E$390*(1+Pressupostos!$C$154)*(1+Pressupostos!$C$155)^2</f>
        <v>49158.9</v>
      </c>
      <c r="F3584" s="58" t="n">
        <f aca="false">Pressupostos!$F$390*(1+Pressupostos!$C$154)*(1+Pressupostos!$C$155)^3</f>
        <v>50142.078</v>
      </c>
      <c r="G3584" s="58" t="n">
        <f aca="false">Pressupostos!$G$390*(1+Pressupostos!$C$154)*(1+Pressupostos!$C$155)^4</f>
        <v>51144.91956</v>
      </c>
      <c r="H3584" s="2" t="s">
        <v>1268</v>
      </c>
    </row>
    <row r="3585" customFormat="false" ht="15" hidden="false" customHeight="false" outlineLevel="1" collapsed="false">
      <c r="A3585" s="7" t="s">
        <v>432</v>
      </c>
      <c r="B3585" s="8" t="s">
        <v>10</v>
      </c>
      <c r="C3585" s="58" t="n">
        <f aca="false">Pressupostos!$C$396*(1+Pressupostos!$C$154)*(1+Pressupostos!$C$155)^0</f>
        <v>10500</v>
      </c>
      <c r="D3585" s="58" t="n">
        <f aca="false">Pressupostos!$D$396*(1+Pressupostos!$C$154)*(1+Pressupostos!$C$155)^1</f>
        <v>10710</v>
      </c>
      <c r="E3585" s="58" t="n">
        <f aca="false">Pressupostos!$E$396*(1+Pressupostos!$C$154)*(1+Pressupostos!$C$155)^2</f>
        <v>10924.2</v>
      </c>
      <c r="F3585" s="58" t="n">
        <f aca="false">Pressupostos!$F$396*(1+Pressupostos!$C$154)*(1+Pressupostos!$C$155)^3</f>
        <v>11142.684</v>
      </c>
      <c r="G3585" s="58" t="n">
        <f aca="false">Pressupostos!$G$396*(1+Pressupostos!$C$154)*(1+Pressupostos!$C$155)^4</f>
        <v>11365.53768</v>
      </c>
      <c r="H3585" s="2" t="s">
        <v>1269</v>
      </c>
    </row>
    <row r="3586" customFormat="false" ht="15" hidden="false" customHeight="false" outlineLevel="1" collapsed="false">
      <c r="A3586" s="7" t="s">
        <v>433</v>
      </c>
      <c r="B3586" s="8" t="s">
        <v>10</v>
      </c>
      <c r="C3586" s="58" t="n">
        <f aca="false">Pressupostos!$C$402*(1+Pressupostos!$C$154)*(1+Pressupostos!$C$155)^0</f>
        <v>12600</v>
      </c>
      <c r="D3586" s="58" t="n">
        <f aca="false">Pressupostos!$D$402*(1+Pressupostos!$C$154)*(1+Pressupostos!$C$155)^1</f>
        <v>12852</v>
      </c>
      <c r="E3586" s="58" t="n">
        <f aca="false">Pressupostos!$E$402*(1+Pressupostos!$C$154)*(1+Pressupostos!$C$155)^2</f>
        <v>13109.04</v>
      </c>
      <c r="F3586" s="58" t="n">
        <f aca="false">Pressupostos!$F$402*(1+Pressupostos!$C$154)*(1+Pressupostos!$C$155)^3</f>
        <v>13371.2208</v>
      </c>
      <c r="G3586" s="58" t="n">
        <f aca="false">Pressupostos!$G$402*(1+Pressupostos!$C$154)*(1+Pressupostos!$C$155)^4</f>
        <v>13638.645216</v>
      </c>
      <c r="H3586" s="2" t="s">
        <v>1270</v>
      </c>
    </row>
    <row r="3587" customFormat="false" ht="15" hidden="false" customHeight="false" outlineLevel="1" collapsed="false">
      <c r="A3587" s="7" t="s">
        <v>435</v>
      </c>
      <c r="B3587" s="8" t="s">
        <v>10</v>
      </c>
      <c r="C3587" s="58" t="n">
        <f aca="false">Pressupostos!$C$408*(1+Pressupostos!$C$154)*(1+Pressupostos!$C$155)^0</f>
        <v>31500</v>
      </c>
      <c r="D3587" s="58" t="n">
        <f aca="false">Pressupostos!$D$408*(1+Pressupostos!$C$154)*(1+Pressupostos!$C$155)^1</f>
        <v>37485</v>
      </c>
      <c r="E3587" s="58" t="n">
        <f aca="false">Pressupostos!$E$408*(1+Pressupostos!$C$154)*(1+Pressupostos!$C$155)^2</f>
        <v>49158.9</v>
      </c>
      <c r="F3587" s="58" t="n">
        <f aca="false">Pressupostos!$F$408*(1+Pressupostos!$C$154)*(1+Pressupostos!$C$155)^3</f>
        <v>55713.42</v>
      </c>
      <c r="G3587" s="58" t="n">
        <f aca="false">Pressupostos!$G$408*(1+Pressupostos!$C$154)*(1+Pressupostos!$C$155)^4</f>
        <v>62510.45724</v>
      </c>
      <c r="H3587" s="2" t="s">
        <v>1271</v>
      </c>
    </row>
    <row r="3588" customFormat="false" ht="15" hidden="false" customHeight="false" outlineLevel="1" collapsed="false">
      <c r="A3588" s="7" t="s">
        <v>437</v>
      </c>
      <c r="B3588" s="8" t="s">
        <v>10</v>
      </c>
      <c r="C3588" s="58" t="n">
        <f aca="false">Pressupostos!$C$414*(1+Pressupostos!$C$154)*(1+Pressupostos!$C$155)^0</f>
        <v>15750</v>
      </c>
      <c r="D3588" s="58" t="n">
        <f aca="false">Pressupostos!$D$414*(1+Pressupostos!$C$154)*(1+Pressupostos!$C$155)^1</f>
        <v>16065</v>
      </c>
      <c r="E3588" s="58" t="n">
        <f aca="false">Pressupostos!$E$414*(1+Pressupostos!$C$154)*(1+Pressupostos!$C$155)^2</f>
        <v>38234.7</v>
      </c>
      <c r="F3588" s="58" t="n">
        <f aca="false">Pressupostos!$F$414*(1+Pressupostos!$C$154)*(1+Pressupostos!$C$155)^3</f>
        <v>22285.368</v>
      </c>
      <c r="G3588" s="58" t="n">
        <f aca="false">Pressupostos!$G$414*(1+Pressupostos!$C$154)*(1+Pressupostos!$C$155)^4</f>
        <v>22731.07536</v>
      </c>
      <c r="H3588" s="2" t="s">
        <v>1272</v>
      </c>
    </row>
    <row r="3589" customFormat="false" ht="15" hidden="false" customHeight="false" outlineLevel="1" collapsed="false">
      <c r="A3589" s="7" t="s">
        <v>439</v>
      </c>
      <c r="B3589" s="8" t="s">
        <v>10</v>
      </c>
      <c r="C3589" s="58" t="n">
        <f aca="false">Pressupostos!$C$420*(1+Pressupostos!$C$154)*(1+Pressupostos!$C$155)^0</f>
        <v>10500</v>
      </c>
      <c r="D3589" s="58" t="n">
        <f aca="false">Pressupostos!$D$420*(1+Pressupostos!$C$154)*(1+Pressupostos!$C$155)^1</f>
        <v>12852</v>
      </c>
      <c r="E3589" s="58" t="n">
        <f aca="false">Pressupostos!$E$420*(1+Pressupostos!$C$154)*(1+Pressupostos!$C$155)^2</f>
        <v>16386.3</v>
      </c>
      <c r="F3589" s="58" t="n">
        <f aca="false">Pressupostos!$F$420*(1+Pressupostos!$C$154)*(1+Pressupostos!$C$155)^3</f>
        <v>20056.8312</v>
      </c>
      <c r="G3589" s="58" t="n">
        <f aca="false">Pressupostos!$G$420*(1+Pressupostos!$C$154)*(1+Pressupostos!$C$155)^4</f>
        <v>22731.07536</v>
      </c>
      <c r="H3589" s="2" t="s">
        <v>1273</v>
      </c>
    </row>
    <row r="3590" customFormat="false" ht="15" hidden="false" customHeight="false" outlineLevel="1" collapsed="false">
      <c r="A3590" s="7" t="s">
        <v>440</v>
      </c>
      <c r="B3590" s="8" t="s">
        <v>10</v>
      </c>
      <c r="C3590" s="58" t="n">
        <f aca="false">Pressupostos!$C$426*(1+Pressupostos!$C$154)*(1+Pressupostos!$C$155)^0</f>
        <v>31500</v>
      </c>
      <c r="D3590" s="58" t="n">
        <f aca="false">Pressupostos!$D$426*(1+Pressupostos!$C$154)*(1+Pressupostos!$C$155)^1</f>
        <v>37485</v>
      </c>
      <c r="E3590" s="58" t="n">
        <f aca="false">Pressupostos!$E$426*(1+Pressupostos!$C$154)*(1+Pressupostos!$C$155)^2</f>
        <v>49158.9</v>
      </c>
      <c r="F3590" s="58" t="n">
        <f aca="false">Pressupostos!$F$426*(1+Pressupostos!$C$154)*(1+Pressupostos!$C$155)^3</f>
        <v>55713.42</v>
      </c>
      <c r="G3590" s="58" t="n">
        <f aca="false">Pressupostos!$G$426*(1+Pressupostos!$C$154)*(1+Pressupostos!$C$155)^4</f>
        <v>62510.45724</v>
      </c>
      <c r="H3590" s="2" t="s">
        <v>1274</v>
      </c>
    </row>
    <row r="3591" customFormat="false" ht="15" hidden="false" customHeight="false" outlineLevel="1" collapsed="false">
      <c r="A3591" s="7" t="s">
        <v>442</v>
      </c>
      <c r="B3591" s="8" t="s">
        <v>10</v>
      </c>
      <c r="C3591" s="58" t="n">
        <f aca="false">Pressupostos!$C$432*(1+Pressupostos!$C$154)*(1+Pressupostos!$C$155)^0</f>
        <v>6300</v>
      </c>
      <c r="D3591" s="58" t="n">
        <f aca="false">Pressupostos!$D$432*(1+Pressupostos!$C$154)*(1+Pressupostos!$C$155)^1</f>
        <v>8568</v>
      </c>
      <c r="E3591" s="58" t="n">
        <f aca="false">Pressupostos!$E$432*(1+Pressupostos!$C$154)*(1+Pressupostos!$C$155)^2</f>
        <v>13109.04</v>
      </c>
      <c r="F3591" s="58" t="n">
        <f aca="false">Pressupostos!$F$432*(1+Pressupostos!$C$154)*(1+Pressupostos!$C$155)^3</f>
        <v>16714.026</v>
      </c>
      <c r="G3591" s="58" t="n">
        <f aca="false">Pressupostos!$G$432*(1+Pressupostos!$C$154)*(1+Pressupostos!$C$155)^4</f>
        <v>20457.967824</v>
      </c>
      <c r="H3591" s="2" t="s">
        <v>1275</v>
      </c>
    </row>
    <row r="3592" customFormat="false" ht="15" hidden="false" customHeight="false" outlineLevel="1" collapsed="false">
      <c r="A3592" s="7" t="s">
        <v>444</v>
      </c>
      <c r="B3592" s="8" t="s">
        <v>10</v>
      </c>
      <c r="C3592" s="58" t="n">
        <f aca="false">Pressupostos!$C$438*(1+Pressupostos!$C$154)*(1+Pressupostos!$C$155)^0</f>
        <v>15750</v>
      </c>
      <c r="D3592" s="58" t="n">
        <f aca="false">Pressupostos!$D$438*(1+Pressupostos!$C$154)*(1+Pressupostos!$C$155)^1</f>
        <v>21420</v>
      </c>
      <c r="E3592" s="58" t="n">
        <f aca="false">Pressupostos!$E$438*(1+Pressupostos!$C$154)*(1+Pressupostos!$C$155)^2</f>
        <v>30587.76</v>
      </c>
      <c r="F3592" s="58" t="n">
        <f aca="false">Pressupostos!$F$438*(1+Pressupostos!$C$154)*(1+Pressupostos!$C$155)^3</f>
        <v>35656.5888</v>
      </c>
      <c r="G3592" s="58" t="n">
        <f aca="false">Pressupostos!$G$438*(1+Pressupostos!$C$154)*(1+Pressupostos!$C$155)^4</f>
        <v>40915.935648</v>
      </c>
      <c r="H3592" s="2" t="s">
        <v>1276</v>
      </c>
    </row>
    <row r="3593" customFormat="false" ht="15" hidden="false" customHeight="false" outlineLevel="1" collapsed="false">
      <c r="A3593" s="7" t="s">
        <v>445</v>
      </c>
      <c r="B3593" s="8" t="s">
        <v>10</v>
      </c>
      <c r="C3593" s="58" t="n">
        <f aca="false">Pressupostos!$C$444*(1+Pressupostos!$C$154)*(1+Pressupostos!$C$155)^0</f>
        <v>4200</v>
      </c>
      <c r="D3593" s="58" t="n">
        <f aca="false">Pressupostos!$D$444*(1+Pressupostos!$C$154)*(1+Pressupostos!$C$155)^1</f>
        <v>6426</v>
      </c>
      <c r="E3593" s="58" t="n">
        <f aca="false">Pressupostos!$E$444*(1+Pressupostos!$C$154)*(1+Pressupostos!$C$155)^2</f>
        <v>8739.36</v>
      </c>
      <c r="F3593" s="58" t="n">
        <f aca="false">Pressupostos!$F$444*(1+Pressupostos!$C$154)*(1+Pressupostos!$C$155)^3</f>
        <v>8914.1472</v>
      </c>
      <c r="G3593" s="58" t="n">
        <f aca="false">Pressupostos!$G$444*(1+Pressupostos!$C$154)*(1+Pressupostos!$C$155)^4</f>
        <v>9092.430144</v>
      </c>
      <c r="H3593" s="2" t="s">
        <v>1277</v>
      </c>
    </row>
    <row r="3594" customFormat="false" ht="15" hidden="false" customHeight="false" outlineLevel="1" collapsed="false">
      <c r="A3594" s="7" t="s">
        <v>661</v>
      </c>
      <c r="B3594" s="8" t="s">
        <v>10</v>
      </c>
      <c r="C3594" s="58" t="n">
        <f aca="false">C3584+C3585+C3586+C3587+C3588+C3589+C3590+C3591+C3592+C3593</f>
        <v>233100</v>
      </c>
      <c r="D3594" s="58" t="n">
        <f aca="false">D3584+D3585+D3586+D3587+D3588+D3589+D3590+D3591+D3592+D3593</f>
        <v>217413</v>
      </c>
      <c r="E3594" s="58" t="n">
        <f aca="false">E3584+E3585+E3586+E3587+E3588+E3589+E3590+E3591+E3592+E3593</f>
        <v>278567.1</v>
      </c>
      <c r="F3594" s="58" t="n">
        <f aca="false">F3584+F3585+F3586+F3587+F3588+F3589+F3590+F3591+F3592+F3593</f>
        <v>289709.784</v>
      </c>
      <c r="G3594" s="58" t="n">
        <f aca="false">G3584+G3585+G3586+G3587+G3588+G3589+G3590+G3591+G3592+G3593</f>
        <v>317098.501272</v>
      </c>
      <c r="H3594" s="2" t="s">
        <v>1278</v>
      </c>
    </row>
    <row r="3595" customFormat="false" ht="15" hidden="false" customHeight="false" outlineLevel="1" collapsed="false">
      <c r="A3595" s="7" t="s">
        <v>662</v>
      </c>
      <c r="B3595" s="8" t="s">
        <v>10</v>
      </c>
      <c r="C3595" s="58" t="n">
        <f aca="false">Pressupostos!$C$112+Pressupostos!$C$113+Pressupostos!$C$114*Pressupostos!$C$291+Pressupostos!$C$449</f>
        <v>65000</v>
      </c>
      <c r="D3595" s="58" t="n">
        <f aca="false">Pressupostos!$C$113+Pressupostos!$C$114*Pressupostos!$D$291+Pressupostos!$D$449</f>
        <v>65000</v>
      </c>
      <c r="E3595" s="58" t="n">
        <f aca="false">Pressupostos!$C$113+Pressupostos!$C$114*Pressupostos!$E$291+Pressupostos!$E$449</f>
        <v>70000</v>
      </c>
      <c r="F3595" s="58" t="n">
        <f aca="false">Pressupostos!$C$113+Pressupostos!$C$114*Pressupostos!$F$291+Pressupostos!$F$449</f>
        <v>75000</v>
      </c>
      <c r="G3595" s="58" t="n">
        <f aca="false">Pressupostos!$C$113+Pressupostos!$C$114*Pressupostos!$G$291+Pressupostos!$G$449</f>
        <v>80000</v>
      </c>
      <c r="H3595" s="2" t="s">
        <v>1279</v>
      </c>
    </row>
    <row r="3596" customFormat="false" ht="15" hidden="false" customHeight="false" outlineLevel="1" collapsed="false">
      <c r="A3596" s="7" t="s">
        <v>663</v>
      </c>
      <c r="B3596" s="8" t="s">
        <v>10</v>
      </c>
      <c r="C3596" s="58" t="n">
        <f aca="false">IF(C3418&lt;Pressupostos!$C$118,0,MAX(Pressupostos!$C$297,Pressupostos!$C$116*(C3506+C3507)+Pressupostos!$C$117*C3508))</f>
        <v>0</v>
      </c>
      <c r="D3596" s="58" t="n">
        <f aca="false">IF(D3418&lt;Pressupostos!$C$118,0,MAX(Pressupostos!$D$297,Pressupostos!$C$116*(D3506+D3507)+Pressupostos!$C$117*D3508))</f>
        <v>10775.6</v>
      </c>
      <c r="E3596" s="58" t="n">
        <f aca="false">IF(E3418&lt;Pressupostos!$C$118,0,MAX(Pressupostos!$E$297,Pressupostos!$C$116*(E3506+E3507)+Pressupostos!$C$117*E3508))</f>
        <v>25483.8</v>
      </c>
      <c r="F3596" s="58" t="n">
        <f aca="false">IF(F3418&lt;Pressupostos!$C$118,0,MAX(Pressupostos!$F$297,Pressupostos!$C$116*(F3506+F3507)+Pressupostos!$C$117*F3508))</f>
        <v>42407</v>
      </c>
      <c r="G3596" s="58" t="n">
        <f aca="false">IF(G3418&lt;Pressupostos!$C$118,0,MAX(Pressupostos!$G$297,Pressupostos!$C$116*(G3506+G3507)+Pressupostos!$C$117*G3508))</f>
        <v>61840</v>
      </c>
      <c r="H3596" s="2" t="s">
        <v>1280</v>
      </c>
    </row>
    <row r="3597" customFormat="false" ht="15" hidden="false" customHeight="false" outlineLevel="1" collapsed="false">
      <c r="A3597" s="52" t="s">
        <v>664</v>
      </c>
      <c r="B3597" s="53" t="s">
        <v>10</v>
      </c>
      <c r="C3597" s="59" t="n">
        <f aca="false">C3594+C3595+C3596</f>
        <v>298100</v>
      </c>
      <c r="D3597" s="59" t="n">
        <f aca="false">D3594+D3595+D3596</f>
        <v>293188.6</v>
      </c>
      <c r="E3597" s="59" t="n">
        <f aca="false">E3594+E3595+E3596</f>
        <v>374050.9</v>
      </c>
      <c r="F3597" s="59" t="n">
        <f aca="false">F3594+F3595+F3596</f>
        <v>407116.784</v>
      </c>
      <c r="G3597" s="59" t="n">
        <f aca="false">G3594+G3595+G3596</f>
        <v>458938.501272</v>
      </c>
      <c r="H3597" s="2" t="s">
        <v>1281</v>
      </c>
    </row>
    <row r="3598" customFormat="false" ht="15" hidden="false" customHeight="false" outlineLevel="0" collapsed="false">
      <c r="A3598" s="3" t="s">
        <v>1282</v>
      </c>
      <c r="B3598" s="4"/>
      <c r="C3598" s="4"/>
      <c r="D3598" s="4"/>
      <c r="E3598" s="4"/>
      <c r="F3598" s="4"/>
      <c r="G3598" s="4"/>
      <c r="H3598" s="4"/>
    </row>
    <row r="3599" customFormat="false" ht="15" hidden="false" customHeight="false" outlineLevel="1" collapsed="false">
      <c r="A3599" s="7" t="s">
        <v>666</v>
      </c>
      <c r="B3599" s="8" t="s">
        <v>10</v>
      </c>
      <c r="C3599" s="58" t="n">
        <f aca="false">Pressupostos!$C$163*Pressupostos!$C$304</f>
        <v>18000</v>
      </c>
      <c r="D3599" s="58" t="n">
        <f aca="false">Pressupostos!$C$163*Pressupostos!$D$304</f>
        <v>12000</v>
      </c>
      <c r="E3599" s="58" t="n">
        <f aca="false">Pressupostos!$C$163*Pressupostos!$E$304</f>
        <v>12000</v>
      </c>
      <c r="F3599" s="58" t="n">
        <f aca="false">Pressupostos!$C$163*Pressupostos!$F$304</f>
        <v>12000</v>
      </c>
      <c r="G3599" s="58" t="n">
        <f aca="false">Pressupostos!$C$163*Pressupostos!$G$304</f>
        <v>12000</v>
      </c>
      <c r="H3599" s="2" t="s">
        <v>1283</v>
      </c>
    </row>
    <row r="3600" customFormat="false" ht="15" hidden="false" customHeight="false" outlineLevel="1" collapsed="false">
      <c r="A3600" s="7" t="s">
        <v>667</v>
      </c>
      <c r="B3600" s="8" t="s">
        <v>10</v>
      </c>
      <c r="C3600" s="50" t="n">
        <f aca="false">Pressupostos!$C$310</f>
        <v>60000</v>
      </c>
      <c r="D3600" s="50" t="n">
        <f aca="false">Pressupostos!$D$310</f>
        <v>30000</v>
      </c>
      <c r="E3600" s="50" t="n">
        <f aca="false">Pressupostos!$E$310</f>
        <v>30000</v>
      </c>
      <c r="F3600" s="50" t="n">
        <f aca="false">Pressupostos!$F$310</f>
        <v>20000</v>
      </c>
      <c r="G3600" s="50" t="n">
        <f aca="false">Pressupostos!$G$310</f>
        <v>20000</v>
      </c>
      <c r="H3600" s="2" t="s">
        <v>1284</v>
      </c>
    </row>
    <row r="3601" customFormat="false" ht="15" hidden="false" customHeight="false" outlineLevel="1" collapsed="false">
      <c r="A3601" s="7" t="s">
        <v>668</v>
      </c>
      <c r="B3601" s="8" t="s">
        <v>10</v>
      </c>
      <c r="C3601" s="58" t="n">
        <f aca="false">Pressupostos!$C$164*MAX(0,C3564)</f>
        <v>11000</v>
      </c>
      <c r="D3601" s="58" t="n">
        <f aca="false">Pressupostos!$C$164*MAX(0,D3564-C3564)</f>
        <v>4000</v>
      </c>
      <c r="E3601" s="58" t="n">
        <f aca="false">Pressupostos!$C$164*MAX(0,E3564-D3564)</f>
        <v>2000</v>
      </c>
      <c r="F3601" s="58" t="n">
        <f aca="false">Pressupostos!$C$164*MAX(0,F3564-E3564)</f>
        <v>5000</v>
      </c>
      <c r="G3601" s="58" t="n">
        <f aca="false">Pressupostos!$C$164*MAX(0,G3564-F3564)</f>
        <v>2000</v>
      </c>
      <c r="H3601" s="2" t="s">
        <v>1285</v>
      </c>
    </row>
    <row r="3602" customFormat="false" ht="15" hidden="false" customHeight="false" outlineLevel="1" collapsed="false">
      <c r="A3602" s="7" t="s">
        <v>407</v>
      </c>
      <c r="B3602" s="8" t="s">
        <v>10</v>
      </c>
      <c r="C3602" s="58" t="n">
        <f aca="false">C3599+C3600+C3601</f>
        <v>89000</v>
      </c>
      <c r="D3602" s="58" t="n">
        <f aca="false">D3599+D3600+D3601</f>
        <v>46000</v>
      </c>
      <c r="E3602" s="58" t="n">
        <f aca="false">E3599+E3600+E3601</f>
        <v>44000</v>
      </c>
      <c r="F3602" s="58" t="n">
        <f aca="false">F3599+F3600+F3601</f>
        <v>37000</v>
      </c>
      <c r="G3602" s="58" t="n">
        <f aca="false">G3599+G3600+G3601</f>
        <v>34000</v>
      </c>
      <c r="H3602" s="2" t="s">
        <v>1286</v>
      </c>
    </row>
    <row r="3603" customFormat="false" ht="15" hidden="false" customHeight="false" outlineLevel="1" collapsed="false">
      <c r="A3603" s="7" t="s">
        <v>669</v>
      </c>
      <c r="B3603" s="8" t="s">
        <v>10</v>
      </c>
      <c r="C3603" s="58" t="n">
        <f aca="false">(C3600*((0)&lt;Pressupostos!$C$165))/Pressupostos!$C$165</f>
        <v>20000</v>
      </c>
      <c r="D3603" s="58" t="n">
        <f aca="false">(C3600*((1)&lt;Pressupostos!$C$165)+D3600*((0)&lt;Pressupostos!$C$165))/Pressupostos!$C$165</f>
        <v>30000</v>
      </c>
      <c r="E3603" s="58" t="n">
        <f aca="false">(C3600*((2)&lt;Pressupostos!$C$165)+D3600*((1)&lt;Pressupostos!$C$165)+E3600*((0)&lt;Pressupostos!$C$165))/Pressupostos!$C$165</f>
        <v>40000</v>
      </c>
      <c r="F3603" s="58" t="n">
        <f aca="false">(C3600*((3)&lt;Pressupostos!$C$165)+D3600*((2)&lt;Pressupostos!$C$165)+E3600*((1)&lt;Pressupostos!$C$165)+F3600*((0)&lt;Pressupostos!$C$165))/Pressupostos!$C$165</f>
        <v>26666.6666666667</v>
      </c>
      <c r="G3603" s="58" t="n">
        <f aca="false">(C3600*((4)&lt;Pressupostos!$C$165)+D3600*((3)&lt;Pressupostos!$C$165)+E3600*((2)&lt;Pressupostos!$C$165)+F3600*((1)&lt;Pressupostos!$C$165)+G3600*((0)&lt;Pressupostos!$C$165))/Pressupostos!$C$165</f>
        <v>23333.3333333333</v>
      </c>
      <c r="H3603" s="2" t="s">
        <v>1287</v>
      </c>
    </row>
    <row r="3604" customFormat="false" ht="15" hidden="false" customHeight="false" outlineLevel="1" collapsed="false">
      <c r="A3604" s="7" t="s">
        <v>670</v>
      </c>
      <c r="B3604" s="8" t="s">
        <v>10</v>
      </c>
      <c r="C3604" s="58" t="n">
        <f aca="false">(C3599*((0)&lt;Pressupostos!$C$167))/Pressupostos!$C$167</f>
        <v>3600</v>
      </c>
      <c r="D3604" s="58" t="n">
        <f aca="false">(C3599*((1)&lt;Pressupostos!$C$167)+D3599*((0)&lt;Pressupostos!$C$167))/Pressupostos!$C$167</f>
        <v>6000</v>
      </c>
      <c r="E3604" s="58" t="n">
        <f aca="false">(C3599*((2)&lt;Pressupostos!$C$167)+D3599*((1)&lt;Pressupostos!$C$167)+E3599*((0)&lt;Pressupostos!$C$167))/Pressupostos!$C$167</f>
        <v>8400</v>
      </c>
      <c r="F3604" s="58" t="n">
        <f aca="false">(C3599*((3)&lt;Pressupostos!$C$167)+D3599*((2)&lt;Pressupostos!$C$167)+E3599*((1)&lt;Pressupostos!$C$167)+F3599*((0)&lt;Pressupostos!$C$167))/Pressupostos!$C$167</f>
        <v>10800</v>
      </c>
      <c r="G3604" s="58" t="n">
        <f aca="false">(C3599*((4)&lt;Pressupostos!$C$167)+D3599*((3)&lt;Pressupostos!$C$167)+E3599*((2)&lt;Pressupostos!$C$167)+F3599*((1)&lt;Pressupostos!$C$167)+G3599*((0)&lt;Pressupostos!$C$167))/Pressupostos!$C$167</f>
        <v>13200</v>
      </c>
      <c r="H3604" s="2" t="s">
        <v>1288</v>
      </c>
    </row>
    <row r="3605" customFormat="false" ht="15" hidden="false" customHeight="false" outlineLevel="1" collapsed="false">
      <c r="A3605" s="7" t="s">
        <v>671</v>
      </c>
      <c r="B3605" s="8" t="s">
        <v>10</v>
      </c>
      <c r="C3605" s="58" t="n">
        <f aca="false">(C3601*((0)&lt;Pressupostos!$C$166))/Pressupostos!$C$166</f>
        <v>2750</v>
      </c>
      <c r="D3605" s="58" t="n">
        <f aca="false">(C3601*((1)&lt;Pressupostos!$C$166)+D3601*((0)&lt;Pressupostos!$C$166))/Pressupostos!$C$166</f>
        <v>3750</v>
      </c>
      <c r="E3605" s="58" t="n">
        <f aca="false">(C3601*((2)&lt;Pressupostos!$C$166)+D3601*((1)&lt;Pressupostos!$C$166)+E3601*((0)&lt;Pressupostos!$C$166))/Pressupostos!$C$166</f>
        <v>4250</v>
      </c>
      <c r="F3605" s="58" t="n">
        <f aca="false">(C3601*((3)&lt;Pressupostos!$C$166)+D3601*((2)&lt;Pressupostos!$C$166)+E3601*((1)&lt;Pressupostos!$C$166)+F3601*((0)&lt;Pressupostos!$C$166))/Pressupostos!$C$166</f>
        <v>5500</v>
      </c>
      <c r="G3605" s="58" t="n">
        <f aca="false">(C3601*((4)&lt;Pressupostos!$C$166)+D3601*((3)&lt;Pressupostos!$C$166)+E3601*((2)&lt;Pressupostos!$C$166)+F3601*((1)&lt;Pressupostos!$C$166)+G3601*((0)&lt;Pressupostos!$C$166))/Pressupostos!$C$166</f>
        <v>3250</v>
      </c>
      <c r="H3605" s="2" t="s">
        <v>1289</v>
      </c>
    </row>
    <row r="3606" customFormat="false" ht="15" hidden="false" customHeight="false" outlineLevel="1" collapsed="false">
      <c r="A3606" s="7" t="s">
        <v>672</v>
      </c>
      <c r="B3606" s="8" t="s">
        <v>10</v>
      </c>
      <c r="C3606" s="58" t="n">
        <f aca="false">C3603+C3604+C3605</f>
        <v>26350</v>
      </c>
      <c r="D3606" s="58" t="n">
        <f aca="false">D3603+D3604+D3605</f>
        <v>39750</v>
      </c>
      <c r="E3606" s="58" t="n">
        <f aca="false">E3603+E3604+E3605</f>
        <v>52650</v>
      </c>
      <c r="F3606" s="58" t="n">
        <f aca="false">F3603+F3604+F3605</f>
        <v>42966.6666666667</v>
      </c>
      <c r="G3606" s="58" t="n">
        <f aca="false">G3603+G3604+G3605</f>
        <v>39783.3333333333</v>
      </c>
      <c r="H3606" s="2" t="s">
        <v>1290</v>
      </c>
    </row>
    <row r="3607" customFormat="false" ht="15" hidden="false" customHeight="false" outlineLevel="0" collapsed="false">
      <c r="A3607" s="3" t="s">
        <v>1291</v>
      </c>
      <c r="B3607" s="4"/>
      <c r="C3607" s="4"/>
      <c r="D3607" s="4"/>
      <c r="E3607" s="4"/>
      <c r="F3607" s="4"/>
      <c r="G3607" s="4"/>
      <c r="H3607" s="4"/>
    </row>
    <row r="3608" customFormat="false" ht="15" hidden="false" customHeight="false" outlineLevel="1" collapsed="false">
      <c r="A3608" s="52" t="s">
        <v>676</v>
      </c>
      <c r="B3608" s="53" t="s">
        <v>10</v>
      </c>
      <c r="C3608" s="59" t="n">
        <f aca="false">C3515</f>
        <v>275874.4</v>
      </c>
      <c r="D3608" s="59" t="n">
        <f aca="false">D3515</f>
        <v>3617129</v>
      </c>
      <c r="E3608" s="59" t="n">
        <f aca="false">E3515</f>
        <v>9140394</v>
      </c>
      <c r="F3608" s="59" t="n">
        <f aca="false">F3515</f>
        <v>15394652</v>
      </c>
      <c r="G3608" s="59" t="n">
        <f aca="false">G3515</f>
        <v>22374860</v>
      </c>
      <c r="H3608" s="2" t="s">
        <v>1292</v>
      </c>
    </row>
    <row r="3609" customFormat="false" ht="15" hidden="false" customHeight="false" outlineLevel="1" collapsed="false">
      <c r="A3609" s="7" t="s">
        <v>649</v>
      </c>
      <c r="B3609" s="8" t="s">
        <v>10</v>
      </c>
      <c r="C3609" s="58" t="n">
        <f aca="false">-C3536</f>
        <v>-245040</v>
      </c>
      <c r="D3609" s="58" t="n">
        <f aca="false">-D3536</f>
        <v>-3349300</v>
      </c>
      <c r="E3609" s="58" t="n">
        <f aca="false">-E3536</f>
        <v>-8498250</v>
      </c>
      <c r="F3609" s="58" t="n">
        <f aca="false">-F3536</f>
        <v>-14283850</v>
      </c>
      <c r="G3609" s="58" t="n">
        <f aca="false">-G3536</f>
        <v>-20710500</v>
      </c>
      <c r="H3609" s="2" t="s">
        <v>1293</v>
      </c>
    </row>
    <row r="3610" customFormat="false" ht="15" hidden="false" customHeight="false" outlineLevel="1" collapsed="false">
      <c r="A3610" s="52" t="s">
        <v>677</v>
      </c>
      <c r="B3610" s="53" t="s">
        <v>10</v>
      </c>
      <c r="C3610" s="59" t="n">
        <f aca="false">C3608+C3609</f>
        <v>30834.4</v>
      </c>
      <c r="D3610" s="59" t="n">
        <f aca="false">D3608+D3609</f>
        <v>267829</v>
      </c>
      <c r="E3610" s="59" t="n">
        <f aca="false">E3608+E3609</f>
        <v>642144</v>
      </c>
      <c r="F3610" s="59" t="n">
        <f aca="false">F3608+F3609</f>
        <v>1110802</v>
      </c>
      <c r="G3610" s="59" t="n">
        <f aca="false">G3608+G3609</f>
        <v>1664360</v>
      </c>
      <c r="H3610" s="2" t="s">
        <v>1294</v>
      </c>
    </row>
    <row r="3611" customFormat="false" ht="15" hidden="false" customHeight="false" outlineLevel="1" collapsed="false">
      <c r="A3611" s="2" t="s">
        <v>678</v>
      </c>
      <c r="B3611" s="8" t="s">
        <v>71</v>
      </c>
      <c r="C3611" s="55" t="n">
        <f aca="false">IF(C3608&gt;0,C3610/C3608,0)</f>
        <v>0.111769703894236</v>
      </c>
      <c r="D3611" s="55" t="n">
        <f aca="false">IF(D3608&gt;0,D3610/D3608,0)</f>
        <v>0.0740446359529892</v>
      </c>
      <c r="E3611" s="55" t="n">
        <f aca="false">IF(E3608&gt;0,E3610/E3608,0)</f>
        <v>0.0702534267122402</v>
      </c>
      <c r="F3611" s="55" t="n">
        <f aca="false">IF(F3608&gt;0,F3610/F3608,0)</f>
        <v>0.0721550574835989</v>
      </c>
      <c r="G3611" s="55" t="n">
        <f aca="false">IF(G3608&gt;0,G3610/G3608,0)</f>
        <v>0.0743852698966608</v>
      </c>
      <c r="H3611" s="2" t="s">
        <v>1295</v>
      </c>
    </row>
    <row r="3612" customFormat="false" ht="15" hidden="false" customHeight="false" outlineLevel="1" collapsed="false">
      <c r="A3612" s="7" t="s">
        <v>679</v>
      </c>
      <c r="B3612" s="8" t="s">
        <v>10</v>
      </c>
      <c r="C3612" s="58" t="n">
        <f aca="false">-C3546</f>
        <v>-15494.2226027397</v>
      </c>
      <c r="D3612" s="58" t="n">
        <f aca="false">-D3546</f>
        <v>-137984.389554795</v>
      </c>
      <c r="E3612" s="58" t="n">
        <f aca="false">-E3546</f>
        <v>-320360.86369863</v>
      </c>
      <c r="F3612" s="58" t="n">
        <f aca="false">-F3546</f>
        <v>-538838.479794521</v>
      </c>
      <c r="G3612" s="58" t="n">
        <f aca="false">-G3546</f>
        <v>-787962.886986301</v>
      </c>
      <c r="H3612" s="2" t="s">
        <v>1296</v>
      </c>
    </row>
    <row r="3613" customFormat="false" ht="15" hidden="false" customHeight="false" outlineLevel="1" collapsed="false">
      <c r="A3613" s="7" t="s">
        <v>658</v>
      </c>
      <c r="B3613" s="8" t="s">
        <v>10</v>
      </c>
      <c r="C3613" s="58" t="n">
        <f aca="false">-C3549</f>
        <v>-0</v>
      </c>
      <c r="D3613" s="58" t="n">
        <f aca="false">-D3549</f>
        <v>-38774.2191780822</v>
      </c>
      <c r="E3613" s="58" t="n">
        <f aca="false">-E3549</f>
        <v>-77308.7093321918</v>
      </c>
      <c r="F3613" s="58" t="n">
        <f aca="false">-F3549</f>
        <v>-121350.136130137</v>
      </c>
      <c r="G3613" s="58" t="n">
        <f aca="false">-G3549</f>
        <v>-178001.429794521</v>
      </c>
      <c r="H3613" s="2" t="s">
        <v>1297</v>
      </c>
    </row>
    <row r="3614" customFormat="false" ht="15" hidden="false" customHeight="false" outlineLevel="1" collapsed="false">
      <c r="A3614" s="52" t="s">
        <v>641</v>
      </c>
      <c r="B3614" s="53" t="s">
        <v>10</v>
      </c>
      <c r="C3614" s="59" t="n">
        <f aca="false">C3610+C3612+C3613</f>
        <v>15340.1773972603</v>
      </c>
      <c r="D3614" s="59" t="n">
        <f aca="false">D3610+D3612+D3613</f>
        <v>91070.3912671233</v>
      </c>
      <c r="E3614" s="59" t="n">
        <f aca="false">E3610+E3612+E3613</f>
        <v>244474.426969178</v>
      </c>
      <c r="F3614" s="59" t="n">
        <f aca="false">F3610+F3612+F3613</f>
        <v>450613.384075342</v>
      </c>
      <c r="G3614" s="59" t="n">
        <f aca="false">G3610+G3612+G3613</f>
        <v>698395.683219178</v>
      </c>
      <c r="H3614" s="2" t="s">
        <v>1298</v>
      </c>
    </row>
    <row r="3615" customFormat="false" ht="15" hidden="false" customHeight="false" outlineLevel="1" collapsed="false">
      <c r="A3615" s="7" t="s">
        <v>251</v>
      </c>
      <c r="B3615" s="8" t="s">
        <v>10</v>
      </c>
      <c r="C3615" s="58" t="n">
        <f aca="false">-C3581</f>
        <v>-303573.09375</v>
      </c>
      <c r="D3615" s="58" t="n">
        <f aca="false">-D3581</f>
        <v>-477845.325</v>
      </c>
      <c r="E3615" s="58" t="n">
        <f aca="false">-E3581</f>
        <v>-563341.2153125</v>
      </c>
      <c r="F3615" s="58" t="n">
        <f aca="false">-F3581</f>
        <v>-697007.527174375</v>
      </c>
      <c r="G3615" s="58" t="n">
        <f aca="false">-G3581</f>
        <v>-768997.563445444</v>
      </c>
      <c r="H3615" s="2" t="s">
        <v>1299</v>
      </c>
    </row>
    <row r="3616" customFormat="false" ht="15" hidden="false" customHeight="false" outlineLevel="1" collapsed="false">
      <c r="A3616" s="7" t="s">
        <v>680</v>
      </c>
      <c r="B3616" s="8" t="s">
        <v>10</v>
      </c>
      <c r="C3616" s="58" t="n">
        <f aca="false">-C3597</f>
        <v>-298100</v>
      </c>
      <c r="D3616" s="58" t="n">
        <f aca="false">-D3597</f>
        <v>-293188.6</v>
      </c>
      <c r="E3616" s="58" t="n">
        <f aca="false">-E3597</f>
        <v>-374050.9</v>
      </c>
      <c r="F3616" s="58" t="n">
        <f aca="false">-F3597</f>
        <v>-407116.784</v>
      </c>
      <c r="G3616" s="58" t="n">
        <f aca="false">-G3597</f>
        <v>-458938.501272</v>
      </c>
      <c r="H3616" s="2" t="s">
        <v>1300</v>
      </c>
    </row>
    <row r="3617" customFormat="false" ht="15" hidden="false" customHeight="false" outlineLevel="1" collapsed="false">
      <c r="A3617" s="52" t="s">
        <v>681</v>
      </c>
      <c r="B3617" s="53" t="s">
        <v>10</v>
      </c>
      <c r="C3617" s="59" t="n">
        <f aca="false">C3614+C3615+C3616</f>
        <v>-586332.91635274</v>
      </c>
      <c r="D3617" s="59" t="n">
        <f aca="false">D3614+D3615+D3616</f>
        <v>-679963.533732877</v>
      </c>
      <c r="E3617" s="59" t="n">
        <f aca="false">E3614+E3615+E3616</f>
        <v>-692917.688343322</v>
      </c>
      <c r="F3617" s="59" t="n">
        <f aca="false">F3614+F3615+F3616</f>
        <v>-653510.927099033</v>
      </c>
      <c r="G3617" s="59" t="n">
        <f aca="false">G3614+G3615+G3616</f>
        <v>-529540.381498266</v>
      </c>
      <c r="H3617" s="2" t="s">
        <v>1301</v>
      </c>
    </row>
    <row r="3618" customFormat="false" ht="15" hidden="false" customHeight="false" outlineLevel="1" collapsed="false">
      <c r="A3618" s="2" t="s">
        <v>683</v>
      </c>
      <c r="B3618" s="8" t="s">
        <v>71</v>
      </c>
      <c r="C3618" s="55" t="n">
        <f aca="false">IF(C3608&gt;0,C3617/C3608,0)</f>
        <v>-2.12536181810541</v>
      </c>
      <c r="D3618" s="55" t="n">
        <f aca="false">IF(D3608&gt;0,D3617/D3608,0)</f>
        <v>-0.187984319534326</v>
      </c>
      <c r="E3618" s="55" t="n">
        <f aca="false">IF(E3608&gt;0,E3617/E3608,0)</f>
        <v>-0.0758082953911311</v>
      </c>
      <c r="F3618" s="55" t="n">
        <f aca="false">IF(F3608&gt;0,F3617/F3608,0)</f>
        <v>-0.0424505163935523</v>
      </c>
      <c r="G3618" s="55" t="n">
        <f aca="false">IF(G3608&gt;0,G3617/G3608,0)</f>
        <v>-0.0236667573114766</v>
      </c>
      <c r="H3618" s="2" t="s">
        <v>1302</v>
      </c>
    </row>
    <row r="3619" customFormat="false" ht="15" hidden="false" customHeight="false" outlineLevel="1" collapsed="false">
      <c r="A3619" s="2" t="s">
        <v>684</v>
      </c>
      <c r="B3619" s="8" t="s">
        <v>10</v>
      </c>
      <c r="C3619" s="58" t="n">
        <f aca="false">C3617+C3549</f>
        <v>-586332.91635274</v>
      </c>
      <c r="D3619" s="58" t="n">
        <f aca="false">D3617+D3549</f>
        <v>-641189.314554795</v>
      </c>
      <c r="E3619" s="58" t="n">
        <f aca="false">E3617+E3549</f>
        <v>-615608.97901113</v>
      </c>
      <c r="F3619" s="58" t="n">
        <f aca="false">F3617+F3549</f>
        <v>-532160.790968896</v>
      </c>
      <c r="G3619" s="58" t="n">
        <f aca="false">G3617+G3549</f>
        <v>-351538.951703745</v>
      </c>
      <c r="H3619" s="2" t="s">
        <v>1303</v>
      </c>
    </row>
    <row r="3620" customFormat="false" ht="15" hidden="false" customHeight="false" outlineLevel="1" collapsed="false">
      <c r="A3620" s="7" t="s">
        <v>672</v>
      </c>
      <c r="B3620" s="8" t="s">
        <v>10</v>
      </c>
      <c r="C3620" s="58" t="n">
        <f aca="false">-C3606</f>
        <v>-26350</v>
      </c>
      <c r="D3620" s="58" t="n">
        <f aca="false">-D3606</f>
        <v>-39750</v>
      </c>
      <c r="E3620" s="58" t="n">
        <f aca="false">-E3606</f>
        <v>-52650</v>
      </c>
      <c r="F3620" s="58" t="n">
        <f aca="false">-F3606</f>
        <v>-42966.6666666667</v>
      </c>
      <c r="G3620" s="58" t="n">
        <f aca="false">-G3606</f>
        <v>-39783.3333333333</v>
      </c>
      <c r="H3620" s="2" t="s">
        <v>1304</v>
      </c>
    </row>
    <row r="3621" customFormat="false" ht="15" hidden="false" customHeight="false" outlineLevel="1" collapsed="false">
      <c r="A3621" s="52" t="s">
        <v>685</v>
      </c>
      <c r="B3621" s="53" t="s">
        <v>10</v>
      </c>
      <c r="C3621" s="59" t="n">
        <f aca="false">C3617+C3620</f>
        <v>-612682.91635274</v>
      </c>
      <c r="D3621" s="59" t="n">
        <f aca="false">D3617+D3620</f>
        <v>-719713.533732877</v>
      </c>
      <c r="E3621" s="59" t="n">
        <f aca="false">E3617+E3620</f>
        <v>-745567.688343322</v>
      </c>
      <c r="F3621" s="59" t="n">
        <f aca="false">F3617+F3620</f>
        <v>-696477.593765699</v>
      </c>
      <c r="G3621" s="59" t="n">
        <f aca="false">G3617+G3620</f>
        <v>-569323.714831599</v>
      </c>
      <c r="H3621" s="2" t="s">
        <v>1305</v>
      </c>
    </row>
    <row r="3622" customFormat="false" ht="15" hidden="false" customHeight="false" outlineLevel="0" collapsed="false">
      <c r="A3622" s="3" t="s">
        <v>1306</v>
      </c>
      <c r="B3622" s="4"/>
      <c r="C3622" s="4"/>
      <c r="D3622" s="4"/>
      <c r="E3622" s="4"/>
      <c r="F3622" s="4"/>
      <c r="G3622" s="4"/>
      <c r="H3622" s="4"/>
    </row>
    <row r="3623" customFormat="false" ht="15" hidden="false" customHeight="false" outlineLevel="1" collapsed="false">
      <c r="A3623" s="7" t="s">
        <v>687</v>
      </c>
      <c r="B3623" s="8" t="s">
        <v>10</v>
      </c>
      <c r="C3623" s="58" t="n">
        <f aca="false">C3621</f>
        <v>-612682.91635274</v>
      </c>
      <c r="D3623" s="58" t="n">
        <f aca="false">D3621</f>
        <v>-719713.533732877</v>
      </c>
      <c r="E3623" s="58" t="n">
        <f aca="false">E3621</f>
        <v>-745567.688343322</v>
      </c>
      <c r="F3623" s="58" t="n">
        <f aca="false">F3621</f>
        <v>-696477.593765699</v>
      </c>
      <c r="G3623" s="58" t="n">
        <f aca="false">G3621</f>
        <v>-569323.714831599</v>
      </c>
      <c r="H3623" s="2" t="s">
        <v>1307</v>
      </c>
    </row>
    <row r="3624" customFormat="false" ht="15" hidden="false" customHeight="false" outlineLevel="1" collapsed="false">
      <c r="A3624" s="7" t="s">
        <v>688</v>
      </c>
      <c r="B3624" s="8" t="s">
        <v>10</v>
      </c>
      <c r="C3624" s="58" t="n">
        <f aca="false">0</f>
        <v>0</v>
      </c>
      <c r="D3624" s="58" t="n">
        <f aca="false">C3627</f>
        <v>612682.91635274</v>
      </c>
      <c r="E3624" s="58" t="n">
        <f aca="false">D3627</f>
        <v>1332396.45008562</v>
      </c>
      <c r="F3624" s="58" t="n">
        <f aca="false">E3627</f>
        <v>2077964.13842894</v>
      </c>
      <c r="G3624" s="58" t="n">
        <f aca="false">F3627</f>
        <v>2774441.73219464</v>
      </c>
      <c r="H3624" s="2" t="s">
        <v>1308</v>
      </c>
    </row>
    <row r="3625" customFormat="false" ht="15" hidden="false" customHeight="false" outlineLevel="1" collapsed="false">
      <c r="A3625" s="7" t="s">
        <v>689</v>
      </c>
      <c r="B3625" s="8" t="s">
        <v>10</v>
      </c>
      <c r="C3625" s="58" t="n">
        <f aca="false">MAX(0,-C3623)</f>
        <v>612682.91635274</v>
      </c>
      <c r="D3625" s="58" t="n">
        <f aca="false">MAX(0,-D3623)</f>
        <v>719713.533732877</v>
      </c>
      <c r="E3625" s="58" t="n">
        <f aca="false">MAX(0,-E3623)</f>
        <v>745567.688343322</v>
      </c>
      <c r="F3625" s="58" t="n">
        <f aca="false">MAX(0,-F3623)</f>
        <v>696477.593765699</v>
      </c>
      <c r="G3625" s="58" t="n">
        <f aca="false">MAX(0,-G3623)</f>
        <v>569323.714831599</v>
      </c>
      <c r="H3625" s="2" t="s">
        <v>1309</v>
      </c>
    </row>
    <row r="3626" customFormat="false" ht="15" hidden="false" customHeight="false" outlineLevel="1" collapsed="false">
      <c r="A3626" s="7" t="s">
        <v>690</v>
      </c>
      <c r="B3626" s="8" t="s">
        <v>10</v>
      </c>
      <c r="C3626" s="58" t="n">
        <f aca="false">MIN(C3624,Pressupostos!$C$179*MAX(0,C3623))</f>
        <v>0</v>
      </c>
      <c r="D3626" s="58" t="n">
        <f aca="false">MIN(D3624,Pressupostos!$C$179*MAX(0,D3623))</f>
        <v>0</v>
      </c>
      <c r="E3626" s="58" t="n">
        <f aca="false">MIN(E3624,Pressupostos!$C$179*MAX(0,E3623))</f>
        <v>0</v>
      </c>
      <c r="F3626" s="58" t="n">
        <f aca="false">MIN(F3624,Pressupostos!$C$179*MAX(0,F3623))</f>
        <v>0</v>
      </c>
      <c r="G3626" s="58" t="n">
        <f aca="false">MIN(G3624,Pressupostos!$C$179*MAX(0,G3623))</f>
        <v>0</v>
      </c>
      <c r="H3626" s="2" t="s">
        <v>1310</v>
      </c>
    </row>
    <row r="3627" customFormat="false" ht="15" hidden="false" customHeight="false" outlineLevel="1" collapsed="false">
      <c r="A3627" s="7" t="s">
        <v>691</v>
      </c>
      <c r="B3627" s="8" t="s">
        <v>10</v>
      </c>
      <c r="C3627" s="58" t="n">
        <f aca="false">C3624+C3625-C3626</f>
        <v>612682.91635274</v>
      </c>
      <c r="D3627" s="58" t="n">
        <f aca="false">D3624+D3625-D3626</f>
        <v>1332396.45008562</v>
      </c>
      <c r="E3627" s="58" t="n">
        <f aca="false">E3624+E3625-E3626</f>
        <v>2077964.13842894</v>
      </c>
      <c r="F3627" s="58" t="n">
        <f aca="false">F3624+F3625-F3626</f>
        <v>2774441.73219464</v>
      </c>
      <c r="G3627" s="58" t="n">
        <f aca="false">G3624+G3625-G3626</f>
        <v>3343765.44702624</v>
      </c>
      <c r="H3627" s="2" t="s">
        <v>1311</v>
      </c>
    </row>
    <row r="3628" customFormat="false" ht="15" hidden="false" customHeight="false" outlineLevel="1" collapsed="false">
      <c r="A3628" s="7" t="s">
        <v>692</v>
      </c>
      <c r="B3628" s="8" t="s">
        <v>10</v>
      </c>
      <c r="C3628" s="58" t="n">
        <f aca="false">MAX(0,C3623)-C3626</f>
        <v>0</v>
      </c>
      <c r="D3628" s="58" t="n">
        <f aca="false">MAX(0,D3623)-D3626</f>
        <v>0</v>
      </c>
      <c r="E3628" s="58" t="n">
        <f aca="false">MAX(0,E3623)-E3626</f>
        <v>0</v>
      </c>
      <c r="F3628" s="58" t="n">
        <f aca="false">MAX(0,F3623)-F3626</f>
        <v>0</v>
      </c>
      <c r="G3628" s="58" t="n">
        <f aca="false">MAX(0,G3623)-G3626</f>
        <v>0</v>
      </c>
      <c r="H3628" s="2" t="s">
        <v>1312</v>
      </c>
    </row>
    <row r="3629" customFormat="false" ht="15" hidden="false" customHeight="false" outlineLevel="1" collapsed="false">
      <c r="A3629" s="7" t="s">
        <v>693</v>
      </c>
      <c r="B3629" s="8" t="s">
        <v>10</v>
      </c>
      <c r="C3629" s="58" t="n">
        <f aca="false">Pressupostos!$C$170*MIN(C3628,Pressupostos!$C$171)+Pressupostos!$C$450*MAX(0,C3628-Pressupostos!$C$171)</f>
        <v>0</v>
      </c>
      <c r="D3629" s="58" t="n">
        <f aca="false">Pressupostos!$C$170*MIN(D3628,Pressupostos!$C$171)+Pressupostos!$D$450*MAX(0,D3628-Pressupostos!$C$171)</f>
        <v>0</v>
      </c>
      <c r="E3629" s="58" t="n">
        <f aca="false">Pressupostos!$C$170*MIN(E3628,Pressupostos!$C$171)+Pressupostos!$E$450*MAX(0,E3628-Pressupostos!$C$171)</f>
        <v>0</v>
      </c>
      <c r="F3629" s="58" t="n">
        <f aca="false">Pressupostos!$C$170*MIN(F3628,Pressupostos!$C$171)+Pressupostos!$F$450*MAX(0,F3628-Pressupostos!$C$171)</f>
        <v>0</v>
      </c>
      <c r="G3629" s="58" t="n">
        <f aca="false">Pressupostos!$C$170*MIN(G3628,Pressupostos!$C$171)+Pressupostos!$G$450*MAX(0,G3628-Pressupostos!$C$171)</f>
        <v>0</v>
      </c>
      <c r="H3629" s="2" t="s">
        <v>1313</v>
      </c>
    </row>
    <row r="3630" customFormat="false" ht="15" hidden="false" customHeight="false" outlineLevel="1" collapsed="false">
      <c r="A3630" s="7" t="s">
        <v>694</v>
      </c>
      <c r="B3630" s="8" t="s">
        <v>10</v>
      </c>
      <c r="C3630" s="58" t="n">
        <f aca="false">Pressupostos!$C$172*MAX(0,C3623)</f>
        <v>0</v>
      </c>
      <c r="D3630" s="58" t="n">
        <f aca="false">Pressupostos!$C$172*MAX(0,D3623)</f>
        <v>0</v>
      </c>
      <c r="E3630" s="58" t="n">
        <f aca="false">Pressupostos!$C$172*MAX(0,E3623)</f>
        <v>0</v>
      </c>
      <c r="F3630" s="58" t="n">
        <f aca="false">Pressupostos!$C$172*MAX(0,F3623)</f>
        <v>0</v>
      </c>
      <c r="G3630" s="58" t="n">
        <f aca="false">Pressupostos!$C$172*MAX(0,G3623)</f>
        <v>0</v>
      </c>
      <c r="H3630" s="2" t="s">
        <v>1314</v>
      </c>
    </row>
    <row r="3631" customFormat="false" ht="15" hidden="false" customHeight="false" outlineLevel="1" collapsed="false">
      <c r="A3631" s="7" t="s">
        <v>695</v>
      </c>
      <c r="B3631" s="8" t="s">
        <v>10</v>
      </c>
      <c r="C3631" s="58" t="n">
        <f aca="false">Pressupostos!$C$174*MAX(0,MIN(C3623,Pressupostos!$C$175)-Pressupostos!$C$173)+Pressupostos!$C$176*MAX(0,MIN(C3623,Pressupostos!$C$177)-Pressupostos!$C$175)+Pressupostos!$C$178*MAX(0,C3623-Pressupostos!$C$177)</f>
        <v>0</v>
      </c>
      <c r="D3631" s="58" t="n">
        <f aca="false">Pressupostos!$C$174*MAX(0,MIN(D3623,Pressupostos!$C$175)-Pressupostos!$C$173)+Pressupostos!$C$176*MAX(0,MIN(D3623,Pressupostos!$C$177)-Pressupostos!$C$175)+Pressupostos!$C$178*MAX(0,D3623-Pressupostos!$C$177)</f>
        <v>0</v>
      </c>
      <c r="E3631" s="58" t="n">
        <f aca="false">Pressupostos!$C$174*MAX(0,MIN(E3623,Pressupostos!$C$175)-Pressupostos!$C$173)+Pressupostos!$C$176*MAX(0,MIN(E3623,Pressupostos!$C$177)-Pressupostos!$C$175)+Pressupostos!$C$178*MAX(0,E3623-Pressupostos!$C$177)</f>
        <v>0</v>
      </c>
      <c r="F3631" s="58" t="n">
        <f aca="false">Pressupostos!$C$174*MAX(0,MIN(F3623,Pressupostos!$C$175)-Pressupostos!$C$173)+Pressupostos!$C$176*MAX(0,MIN(F3623,Pressupostos!$C$177)-Pressupostos!$C$175)+Pressupostos!$C$178*MAX(0,F3623-Pressupostos!$C$177)</f>
        <v>0</v>
      </c>
      <c r="G3631" s="58" t="n">
        <f aca="false">Pressupostos!$C$174*MAX(0,MIN(G3623,Pressupostos!$C$175)-Pressupostos!$C$173)+Pressupostos!$C$176*MAX(0,MIN(G3623,Pressupostos!$C$177)-Pressupostos!$C$175)+Pressupostos!$C$178*MAX(0,G3623-Pressupostos!$C$177)</f>
        <v>0</v>
      </c>
      <c r="H3631" s="2" t="s">
        <v>1315</v>
      </c>
    </row>
    <row r="3632" customFormat="false" ht="15" hidden="false" customHeight="false" outlineLevel="1" collapsed="false">
      <c r="A3632" s="7" t="s">
        <v>696</v>
      </c>
      <c r="B3632" s="8" t="s">
        <v>10</v>
      </c>
      <c r="C3632" s="58" t="n">
        <f aca="false">C3629+C3630+C3631</f>
        <v>0</v>
      </c>
      <c r="D3632" s="58" t="n">
        <f aca="false">D3629+D3630+D3631</f>
        <v>0</v>
      </c>
      <c r="E3632" s="58" t="n">
        <f aca="false">E3629+E3630+E3631</f>
        <v>0</v>
      </c>
      <c r="F3632" s="58" t="n">
        <f aca="false">F3629+F3630+F3631</f>
        <v>0</v>
      </c>
      <c r="G3632" s="58" t="n">
        <f aca="false">G3629+G3630+G3631</f>
        <v>0</v>
      </c>
      <c r="H3632" s="2" t="s">
        <v>1316</v>
      </c>
    </row>
    <row r="3633" customFormat="false" ht="15" hidden="false" customHeight="false" outlineLevel="0" collapsed="false">
      <c r="A3633" s="3" t="s">
        <v>1317</v>
      </c>
      <c r="B3633" s="4"/>
      <c r="C3633" s="4"/>
      <c r="D3633" s="4"/>
      <c r="E3633" s="4"/>
      <c r="F3633" s="4"/>
      <c r="G3633" s="4"/>
      <c r="H3633" s="4"/>
    </row>
    <row r="3634" customFormat="false" ht="15" hidden="false" customHeight="false" outlineLevel="1" collapsed="false">
      <c r="A3634" s="7" t="s">
        <v>696</v>
      </c>
      <c r="B3634" s="8" t="s">
        <v>10</v>
      </c>
      <c r="C3634" s="58" t="n">
        <f aca="false">-C3632</f>
        <v>-0</v>
      </c>
      <c r="D3634" s="58" t="n">
        <f aca="false">-D3632</f>
        <v>-0</v>
      </c>
      <c r="E3634" s="58" t="n">
        <f aca="false">-E3632</f>
        <v>-0</v>
      </c>
      <c r="F3634" s="58" t="n">
        <f aca="false">-F3632</f>
        <v>-0</v>
      </c>
      <c r="G3634" s="58" t="n">
        <f aca="false">-G3632</f>
        <v>-0</v>
      </c>
      <c r="H3634" s="2" t="s">
        <v>1318</v>
      </c>
    </row>
    <row r="3635" customFormat="false" ht="15" hidden="false" customHeight="false" outlineLevel="1" collapsed="false">
      <c r="A3635" s="52" t="s">
        <v>698</v>
      </c>
      <c r="B3635" s="53" t="s">
        <v>10</v>
      </c>
      <c r="C3635" s="59" t="n">
        <f aca="false">C3621+C3634</f>
        <v>-612682.91635274</v>
      </c>
      <c r="D3635" s="59" t="n">
        <f aca="false">D3621+D3634</f>
        <v>-719713.533732877</v>
      </c>
      <c r="E3635" s="59" t="n">
        <f aca="false">E3621+E3634</f>
        <v>-745567.688343322</v>
      </c>
      <c r="F3635" s="59" t="n">
        <f aca="false">F3621+F3634</f>
        <v>-696477.593765699</v>
      </c>
      <c r="G3635" s="59" t="n">
        <f aca="false">G3621+G3634</f>
        <v>-569323.714831599</v>
      </c>
      <c r="H3635" s="2" t="s">
        <v>1319</v>
      </c>
    </row>
    <row r="3636" customFormat="false" ht="15" hidden="false" customHeight="false" outlineLevel="0" collapsed="false">
      <c r="A3636" s="3" t="s">
        <v>1320</v>
      </c>
      <c r="B3636" s="4"/>
      <c r="C3636" s="4"/>
      <c r="D3636" s="4"/>
      <c r="E3636" s="4"/>
      <c r="F3636" s="4"/>
      <c r="G3636" s="4"/>
      <c r="H3636" s="4"/>
    </row>
    <row r="3637" customFormat="false" ht="15" hidden="false" customHeight="false" outlineLevel="1" collapsed="false">
      <c r="A3637" s="7" t="s">
        <v>702</v>
      </c>
      <c r="B3637" s="8" t="s">
        <v>10</v>
      </c>
      <c r="C3637" s="58" t="n">
        <f aca="false">C3421*1000*((C3437+C3440)*C3443/365)+C3422*1000*((C3460+C3463)*C3466/365)+C3423*1000*((C3483+C3486)*C3489/365)</f>
        <v>34293.698630137</v>
      </c>
      <c r="D3637" s="58" t="n">
        <f aca="false">D3421*1000*((D3437+D3440)*D3443/365)+D3422*1000*((D3460+D3463)*D3466/365)+D3423*1000*((D3483+D3486)*D3489/365)</f>
        <v>256442.465753425</v>
      </c>
      <c r="E3637" s="58" t="n">
        <f aca="false">E3421*1000*((E3437+E3440)*E3443/365)+E3422*1000*((E3460+E3463)*E3466/365)+E3423*1000*((E3483+E3486)*E3489/365)</f>
        <v>496886.301369863</v>
      </c>
      <c r="F3637" s="58" t="n">
        <f aca="false">F3421*1000*((F3437+F3440)*F3443/365)+F3422*1000*((F3460+F3463)*F3466/365)+F3423*1000*((F3483+F3486)*F3489/365)</f>
        <v>827687.671232877</v>
      </c>
      <c r="G3637" s="58" t="n">
        <f aca="false">G3421*1000*((G3437+G3440)*G3443/365)+G3422*1000*((G3460+G3463)*G3466/365)+G3423*1000*((G3483+G3486)*G3489/365)</f>
        <v>1205424.65753425</v>
      </c>
      <c r="H3637" s="2" t="s">
        <v>1321</v>
      </c>
    </row>
    <row r="3638" customFormat="false" ht="15" hidden="false" customHeight="false" outlineLevel="1" collapsed="false">
      <c r="A3638" s="7" t="s">
        <v>703</v>
      </c>
      <c r="B3638" s="8" t="s">
        <v>10</v>
      </c>
      <c r="C3638" s="58" t="n">
        <f aca="false">C3637+C3432*1000*Pressupostos!$C$90*Pressupostos!$C$93/365</f>
        <v>34293.698630137</v>
      </c>
      <c r="D3638" s="58" t="n">
        <f aca="false">D3637+D3432*1000*Pressupostos!$C$90*Pressupostos!$C$93/365</f>
        <v>256442.465753425</v>
      </c>
      <c r="E3638" s="58" t="n">
        <f aca="false">E3637+E3432*1000*Pressupostos!$C$90*Pressupostos!$C$93/365</f>
        <v>496886.301369863</v>
      </c>
      <c r="F3638" s="58" t="n">
        <f aca="false">F3637+F3432*1000*Pressupostos!$C$90*Pressupostos!$C$93/365</f>
        <v>844947.94520548</v>
      </c>
      <c r="G3638" s="58" t="n">
        <f aca="false">G3637+G3432*1000*Pressupostos!$C$90*Pressupostos!$C$93/365</f>
        <v>1248575.34246575</v>
      </c>
      <c r="H3638" s="2" t="s">
        <v>1322</v>
      </c>
    </row>
    <row r="3639" customFormat="false" ht="15" hidden="false" customHeight="false" outlineLevel="1" collapsed="false">
      <c r="A3639" s="7" t="s">
        <v>704</v>
      </c>
      <c r="B3639" s="8" t="s">
        <v>10</v>
      </c>
      <c r="C3639" s="58" t="n">
        <f aca="false">C3421*1000*(C3439*C3444/365)+C3422*1000*(C3462*C3467/365)+C3423*1000*(C3485*C3490/365)+C3510*Pressupostos!$C$94/365+C3512*Pressupostos!$C$80/365</f>
        <v>39130.498630137</v>
      </c>
      <c r="D3639" s="58" t="n">
        <f aca="false">D3421*1000*(D3439*D3444/365)+D3422*1000*(D3462*D3467/365)+D3423*1000*(D3485*D3490/365)+D3510*Pressupostos!$C$94/365+D3512*Pressupostos!$C$80/365</f>
        <v>484391.424657534</v>
      </c>
      <c r="E3639" s="58" t="n">
        <f aca="false">E3421*1000*(E3439*E3444/365)+E3422*1000*(E3462*E3467/365)+E3423*1000*(E3485*E3490/365)+E3510*Pressupostos!$C$94/365+E3512*Pressupostos!$C$80/365</f>
        <v>1198402.93150685</v>
      </c>
      <c r="F3639" s="58" t="n">
        <f aca="false">F3421*1000*(F3439*F3444/365)+F3422*1000*(F3462*F3467/365)+F3423*1000*(F3485*F3490/365)+F3510*Pressupostos!$C$94/365+F3512*Pressupostos!$C$80/365</f>
        <v>2005747.42465753</v>
      </c>
      <c r="G3639" s="58" t="n">
        <f aca="false">G3421*1000*(G3439*G3444/365)+G3422*1000*(G3462*G3467/365)+G3423*1000*(G3485*G3490/365)+G3510*Pressupostos!$C$94/365+G3512*Pressupostos!$C$80/365</f>
        <v>2914091.23287671</v>
      </c>
      <c r="H3639" s="2" t="s">
        <v>1323</v>
      </c>
    </row>
    <row r="3640" customFormat="false" ht="15" hidden="false" customHeight="false" outlineLevel="1" collapsed="false">
      <c r="A3640" s="7" t="s">
        <v>705</v>
      </c>
      <c r="B3640" s="8" t="s">
        <v>10</v>
      </c>
      <c r="C3640" s="58" t="n">
        <f aca="false">C3421*1000*((C3437+C3440)*Pressupostos!$C$70/365)+C3422*1000*((C3460+C3463)*Pressupostos!$C$70/365)+C3423*1000*((C3483+C3486)*Pressupostos!$C$70/365)+C3432*1000*Pressupostos!$C$90*Pressupostos!$C$95/365</f>
        <v>20140.2739726027</v>
      </c>
      <c r="D3640" s="58" t="n">
        <f aca="false">D3421*1000*((D3437+D3440)*Pressupostos!$C$70/365)+D3422*1000*((D3460+D3463)*Pressupostos!$C$70/365)+D3423*1000*((D3483+D3486)*Pressupostos!$C$70/365)+D3432*1000*Pressupostos!$C$90*Pressupostos!$C$95/365</f>
        <v>275284.931506849</v>
      </c>
      <c r="E3640" s="58" t="n">
        <f aca="false">E3421*1000*((E3437+E3440)*Pressupostos!$C$70/365)+E3422*1000*((E3460+E3463)*Pressupostos!$C$70/365)+E3423*1000*((E3483+E3486)*Pressupostos!$C$70/365)+E3432*1000*Pressupostos!$C$90*Pressupostos!$C$95/365</f>
        <v>698486.301369863</v>
      </c>
      <c r="F3640" s="58" t="n">
        <f aca="false">F3421*1000*((F3437+F3440)*Pressupostos!$C$70/365)+F3422*1000*((F3460+F3463)*Pressupostos!$C$70/365)+F3423*1000*((F3483+F3486)*Pressupostos!$C$70/365)+F3432*1000*Pressupostos!$C$90*Pressupostos!$C$95/365</f>
        <v>1174015.06849315</v>
      </c>
      <c r="G3640" s="58" t="n">
        <f aca="false">G3421*1000*((G3437+G3440)*Pressupostos!$C$70/365)+G3422*1000*((G3460+G3463)*Pressupostos!$C$70/365)+G3423*1000*((G3483+G3486)*Pressupostos!$C$70/365)+G3432*1000*Pressupostos!$C$90*Pressupostos!$C$95/365</f>
        <v>1702232.87671233</v>
      </c>
      <c r="H3640" s="2" t="s">
        <v>1324</v>
      </c>
    </row>
    <row r="3641" customFormat="false" ht="15" hidden="false" customHeight="false" outlineLevel="1" collapsed="false">
      <c r="A3641" s="52" t="s">
        <v>706</v>
      </c>
      <c r="B3641" s="53" t="s">
        <v>10</v>
      </c>
      <c r="C3641" s="59" t="n">
        <f aca="false">C3638+C3639-C3640</f>
        <v>53283.9232876712</v>
      </c>
      <c r="D3641" s="59" t="n">
        <f aca="false">D3638+D3639-D3640</f>
        <v>465548.958904109</v>
      </c>
      <c r="E3641" s="59" t="n">
        <f aca="false">E3638+E3639-E3640</f>
        <v>996802.931506849</v>
      </c>
      <c r="F3641" s="59" t="n">
        <f aca="false">F3638+F3639-F3640</f>
        <v>1676680.30136986</v>
      </c>
      <c r="G3641" s="59" t="n">
        <f aca="false">G3638+G3639-G3640</f>
        <v>2460433.69863014</v>
      </c>
      <c r="H3641" s="2" t="s">
        <v>1325</v>
      </c>
    </row>
    <row r="3642" customFormat="false" ht="15" hidden="false" customHeight="false" outlineLevel="0" collapsed="false">
      <c r="A3642" s="3" t="s">
        <v>1326</v>
      </c>
      <c r="B3642" s="4"/>
      <c r="C3642" s="4"/>
      <c r="D3642" s="4"/>
      <c r="E3642" s="4"/>
      <c r="F3642" s="4"/>
      <c r="G3642" s="4"/>
      <c r="H3642" s="4"/>
    </row>
    <row r="3643" customFormat="false" ht="15" hidden="false" customHeight="false" outlineLevel="1" collapsed="false">
      <c r="A3643" s="52" t="s">
        <v>708</v>
      </c>
      <c r="B3643" s="53" t="s">
        <v>10</v>
      </c>
      <c r="C3643" s="59" t="n">
        <f aca="false">Pressupostos!$C$279*C3641/Pressupostos!$F$31</f>
        <v>0</v>
      </c>
      <c r="D3643" s="59" t="n">
        <f aca="false">Pressupostos!$D$279*D3641/Pressupostos!$F$31</f>
        <v>523742.578767123</v>
      </c>
      <c r="E3643" s="59" t="n">
        <f aca="false">Pressupostos!$E$279*E3641/Pressupostos!$F$31</f>
        <v>1121403.29794521</v>
      </c>
      <c r="F3643" s="59" t="n">
        <f aca="false">Pressupostos!$F$279*F3641/Pressupostos!$F$31</f>
        <v>1886265.3390411</v>
      </c>
      <c r="G3643" s="59" t="n">
        <f aca="false">Pressupostos!$G$279*G3641/Pressupostos!$F$31</f>
        <v>2767987.9109589</v>
      </c>
      <c r="H3643" s="2" t="s">
        <v>1327</v>
      </c>
    </row>
    <row r="3644" customFormat="false" ht="15" hidden="false" customHeight="false" outlineLevel="1" collapsed="false">
      <c r="A3644" s="7" t="s">
        <v>709</v>
      </c>
      <c r="B3644" s="8" t="s">
        <v>10</v>
      </c>
      <c r="C3644" s="58" t="n">
        <f aca="false">Pressupostos!$C$279*C3641</f>
        <v>0</v>
      </c>
      <c r="D3644" s="58" t="n">
        <f aca="false">Pressupostos!$D$279*D3641</f>
        <v>418994.063013699</v>
      </c>
      <c r="E3644" s="58" t="n">
        <f aca="false">Pressupostos!$E$279*E3641</f>
        <v>897122.638356164</v>
      </c>
      <c r="F3644" s="58" t="n">
        <f aca="false">Pressupostos!$F$279*F3641</f>
        <v>1509012.27123288</v>
      </c>
      <c r="G3644" s="58" t="n">
        <f aca="false">Pressupostos!$G$279*G3641</f>
        <v>2214390.32876712</v>
      </c>
      <c r="H3644" s="2" t="s">
        <v>1328</v>
      </c>
    </row>
    <row r="3645" customFormat="false" ht="15" hidden="false" customHeight="false" outlineLevel="1" collapsed="false">
      <c r="A3645" s="7" t="s">
        <v>710</v>
      </c>
      <c r="B3645" s="8" t="s">
        <v>10</v>
      </c>
      <c r="C3645" s="58" t="n">
        <f aca="false">C3643-C3644</f>
        <v>0</v>
      </c>
      <c r="D3645" s="58" t="n">
        <f aca="false">D3643-D3644</f>
        <v>104748.515753425</v>
      </c>
      <c r="E3645" s="58" t="n">
        <f aca="false">E3643-E3644</f>
        <v>224280.659589041</v>
      </c>
      <c r="F3645" s="58" t="n">
        <f aca="false">F3643-F3644</f>
        <v>377253.067808219</v>
      </c>
      <c r="G3645" s="58" t="n">
        <f aca="false">G3643-G3644</f>
        <v>553597.582191781</v>
      </c>
      <c r="H3645" s="2" t="s">
        <v>1329</v>
      </c>
    </row>
    <row r="3646" customFormat="false" ht="15" hidden="false" customHeight="false" outlineLevel="1" collapsed="false">
      <c r="A3646" s="7" t="s">
        <v>711</v>
      </c>
      <c r="B3646" s="8" t="s">
        <v>10</v>
      </c>
      <c r="C3646" s="58" t="n">
        <f aca="false">C3641-C3644</f>
        <v>53283.9232876712</v>
      </c>
      <c r="D3646" s="58" t="n">
        <f aca="false">D3641-D3644</f>
        <v>46554.8958904109</v>
      </c>
      <c r="E3646" s="58" t="n">
        <f aca="false">E3641-E3644</f>
        <v>99680.2931506849</v>
      </c>
      <c r="F3646" s="58" t="n">
        <f aca="false">F3641-F3644</f>
        <v>167668.030136986</v>
      </c>
      <c r="G3646" s="58" t="n">
        <f aca="false">G3641-G3644</f>
        <v>246043.369863014</v>
      </c>
      <c r="H3646" s="2" t="s">
        <v>1330</v>
      </c>
    </row>
    <row r="3647" customFormat="false" ht="15" hidden="false" customHeight="false" outlineLevel="1" collapsed="false">
      <c r="A3647" s="7" t="s">
        <v>712</v>
      </c>
      <c r="B3647" s="8" t="s">
        <v>10</v>
      </c>
      <c r="C3647" s="58" t="n">
        <f aca="false">MAX(0,Pressupostos!$C$106-C3646)</f>
        <v>0</v>
      </c>
      <c r="D3647" s="58" t="n">
        <f aca="false">MAX(0,Pressupostos!$C$106-D3646)</f>
        <v>3445.10410958907</v>
      </c>
      <c r="E3647" s="58" t="n">
        <f aca="false">MAX(0,Pressupostos!$C$106-E3646)</f>
        <v>0</v>
      </c>
      <c r="F3647" s="58" t="n">
        <f aca="false">MAX(0,Pressupostos!$C$106-F3646)</f>
        <v>0</v>
      </c>
      <c r="G3647" s="58" t="n">
        <f aca="false">MAX(0,Pressupostos!$C$106-G3646)</f>
        <v>0</v>
      </c>
      <c r="H3647" s="2" t="s">
        <v>1331</v>
      </c>
    </row>
    <row r="3648" customFormat="false" ht="15" hidden="false" customHeight="false" outlineLevel="1" collapsed="false">
      <c r="A3648" s="7" t="s">
        <v>713</v>
      </c>
      <c r="B3648" s="8" t="s">
        <v>10</v>
      </c>
      <c r="C3648" s="58" t="n">
        <f aca="false">Pressupostos!$C$107*C3643</f>
        <v>0</v>
      </c>
      <c r="D3648" s="58" t="n">
        <f aca="false">Pressupostos!$C$107*D3643</f>
        <v>26187.1289383562</v>
      </c>
      <c r="E3648" s="58" t="n">
        <f aca="false">Pressupostos!$C$107*E3643</f>
        <v>56070.1648972603</v>
      </c>
      <c r="F3648" s="58" t="n">
        <f aca="false">Pressupostos!$C$107*F3643</f>
        <v>94313.2669520548</v>
      </c>
      <c r="G3648" s="58" t="n">
        <f aca="false">Pressupostos!$C$107*G3643</f>
        <v>138399.395547945</v>
      </c>
      <c r="H3648" s="2" t="s">
        <v>1332</v>
      </c>
    </row>
    <row r="3649" customFormat="false" ht="15" hidden="false" customHeight="false" outlineLevel="1" collapsed="false">
      <c r="A3649" s="2" t="s">
        <v>714</v>
      </c>
      <c r="B3649" s="8" t="s">
        <v>115</v>
      </c>
      <c r="C3649" s="58" t="n">
        <f aca="false">C3643/Pressupostos!$C$110</f>
        <v>0</v>
      </c>
      <c r="D3649" s="58" t="n">
        <f aca="false">D3643/Pressupostos!$C$110</f>
        <v>10.4748515753425</v>
      </c>
      <c r="E3649" s="58" t="n">
        <f aca="false">E3643/Pressupostos!$C$110</f>
        <v>22.4280659589041</v>
      </c>
      <c r="F3649" s="58" t="n">
        <f aca="false">F3643/Pressupostos!$C$110</f>
        <v>37.7253067808219</v>
      </c>
      <c r="G3649" s="58" t="n">
        <f aca="false">G3643/Pressupostos!$C$110</f>
        <v>55.3597582191781</v>
      </c>
      <c r="H3649" s="2" t="s">
        <v>1333</v>
      </c>
    </row>
    <row r="3650" customFormat="false" ht="15" hidden="false" customHeight="false" outlineLevel="0" collapsed="false">
      <c r="A3650" s="3" t="s">
        <v>1334</v>
      </c>
      <c r="B3650" s="4"/>
      <c r="C3650" s="4"/>
      <c r="D3650" s="4"/>
      <c r="E3650" s="4"/>
      <c r="F3650" s="4"/>
      <c r="G3650" s="4"/>
      <c r="H3650" s="4"/>
    </row>
    <row r="3651" customFormat="false" ht="15" hidden="false" customHeight="false" outlineLevel="1" collapsed="false">
      <c r="A3651" s="7" t="s">
        <v>681</v>
      </c>
      <c r="B3651" s="8" t="s">
        <v>10</v>
      </c>
      <c r="C3651" s="58" t="n">
        <f aca="false">C3617</f>
        <v>-586332.91635274</v>
      </c>
      <c r="D3651" s="58" t="n">
        <f aca="false">D3617</f>
        <v>-679963.533732877</v>
      </c>
      <c r="E3651" s="58" t="n">
        <f aca="false">E3617</f>
        <v>-692917.688343322</v>
      </c>
      <c r="F3651" s="58" t="n">
        <f aca="false">F3617</f>
        <v>-653510.927099033</v>
      </c>
      <c r="G3651" s="58" t="n">
        <f aca="false">G3617</f>
        <v>-529540.381498266</v>
      </c>
      <c r="H3651" s="2" t="s">
        <v>1335</v>
      </c>
    </row>
    <row r="3652" customFormat="false" ht="15" hidden="false" customHeight="false" outlineLevel="1" collapsed="false">
      <c r="A3652" s="7" t="s">
        <v>716</v>
      </c>
      <c r="B3652" s="8" t="s">
        <v>10</v>
      </c>
      <c r="C3652" s="58" t="n">
        <f aca="false">-C3632</f>
        <v>-0</v>
      </c>
      <c r="D3652" s="58" t="n">
        <f aca="false">-D3632</f>
        <v>-0</v>
      </c>
      <c r="E3652" s="58" t="n">
        <f aca="false">-E3632</f>
        <v>-0</v>
      </c>
      <c r="F3652" s="58" t="n">
        <f aca="false">-F3632</f>
        <v>-0</v>
      </c>
      <c r="G3652" s="58" t="n">
        <f aca="false">-G3632</f>
        <v>-0</v>
      </c>
      <c r="H3652" s="2" t="s">
        <v>1336</v>
      </c>
    </row>
    <row r="3653" customFormat="false" ht="15" hidden="false" customHeight="false" outlineLevel="1" collapsed="false">
      <c r="A3653" s="7" t="s">
        <v>717</v>
      </c>
      <c r="B3653" s="8" t="s">
        <v>10</v>
      </c>
      <c r="C3653" s="58" t="n">
        <f aca="false">-C3641</f>
        <v>-53283.9232876712</v>
      </c>
      <c r="D3653" s="58" t="n">
        <f aca="false">-(D3641-C3641)</f>
        <v>-412265.035616438</v>
      </c>
      <c r="E3653" s="58" t="n">
        <f aca="false">-(E3641-D3641)</f>
        <v>-531253.97260274</v>
      </c>
      <c r="F3653" s="58" t="n">
        <f aca="false">-(F3641-E3641)</f>
        <v>-679877.369863014</v>
      </c>
      <c r="G3653" s="58" t="n">
        <f aca="false">-(G3641-F3641)</f>
        <v>-783753.397260273</v>
      </c>
      <c r="H3653" s="2" t="s">
        <v>1337</v>
      </c>
    </row>
    <row r="3654" customFormat="false" ht="15" hidden="false" customHeight="false" outlineLevel="1" collapsed="false">
      <c r="A3654" s="7" t="s">
        <v>407</v>
      </c>
      <c r="B3654" s="8" t="s">
        <v>10</v>
      </c>
      <c r="C3654" s="58" t="n">
        <f aca="false">-C3602</f>
        <v>-89000</v>
      </c>
      <c r="D3654" s="58" t="n">
        <f aca="false">-D3602</f>
        <v>-46000</v>
      </c>
      <c r="E3654" s="58" t="n">
        <f aca="false">-E3602</f>
        <v>-44000</v>
      </c>
      <c r="F3654" s="58" t="n">
        <f aca="false">-F3602</f>
        <v>-37000</v>
      </c>
      <c r="G3654" s="58" t="n">
        <f aca="false">-G3602</f>
        <v>-34000</v>
      </c>
      <c r="H3654" s="2" t="s">
        <v>1338</v>
      </c>
    </row>
    <row r="3655" customFormat="false" ht="15" hidden="false" customHeight="false" outlineLevel="1" collapsed="false">
      <c r="A3655" s="7" t="s">
        <v>718</v>
      </c>
      <c r="B3655" s="8" t="s">
        <v>10</v>
      </c>
      <c r="C3655" s="58" t="n">
        <f aca="false">C3651+C3652+C3653+C3654</f>
        <v>-728616.839640411</v>
      </c>
      <c r="D3655" s="58" t="n">
        <f aca="false">D3651+D3652+D3653+D3654</f>
        <v>-1138228.56934931</v>
      </c>
      <c r="E3655" s="58" t="n">
        <f aca="false">E3651+E3652+E3653+E3654</f>
        <v>-1268171.66094606</v>
      </c>
      <c r="F3655" s="58" t="n">
        <f aca="false">F3651+F3652+F3653+F3654</f>
        <v>-1370388.29696205</v>
      </c>
      <c r="G3655" s="58" t="n">
        <f aca="false">G3651+G3652+G3653+G3654</f>
        <v>-1347293.77875854</v>
      </c>
      <c r="H3655" s="2" t="s">
        <v>1339</v>
      </c>
    </row>
    <row r="3656" customFormat="false" ht="15" hidden="false" customHeight="false" outlineLevel="1" collapsed="false">
      <c r="A3656" s="7" t="s">
        <v>719</v>
      </c>
      <c r="B3656" s="8" t="s">
        <v>10</v>
      </c>
      <c r="C3656" s="58" t="n">
        <f aca="false">C3643</f>
        <v>0</v>
      </c>
      <c r="D3656" s="58" t="n">
        <f aca="false">D3643-C3643</f>
        <v>523742.578767123</v>
      </c>
      <c r="E3656" s="58" t="n">
        <f aca="false">E3643-D3643</f>
        <v>597660.719178082</v>
      </c>
      <c r="F3656" s="58" t="n">
        <f aca="false">F3643-E3643</f>
        <v>764862.041095891</v>
      </c>
      <c r="G3656" s="58" t="n">
        <f aca="false">G3643-F3643</f>
        <v>881722.571917807</v>
      </c>
      <c r="H3656" s="2" t="s">
        <v>1340</v>
      </c>
    </row>
    <row r="3657" customFormat="false" ht="15" hidden="false" customHeight="false" outlineLevel="1" collapsed="false">
      <c r="A3657" s="7" t="s">
        <v>720</v>
      </c>
      <c r="B3657" s="8" t="s">
        <v>10</v>
      </c>
      <c r="C3657" s="58" t="n">
        <f aca="false">-C3645</f>
        <v>-0</v>
      </c>
      <c r="D3657" s="58" t="n">
        <f aca="false">-(D3645-C3645)</f>
        <v>-104748.515753425</v>
      </c>
      <c r="E3657" s="58" t="n">
        <f aca="false">-(E3645-D3645)</f>
        <v>-119532.143835616</v>
      </c>
      <c r="F3657" s="58" t="n">
        <f aca="false">-(F3645-E3645)</f>
        <v>-152972.408219178</v>
      </c>
      <c r="G3657" s="58" t="n">
        <f aca="false">-(G3645-F3645)</f>
        <v>-176344.514383561</v>
      </c>
      <c r="H3657" s="2" t="s">
        <v>1341</v>
      </c>
    </row>
    <row r="3658" customFormat="false" ht="15" hidden="false" customHeight="false" outlineLevel="1" collapsed="false">
      <c r="A3658" s="7" t="s">
        <v>721</v>
      </c>
      <c r="B3658" s="8" t="s">
        <v>10</v>
      </c>
      <c r="C3658" s="58" t="n">
        <f aca="false">-C3648</f>
        <v>-0</v>
      </c>
      <c r="D3658" s="58" t="n">
        <f aca="false">-(D3648-C3648)</f>
        <v>-26187.1289383562</v>
      </c>
      <c r="E3658" s="58" t="n">
        <f aca="false">-(E3648-D3648)</f>
        <v>-29883.0359589041</v>
      </c>
      <c r="F3658" s="58" t="n">
        <f aca="false">-(F3648-E3648)</f>
        <v>-38243.1020547946</v>
      </c>
      <c r="G3658" s="58" t="n">
        <f aca="false">-(G3648-F3648)</f>
        <v>-44086.1285958904</v>
      </c>
      <c r="H3658" s="2" t="s">
        <v>1342</v>
      </c>
    </row>
    <row r="3659" customFormat="false" ht="15" hidden="false" customHeight="false" outlineLevel="1" collapsed="false">
      <c r="A3659" s="7" t="s">
        <v>722</v>
      </c>
      <c r="B3659" s="8" t="s">
        <v>10</v>
      </c>
      <c r="C3659" s="58" t="n">
        <f aca="false">-(C3647-Pressupostos!$C$106)</f>
        <v>50000</v>
      </c>
      <c r="D3659" s="58" t="n">
        <f aca="false">-(D3647-C3647)</f>
        <v>-3445.10410958907</v>
      </c>
      <c r="E3659" s="58" t="n">
        <f aca="false">-(E3647-D3647)</f>
        <v>3445.10410958907</v>
      </c>
      <c r="F3659" s="58" t="n">
        <f aca="false">-(F3647-E3647)</f>
        <v>-0</v>
      </c>
      <c r="G3659" s="58" t="n">
        <f aca="false">-(G3647-F3647)</f>
        <v>-0</v>
      </c>
      <c r="H3659" s="2" t="s">
        <v>1343</v>
      </c>
    </row>
    <row r="3660" customFormat="false" ht="15" hidden="false" customHeight="false" outlineLevel="1" collapsed="false">
      <c r="A3660" s="52" t="s">
        <v>723</v>
      </c>
      <c r="B3660" s="53" t="s">
        <v>10</v>
      </c>
      <c r="C3660" s="59" t="n">
        <f aca="false">C3655+C3656+C3657+C3658+C3659</f>
        <v>-678616.839640411</v>
      </c>
      <c r="D3660" s="59" t="n">
        <f aca="false">D3655+D3656+D3657+D3658+D3659</f>
        <v>-748866.739383562</v>
      </c>
      <c r="E3660" s="59" t="n">
        <f aca="false">E3655+E3656+E3657+E3658+E3659</f>
        <v>-816481.017452911</v>
      </c>
      <c r="F3660" s="59" t="n">
        <f aca="false">F3655+F3656+F3657+F3658+F3659</f>
        <v>-796741.766140128</v>
      </c>
      <c r="G3660" s="59" t="n">
        <f aca="false">G3655+G3656+G3657+G3658+G3659</f>
        <v>-686001.849820184</v>
      </c>
      <c r="H3660" s="2" t="s">
        <v>1344</v>
      </c>
    </row>
    <row r="3661" customFormat="false" ht="15" hidden="false" customHeight="false" outlineLevel="1" collapsed="false">
      <c r="A3661" s="52" t="s">
        <v>724</v>
      </c>
      <c r="B3661" s="53" t="s">
        <v>10</v>
      </c>
      <c r="C3661" s="59" t="n">
        <f aca="false">C3660</f>
        <v>-678616.839640411</v>
      </c>
      <c r="D3661" s="59" t="n">
        <f aca="false">C3661+D3660</f>
        <v>-1427483.57902397</v>
      </c>
      <c r="E3661" s="59" t="n">
        <f aca="false">D3661+E3660</f>
        <v>-2243964.59647688</v>
      </c>
      <c r="F3661" s="59" t="n">
        <f aca="false">E3661+F3660</f>
        <v>-3040706.36261701</v>
      </c>
      <c r="G3661" s="59" t="n">
        <f aca="false">F3661+G3660</f>
        <v>-3726708.2124372</v>
      </c>
      <c r="H3661" s="2" t="s">
        <v>1345</v>
      </c>
    </row>
    <row r="3662" customFormat="false" ht="15" hidden="false" customHeight="false" outlineLevel="1" collapsed="false">
      <c r="A3662" s="8" t="s">
        <v>725</v>
      </c>
      <c r="B3662" s="8" t="s">
        <v>10</v>
      </c>
      <c r="C3662" s="66" t="n">
        <f aca="false">ROUND(C3617-C3602-C3632-(MAX(C3646,Pressupostos!$C$106)-Pressupostos!$C$106)-(C3648)-C3660,6)</f>
        <v>0</v>
      </c>
      <c r="D3662" s="66" t="n">
        <f aca="false">ROUND(D3617-D3602-D3632-(MAX(D3646,Pressupostos!$C$106)-MAX(C3646,Pressupostos!$C$106))-(D3648-C3648)-D3660,6)</f>
        <v>0</v>
      </c>
      <c r="E3662" s="66" t="n">
        <f aca="false">ROUND(E3617-E3602-E3632-(MAX(E3646,Pressupostos!$C$106)-MAX(D3646,Pressupostos!$C$106))-(E3648-D3648)-E3660,6)</f>
        <v>0</v>
      </c>
      <c r="F3662" s="66" t="n">
        <f aca="false">ROUND(F3617-F3602-F3632-(MAX(F3646,Pressupostos!$C$106)-MAX(E3646,Pressupostos!$C$106))-(F3648-E3648)-F3660,6)</f>
        <v>0</v>
      </c>
      <c r="G3662" s="66" t="n">
        <f aca="false">ROUND(G3617-G3602-G3632-(MAX(G3646,Pressupostos!$C$106)-MAX(F3646,Pressupostos!$C$106))-(G3648-F3648)-G3660,6)</f>
        <v>0</v>
      </c>
      <c r="H3662" s="2" t="s">
        <v>1346</v>
      </c>
    </row>
    <row r="3663" customFormat="false" ht="15" hidden="false" customHeight="false" outlineLevel="0" collapsed="false">
      <c r="A3663" s="3" t="s">
        <v>1347</v>
      </c>
      <c r="B3663" s="4"/>
      <c r="C3663" s="4"/>
      <c r="D3663" s="4"/>
      <c r="E3663" s="4"/>
      <c r="F3663" s="4"/>
      <c r="G3663" s="4"/>
      <c r="H3663" s="4"/>
    </row>
    <row r="3664" customFormat="false" ht="15" hidden="false" customHeight="false" outlineLevel="1" collapsed="false">
      <c r="A3664" s="7" t="s">
        <v>727</v>
      </c>
      <c r="B3664" s="8" t="s">
        <v>10</v>
      </c>
      <c r="C3664" s="58" t="n">
        <f aca="false">0</f>
        <v>0</v>
      </c>
      <c r="D3664" s="58" t="n">
        <f aca="false">C3669</f>
        <v>276383.160359589</v>
      </c>
      <c r="E3664" s="58" t="n">
        <f aca="false">D3669</f>
        <v>150000</v>
      </c>
      <c r="F3664" s="58" t="n">
        <f aca="false">E3669</f>
        <v>150000</v>
      </c>
      <c r="G3664" s="58" t="n">
        <f aca="false">F3669</f>
        <v>150000</v>
      </c>
      <c r="H3664" s="2" t="s">
        <v>1348</v>
      </c>
    </row>
    <row r="3665" customFormat="false" ht="15" hidden="false" customHeight="false" outlineLevel="1" collapsed="false">
      <c r="A3665" s="7" t="s">
        <v>728</v>
      </c>
      <c r="B3665" s="8" t="s">
        <v>10</v>
      </c>
      <c r="C3665" s="58" t="n">
        <f aca="false">-(Pressupostos!$C$157+Pressupostos!$C$158+Pressupostos!$C$159+Pressupostos!$C$160+Pressupostos!$C$161+Pressupostos!$C$106)</f>
        <v>-145000</v>
      </c>
      <c r="D3665" s="58" t="n">
        <f aca="false">0</f>
        <v>0</v>
      </c>
      <c r="E3665" s="58" t="n">
        <f aca="false">0</f>
        <v>0</v>
      </c>
      <c r="F3665" s="58" t="n">
        <f aca="false">0</f>
        <v>0</v>
      </c>
      <c r="G3665" s="58" t="n">
        <f aca="false">0</f>
        <v>0</v>
      </c>
      <c r="H3665" s="2" t="s">
        <v>1349</v>
      </c>
    </row>
    <row r="3666" customFormat="false" ht="15" hidden="false" customHeight="false" outlineLevel="1" collapsed="false">
      <c r="A3666" s="7" t="s">
        <v>729</v>
      </c>
      <c r="B3666" s="8" t="s">
        <v>10</v>
      </c>
      <c r="C3666" s="50" t="n">
        <f aca="false">Pressupostos!$F$32</f>
        <v>1100000</v>
      </c>
      <c r="D3666" s="58" t="n">
        <f aca="false">0</f>
        <v>0</v>
      </c>
      <c r="E3666" s="58" t="n">
        <f aca="false">0</f>
        <v>0</v>
      </c>
      <c r="F3666" s="58" t="n">
        <f aca="false">0</f>
        <v>0</v>
      </c>
      <c r="G3666" s="58" t="n">
        <f aca="false">0</f>
        <v>0</v>
      </c>
      <c r="H3666" s="2" t="s">
        <v>1350</v>
      </c>
    </row>
    <row r="3667" customFormat="false" ht="15" hidden="false" customHeight="false" outlineLevel="1" collapsed="false">
      <c r="A3667" s="7" t="s">
        <v>730</v>
      </c>
      <c r="B3667" s="8" t="s">
        <v>10</v>
      </c>
      <c r="C3667" s="58" t="n">
        <f aca="false">C3664+C3665+C3666+C3660</f>
        <v>276383.160359589</v>
      </c>
      <c r="D3667" s="58" t="n">
        <f aca="false">D3664+D3665+D3666+D3660</f>
        <v>-472483.579023972</v>
      </c>
      <c r="E3667" s="58" t="n">
        <f aca="false">E3664+E3665+E3666+E3660</f>
        <v>-666481.017452911</v>
      </c>
      <c r="F3667" s="58" t="n">
        <f aca="false">F3664+F3665+F3666+F3660</f>
        <v>-646741.766140128</v>
      </c>
      <c r="G3667" s="58" t="n">
        <f aca="false">G3664+G3665+G3666+G3660</f>
        <v>-536001.849820184</v>
      </c>
      <c r="H3667" s="2" t="s">
        <v>1351</v>
      </c>
    </row>
    <row r="3668" customFormat="false" ht="15" hidden="false" customHeight="false" outlineLevel="1" collapsed="false">
      <c r="A3668" s="52" t="s">
        <v>731</v>
      </c>
      <c r="B3668" s="53" t="s">
        <v>10</v>
      </c>
      <c r="C3668" s="59" t="n">
        <f aca="false">MAX(0,Pressupostos!$C$168-C3667)</f>
        <v>0</v>
      </c>
      <c r="D3668" s="59" t="n">
        <f aca="false">MAX(0,Pressupostos!$C$168-D3667)</f>
        <v>622483.579023972</v>
      </c>
      <c r="E3668" s="59" t="n">
        <f aca="false">MAX(0,Pressupostos!$C$168-E3667)</f>
        <v>816481.017452911</v>
      </c>
      <c r="F3668" s="59" t="n">
        <f aca="false">MAX(0,Pressupostos!$C$168-F3667)</f>
        <v>796741.766140128</v>
      </c>
      <c r="G3668" s="59" t="n">
        <f aca="false">MAX(0,Pressupostos!$C$168-G3667)</f>
        <v>686001.849820184</v>
      </c>
      <c r="H3668" s="2" t="s">
        <v>1352</v>
      </c>
    </row>
    <row r="3669" customFormat="false" ht="15" hidden="false" customHeight="false" outlineLevel="1" collapsed="false">
      <c r="A3669" s="52" t="s">
        <v>732</v>
      </c>
      <c r="B3669" s="53" t="s">
        <v>10</v>
      </c>
      <c r="C3669" s="59" t="n">
        <f aca="false">C3667+C3668</f>
        <v>276383.160359589</v>
      </c>
      <c r="D3669" s="59" t="n">
        <f aca="false">D3667+D3668</f>
        <v>150000</v>
      </c>
      <c r="E3669" s="59" t="n">
        <f aca="false">E3667+E3668</f>
        <v>150000</v>
      </c>
      <c r="F3669" s="59" t="n">
        <f aca="false">F3667+F3668</f>
        <v>150000</v>
      </c>
      <c r="G3669" s="59" t="n">
        <f aca="false">G3667+G3668</f>
        <v>150000</v>
      </c>
      <c r="H3669" s="2" t="s">
        <v>1353</v>
      </c>
    </row>
    <row r="3670" customFormat="false" ht="15" hidden="false" customHeight="false" outlineLevel="1" collapsed="false">
      <c r="A3670" s="7" t="s">
        <v>733</v>
      </c>
      <c r="B3670" s="8" t="s">
        <v>10</v>
      </c>
      <c r="C3670" s="58" t="n">
        <f aca="false">C3645+C3648+C3647</f>
        <v>0</v>
      </c>
      <c r="D3670" s="58" t="n">
        <f aca="false">D3645+D3648+D3647</f>
        <v>134380.74880137</v>
      </c>
      <c r="E3670" s="58" t="n">
        <f aca="false">E3645+E3648+E3647</f>
        <v>280350.824486301</v>
      </c>
      <c r="F3670" s="58" t="n">
        <f aca="false">F3645+F3648+F3647</f>
        <v>471566.334760274</v>
      </c>
      <c r="G3670" s="58" t="n">
        <f aca="false">G3645+G3648+G3647</f>
        <v>691996.977739726</v>
      </c>
      <c r="H3670" s="2" t="s">
        <v>1354</v>
      </c>
    </row>
    <row r="3671" customFormat="false" ht="15" hidden="false" customHeight="false" outlineLevel="1" collapsed="false">
      <c r="A3671" s="7" t="s">
        <v>734</v>
      </c>
      <c r="B3671" s="8" t="s">
        <v>10</v>
      </c>
      <c r="C3671" s="58" t="n">
        <f aca="false">C3669+C3670</f>
        <v>276383.160359589</v>
      </c>
      <c r="D3671" s="58" t="n">
        <f aca="false">D3669+D3670</f>
        <v>284380.74880137</v>
      </c>
      <c r="E3671" s="58" t="n">
        <f aca="false">E3669+E3670</f>
        <v>430350.824486301</v>
      </c>
      <c r="F3671" s="58" t="n">
        <f aca="false">F3669+F3670</f>
        <v>621566.334760274</v>
      </c>
      <c r="G3671" s="58" t="n">
        <f aca="false">G3669+G3670</f>
        <v>841996.977739726</v>
      </c>
      <c r="H3671" s="2" t="s">
        <v>1355</v>
      </c>
    </row>
    <row r="3672" customFormat="false" ht="15" hidden="false" customHeight="false" outlineLevel="1" collapsed="false">
      <c r="A3672" s="7" t="s">
        <v>735</v>
      </c>
      <c r="B3672" s="8" t="s">
        <v>10</v>
      </c>
      <c r="C3672" s="58" t="n">
        <f aca="false">C3666+C3668</f>
        <v>1100000</v>
      </c>
      <c r="D3672" s="58" t="n">
        <f aca="false">C3672+D3666+D3668</f>
        <v>1722483.57902397</v>
      </c>
      <c r="E3672" s="58" t="n">
        <f aca="false">D3672+E3666+E3668</f>
        <v>2538964.59647688</v>
      </c>
      <c r="F3672" s="58" t="n">
        <f aca="false">E3672+F3666+F3668</f>
        <v>3335706.36261701</v>
      </c>
      <c r="G3672" s="58" t="n">
        <f aca="false">F3672+G3666+G3668</f>
        <v>4021708.2124372</v>
      </c>
      <c r="H3672" s="2" t="s">
        <v>1356</v>
      </c>
    </row>
    <row r="3673" customFormat="false" ht="15" hidden="false" customHeight="false" outlineLevel="0" collapsed="false">
      <c r="A3673" s="3" t="s">
        <v>1357</v>
      </c>
      <c r="B3673" s="4"/>
      <c r="C3673" s="4"/>
      <c r="D3673" s="4"/>
      <c r="E3673" s="4"/>
      <c r="F3673" s="4"/>
      <c r="G3673" s="4"/>
      <c r="H3673" s="4"/>
    </row>
    <row r="3674" customFormat="false" ht="15" hidden="false" customHeight="false" outlineLevel="1" collapsed="false">
      <c r="A3674" s="7" t="s">
        <v>739</v>
      </c>
      <c r="B3674" s="8" t="s">
        <v>10</v>
      </c>
      <c r="C3674" s="68" t="n">
        <f aca="false">Pressupostos!$C$157+Pressupostos!$C$158+Pressupostos!$C$159+Pressupostos!$C$160+Pressupostos!$C$161</f>
        <v>95000</v>
      </c>
      <c r="H3674" s="2" t="s">
        <v>1358</v>
      </c>
    </row>
    <row r="3675" customFormat="false" ht="15" hidden="false" customHeight="false" outlineLevel="1" collapsed="false">
      <c r="A3675" s="7" t="s">
        <v>740</v>
      </c>
      <c r="B3675" s="8" t="s">
        <v>10</v>
      </c>
      <c r="C3675" s="69" t="n">
        <f aca="false">Pressupostos!$C$106</f>
        <v>50000</v>
      </c>
      <c r="H3675" s="2" t="s">
        <v>1359</v>
      </c>
    </row>
    <row r="3676" customFormat="false" ht="15" hidden="false" customHeight="false" outlineLevel="1" collapsed="false">
      <c r="A3676" s="7" t="s">
        <v>312</v>
      </c>
      <c r="B3676" s="8" t="s">
        <v>10</v>
      </c>
      <c r="C3676" s="69" t="n">
        <f aca="false">Pressupostos!$C$168</f>
        <v>150000</v>
      </c>
      <c r="H3676" s="2" t="s">
        <v>1360</v>
      </c>
    </row>
    <row r="3677" customFormat="false" ht="15" hidden="false" customHeight="false" outlineLevel="1" collapsed="false">
      <c r="A3677" s="7" t="s">
        <v>741</v>
      </c>
      <c r="B3677" s="8" t="s">
        <v>10</v>
      </c>
      <c r="C3677" s="68" t="n">
        <f aca="false">MAX(0,-MIN($C$3661:$G$3661))</f>
        <v>3726708.2124372</v>
      </c>
      <c r="H3677" s="2" t="s">
        <v>1361</v>
      </c>
    </row>
    <row r="3678" customFormat="false" ht="15" hidden="false" customHeight="false" outlineLevel="1" collapsed="false">
      <c r="A3678" s="52" t="s">
        <v>14</v>
      </c>
      <c r="B3678" s="53" t="s">
        <v>10</v>
      </c>
      <c r="C3678" s="70" t="n">
        <f aca="false">C3674+C3675+C3676+C3677</f>
        <v>4021708.2124372</v>
      </c>
      <c r="H3678" s="2" t="s">
        <v>1362</v>
      </c>
    </row>
    <row r="3679" customFormat="false" ht="15" hidden="false" customHeight="false" outlineLevel="1" collapsed="false">
      <c r="A3679" s="7" t="s">
        <v>742</v>
      </c>
      <c r="B3679" s="8" t="s">
        <v>18</v>
      </c>
      <c r="C3679" s="71" t="n">
        <f aca="false">INDEX($C$3418:$G$3418,1,MATCH(MIN($C$3661:$G$3661),$C$3661:$G$3661,0))</f>
        <v>2031</v>
      </c>
      <c r="H3679" s="2" t="s">
        <v>1363</v>
      </c>
    </row>
    <row r="3680" customFormat="false" ht="15" hidden="false" customHeight="false" outlineLevel="1" collapsed="false">
      <c r="A3680" s="7" t="s">
        <v>743</v>
      </c>
      <c r="B3680" s="8"/>
      <c r="C3680" s="72" t="str">
        <f aca="false">IF(G3660&lt;0,"sim","não")</f>
        <v>sim</v>
      </c>
      <c r="H3680" s="2" t="s">
        <v>1364</v>
      </c>
    </row>
    <row r="3681" customFormat="false" ht="15" hidden="false" customHeight="false" outlineLevel="1" collapsed="false">
      <c r="A3681" s="7" t="s">
        <v>744</v>
      </c>
      <c r="B3681" s="8" t="s">
        <v>10</v>
      </c>
      <c r="C3681" s="68" t="n">
        <f aca="false">G3672</f>
        <v>4021708.2124372</v>
      </c>
      <c r="H3681" s="2" t="s">
        <v>1365</v>
      </c>
    </row>
    <row r="3682" customFormat="false" ht="15" hidden="false" customHeight="false" outlineLevel="0" collapsed="false">
      <c r="A3682" s="3" t="s">
        <v>1366</v>
      </c>
      <c r="B3682" s="4"/>
      <c r="C3682" s="4"/>
      <c r="D3682" s="4"/>
      <c r="E3682" s="4"/>
      <c r="F3682" s="4"/>
      <c r="G3682" s="4"/>
      <c r="H3682" s="4"/>
    </row>
    <row r="3683" customFormat="false" ht="15" hidden="false" customHeight="false" outlineLevel="1" collapsed="false">
      <c r="A3683" s="7" t="s">
        <v>746</v>
      </c>
      <c r="B3683" s="8" t="s">
        <v>10</v>
      </c>
      <c r="C3683" s="68" t="n">
        <f aca="false">C3674+C3675</f>
        <v>145000</v>
      </c>
      <c r="H3683" s="2" t="s">
        <v>1367</v>
      </c>
    </row>
    <row r="3684" customFormat="false" ht="15" hidden="false" customHeight="false" outlineLevel="1" collapsed="false">
      <c r="A3684" s="7" t="s">
        <v>747</v>
      </c>
      <c r="B3684" s="8" t="s">
        <v>10</v>
      </c>
      <c r="C3684" s="68" t="n">
        <f aca="false">-SUMPRODUCT(($C$3418:$G$3418&lt;=C3679)*$C$3617:$G$3617)</f>
        <v>3142265.44702624</v>
      </c>
      <c r="H3684" s="2" t="s">
        <v>1368</v>
      </c>
    </row>
    <row r="3685" customFormat="false" ht="15" hidden="false" customHeight="false" outlineLevel="1" collapsed="false">
      <c r="A3685" s="7" t="s">
        <v>407</v>
      </c>
      <c r="B3685" s="8" t="s">
        <v>10</v>
      </c>
      <c r="C3685" s="68" t="n">
        <f aca="false">SUMPRODUCT(($C$3418:$G$3418&lt;=C3679)*$C$3602:$G$3602)</f>
        <v>250000</v>
      </c>
      <c r="H3685" s="2" t="s">
        <v>1369</v>
      </c>
    </row>
    <row r="3686" customFormat="false" ht="15" hidden="false" customHeight="false" outlineLevel="1" collapsed="false">
      <c r="A3686" s="7" t="s">
        <v>748</v>
      </c>
      <c r="B3686" s="8" t="s">
        <v>10</v>
      </c>
      <c r="C3686" s="68" t="n">
        <f aca="false">SUMPRODUCT(($C$3418:$G$3418&lt;=C3679)*$C$3632:$G$3632)</f>
        <v>0</v>
      </c>
      <c r="H3686" s="2" t="s">
        <v>1370</v>
      </c>
    </row>
    <row r="3687" customFormat="false" ht="15" hidden="false" customHeight="false" outlineLevel="1" collapsed="false">
      <c r="A3687" s="7" t="s">
        <v>749</v>
      </c>
      <c r="B3687" s="8" t="s">
        <v>10</v>
      </c>
      <c r="C3687" s="68" t="n">
        <f aca="false">C3677-C3684-C3685-C3686</f>
        <v>334442.765410958</v>
      </c>
      <c r="H3687" s="2" t="s">
        <v>1371</v>
      </c>
    </row>
    <row r="3688" customFormat="false" ht="15" hidden="false" customHeight="false" outlineLevel="1" collapsed="false">
      <c r="A3688" s="7" t="s">
        <v>312</v>
      </c>
      <c r="B3688" s="8" t="s">
        <v>10</v>
      </c>
      <c r="C3688" s="68" t="n">
        <f aca="false">C3676</f>
        <v>150000</v>
      </c>
      <c r="H3688" s="2" t="s">
        <v>1372</v>
      </c>
    </row>
    <row r="3689" customFormat="false" ht="15" hidden="false" customHeight="false" outlineLevel="1" collapsed="false">
      <c r="A3689" s="52" t="s">
        <v>750</v>
      </c>
      <c r="B3689" s="53" t="s">
        <v>10</v>
      </c>
      <c r="C3689" s="70" t="n">
        <f aca="false">C3683+C3684+C3685+C3686+C3687+C3688</f>
        <v>4021708.2124372</v>
      </c>
      <c r="H3689" s="2" t="s">
        <v>1373</v>
      </c>
    </row>
    <row r="3690" customFormat="false" ht="15" hidden="false" customHeight="false" outlineLevel="0" collapsed="false">
      <c r="A3690" s="3" t="s">
        <v>1374</v>
      </c>
      <c r="B3690" s="4"/>
      <c r="C3690" s="4"/>
      <c r="D3690" s="4"/>
      <c r="E3690" s="4"/>
      <c r="F3690" s="4"/>
      <c r="G3690" s="4"/>
      <c r="H3690" s="4"/>
    </row>
    <row r="3691" customFormat="false" ht="15" hidden="false" customHeight="false" outlineLevel="1" collapsed="false">
      <c r="A3691" s="7" t="s">
        <v>729</v>
      </c>
      <c r="B3691" s="8" t="s">
        <v>10</v>
      </c>
      <c r="C3691" s="69" t="n">
        <f aca="false">Pressupostos!$F$32</f>
        <v>1100000</v>
      </c>
      <c r="H3691" s="2" t="s">
        <v>1375</v>
      </c>
    </row>
    <row r="3692" customFormat="false" ht="15" hidden="false" customHeight="false" outlineLevel="1" collapsed="false">
      <c r="A3692" s="7" t="s">
        <v>752</v>
      </c>
      <c r="B3692" s="8" t="s">
        <v>10</v>
      </c>
      <c r="C3692" s="68" t="n">
        <f aca="false">C3674+Pressupostos!$C$106+Pressupostos!$C$128/12*((C3578-C3566-C3567+(C3566+C3567)/Pressupostos!$C$126*Pressupostos!$C$127)*(1+Pressupostos!$C$122+Pressupostos!$C$123)+C3564*Pressupostos!$C$124+C3597)+C3602+MAX(0,Pressupostos!$C$181*1000*(C3437+C3440)+Pressupostos!$C$182*1000*(C3460+C3463)-Pressupostos!$C$106)</f>
        <v>652746.666666667</v>
      </c>
      <c r="H3692" s="2" t="s">
        <v>1376</v>
      </c>
    </row>
    <row r="3693" customFormat="false" ht="15" hidden="false" customHeight="false" outlineLevel="1" collapsed="false">
      <c r="A3693" s="7" t="s">
        <v>754</v>
      </c>
      <c r="B3693" s="8" t="s">
        <v>10</v>
      </c>
      <c r="C3693" s="68" t="n">
        <f aca="false">C3674+Pressupostos!$C$106-C3660</f>
        <v>823616.839640411</v>
      </c>
      <c r="H3693" s="2" t="s">
        <v>1377</v>
      </c>
    </row>
    <row r="3694" customFormat="false" ht="15" hidden="false" customHeight="false" outlineLevel="1" collapsed="false">
      <c r="A3694" s="7" t="s">
        <v>755</v>
      </c>
      <c r="B3694" s="8" t="s">
        <v>10</v>
      </c>
      <c r="C3694" s="58" t="n">
        <f aca="false">Pressupostos!$F$32-C3674-Pressupostos!$C$106+C3661</f>
        <v>276383.160359589</v>
      </c>
      <c r="D3694" s="58" t="n">
        <f aca="false">Pressupostos!$F$32-C3674-Pressupostos!$C$106+D3661</f>
        <v>-472483.579023972</v>
      </c>
      <c r="E3694" s="58" t="n">
        <f aca="false">Pressupostos!$F$32-C3674-Pressupostos!$C$106+E3661</f>
        <v>-1288964.59647688</v>
      </c>
      <c r="F3694" s="58" t="n">
        <f aca="false">Pressupostos!$F$32-C3674-Pressupostos!$C$106+F3661</f>
        <v>-2085706.36261701</v>
      </c>
      <c r="G3694" s="58" t="n">
        <f aca="false">Pressupostos!$F$32-C3674-Pressupostos!$C$106+G3661</f>
        <v>-2771708.2124372</v>
      </c>
      <c r="H3694" s="2" t="s">
        <v>1378</v>
      </c>
    </row>
    <row r="3695" customFormat="false" ht="15" hidden="false" customHeight="false" outlineLevel="1" collapsed="false">
      <c r="A3695" s="7" t="s">
        <v>756</v>
      </c>
      <c r="B3695" s="8" t="s">
        <v>16</v>
      </c>
      <c r="C3695" s="73" t="str">
        <f aca="false">IF(AND(Pressupostos!$F$32-C3674-Pressupostos!$C$106&gt;0,C3694&lt;=0),12*(Pressupostos!$F$32-C3674-Pressupostos!$C$106)/(Pressupostos!$F$32-C3674-Pressupostos!$C$106-C3694),"")</f>
        <v/>
      </c>
      <c r="D3695" s="73" t="n">
        <f aca="false">IF(AND(C3694&gt;0,D3694&lt;=0),12+12*C3694/(C3694-D3694),"")</f>
        <v>16.4288225793619</v>
      </c>
      <c r="E3695" s="73" t="str">
        <f aca="false">IF(AND(D3694&gt;0,E3694&lt;=0),24+12*D3694/(D3694-E3694),"")</f>
        <v/>
      </c>
      <c r="F3695" s="73" t="str">
        <f aca="false">IF(AND(E3694&gt;0,F3694&lt;=0),36+12*E3694/(E3694-F3694),"")</f>
        <v/>
      </c>
      <c r="G3695" s="73" t="str">
        <f aca="false">IF(AND(F3694&gt;0,G3694&lt;=0),48+12*F3694/(F3694-G3694),"")</f>
        <v/>
      </c>
      <c r="H3695" s="2" t="s">
        <v>1379</v>
      </c>
    </row>
    <row r="3696" customFormat="false" ht="15" hidden="false" customHeight="false" outlineLevel="1" collapsed="false">
      <c r="A3696" s="52" t="s">
        <v>757</v>
      </c>
      <c r="B3696" s="53" t="s">
        <v>264</v>
      </c>
      <c r="C3696" s="74" t="n">
        <f aca="false">IF(COUNT($C$3695:$G$3695)=0,"&gt; 60",MIN($C$3695:$G$3695))</f>
        <v>16.4288225793619</v>
      </c>
      <c r="H3696" s="2" t="s">
        <v>1380</v>
      </c>
    </row>
    <row r="3697" customFormat="false" ht="15" hidden="false" customHeight="false" outlineLevel="0" collapsed="false">
      <c r="A3697" s="3" t="s">
        <v>1381</v>
      </c>
      <c r="B3697" s="4"/>
      <c r="C3697" s="4"/>
      <c r="D3697" s="4"/>
      <c r="E3697" s="4"/>
      <c r="F3697" s="4"/>
      <c r="G3697" s="4"/>
      <c r="H3697" s="4"/>
    </row>
    <row r="3698" customFormat="false" ht="15" hidden="false" customHeight="false" outlineLevel="1" collapsed="false">
      <c r="A3698" s="7" t="s">
        <v>759</v>
      </c>
      <c r="B3698" s="8" t="s">
        <v>16</v>
      </c>
      <c r="C3698" s="73" t="str">
        <f aca="false">IF(C3617&gt;=0,1,"")</f>
        <v/>
      </c>
      <c r="D3698" s="73" t="str">
        <f aca="false">IF(AND(C3617&lt;0,D3617&gt;=0),6.5+12*(-C3617)/(D3617-C3617),"")</f>
        <v/>
      </c>
      <c r="E3698" s="73" t="str">
        <f aca="false">IF(AND(D3617&lt;0,E3617&gt;=0),18.5+12*(-D3617)/(E3617-D3617),"")</f>
        <v/>
      </c>
      <c r="F3698" s="73" t="str">
        <f aca="false">IF(AND(E3617&lt;0,F3617&gt;=0),30.5+12*(-E3617)/(F3617-E3617),"")</f>
        <v/>
      </c>
      <c r="G3698" s="73" t="str">
        <f aca="false">IF(AND(F3617&lt;0,G3617&gt;=0),42.5+12*(-F3617)/(G3617-F3617),"")</f>
        <v/>
      </c>
      <c r="H3698" s="2" t="s">
        <v>1382</v>
      </c>
    </row>
    <row r="3699" customFormat="false" ht="15" hidden="false" customHeight="false" outlineLevel="1" collapsed="false">
      <c r="A3699" s="7" t="s">
        <v>760</v>
      </c>
      <c r="B3699" s="8" t="s">
        <v>16</v>
      </c>
      <c r="C3699" s="75" t="str">
        <f aca="false">IF(COUNT($C$3698:$G$3698)=0,"não atinge até 2031",ROUNDUP(MIN($C$3698:$G$3698),0))</f>
        <v>não atinge até 2031</v>
      </c>
      <c r="H3699" s="2" t="s">
        <v>1383</v>
      </c>
    </row>
    <row r="3700" customFormat="false" ht="15" hidden="false" customHeight="false" outlineLevel="1" collapsed="false">
      <c r="A3700" s="52" t="s">
        <v>761</v>
      </c>
      <c r="B3700" s="53" t="s">
        <v>762</v>
      </c>
      <c r="C3700" s="76" t="str">
        <f aca="false">IF(ISNUMBER(C3699),DATE(2027,C3699,1),"não atinge até 2031")</f>
        <v>não atinge até 2031</v>
      </c>
      <c r="H3700" s="2" t="s">
        <v>1384</v>
      </c>
    </row>
    <row r="3701" customFormat="false" ht="15" hidden="false" customHeight="false" outlineLevel="1" collapsed="false">
      <c r="A3701" s="7" t="s">
        <v>763</v>
      </c>
      <c r="B3701" s="8" t="s">
        <v>18</v>
      </c>
      <c r="C3701" s="77" t="str">
        <f aca="false">IF(C3617&gt;=0,C3418,"")</f>
        <v/>
      </c>
      <c r="D3701" s="77" t="str">
        <f aca="false">IF(D3617&gt;=0,D3418,"")</f>
        <v/>
      </c>
      <c r="E3701" s="77" t="str">
        <f aca="false">IF(E3617&gt;=0,E3418,"")</f>
        <v/>
      </c>
      <c r="F3701" s="77" t="str">
        <f aca="false">IF(F3617&gt;=0,F3418,"")</f>
        <v/>
      </c>
      <c r="G3701" s="77" t="str">
        <f aca="false">IF(G3617&gt;=0,G3418,"")</f>
        <v/>
      </c>
      <c r="H3701" s="2" t="s">
        <v>1385</v>
      </c>
    </row>
    <row r="3702" customFormat="false" ht="15" hidden="false" customHeight="false" outlineLevel="1" collapsed="false">
      <c r="A3702" s="7" t="s">
        <v>764</v>
      </c>
      <c r="B3702" s="8" t="s">
        <v>18</v>
      </c>
      <c r="C3702" s="71" t="str">
        <f aca="false">IF(COUNT($C$3701:$G$3701)=0,"não atinge até 2031",MIN($C$3701:$G$3701))</f>
        <v>não atinge até 2031</v>
      </c>
      <c r="H3702" s="2" t="s">
        <v>1386</v>
      </c>
    </row>
    <row r="3703" customFormat="false" ht="15" hidden="false" customHeight="false" outlineLevel="1" collapsed="false">
      <c r="A3703" s="7" t="s">
        <v>765</v>
      </c>
      <c r="B3703" s="8" t="s">
        <v>18</v>
      </c>
      <c r="C3703" s="77" t="str">
        <f aca="false">IF(C3635&gt;=0,C3418,"")</f>
        <v/>
      </c>
      <c r="D3703" s="77" t="str">
        <f aca="false">IF(D3635&gt;=0,D3418,"")</f>
        <v/>
      </c>
      <c r="E3703" s="77" t="str">
        <f aca="false">IF(E3635&gt;=0,E3418,"")</f>
        <v/>
      </c>
      <c r="F3703" s="77" t="str">
        <f aca="false">IF(F3635&gt;=0,F3418,"")</f>
        <v/>
      </c>
      <c r="G3703" s="77" t="str">
        <f aca="false">IF(G3635&gt;=0,G3418,"")</f>
        <v/>
      </c>
      <c r="H3703" s="2" t="s">
        <v>1387</v>
      </c>
    </row>
    <row r="3704" customFormat="false" ht="15" hidden="false" customHeight="false" outlineLevel="1" collapsed="false">
      <c r="A3704" s="7" t="s">
        <v>766</v>
      </c>
      <c r="B3704" s="8" t="s">
        <v>18</v>
      </c>
      <c r="C3704" s="71" t="str">
        <f aca="false">IF(COUNT($C$3703:$G$3703)=0,"não atinge até 2031",MIN($C$3703:$G$3703))</f>
        <v>não atinge até 2031</v>
      </c>
      <c r="H3704" s="2" t="s">
        <v>1388</v>
      </c>
    </row>
    <row r="3705" customFormat="false" ht="15" hidden="false" customHeight="false" outlineLevel="1" collapsed="false">
      <c r="A3705" s="7" t="s">
        <v>767</v>
      </c>
      <c r="B3705" s="8" t="s">
        <v>18</v>
      </c>
      <c r="C3705" s="77" t="str">
        <f aca="false">IF(C3660&gt;=0,C3418,"")</f>
        <v/>
      </c>
      <c r="D3705" s="77" t="str">
        <f aca="false">IF(D3660&gt;=0,D3418,"")</f>
        <v/>
      </c>
      <c r="E3705" s="77" t="str">
        <f aca="false">IF(E3660&gt;=0,E3418,"")</f>
        <v/>
      </c>
      <c r="F3705" s="77" t="str">
        <f aca="false">IF(F3660&gt;=0,F3418,"")</f>
        <v/>
      </c>
      <c r="G3705" s="77" t="str">
        <f aca="false">IF(G3660&gt;=0,G3418,"")</f>
        <v/>
      </c>
      <c r="H3705" s="2" t="s">
        <v>1389</v>
      </c>
    </row>
    <row r="3706" customFormat="false" ht="15" hidden="false" customHeight="false" outlineLevel="1" collapsed="false">
      <c r="A3706" s="7" t="s">
        <v>17</v>
      </c>
      <c r="B3706" s="8" t="s">
        <v>18</v>
      </c>
      <c r="C3706" s="71" t="str">
        <f aca="false">IF(COUNT($C$3705:$G$3705)=0,"não atinge até 2031",MIN($C$3705:$G$3705))</f>
        <v>não atinge até 2031</v>
      </c>
      <c r="H3706" s="2" t="s">
        <v>1390</v>
      </c>
    </row>
    <row r="3707" customFormat="false" ht="15" hidden="false" customHeight="false" outlineLevel="0" collapsed="false">
      <c r="A3707" s="3" t="s">
        <v>1391</v>
      </c>
      <c r="B3707" s="4"/>
      <c r="C3707" s="4"/>
      <c r="D3707" s="4"/>
      <c r="E3707" s="4"/>
      <c r="F3707" s="4"/>
      <c r="G3707" s="4"/>
      <c r="H3707" s="4"/>
    </row>
    <row r="3708" customFormat="false" ht="15" hidden="false" customHeight="false" outlineLevel="1" collapsed="false">
      <c r="A3708" s="7" t="s">
        <v>769</v>
      </c>
      <c r="B3708" s="8" t="s">
        <v>10</v>
      </c>
      <c r="C3708" s="58" t="n">
        <f aca="false">C3643</f>
        <v>0</v>
      </c>
      <c r="D3708" s="58" t="n">
        <f aca="false">D3643</f>
        <v>523742.578767123</v>
      </c>
      <c r="E3708" s="58" t="n">
        <f aca="false">E3643</f>
        <v>1121403.29794521</v>
      </c>
      <c r="F3708" s="58" t="n">
        <f aca="false">F3643</f>
        <v>1886265.3390411</v>
      </c>
      <c r="G3708" s="58" t="n">
        <f aca="false">G3643</f>
        <v>2767987.9109589</v>
      </c>
      <c r="H3708" s="2" t="s">
        <v>1392</v>
      </c>
    </row>
    <row r="3709" customFormat="false" ht="15" hidden="false" customHeight="false" outlineLevel="1" collapsed="false">
      <c r="A3709" s="7" t="s">
        <v>487</v>
      </c>
      <c r="B3709" s="8" t="s">
        <v>71</v>
      </c>
      <c r="C3709" s="78" t="n">
        <f aca="false">Pressupostos!$C$285</f>
        <v>0.08</v>
      </c>
      <c r="D3709" s="78" t="n">
        <f aca="false">Pressupostos!$D$285</f>
        <v>0.08</v>
      </c>
      <c r="E3709" s="78" t="n">
        <f aca="false">Pressupostos!$E$285</f>
        <v>0.075</v>
      </c>
      <c r="F3709" s="78" t="n">
        <f aca="false">Pressupostos!$F$285</f>
        <v>0.07</v>
      </c>
      <c r="G3709" s="78" t="n">
        <f aca="false">Pressupostos!$G$285</f>
        <v>0.07</v>
      </c>
      <c r="H3709" s="2" t="s">
        <v>1393</v>
      </c>
    </row>
    <row r="3710" customFormat="false" ht="15" hidden="false" customHeight="false" outlineLevel="1" collapsed="false">
      <c r="A3710" s="7" t="s">
        <v>770</v>
      </c>
      <c r="B3710" s="8" t="s">
        <v>71</v>
      </c>
      <c r="C3710" s="56" t="n">
        <f aca="false">Pressupostos!$C$285*(1-Pressupostos!$C$109)</f>
        <v>0.0576</v>
      </c>
      <c r="D3710" s="56" t="n">
        <f aca="false">Pressupostos!$D$285*(1-Pressupostos!$C$109)</f>
        <v>0.0576</v>
      </c>
      <c r="E3710" s="56" t="n">
        <f aca="false">Pressupostos!$E$285*(1-Pressupostos!$C$109)</f>
        <v>0.054</v>
      </c>
      <c r="F3710" s="56" t="n">
        <f aca="false">Pressupostos!$F$285*(1-Pressupostos!$C$109)</f>
        <v>0.0504</v>
      </c>
      <c r="G3710" s="56" t="n">
        <f aca="false">Pressupostos!$G$285*(1-Pressupostos!$C$109)</f>
        <v>0.0504</v>
      </c>
      <c r="H3710" s="2" t="s">
        <v>1394</v>
      </c>
    </row>
    <row r="3711" customFormat="false" ht="15" hidden="false" customHeight="false" outlineLevel="1" collapsed="false">
      <c r="A3711" s="7" t="s">
        <v>771</v>
      </c>
      <c r="B3711" s="8" t="s">
        <v>10</v>
      </c>
      <c r="C3711" s="58" t="n">
        <f aca="false">C3549</f>
        <v>0</v>
      </c>
      <c r="D3711" s="58" t="n">
        <f aca="false">D3549</f>
        <v>38774.2191780822</v>
      </c>
      <c r="E3711" s="58" t="n">
        <f aca="false">E3549</f>
        <v>77308.7093321918</v>
      </c>
      <c r="F3711" s="58" t="n">
        <f aca="false">F3549</f>
        <v>121350.136130137</v>
      </c>
      <c r="G3711" s="58" t="n">
        <f aca="false">G3549</f>
        <v>178001.429794521</v>
      </c>
      <c r="H3711" s="2" t="s">
        <v>1395</v>
      </c>
    </row>
    <row r="3712" customFormat="false" ht="15" hidden="false" customHeight="false" outlineLevel="1" collapsed="false">
      <c r="A3712" s="7" t="s">
        <v>772</v>
      </c>
      <c r="B3712" s="8" t="s">
        <v>71</v>
      </c>
      <c r="C3712" s="55" t="n">
        <f aca="false">IF(C3643&gt;0,(C3646+C3648)/C3643,0)</f>
        <v>0</v>
      </c>
      <c r="D3712" s="55" t="n">
        <f aca="false">IF(D3643&gt;0,(D3646+D3648)/D3643,0)</f>
        <v>0.138888888888889</v>
      </c>
      <c r="E3712" s="55" t="n">
        <f aca="false">IF(E3643&gt;0,(E3646+E3648)/E3643,0)</f>
        <v>0.138888888888889</v>
      </c>
      <c r="F3712" s="55" t="n">
        <f aca="false">IF(F3643&gt;0,(F3646+F3648)/F3643,0)</f>
        <v>0.138888888888889</v>
      </c>
      <c r="G3712" s="55" t="n">
        <f aca="false">IF(G3643&gt;0,(G3646+G3648)/G3643,0)</f>
        <v>0.138888888888889</v>
      </c>
      <c r="H3712" s="2" t="s">
        <v>1396</v>
      </c>
    </row>
    <row r="3713" customFormat="false" ht="15" hidden="false" customHeight="false" outlineLevel="1" collapsed="false">
      <c r="A3713" s="7" t="s">
        <v>773</v>
      </c>
      <c r="B3713" s="8" t="s">
        <v>115</v>
      </c>
      <c r="C3713" s="58" t="n">
        <f aca="false">C3649</f>
        <v>0</v>
      </c>
      <c r="D3713" s="58" t="n">
        <f aca="false">D3649</f>
        <v>10.4748515753425</v>
      </c>
      <c r="E3713" s="58" t="n">
        <f aca="false">E3649</f>
        <v>22.4280659589041</v>
      </c>
      <c r="F3713" s="58" t="n">
        <f aca="false">F3649</f>
        <v>37.7253067808219</v>
      </c>
      <c r="G3713" s="58" t="n">
        <f aca="false">G3649</f>
        <v>55.3597582191781</v>
      </c>
      <c r="H3713" s="2" t="s">
        <v>1397</v>
      </c>
    </row>
    <row r="3714" customFormat="false" ht="15" hidden="false" customHeight="false" outlineLevel="0" collapsed="false">
      <c r="A3714" s="3" t="s">
        <v>1398</v>
      </c>
      <c r="B3714" s="4"/>
      <c r="C3714" s="4"/>
      <c r="D3714" s="4"/>
      <c r="E3714" s="4"/>
      <c r="F3714" s="4"/>
      <c r="G3714" s="4"/>
      <c r="H3714" s="4"/>
    </row>
    <row r="3715" customFormat="false" ht="15" hidden="false" customHeight="false" outlineLevel="1" collapsed="false">
      <c r="A3715" s="7" t="s">
        <v>775</v>
      </c>
      <c r="B3715" s="8" t="s">
        <v>10</v>
      </c>
      <c r="C3715" s="58" t="n">
        <f aca="false">MAX(0,-C3617)</f>
        <v>586332.91635274</v>
      </c>
      <c r="D3715" s="58" t="n">
        <f aca="false">MAX(0,-D3617)</f>
        <v>679963.533732877</v>
      </c>
      <c r="E3715" s="58" t="n">
        <f aca="false">MAX(0,-E3617)</f>
        <v>692917.688343322</v>
      </c>
      <c r="F3715" s="58" t="n">
        <f aca="false">MAX(0,-F3617)</f>
        <v>653510.927099033</v>
      </c>
      <c r="G3715" s="58" t="n">
        <f aca="false">MAX(0,-G3617)</f>
        <v>529540.381498266</v>
      </c>
      <c r="H3715" s="2" t="s">
        <v>1399</v>
      </c>
    </row>
    <row r="3716" customFormat="false" ht="15" hidden="false" customHeight="false" outlineLevel="1" collapsed="false">
      <c r="A3716" s="2" t="s">
        <v>776</v>
      </c>
      <c r="B3716" s="8"/>
      <c r="C3716" s="58" t="n">
        <f aca="false">IF(AND(C3418&gt;=Pressupostos!$C$118,Pressupostos!$C$116*(C3506+C3507)+Pressupostos!$C$117*C3508&gt;Pressupostos!$C$297),1,0)</f>
        <v>0</v>
      </c>
      <c r="D3716" s="58" t="n">
        <f aca="false">IF(AND(D3418&gt;=Pressupostos!$C$118,Pressupostos!$C$116*(D3506+D3507)+Pressupostos!$C$117*D3508&gt;Pressupostos!$D$297),1,0)</f>
        <v>1</v>
      </c>
      <c r="E3716" s="58" t="n">
        <f aca="false">IF(AND(E3418&gt;=Pressupostos!$C$118,Pressupostos!$C$116*(E3506+E3507)+Pressupostos!$C$117*E3508&gt;Pressupostos!$E$297),1,0)</f>
        <v>1</v>
      </c>
      <c r="F3716" s="58" t="n">
        <f aca="false">IF(AND(F3418&gt;=Pressupostos!$C$118,Pressupostos!$C$116*(F3506+F3507)+Pressupostos!$C$117*F3508&gt;Pressupostos!$F$297),1,0)</f>
        <v>1</v>
      </c>
      <c r="G3716" s="58" t="n">
        <f aca="false">IF(AND(G3418&gt;=Pressupostos!$C$118,Pressupostos!$C$116*(G3506+G3507)+Pressupostos!$C$117*G3508&gt;Pressupostos!$G$297),1,0)</f>
        <v>1</v>
      </c>
      <c r="H3716" s="2" t="s">
        <v>1400</v>
      </c>
    </row>
    <row r="3717" customFormat="false" ht="15" hidden="false" customHeight="false" outlineLevel="1" collapsed="false">
      <c r="A3717" s="7" t="s">
        <v>777</v>
      </c>
      <c r="B3717" s="8" t="s">
        <v>59</v>
      </c>
      <c r="C3717" s="60" t="n">
        <f aca="false">IF(C3422&gt;0,C3715/(C3422*1000*(1-Pressupostos!$F$22)*(1-Pressupostos!$F$25-C3716*Pressupostos!$C$116)),"n/a")</f>
        <v>11.309561691859</v>
      </c>
      <c r="D3717" s="60" t="n">
        <f aca="false">IF(D3422&gt;0,D3715/(D3422*1000*(1-Pressupostos!$F$22)*(1-Pressupostos!$F$25-D3716*Pressupostos!$C$116)),"n/a")</f>
        <v>1.88638245607094</v>
      </c>
      <c r="E3717" s="60" t="n">
        <f aca="false">IF(E3422&gt;0,E3715/(E3422*1000*(1-Pressupostos!$F$22)*(1-Pressupostos!$F$25-E3716*Pressupostos!$C$116)),"n/a")</f>
        <v>0.973224971373284</v>
      </c>
      <c r="F3717" s="60" t="n">
        <f aca="false">IF(F3422&gt;0,F3715/(F3422*1000*(1-Pressupostos!$F$22)*(1-Pressupostos!$F$25-F3716*Pressupostos!$C$116)),"n/a")</f>
        <v>0.556312553980171</v>
      </c>
      <c r="G3717" s="60" t="n">
        <f aca="false">IF(G3422&gt;0,G3715/(G3422*1000*(1-Pressupostos!$F$22)*(1-Pressupostos!$F$25-G3716*Pressupostos!$C$116)),"n/a")</f>
        <v>0.297918041653736</v>
      </c>
      <c r="H3717" s="2" t="s">
        <v>1401</v>
      </c>
    </row>
    <row r="3718" customFormat="false" ht="15" hidden="false" customHeight="false" outlineLevel="1" collapsed="false">
      <c r="A3718" s="7" t="s">
        <v>778</v>
      </c>
      <c r="B3718" s="8" t="s">
        <v>59</v>
      </c>
      <c r="C3718" s="60" t="n">
        <f aca="false">IF(C3421&gt;0,Pressupostos!$F$15+C3715/(C3421*1000*(1-(Pressupostos!$C$189))*(1-Pressupostos!$F$18-C3716*Pressupostos!$C$116)),"n/a")</f>
        <v>85.9284755078901</v>
      </c>
      <c r="D3718" s="60" t="n">
        <f aca="false">IF(D3421&gt;0,Pressupostos!$F$15+D3715/(D3421*1000*(1-(Pressupostos!$C$189))*(1-Pressupostos!$F$18-D3716*Pressupostos!$C$116)),"n/a")</f>
        <v>30.8177724392206</v>
      </c>
      <c r="E3718" s="60" t="n">
        <f aca="false">IF(E3421&gt;0,Pressupostos!$F$15+E3715/(E3421*1000*(1-(Pressupostos!$C$189))*(1-Pressupostos!$F$18-E3716*Pressupostos!$C$116)),"n/a")</f>
        <v>15.4839682508462</v>
      </c>
      <c r="F3718" s="60" t="n">
        <f aca="false">IF(F3421&gt;0,Pressupostos!$F$15+F3715/(F3421*1000*(1-(Pressupostos!$C$189))*(1-Pressupostos!$F$18-F3716*Pressupostos!$C$116)),"n/a")</f>
        <v>11.1112043946944</v>
      </c>
      <c r="G3718" s="60" t="n">
        <f aca="false">IF(G3421&gt;0,Pressupostos!$F$15+G3715/(G3421*1000*(1-(Pressupostos!$C$189))*(1-Pressupostos!$F$18-G3716*Pressupostos!$C$116)),"n/a")</f>
        <v>8.89912885767302</v>
      </c>
      <c r="H3718" s="2" t="s">
        <v>1402</v>
      </c>
    </row>
    <row r="3719" customFormat="false" ht="15" hidden="false" customHeight="false" outlineLevel="1" collapsed="false">
      <c r="A3719" s="7" t="s">
        <v>779</v>
      </c>
      <c r="B3719" s="8" t="s">
        <v>59</v>
      </c>
      <c r="C3719" s="60" t="n">
        <f aca="false">C3502-C3716*Pressupostos!$C$117*C3485</f>
        <v>0.058762328767124</v>
      </c>
      <c r="D3719" s="60" t="n">
        <f aca="false">D3502-D3716*Pressupostos!$C$117*D3485</f>
        <v>0.0255719178082197</v>
      </c>
      <c r="E3719" s="60" t="n">
        <f aca="false">E3502-E3716*Pressupostos!$C$117*E3485</f>
        <v>0.0271900684931515</v>
      </c>
      <c r="F3719" s="60" t="n">
        <f aca="false">F3502-F3716*Pressupostos!$C$117*F3485</f>
        <v>0.0288082191780828</v>
      </c>
      <c r="G3719" s="60" t="n">
        <f aca="false">G3502-G3716*Pressupostos!$C$117*G3485</f>
        <v>0.0288082191780828</v>
      </c>
      <c r="H3719" s="2" t="s">
        <v>1403</v>
      </c>
    </row>
    <row r="3720" customFormat="false" ht="15" hidden="false" customHeight="false" outlineLevel="1" collapsed="false">
      <c r="A3720" s="7" t="s">
        <v>780</v>
      </c>
      <c r="B3720" s="8" t="s">
        <v>112</v>
      </c>
      <c r="C3720" s="57" t="n">
        <f aca="false">IF(C3719&gt;0,C3423+C3715/(C3719*1000),"n/a")</f>
        <v>9978.04084103587</v>
      </c>
      <c r="D3720" s="57" t="n">
        <f aca="false">IF(D3719&gt;0,D3423+D3715/(D3719*1000),"n/a")</f>
        <v>27090.243986875</v>
      </c>
      <c r="E3720" s="57" t="n">
        <f aca="false">IF(E3719&gt;0,E3423+E3715/(E3719*1000),"n/a")</f>
        <v>26984.2200385722</v>
      </c>
      <c r="F3720" s="57" t="n">
        <f aca="false">IF(F3719&gt;0,F3423+F3715/(F3719*1000),"n/a")</f>
        <v>25184.8776406221</v>
      </c>
      <c r="G3720" s="57" t="n">
        <f aca="false">IF(G3719&gt;0,G3423+G3715/(G3719*1000),"n/a")</f>
        <v>21881.5729193403</v>
      </c>
      <c r="H3720" s="2" t="s">
        <v>1404</v>
      </c>
    </row>
    <row r="3721" customFormat="false" ht="15" hidden="false" customHeight="false" outlineLevel="1" collapsed="false">
      <c r="A3721" s="7" t="s">
        <v>781</v>
      </c>
      <c r="B3721" s="8" t="s">
        <v>71</v>
      </c>
      <c r="C3721" s="55" t="n">
        <f aca="false">C3715/(C3581+C3594+C3595)</f>
        <v>0.974504132631807</v>
      </c>
      <c r="D3721" s="55" t="n">
        <f aca="false">D3715/(D3581+D3594+D3595)</f>
        <v>0.894384857584923</v>
      </c>
      <c r="E3721" s="55" t="n">
        <f aca="false">E3715/(E3581+E3594+E3595)</f>
        <v>0.759854556327702</v>
      </c>
      <c r="F3721" s="55" t="n">
        <f aca="false">F3715/(F3581+F3594+F3595)</f>
        <v>0.615522531488328</v>
      </c>
      <c r="G3721" s="55" t="n">
        <f aca="false">G3715/(G3581+G3594+G3595)</f>
        <v>0.454113856928742</v>
      </c>
      <c r="H3721" s="2" t="s">
        <v>1405</v>
      </c>
    </row>
    <row r="3722" customFormat="false" ht="15" hidden="false" customHeight="false" outlineLevel="1" collapsed="false">
      <c r="A3722" s="2" t="s">
        <v>782</v>
      </c>
      <c r="B3722" s="8" t="s">
        <v>71</v>
      </c>
      <c r="C3722" s="56" t="n">
        <f aca="false">Pressupostos!$C$99*Pressupostos!$C$100+Pressupostos!$C$101-Pressupostos!$F$30*Pressupostos!$C$102*Pressupostos!$C$100/(Pressupostos!$C$103*Pressupostos!$C$104)</f>
        <v>0.02</v>
      </c>
      <c r="D3722" s="56" t="n">
        <f aca="false">Pressupostos!$C$99*Pressupostos!$C$100+Pressupostos!$C$101-Pressupostos!$F$30*Pressupostos!$C$102*Pressupostos!$C$100/(Pressupostos!$C$103*Pressupostos!$C$104)</f>
        <v>0.02</v>
      </c>
      <c r="E3722" s="56" t="n">
        <f aca="false">Pressupostos!$C$99*Pressupostos!$C$100+Pressupostos!$C$101-Pressupostos!$F$30*Pressupostos!$C$102*Pressupostos!$C$100/(Pressupostos!$C$103*Pressupostos!$C$104)</f>
        <v>0.02</v>
      </c>
      <c r="F3722" s="56" t="n">
        <f aca="false">Pressupostos!$C$99*Pressupostos!$C$100+Pressupostos!$C$101-Pressupostos!$F$30*Pressupostos!$C$102*Pressupostos!$C$100/(Pressupostos!$C$103*Pressupostos!$C$104)</f>
        <v>0.02</v>
      </c>
      <c r="G3722" s="56" t="n">
        <f aca="false">Pressupostos!$C$99*Pressupostos!$C$100+Pressupostos!$C$101-Pressupostos!$F$30*Pressupostos!$C$102*Pressupostos!$C$100/(Pressupostos!$C$103*Pressupostos!$C$104)</f>
        <v>0.02</v>
      </c>
      <c r="H3722" s="2" t="s">
        <v>1406</v>
      </c>
    </row>
    <row r="3723" customFormat="false" ht="15" hidden="false" customHeight="false" outlineLevel="1" collapsed="false">
      <c r="A3723" s="7" t="s">
        <v>783</v>
      </c>
      <c r="B3723" s="8" t="s">
        <v>10</v>
      </c>
      <c r="C3723" s="58" t="n">
        <f aca="false">IF(C3722&gt;0,C3434+C3715/C3722,"n/a")</f>
        <v>29316645.817637</v>
      </c>
      <c r="D3723" s="58" t="n">
        <f aca="false">IF(D3722&gt;0,D3434+D3715/D3722,"n/a")</f>
        <v>34498176.6866438</v>
      </c>
      <c r="E3723" s="58" t="n">
        <f aca="false">IF(E3722&gt;0,E3434+E3715/E3722,"n/a")</f>
        <v>36145884.4171661</v>
      </c>
      <c r="F3723" s="58" t="n">
        <f aca="false">IF(F3722&gt;0,F3434+F3715/F3722,"n/a")</f>
        <v>35675546.3549516</v>
      </c>
      <c r="G3723" s="58" t="n">
        <f aca="false">IF(G3722&gt;0,G3434+G3715/G3722,"n/a")</f>
        <v>31477019.0749133</v>
      </c>
      <c r="H3723" s="2" t="s">
        <v>1407</v>
      </c>
    </row>
    <row r="3726" customFormat="false" ht="15" hidden="false" customHeight="false" outlineLevel="0" collapsed="false">
      <c r="A3726" s="104" t="s">
        <v>1419</v>
      </c>
      <c r="B3726" s="105"/>
      <c r="C3726" s="105"/>
      <c r="D3726" s="105"/>
      <c r="E3726" s="105"/>
      <c r="F3726" s="105"/>
      <c r="G3726" s="105"/>
      <c r="H3726" s="105"/>
    </row>
    <row r="3727" customFormat="false" ht="15" hidden="false" customHeight="false" outlineLevel="0" collapsed="false">
      <c r="A3727" s="3" t="s">
        <v>1102</v>
      </c>
      <c r="B3727" s="4"/>
      <c r="C3727" s="4"/>
      <c r="D3727" s="4"/>
      <c r="E3727" s="4"/>
      <c r="F3727" s="4"/>
      <c r="G3727" s="4"/>
      <c r="H3727" s="4"/>
    </row>
    <row r="3728" customFormat="false" ht="15" hidden="false" customHeight="false" outlineLevel="1" collapsed="false">
      <c r="A3728" s="7" t="s">
        <v>557</v>
      </c>
      <c r="B3728" s="8"/>
      <c r="C3728" s="49" t="n">
        <v>2027</v>
      </c>
      <c r="D3728" s="49" t="n">
        <v>2028</v>
      </c>
      <c r="E3728" s="49" t="n">
        <v>2029</v>
      </c>
      <c r="F3728" s="49" t="n">
        <v>2030</v>
      </c>
      <c r="G3728" s="49" t="n">
        <v>2031</v>
      </c>
      <c r="H3728" s="2" t="s">
        <v>18</v>
      </c>
    </row>
    <row r="3729" customFormat="false" ht="15" hidden="false" customHeight="false" outlineLevel="0" collapsed="false">
      <c r="A3729" s="3" t="s">
        <v>1103</v>
      </c>
      <c r="B3729" s="4"/>
      <c r="C3729" s="4"/>
      <c r="D3729" s="4"/>
      <c r="E3729" s="4"/>
      <c r="F3729" s="4"/>
      <c r="G3729" s="4"/>
      <c r="H3729" s="4"/>
    </row>
    <row r="3730" customFormat="false" ht="15" hidden="false" customHeight="false" outlineLevel="1" collapsed="false">
      <c r="A3730" s="7" t="s">
        <v>372</v>
      </c>
      <c r="B3730" s="8" t="s">
        <v>115</v>
      </c>
      <c r="C3730" s="50" t="n">
        <f aca="false">Pressupostos!$C$210</f>
        <v>40</v>
      </c>
      <c r="D3730" s="50" t="n">
        <f aca="false">Pressupostos!$D$210</f>
        <v>150</v>
      </c>
      <c r="E3730" s="50" t="n">
        <f aca="false">Pressupostos!$E$210</f>
        <v>400</v>
      </c>
      <c r="F3730" s="50" t="n">
        <f aca="false">Pressupostos!$F$210</f>
        <v>700</v>
      </c>
      <c r="G3730" s="50" t="n">
        <f aca="false">Pressupostos!$G$210</f>
        <v>1000</v>
      </c>
      <c r="H3730" s="2" t="s">
        <v>1104</v>
      </c>
    </row>
    <row r="3731" customFormat="false" ht="15" hidden="false" customHeight="false" outlineLevel="1" collapsed="false">
      <c r="A3731" s="7" t="s">
        <v>559</v>
      </c>
      <c r="B3731" s="8" t="s">
        <v>112</v>
      </c>
      <c r="C3731" s="51" t="n">
        <f aca="false">Pressupostos!$C$216</f>
        <v>8.2</v>
      </c>
      <c r="D3731" s="51" t="n">
        <f aca="false">Pressupostos!$D$216</f>
        <v>30.75</v>
      </c>
      <c r="E3731" s="51" t="n">
        <f aca="false">Pressupostos!$E$216</f>
        <v>82</v>
      </c>
      <c r="F3731" s="51" t="n">
        <f aca="false">Pressupostos!$F$216</f>
        <v>143.5</v>
      </c>
      <c r="G3731" s="51" t="n">
        <f aca="false">Pressupostos!$G$216</f>
        <v>205</v>
      </c>
      <c r="H3731" s="2" t="s">
        <v>1105</v>
      </c>
    </row>
    <row r="3732" customFormat="false" ht="15" hidden="false" customHeight="false" outlineLevel="1" collapsed="false">
      <c r="A3732" s="7" t="s">
        <v>560</v>
      </c>
      <c r="B3732" s="8" t="s">
        <v>112</v>
      </c>
      <c r="C3732" s="51" t="n">
        <f aca="false">Pressupostos!$C$222</f>
        <v>52</v>
      </c>
      <c r="D3732" s="51" t="n">
        <f aca="false">Pressupostos!$D$222</f>
        <v>363</v>
      </c>
      <c r="E3732" s="51" t="n">
        <f aca="false">Pressupostos!$E$222</f>
        <v>717</v>
      </c>
      <c r="F3732" s="51" t="n">
        <f aca="false">Pressupostos!$F$222</f>
        <v>1183</v>
      </c>
      <c r="G3732" s="51" t="n">
        <f aca="false">Pressupostos!$G$222</f>
        <v>1790</v>
      </c>
      <c r="H3732" s="2" t="s">
        <v>1106</v>
      </c>
    </row>
    <row r="3733" customFormat="false" ht="15" hidden="false" customHeight="false" outlineLevel="1" collapsed="false">
      <c r="A3733" s="7" t="s">
        <v>383</v>
      </c>
      <c r="B3733" s="8" t="s">
        <v>112</v>
      </c>
      <c r="C3733" s="51" t="n">
        <f aca="false">Pressupostos!$C$228</f>
        <v>0</v>
      </c>
      <c r="D3733" s="51" t="n">
        <f aca="false">Pressupostos!$D$228</f>
        <v>500</v>
      </c>
      <c r="E3733" s="51" t="n">
        <f aca="false">Pressupostos!$E$228</f>
        <v>1500</v>
      </c>
      <c r="F3733" s="51" t="n">
        <f aca="false">Pressupostos!$F$228</f>
        <v>2500</v>
      </c>
      <c r="G3733" s="51" t="n">
        <f aca="false">Pressupostos!$G$228</f>
        <v>3500</v>
      </c>
      <c r="H3733" s="2" t="s">
        <v>1107</v>
      </c>
    </row>
    <row r="3734" customFormat="false" ht="15" hidden="false" customHeight="false" outlineLevel="1" collapsed="false">
      <c r="A3734" s="52" t="s">
        <v>561</v>
      </c>
      <c r="B3734" s="53" t="s">
        <v>112</v>
      </c>
      <c r="C3734" s="54" t="n">
        <f aca="false">C3731+C3732+C3733</f>
        <v>60.2</v>
      </c>
      <c r="D3734" s="54" t="n">
        <f aca="false">D3731+D3732+D3733</f>
        <v>893.75</v>
      </c>
      <c r="E3734" s="54" t="n">
        <f aca="false">E3731+E3732+E3733</f>
        <v>2299</v>
      </c>
      <c r="F3734" s="54" t="n">
        <f aca="false">F3731+F3732+F3733</f>
        <v>3826.5</v>
      </c>
      <c r="G3734" s="54" t="n">
        <f aca="false">G3731+G3732+G3733</f>
        <v>5495</v>
      </c>
      <c r="H3734" s="2" t="s">
        <v>1108</v>
      </c>
    </row>
    <row r="3735" customFormat="false" ht="15" hidden="false" customHeight="false" outlineLevel="1" collapsed="false">
      <c r="A3735" s="7" t="s">
        <v>562</v>
      </c>
      <c r="B3735" s="8" t="s">
        <v>71</v>
      </c>
      <c r="C3735" s="55" t="n">
        <f aca="false">IF(C3734&gt;0,C3731/C3734,0)</f>
        <v>0.136212624584718</v>
      </c>
      <c r="D3735" s="55" t="n">
        <f aca="false">IF(D3734&gt;0,D3731/D3734,0)</f>
        <v>0.0344055944055944</v>
      </c>
      <c r="E3735" s="55" t="n">
        <f aca="false">IF(E3734&gt;0,E3731/E3734,0)</f>
        <v>0.035667681600696</v>
      </c>
      <c r="F3735" s="55" t="n">
        <f aca="false">IF(F3734&gt;0,F3731/F3734,0)</f>
        <v>0.0375016333464001</v>
      </c>
      <c r="G3735" s="55" t="n">
        <f aca="false">IF(G3734&gt;0,G3731/G3734,0)</f>
        <v>0.0373066424021838</v>
      </c>
      <c r="H3735" s="2" t="s">
        <v>1109</v>
      </c>
    </row>
    <row r="3736" customFormat="false" ht="15" hidden="false" customHeight="false" outlineLevel="1" collapsed="false">
      <c r="A3736" s="7" t="s">
        <v>563</v>
      </c>
      <c r="B3736" s="8" t="s">
        <v>71</v>
      </c>
      <c r="C3736" s="56" t="n">
        <f aca="false">C3734/(Pressupostos!$C$74*1000)</f>
        <v>0.000344</v>
      </c>
      <c r="D3736" s="56" t="n">
        <f aca="false">D3734/(Pressupostos!$C$74*1000)</f>
        <v>0.00510714285714286</v>
      </c>
      <c r="E3736" s="56" t="n">
        <f aca="false">E3734/(Pressupostos!$C$74*1000)</f>
        <v>0.0131371428571429</v>
      </c>
      <c r="F3736" s="56" t="n">
        <f aca="false">F3734/(Pressupostos!$C$74*1000)</f>
        <v>0.0218657142857143</v>
      </c>
      <c r="G3736" s="56" t="n">
        <f aca="false">G3734/(Pressupostos!$C$74*1000)</f>
        <v>0.0314</v>
      </c>
      <c r="H3736" s="2" t="s">
        <v>1110</v>
      </c>
    </row>
    <row r="3737" customFormat="false" ht="15" hidden="false" customHeight="false" outlineLevel="1" collapsed="false">
      <c r="A3737" s="7" t="s">
        <v>564</v>
      </c>
      <c r="B3737" s="8" t="s">
        <v>115</v>
      </c>
      <c r="C3737" s="57" t="n">
        <f aca="false">C3731/Pressupostos!$C$39+C3732/Pressupostos!$C$46+C3733/Pressupostos!$C$58</f>
        <v>2.14333333333333</v>
      </c>
      <c r="D3737" s="57" t="n">
        <f aca="false">D3731/Pressupostos!$C$39+D3732/Pressupostos!$C$46+D3733/Pressupostos!$C$58</f>
        <v>18.6375</v>
      </c>
      <c r="E3737" s="57" t="n">
        <f aca="false">E3731/Pressupostos!$C$39+E3732/Pressupostos!$C$46+E3733/Pressupostos!$C$58</f>
        <v>43</v>
      </c>
      <c r="F3737" s="57" t="n">
        <f aca="false">F3731/Pressupostos!$C$39+F3732/Pressupostos!$C$46+F3733/Pressupostos!$C$58</f>
        <v>71.6083333333333</v>
      </c>
      <c r="G3737" s="57" t="n">
        <f aca="false">G3731/Pressupostos!$C$39+G3732/Pressupostos!$C$46+G3733/Pressupostos!$C$58</f>
        <v>104.916666666667</v>
      </c>
      <c r="H3737" s="2" t="s">
        <v>1111</v>
      </c>
    </row>
    <row r="3738" customFormat="false" ht="15" hidden="false" customHeight="false" outlineLevel="0" collapsed="false">
      <c r="A3738" s="3" t="s">
        <v>1112</v>
      </c>
      <c r="B3738" s="4"/>
      <c r="C3738" s="4"/>
      <c r="D3738" s="4"/>
      <c r="E3738" s="4"/>
      <c r="F3738" s="4"/>
      <c r="G3738" s="4"/>
      <c r="H3738" s="4"/>
    </row>
    <row r="3739" customFormat="false" ht="15" hidden="false" customHeight="false" outlineLevel="1" collapsed="false">
      <c r="A3739" s="7" t="s">
        <v>566</v>
      </c>
      <c r="B3739" s="8" t="s">
        <v>192</v>
      </c>
      <c r="C3739" s="50" t="n">
        <f aca="false">Pressupostos!$C$254</f>
        <v>36</v>
      </c>
      <c r="D3739" s="50" t="n">
        <f aca="false">Pressupostos!$D$254</f>
        <v>135</v>
      </c>
      <c r="E3739" s="50" t="n">
        <f aca="false">Pressupostos!$E$254</f>
        <v>360</v>
      </c>
      <c r="F3739" s="50" t="n">
        <f aca="false">Pressupostos!$F$254</f>
        <v>630</v>
      </c>
      <c r="G3739" s="50" t="n">
        <f aca="false">Pressupostos!$G$254</f>
        <v>900</v>
      </c>
      <c r="H3739" s="2" t="s">
        <v>1113</v>
      </c>
    </row>
    <row r="3740" customFormat="false" ht="15" hidden="false" customHeight="false" outlineLevel="1" collapsed="false">
      <c r="A3740" s="7" t="s">
        <v>566</v>
      </c>
      <c r="B3740" s="8" t="s">
        <v>179</v>
      </c>
      <c r="C3740" s="58" t="n">
        <f aca="false">C3739*Pressupostos!$C$76</f>
        <v>27000</v>
      </c>
      <c r="D3740" s="58" t="n">
        <f aca="false">D3739*Pressupostos!$C$76</f>
        <v>101250</v>
      </c>
      <c r="E3740" s="58" t="n">
        <f aca="false">E3739*Pressupostos!$C$76</f>
        <v>270000</v>
      </c>
      <c r="F3740" s="58" t="n">
        <f aca="false">F3739*Pressupostos!$C$76</f>
        <v>472500</v>
      </c>
      <c r="G3740" s="58" t="n">
        <f aca="false">G3739*Pressupostos!$C$76</f>
        <v>675000</v>
      </c>
      <c r="H3740" s="2" t="s">
        <v>1114</v>
      </c>
    </row>
    <row r="3741" customFormat="false" ht="15" hidden="false" customHeight="false" outlineLevel="0" collapsed="false">
      <c r="A3741" s="3" t="s">
        <v>1115</v>
      </c>
      <c r="B3741" s="4"/>
      <c r="C3741" s="4"/>
      <c r="D3741" s="4"/>
      <c r="E3741" s="4"/>
      <c r="F3741" s="4"/>
      <c r="G3741" s="4"/>
      <c r="H3741" s="4"/>
    </row>
    <row r="3742" customFormat="false" ht="15" hidden="false" customHeight="false" outlineLevel="1" collapsed="false">
      <c r="A3742" s="7" t="s">
        <v>568</v>
      </c>
      <c r="B3742" s="8" t="s">
        <v>112</v>
      </c>
      <c r="C3742" s="57" t="n">
        <f aca="false">IF(C3728&lt;Pressupostos!$F$28,0,Pressupostos!$C$260)</f>
        <v>0</v>
      </c>
      <c r="D3742" s="57" t="n">
        <f aca="false">IF(D3728&lt;Pressupostos!$F$28,0,Pressupostos!$D$260)</f>
        <v>0</v>
      </c>
      <c r="E3742" s="57" t="n">
        <f aca="false">IF(E3728&lt;Pressupostos!$F$28,0,Pressupostos!$E$260)</f>
        <v>0</v>
      </c>
      <c r="F3742" s="57" t="n">
        <f aca="false">IF(F3728&lt;Pressupostos!$F$28,0,Pressupostos!$F$260)</f>
        <v>20</v>
      </c>
      <c r="G3742" s="57" t="n">
        <f aca="false">IF(G3728&lt;Pressupostos!$F$28,0,Pressupostos!$G$260)</f>
        <v>50</v>
      </c>
      <c r="H3742" s="2" t="s">
        <v>1116</v>
      </c>
    </row>
    <row r="3743" customFormat="false" ht="15" hidden="false" customHeight="false" outlineLevel="0" collapsed="false">
      <c r="A3743" s="3" t="s">
        <v>1117</v>
      </c>
      <c r="B3743" s="4"/>
      <c r="C3743" s="4"/>
      <c r="D3743" s="4"/>
      <c r="E3743" s="4"/>
      <c r="F3743" s="4"/>
      <c r="G3743" s="4"/>
      <c r="H3743" s="4"/>
    </row>
    <row r="3744" customFormat="false" ht="15" hidden="false" customHeight="false" outlineLevel="1" collapsed="false">
      <c r="A3744" s="7" t="s">
        <v>570</v>
      </c>
      <c r="B3744" s="8" t="s">
        <v>10</v>
      </c>
      <c r="C3744" s="50" t="n">
        <f aca="false">Pressupostos!$C$266</f>
        <v>0</v>
      </c>
      <c r="D3744" s="50" t="n">
        <f aca="false">Pressupostos!$D$266</f>
        <v>500000</v>
      </c>
      <c r="E3744" s="50" t="n">
        <f aca="false">Pressupostos!$E$266</f>
        <v>1500000</v>
      </c>
      <c r="F3744" s="50" t="n">
        <f aca="false">Pressupostos!$F$266</f>
        <v>3000000</v>
      </c>
      <c r="G3744" s="50" t="n">
        <f aca="false">Pressupostos!$G$266</f>
        <v>5000000</v>
      </c>
      <c r="H3744" s="2" t="s">
        <v>1118</v>
      </c>
    </row>
    <row r="3745" customFormat="false" ht="15" hidden="false" customHeight="false" outlineLevel="1" collapsed="false">
      <c r="A3745" s="7" t="s">
        <v>571</v>
      </c>
      <c r="B3745" s="8" t="s">
        <v>112</v>
      </c>
      <c r="C3745" s="57" t="n">
        <f aca="false">C3744/(Pressupostos!$C$103*Pressupostos!$C$104)*Pressupostos!$C$100/1000</f>
        <v>0</v>
      </c>
      <c r="D3745" s="57" t="n">
        <f aca="false">D3744/(Pressupostos!$C$103*Pressupostos!$C$104)*Pressupostos!$C$100/1000</f>
        <v>457.142857142857</v>
      </c>
      <c r="E3745" s="57" t="n">
        <f aca="false">E3744/(Pressupostos!$C$103*Pressupostos!$C$104)*Pressupostos!$C$100/1000</f>
        <v>1371.42857142857</v>
      </c>
      <c r="F3745" s="57" t="n">
        <f aca="false">F3744/(Pressupostos!$C$103*Pressupostos!$C$104)*Pressupostos!$C$100/1000</f>
        <v>2742.85714285714</v>
      </c>
      <c r="G3745" s="57" t="n">
        <f aca="false">G3744/(Pressupostos!$C$103*Pressupostos!$C$104)*Pressupostos!$C$100/1000</f>
        <v>4571.42857142857</v>
      </c>
      <c r="H3745" s="2" t="s">
        <v>1119</v>
      </c>
    </row>
    <row r="3746" customFormat="false" ht="15" hidden="false" customHeight="false" outlineLevel="0" collapsed="false">
      <c r="A3746" s="3" t="s">
        <v>1120</v>
      </c>
      <c r="B3746" s="4"/>
      <c r="C3746" s="4"/>
      <c r="D3746" s="4"/>
      <c r="E3746" s="4"/>
      <c r="F3746" s="4"/>
      <c r="G3746" s="4"/>
      <c r="H3746" s="4"/>
    </row>
    <row r="3747" customFormat="false" ht="15" hidden="false" customHeight="false" outlineLevel="1" collapsed="false">
      <c r="A3747" s="7" t="s">
        <v>633</v>
      </c>
      <c r="B3747" s="8" t="s">
        <v>59</v>
      </c>
      <c r="C3747" s="60" t="n">
        <f aca="false">Pressupostos!$F$10+Pressupostos!$F$11</f>
        <v>3.65</v>
      </c>
      <c r="D3747" s="60" t="n">
        <f aca="false">Pressupostos!$F$10+Pressupostos!$F$11</f>
        <v>3.65</v>
      </c>
      <c r="E3747" s="60" t="n">
        <f aca="false">Pressupostos!$F$10+Pressupostos!$F$11</f>
        <v>3.65</v>
      </c>
      <c r="F3747" s="60" t="n">
        <f aca="false">Pressupostos!$F$10+Pressupostos!$F$11</f>
        <v>3.65</v>
      </c>
      <c r="G3747" s="60" t="n">
        <f aca="false">Pressupostos!$F$10+Pressupostos!$F$11</f>
        <v>3.65</v>
      </c>
      <c r="H3747" s="2" t="s">
        <v>1121</v>
      </c>
    </row>
    <row r="3748" customFormat="false" ht="15" hidden="false" customHeight="false" outlineLevel="1" collapsed="false">
      <c r="A3748" s="7" t="s">
        <v>634</v>
      </c>
      <c r="B3748" s="8" t="s">
        <v>59</v>
      </c>
      <c r="C3748" s="63" t="n">
        <f aca="false">Pressupostos!$F$15</f>
        <v>6</v>
      </c>
      <c r="D3748" s="63" t="n">
        <f aca="false">Pressupostos!$F$15</f>
        <v>6</v>
      </c>
      <c r="E3748" s="63" t="n">
        <f aca="false">Pressupostos!$F$15</f>
        <v>6</v>
      </c>
      <c r="F3748" s="63" t="n">
        <f aca="false">Pressupostos!$F$15</f>
        <v>6</v>
      </c>
      <c r="G3748" s="63" t="n">
        <f aca="false">Pressupostos!$F$15</f>
        <v>6</v>
      </c>
      <c r="H3748" s="2" t="s">
        <v>1122</v>
      </c>
    </row>
    <row r="3749" customFormat="false" ht="15" hidden="false" customHeight="false" outlineLevel="1" collapsed="false">
      <c r="A3749" s="52" t="s">
        <v>635</v>
      </c>
      <c r="B3749" s="53" t="s">
        <v>59</v>
      </c>
      <c r="C3749" s="64" t="n">
        <f aca="false">C3748*(1-(Pressupostos!$C$190))</f>
        <v>5.25</v>
      </c>
      <c r="D3749" s="64" t="n">
        <f aca="false">D3748*(1-(Pressupostos!$C$190))</f>
        <v>5.25</v>
      </c>
      <c r="E3749" s="64" t="n">
        <f aca="false">E3748*(1-(Pressupostos!$C$190))</f>
        <v>5.25</v>
      </c>
      <c r="F3749" s="64" t="n">
        <f aca="false">F3748*(1-(Pressupostos!$C$190))</f>
        <v>5.25</v>
      </c>
      <c r="G3749" s="64" t="n">
        <f aca="false">G3748*(1-(Pressupostos!$C$190))</f>
        <v>5.25</v>
      </c>
      <c r="H3749" s="2" t="s">
        <v>1123</v>
      </c>
    </row>
    <row r="3750" customFormat="false" ht="15" hidden="false" customHeight="false" outlineLevel="1" collapsed="false">
      <c r="A3750" s="7" t="s">
        <v>136</v>
      </c>
      <c r="B3750" s="8" t="s">
        <v>59</v>
      </c>
      <c r="C3750" s="63" t="n">
        <f aca="false">Pressupostos!$C$37</f>
        <v>0.55</v>
      </c>
      <c r="D3750" s="63" t="n">
        <f aca="false">Pressupostos!$C$37</f>
        <v>0.55</v>
      </c>
      <c r="E3750" s="63" t="n">
        <f aca="false">Pressupostos!$C$37</f>
        <v>0.55</v>
      </c>
      <c r="F3750" s="63" t="n">
        <f aca="false">Pressupostos!$C$37</f>
        <v>0.55</v>
      </c>
      <c r="G3750" s="63" t="n">
        <f aca="false">Pressupostos!$C$37</f>
        <v>0.55</v>
      </c>
      <c r="H3750" s="2" t="s">
        <v>1124</v>
      </c>
    </row>
    <row r="3751" customFormat="false" ht="15" hidden="false" customHeight="false" outlineLevel="1" collapsed="false">
      <c r="A3751" s="7" t="s">
        <v>205</v>
      </c>
      <c r="B3751" s="8" t="s">
        <v>59</v>
      </c>
      <c r="C3751" s="63" t="n">
        <f aca="false">Pressupostos!$C$235</f>
        <v>0.3</v>
      </c>
      <c r="D3751" s="63" t="n">
        <f aca="false">Pressupostos!$D$235</f>
        <v>0.3</v>
      </c>
      <c r="E3751" s="63" t="n">
        <f aca="false">Pressupostos!$E$235</f>
        <v>0.28</v>
      </c>
      <c r="F3751" s="63" t="n">
        <f aca="false">Pressupostos!$F$235</f>
        <v>0.27</v>
      </c>
      <c r="G3751" s="63" t="n">
        <f aca="false">Pressupostos!$G$235</f>
        <v>0.27</v>
      </c>
      <c r="H3751" s="2" t="s">
        <v>1125</v>
      </c>
    </row>
    <row r="3752" customFormat="false" ht="15" hidden="false" customHeight="false" outlineLevel="1" collapsed="false">
      <c r="A3752" s="7" t="s">
        <v>109</v>
      </c>
      <c r="B3752" s="8" t="s">
        <v>59</v>
      </c>
      <c r="C3752" s="63" t="n">
        <f aca="false">Pressupostos!$C$38</f>
        <v>0.06</v>
      </c>
      <c r="D3752" s="63" t="n">
        <f aca="false">Pressupostos!$C$38</f>
        <v>0.06</v>
      </c>
      <c r="E3752" s="63" t="n">
        <f aca="false">Pressupostos!$C$38</f>
        <v>0.06</v>
      </c>
      <c r="F3752" s="63" t="n">
        <f aca="false">Pressupostos!$C$38</f>
        <v>0.06</v>
      </c>
      <c r="G3752" s="63" t="n">
        <f aca="false">Pressupostos!$C$38</f>
        <v>0.06</v>
      </c>
      <c r="H3752" s="2" t="s">
        <v>1126</v>
      </c>
    </row>
    <row r="3753" customFormat="false" ht="15" hidden="false" customHeight="false" outlineLevel="1" collapsed="false">
      <c r="A3753" s="7" t="s">
        <v>86</v>
      </c>
      <c r="B3753" s="8" t="s">
        <v>74</v>
      </c>
      <c r="C3753" s="65" t="n">
        <f aca="false">Pressupostos!$C$241</f>
        <v>180</v>
      </c>
      <c r="D3753" s="65" t="n">
        <f aca="false">Pressupostos!$D$241</f>
        <v>180</v>
      </c>
      <c r="E3753" s="65" t="n">
        <f aca="false">Pressupostos!$E$241</f>
        <v>45</v>
      </c>
      <c r="F3753" s="65" t="n">
        <f aca="false">Pressupostos!$F$241</f>
        <v>45</v>
      </c>
      <c r="G3753" s="65" t="n">
        <f aca="false">Pressupostos!$G$241</f>
        <v>45</v>
      </c>
      <c r="H3753" s="2" t="s">
        <v>1127</v>
      </c>
    </row>
    <row r="3754" customFormat="false" ht="15" hidden="false" customHeight="false" outlineLevel="1" collapsed="false">
      <c r="A3754" s="7" t="s">
        <v>73</v>
      </c>
      <c r="B3754" s="8" t="s">
        <v>74</v>
      </c>
      <c r="C3754" s="65" t="n">
        <f aca="false">Pressupostos!$F$17</f>
        <v>35</v>
      </c>
      <c r="D3754" s="65" t="n">
        <f aca="false">Pressupostos!$F$17</f>
        <v>35</v>
      </c>
      <c r="E3754" s="65" t="n">
        <f aca="false">Pressupostos!$F$17</f>
        <v>35</v>
      </c>
      <c r="F3754" s="65" t="n">
        <f aca="false">Pressupostos!$F$17</f>
        <v>35</v>
      </c>
      <c r="G3754" s="65" t="n">
        <f aca="false">Pressupostos!$F$17</f>
        <v>35</v>
      </c>
      <c r="H3754" s="2" t="s">
        <v>1128</v>
      </c>
    </row>
    <row r="3755" customFormat="false" ht="15" hidden="false" customHeight="false" outlineLevel="1" collapsed="false">
      <c r="A3755" s="7" t="s">
        <v>471</v>
      </c>
      <c r="B3755" s="8" t="s">
        <v>59</v>
      </c>
      <c r="C3755" s="60" t="n">
        <f aca="false">Pressupostos!$C$64*C3753/30/1000</f>
        <v>0.024</v>
      </c>
      <c r="D3755" s="60" t="n">
        <f aca="false">Pressupostos!$C$64*D3753/30/1000</f>
        <v>0.024</v>
      </c>
      <c r="E3755" s="60" t="n">
        <f aca="false">Pressupostos!$C$64*E3753/30/1000</f>
        <v>0.006</v>
      </c>
      <c r="F3755" s="60" t="n">
        <f aca="false">Pressupostos!$C$64*F3753/30/1000</f>
        <v>0.006</v>
      </c>
      <c r="G3755" s="60" t="n">
        <f aca="false">Pressupostos!$C$64*G3753/30/1000</f>
        <v>0.006</v>
      </c>
      <c r="H3755" s="2" t="s">
        <v>1129</v>
      </c>
    </row>
    <row r="3756" customFormat="false" ht="15" hidden="false" customHeight="false" outlineLevel="1" collapsed="false">
      <c r="A3756" s="7" t="s">
        <v>154</v>
      </c>
      <c r="B3756" s="8" t="s">
        <v>59</v>
      </c>
      <c r="C3756" s="60" t="n">
        <f aca="false">C3747*Pressupostos!$C$65*C3753/365</f>
        <v>0.0036</v>
      </c>
      <c r="D3756" s="60" t="n">
        <f aca="false">D3747*Pressupostos!$C$65*D3753/365</f>
        <v>0.0036</v>
      </c>
      <c r="E3756" s="60" t="n">
        <f aca="false">E3747*Pressupostos!$C$65*E3753/365</f>
        <v>0.0009</v>
      </c>
      <c r="F3756" s="60" t="n">
        <f aca="false">F3747*Pressupostos!$C$65*F3753/365</f>
        <v>0.0009</v>
      </c>
      <c r="G3756" s="60" t="n">
        <f aca="false">G3747*Pressupostos!$C$65*G3753/365</f>
        <v>0.0009</v>
      </c>
      <c r="H3756" s="2" t="s">
        <v>1130</v>
      </c>
    </row>
    <row r="3757" customFormat="false" ht="15" hidden="false" customHeight="false" outlineLevel="1" collapsed="false">
      <c r="A3757" s="7" t="s">
        <v>636</v>
      </c>
      <c r="B3757" s="8" t="s">
        <v>59</v>
      </c>
      <c r="C3757" s="60" t="n">
        <f aca="false">Pressupostos!$C$40*Pressupostos!$C$66/(Pressupostos!$C$39*1000)</f>
        <v>0.03</v>
      </c>
      <c r="D3757" s="60" t="n">
        <f aca="false">Pressupostos!$C$40*Pressupostos!$C$66/(Pressupostos!$C$39*1000)</f>
        <v>0.03</v>
      </c>
      <c r="E3757" s="60" t="n">
        <f aca="false">Pressupostos!$C$40*Pressupostos!$C$66/(Pressupostos!$C$39*1000)</f>
        <v>0.03</v>
      </c>
      <c r="F3757" s="60" t="n">
        <f aca="false">Pressupostos!$C$40*Pressupostos!$C$66/(Pressupostos!$C$39*1000)</f>
        <v>0.03</v>
      </c>
      <c r="G3757" s="60" t="n">
        <f aca="false">Pressupostos!$C$40*Pressupostos!$C$66/(Pressupostos!$C$39*1000)</f>
        <v>0.03</v>
      </c>
      <c r="H3757" s="2" t="s">
        <v>1131</v>
      </c>
    </row>
    <row r="3758" customFormat="false" ht="15" hidden="false" customHeight="false" outlineLevel="1" collapsed="false">
      <c r="A3758" s="7" t="s">
        <v>473</v>
      </c>
      <c r="B3758" s="8" t="s">
        <v>59</v>
      </c>
      <c r="C3758" s="60" t="n">
        <f aca="false">Pressupostos!$C$67*C3747</f>
        <v>0.01825</v>
      </c>
      <c r="D3758" s="60" t="n">
        <f aca="false">Pressupostos!$C$67*D3747</f>
        <v>0.01825</v>
      </c>
      <c r="E3758" s="60" t="n">
        <f aca="false">Pressupostos!$C$67*E3747</f>
        <v>0.01825</v>
      </c>
      <c r="F3758" s="60" t="n">
        <f aca="false">Pressupostos!$C$67*F3747</f>
        <v>0.01825</v>
      </c>
      <c r="G3758" s="60" t="n">
        <f aca="false">Pressupostos!$C$67*G3747</f>
        <v>0.01825</v>
      </c>
      <c r="H3758" s="2" t="s">
        <v>1132</v>
      </c>
    </row>
    <row r="3759" customFormat="false" ht="15" hidden="false" customHeight="false" outlineLevel="1" collapsed="false">
      <c r="A3759" s="7" t="s">
        <v>474</v>
      </c>
      <c r="B3759" s="8" t="s">
        <v>59</v>
      </c>
      <c r="C3759" s="60" t="n">
        <f aca="false">Pressupostos!$C$68*Pressupostos!$C$69*C3753/90</f>
        <v>0.018</v>
      </c>
      <c r="D3759" s="60" t="n">
        <f aca="false">Pressupostos!$C$68*Pressupostos!$C$69*D3753/90</f>
        <v>0.018</v>
      </c>
      <c r="E3759" s="60" t="n">
        <f aca="false">Pressupostos!$C$68*Pressupostos!$C$69*E3753/90</f>
        <v>0.0045</v>
      </c>
      <c r="F3759" s="60" t="n">
        <f aca="false">Pressupostos!$C$68*Pressupostos!$C$69*F3753/90</f>
        <v>0.0045</v>
      </c>
      <c r="G3759" s="60" t="n">
        <f aca="false">Pressupostos!$C$68*Pressupostos!$C$69*G3753/90</f>
        <v>0.0045</v>
      </c>
      <c r="H3759" s="2" t="s">
        <v>1133</v>
      </c>
    </row>
    <row r="3760" customFormat="false" ht="15" hidden="false" customHeight="false" outlineLevel="1" collapsed="false">
      <c r="A3760" s="7" t="s">
        <v>637</v>
      </c>
      <c r="B3760" s="8" t="s">
        <v>59</v>
      </c>
      <c r="C3760" s="60" t="n">
        <f aca="false">Pressupostos!$C$41/(Pressupostos!$C$39*1000)</f>
        <v>0.1</v>
      </c>
      <c r="D3760" s="60" t="n">
        <f aca="false">Pressupostos!$C$41/(Pressupostos!$C$39*1000)</f>
        <v>0.1</v>
      </c>
      <c r="E3760" s="60" t="n">
        <f aca="false">Pressupostos!$C$41/(Pressupostos!$C$39*1000)</f>
        <v>0.1</v>
      </c>
      <c r="F3760" s="60" t="n">
        <f aca="false">Pressupostos!$C$41/(Pressupostos!$C$39*1000)</f>
        <v>0.1</v>
      </c>
      <c r="G3760" s="60" t="n">
        <f aca="false">Pressupostos!$C$41/(Pressupostos!$C$39*1000)</f>
        <v>0.1</v>
      </c>
      <c r="H3760" s="2" t="s">
        <v>1134</v>
      </c>
    </row>
    <row r="3761" customFormat="false" ht="15" hidden="false" customHeight="false" outlineLevel="1" collapsed="false">
      <c r="A3761" s="7" t="s">
        <v>131</v>
      </c>
      <c r="B3761" s="8" t="s">
        <v>59</v>
      </c>
      <c r="C3761" s="63" t="n">
        <f aca="false">Pressupostos!$C$42</f>
        <v>0.01</v>
      </c>
      <c r="D3761" s="63" t="n">
        <f aca="false">Pressupostos!$C$42</f>
        <v>0.01</v>
      </c>
      <c r="E3761" s="63" t="n">
        <f aca="false">Pressupostos!$C$42</f>
        <v>0.01</v>
      </c>
      <c r="F3761" s="63" t="n">
        <f aca="false">Pressupostos!$C$42</f>
        <v>0.01</v>
      </c>
      <c r="G3761" s="63" t="n">
        <f aca="false">Pressupostos!$C$42</f>
        <v>0.01</v>
      </c>
      <c r="H3761" s="2" t="s">
        <v>1135</v>
      </c>
    </row>
    <row r="3762" customFormat="false" ht="15" hidden="false" customHeight="false" outlineLevel="1" collapsed="false">
      <c r="A3762" s="7" t="s">
        <v>76</v>
      </c>
      <c r="B3762" s="8" t="s">
        <v>59</v>
      </c>
      <c r="C3762" s="60" t="n">
        <f aca="false">Pressupostos!$F$18*C3749</f>
        <v>0.0315</v>
      </c>
      <c r="D3762" s="60" t="n">
        <f aca="false">Pressupostos!$F$18*D3749</f>
        <v>0.0315</v>
      </c>
      <c r="E3762" s="60" t="n">
        <f aca="false">Pressupostos!$F$18*E3749</f>
        <v>0.0315</v>
      </c>
      <c r="F3762" s="60" t="n">
        <f aca="false">Pressupostos!$F$18*F3749</f>
        <v>0.0315</v>
      </c>
      <c r="G3762" s="60" t="n">
        <f aca="false">Pressupostos!$F$18*G3749</f>
        <v>0.0315</v>
      </c>
      <c r="H3762" s="2" t="s">
        <v>1136</v>
      </c>
    </row>
    <row r="3763" customFormat="false" ht="15" hidden="false" customHeight="false" outlineLevel="1" collapsed="false">
      <c r="A3763" s="7" t="s">
        <v>638</v>
      </c>
      <c r="B3763" s="8" t="s">
        <v>59</v>
      </c>
      <c r="C3763" s="60" t="n">
        <f aca="false">Pressupostos!$C$71*C3749</f>
        <v>0</v>
      </c>
      <c r="D3763" s="60" t="n">
        <f aca="false">Pressupostos!$C$71*D3749</f>
        <v>0</v>
      </c>
      <c r="E3763" s="60" t="n">
        <f aca="false">Pressupostos!$C$71*E3749</f>
        <v>0</v>
      </c>
      <c r="F3763" s="60" t="n">
        <f aca="false">Pressupostos!$C$71*F3749</f>
        <v>0</v>
      </c>
      <c r="G3763" s="60" t="n">
        <f aca="false">Pressupostos!$C$71*G3749</f>
        <v>0</v>
      </c>
      <c r="H3763" s="2" t="s">
        <v>1137</v>
      </c>
    </row>
    <row r="3764" customFormat="false" ht="15" hidden="false" customHeight="false" outlineLevel="1" collapsed="false">
      <c r="A3764" s="7" t="s">
        <v>639</v>
      </c>
      <c r="B3764" s="8" t="s">
        <v>59</v>
      </c>
      <c r="C3764" s="60" t="n">
        <f aca="false">Pressupostos!$C$285*(C3747+C3750)*(C3753+C3754-Pressupostos!$C$70)/365*Pressupostos!$C$279/Pressupostos!$F$31</f>
        <v>0</v>
      </c>
      <c r="D3764" s="60" t="n">
        <f aca="false">Pressupostos!$D$285*(D3747+D3750)*(D3753+D3754-Pressupostos!$C$70)/365*Pressupostos!$D$279/Pressupostos!$F$31</f>
        <v>0.19158904109589</v>
      </c>
      <c r="E3764" s="60" t="n">
        <f aca="false">Pressupostos!$E$285*(E3747+E3750)*(E3753+E3754-Pressupostos!$C$70)/365*Pressupostos!$E$279/Pressupostos!$F$31</f>
        <v>0.0485445205479452</v>
      </c>
      <c r="F3764" s="60" t="n">
        <f aca="false">Pressupostos!$F$285*(F3747+F3750)*(F3753+F3754-Pressupostos!$C$70)/365*Pressupostos!$F$279/Pressupostos!$F$31</f>
        <v>0.0453082191780822</v>
      </c>
      <c r="G3764" s="60" t="n">
        <f aca="false">Pressupostos!$G$285*(G3747+G3750)*(G3753+G3754-Pressupostos!$C$70)/365*Pressupostos!$G$279/Pressupostos!$F$31</f>
        <v>0.0453082191780822</v>
      </c>
      <c r="H3764" s="2" t="s">
        <v>1138</v>
      </c>
    </row>
    <row r="3765" customFormat="false" ht="15" hidden="false" customHeight="false" outlineLevel="1" collapsed="false">
      <c r="A3765" s="7" t="s">
        <v>640</v>
      </c>
      <c r="B3765" s="8" t="s">
        <v>59</v>
      </c>
      <c r="C3765" s="60" t="n">
        <f aca="false">C3747+C3750+C3751+C3752+C3755+C3756+C3757+C3758+C3759+C3760+C3761+C3762+C3763+C3764</f>
        <v>4.79535</v>
      </c>
      <c r="D3765" s="60" t="n">
        <f aca="false">D3747+D3750+D3751+D3752+D3755+D3756+D3757+D3758+D3759+D3760+D3761+D3762+D3763+D3764</f>
        <v>4.98693904109589</v>
      </c>
      <c r="E3765" s="60" t="n">
        <f aca="false">E3747+E3750+E3751+E3752+E3755+E3756+E3757+E3758+E3759+E3760+E3761+E3762+E3763+E3764</f>
        <v>4.78969452054795</v>
      </c>
      <c r="F3765" s="60" t="n">
        <f aca="false">F3747+F3750+F3751+F3752+F3755+F3756+F3757+F3758+F3759+F3760+F3761+F3762+F3763+F3764</f>
        <v>4.77645821917808</v>
      </c>
      <c r="G3765" s="60" t="n">
        <f aca="false">G3747+G3750+G3751+G3752+G3755+G3756+G3757+G3758+G3759+G3760+G3761+G3762+G3763+G3764</f>
        <v>4.77645821917808</v>
      </c>
      <c r="H3765" s="2" t="s">
        <v>1139</v>
      </c>
    </row>
    <row r="3766" customFormat="false" ht="15" hidden="false" customHeight="false" outlineLevel="1" collapsed="false">
      <c r="A3766" s="52" t="s">
        <v>641</v>
      </c>
      <c r="B3766" s="53" t="s">
        <v>59</v>
      </c>
      <c r="C3766" s="64" t="n">
        <f aca="false">C3749-C3765</f>
        <v>0.454650000000001</v>
      </c>
      <c r="D3766" s="64" t="n">
        <f aca="false">D3749-D3765</f>
        <v>0.26306095890411</v>
      </c>
      <c r="E3766" s="64" t="n">
        <f aca="false">E3749-E3765</f>
        <v>0.460305479452055</v>
      </c>
      <c r="F3766" s="64" t="n">
        <f aca="false">F3749-F3765</f>
        <v>0.473541780821917</v>
      </c>
      <c r="G3766" s="64" t="n">
        <f aca="false">G3749-G3765</f>
        <v>0.473541780821917</v>
      </c>
      <c r="H3766" s="2" t="s">
        <v>1140</v>
      </c>
    </row>
    <row r="3767" customFormat="false" ht="15" hidden="false" customHeight="false" outlineLevel="1" collapsed="false">
      <c r="A3767" s="7" t="s">
        <v>642</v>
      </c>
      <c r="B3767" s="8" t="s">
        <v>71</v>
      </c>
      <c r="C3767" s="55" t="n">
        <f aca="false">IF(C3749&gt;0,C3766/C3749,0)</f>
        <v>0.0866000000000002</v>
      </c>
      <c r="D3767" s="55" t="n">
        <f aca="false">IF(D3749&gt;0,D3766/D3749,0)</f>
        <v>0.0501068493150686</v>
      </c>
      <c r="E3767" s="55" t="n">
        <f aca="false">IF(E3749&gt;0,E3766/E3749,0)</f>
        <v>0.0876772341813438</v>
      </c>
      <c r="F3767" s="55" t="n">
        <f aca="false">IF(F3749&gt;0,F3766/F3749,0)</f>
        <v>0.09019843444227</v>
      </c>
      <c r="G3767" s="55" t="n">
        <f aca="false">IF(G3749&gt;0,G3766/G3749,0)</f>
        <v>0.09019843444227</v>
      </c>
      <c r="H3767" s="2" t="s">
        <v>1141</v>
      </c>
    </row>
    <row r="3768" customFormat="false" ht="15" hidden="false" customHeight="false" outlineLevel="1" collapsed="false">
      <c r="A3768" s="7" t="s">
        <v>643</v>
      </c>
      <c r="B3768" s="8" t="s">
        <v>59</v>
      </c>
      <c r="C3768" s="60" t="n">
        <f aca="false">(C3747+C3750)*(C3753-Pressupostos!$C$70)/365+C3749*C3754/365</f>
        <v>2.22945205479452</v>
      </c>
      <c r="D3768" s="60" t="n">
        <f aca="false">(D3747+D3750)*(D3753-Pressupostos!$C$70)/365+D3749*D3754/365</f>
        <v>2.22945205479452</v>
      </c>
      <c r="E3768" s="60" t="n">
        <f aca="false">(E3747+E3750)*(E3753-Pressupostos!$C$70)/365+E3749*E3754/365</f>
        <v>0.676027397260274</v>
      </c>
      <c r="F3768" s="60" t="n">
        <f aca="false">(F3747+F3750)*(F3753-Pressupostos!$C$70)/365+F3749*F3754/365</f>
        <v>0.676027397260274</v>
      </c>
      <c r="G3768" s="60" t="n">
        <f aca="false">(G3747+G3750)*(G3753-Pressupostos!$C$70)/365+G3749*G3754/365</f>
        <v>0.676027397260274</v>
      </c>
      <c r="H3768" s="2" t="s">
        <v>1142</v>
      </c>
    </row>
    <row r="3769" customFormat="false" ht="15" hidden="false" customHeight="false" outlineLevel="0" collapsed="false">
      <c r="A3769" s="3" t="s">
        <v>1143</v>
      </c>
      <c r="B3769" s="4"/>
      <c r="C3769" s="4"/>
      <c r="D3769" s="4"/>
      <c r="E3769" s="4"/>
      <c r="F3769" s="4"/>
      <c r="G3769" s="4"/>
      <c r="H3769" s="4"/>
    </row>
    <row r="3770" customFormat="false" ht="15" hidden="false" customHeight="false" outlineLevel="1" collapsed="false">
      <c r="A3770" s="7" t="s">
        <v>633</v>
      </c>
      <c r="B3770" s="8" t="s">
        <v>59</v>
      </c>
      <c r="C3770" s="60" t="n">
        <f aca="false">Pressupostos!$F$10+Pressupostos!$F$12</f>
        <v>3.6</v>
      </c>
      <c r="D3770" s="60" t="n">
        <f aca="false">Pressupostos!$F$10+Pressupostos!$F$12</f>
        <v>3.6</v>
      </c>
      <c r="E3770" s="60" t="n">
        <f aca="false">Pressupostos!$F$10+Pressupostos!$F$12</f>
        <v>3.6</v>
      </c>
      <c r="F3770" s="60" t="n">
        <f aca="false">Pressupostos!$F$10+Pressupostos!$F$12</f>
        <v>3.6</v>
      </c>
      <c r="G3770" s="60" t="n">
        <f aca="false">Pressupostos!$F$10+Pressupostos!$F$12</f>
        <v>3.6</v>
      </c>
      <c r="H3770" s="2" t="s">
        <v>1144</v>
      </c>
    </row>
    <row r="3771" customFormat="false" ht="15" hidden="false" customHeight="false" outlineLevel="1" collapsed="false">
      <c r="A3771" s="7" t="s">
        <v>634</v>
      </c>
      <c r="B3771" s="8" t="s">
        <v>59</v>
      </c>
      <c r="C3771" s="60" t="n">
        <f aca="false">Pressupostos!$F$20+Pressupostos!$F$21</f>
        <v>4.45</v>
      </c>
      <c r="D3771" s="60" t="n">
        <f aca="false">Pressupostos!$F$20+Pressupostos!$F$21</f>
        <v>4.45</v>
      </c>
      <c r="E3771" s="60" t="n">
        <f aca="false">Pressupostos!$F$20+Pressupostos!$F$21</f>
        <v>4.45</v>
      </c>
      <c r="F3771" s="60" t="n">
        <f aca="false">Pressupostos!$F$20+Pressupostos!$F$21</f>
        <v>4.45</v>
      </c>
      <c r="G3771" s="60" t="n">
        <f aca="false">Pressupostos!$F$20+Pressupostos!$F$21</f>
        <v>4.45</v>
      </c>
      <c r="H3771" s="2" t="s">
        <v>1145</v>
      </c>
    </row>
    <row r="3772" customFormat="false" ht="15" hidden="false" customHeight="false" outlineLevel="1" collapsed="false">
      <c r="A3772" s="52" t="s">
        <v>635</v>
      </c>
      <c r="B3772" s="53" t="s">
        <v>59</v>
      </c>
      <c r="C3772" s="64" t="n">
        <f aca="false">C3771*(1-Pressupostos!$F$22)</f>
        <v>4.45</v>
      </c>
      <c r="D3772" s="64" t="n">
        <f aca="false">D3771*(1-Pressupostos!$F$22)</f>
        <v>4.45</v>
      </c>
      <c r="E3772" s="64" t="n">
        <f aca="false">E3771*(1-Pressupostos!$F$22)</f>
        <v>4.45</v>
      </c>
      <c r="F3772" s="64" t="n">
        <f aca="false">F3771*(1-Pressupostos!$F$22)</f>
        <v>4.45</v>
      </c>
      <c r="G3772" s="64" t="n">
        <f aca="false">G3771*(1-Pressupostos!$F$22)</f>
        <v>4.45</v>
      </c>
      <c r="H3772" s="2" t="s">
        <v>1146</v>
      </c>
    </row>
    <row r="3773" customFormat="false" ht="15" hidden="false" customHeight="false" outlineLevel="1" collapsed="false">
      <c r="A3773" s="7" t="s">
        <v>136</v>
      </c>
      <c r="B3773" s="8" t="s">
        <v>59</v>
      </c>
      <c r="C3773" s="63" t="n">
        <f aca="false">Pressupostos!$C$44</f>
        <v>0.45</v>
      </c>
      <c r="D3773" s="63" t="n">
        <f aca="false">Pressupostos!$C$44</f>
        <v>0.45</v>
      </c>
      <c r="E3773" s="63" t="n">
        <f aca="false">Pressupostos!$C$44</f>
        <v>0.45</v>
      </c>
      <c r="F3773" s="63" t="n">
        <f aca="false">Pressupostos!$C$44</f>
        <v>0.45</v>
      </c>
      <c r="G3773" s="63" t="n">
        <f aca="false">Pressupostos!$C$44</f>
        <v>0.45</v>
      </c>
      <c r="H3773" s="2" t="s">
        <v>1147</v>
      </c>
    </row>
    <row r="3774" customFormat="false" ht="15" hidden="false" customHeight="false" outlineLevel="1" collapsed="false">
      <c r="A3774" s="7" t="s">
        <v>205</v>
      </c>
      <c r="B3774" s="8" t="s">
        <v>59</v>
      </c>
      <c r="C3774" s="63" t="n">
        <f aca="false">Pressupostos!$C$247</f>
        <v>0.1</v>
      </c>
      <c r="D3774" s="63" t="n">
        <f aca="false">Pressupostos!$D$247</f>
        <v>0.1</v>
      </c>
      <c r="E3774" s="63" t="n">
        <f aca="false">Pressupostos!$E$247</f>
        <v>0.09</v>
      </c>
      <c r="F3774" s="63" t="n">
        <f aca="false">Pressupostos!$F$247</f>
        <v>0.09</v>
      </c>
      <c r="G3774" s="63" t="n">
        <f aca="false">Pressupostos!$G$247</f>
        <v>0.09</v>
      </c>
      <c r="H3774" s="2" t="s">
        <v>1148</v>
      </c>
    </row>
    <row r="3775" customFormat="false" ht="15" hidden="false" customHeight="false" outlineLevel="1" collapsed="false">
      <c r="A3775" s="7" t="s">
        <v>109</v>
      </c>
      <c r="B3775" s="8" t="s">
        <v>59</v>
      </c>
      <c r="C3775" s="63" t="n">
        <f aca="false">Pressupostos!$C$45</f>
        <v>0</v>
      </c>
      <c r="D3775" s="63" t="n">
        <f aca="false">Pressupostos!$C$45</f>
        <v>0</v>
      </c>
      <c r="E3775" s="63" t="n">
        <f aca="false">Pressupostos!$C$45</f>
        <v>0</v>
      </c>
      <c r="F3775" s="63" t="n">
        <f aca="false">Pressupostos!$C$45</f>
        <v>0</v>
      </c>
      <c r="G3775" s="63" t="n">
        <f aca="false">Pressupostos!$C$45</f>
        <v>0</v>
      </c>
      <c r="H3775" s="2" t="s">
        <v>1149</v>
      </c>
    </row>
    <row r="3776" customFormat="false" ht="15" hidden="false" customHeight="false" outlineLevel="1" collapsed="false">
      <c r="A3776" s="7" t="s">
        <v>86</v>
      </c>
      <c r="B3776" s="8" t="s">
        <v>74</v>
      </c>
      <c r="C3776" s="65" t="n">
        <f aca="false">Pressupostos!$F$23</f>
        <v>30</v>
      </c>
      <c r="D3776" s="65" t="n">
        <f aca="false">Pressupostos!$F$23</f>
        <v>30</v>
      </c>
      <c r="E3776" s="65" t="n">
        <f aca="false">Pressupostos!$F$23</f>
        <v>30</v>
      </c>
      <c r="F3776" s="65" t="n">
        <f aca="false">Pressupostos!$F$23</f>
        <v>30</v>
      </c>
      <c r="G3776" s="65" t="n">
        <f aca="false">Pressupostos!$F$23</f>
        <v>30</v>
      </c>
      <c r="H3776" s="2" t="s">
        <v>1150</v>
      </c>
    </row>
    <row r="3777" customFormat="false" ht="15" hidden="false" customHeight="false" outlineLevel="1" collapsed="false">
      <c r="A3777" s="7" t="s">
        <v>73</v>
      </c>
      <c r="B3777" s="8" t="s">
        <v>74</v>
      </c>
      <c r="C3777" s="65" t="n">
        <f aca="false">Pressupostos!$F$24</f>
        <v>55</v>
      </c>
      <c r="D3777" s="65" t="n">
        <f aca="false">Pressupostos!$F$24</f>
        <v>55</v>
      </c>
      <c r="E3777" s="65" t="n">
        <f aca="false">Pressupostos!$F$24</f>
        <v>55</v>
      </c>
      <c r="F3777" s="65" t="n">
        <f aca="false">Pressupostos!$F$24</f>
        <v>55</v>
      </c>
      <c r="G3777" s="65" t="n">
        <f aca="false">Pressupostos!$F$24</f>
        <v>55</v>
      </c>
      <c r="H3777" s="2" t="s">
        <v>1151</v>
      </c>
    </row>
    <row r="3778" customFormat="false" ht="15" hidden="false" customHeight="false" outlineLevel="1" collapsed="false">
      <c r="A3778" s="7" t="s">
        <v>471</v>
      </c>
      <c r="B3778" s="8" t="s">
        <v>59</v>
      </c>
      <c r="C3778" s="60" t="n">
        <f aca="false">Pressupostos!$C$64*C3776/30/1000</f>
        <v>0.004</v>
      </c>
      <c r="D3778" s="60" t="n">
        <f aca="false">Pressupostos!$C$64*D3776/30/1000</f>
        <v>0.004</v>
      </c>
      <c r="E3778" s="60" t="n">
        <f aca="false">Pressupostos!$C$64*E3776/30/1000</f>
        <v>0.004</v>
      </c>
      <c r="F3778" s="60" t="n">
        <f aca="false">Pressupostos!$C$64*F3776/30/1000</f>
        <v>0.004</v>
      </c>
      <c r="G3778" s="60" t="n">
        <f aca="false">Pressupostos!$C$64*G3776/30/1000</f>
        <v>0.004</v>
      </c>
      <c r="H3778" s="2" t="s">
        <v>1152</v>
      </c>
    </row>
    <row r="3779" customFormat="false" ht="15" hidden="false" customHeight="false" outlineLevel="1" collapsed="false">
      <c r="A3779" s="7" t="s">
        <v>154</v>
      </c>
      <c r="B3779" s="8" t="s">
        <v>59</v>
      </c>
      <c r="C3779" s="60" t="n">
        <f aca="false">C3770*Pressupostos!$C$65*C3776/365</f>
        <v>0.000591780821917808</v>
      </c>
      <c r="D3779" s="60" t="n">
        <f aca="false">D3770*Pressupostos!$C$65*D3776/365</f>
        <v>0.000591780821917808</v>
      </c>
      <c r="E3779" s="60" t="n">
        <f aca="false">E3770*Pressupostos!$C$65*E3776/365</f>
        <v>0.000591780821917808</v>
      </c>
      <c r="F3779" s="60" t="n">
        <f aca="false">F3770*Pressupostos!$C$65*F3776/365</f>
        <v>0.000591780821917808</v>
      </c>
      <c r="G3779" s="60" t="n">
        <f aca="false">G3770*Pressupostos!$C$65*G3776/365</f>
        <v>0.000591780821917808</v>
      </c>
      <c r="H3779" s="2" t="s">
        <v>1153</v>
      </c>
    </row>
    <row r="3780" customFormat="false" ht="15" hidden="false" customHeight="false" outlineLevel="1" collapsed="false">
      <c r="A3780" s="7" t="s">
        <v>636</v>
      </c>
      <c r="B3780" s="8" t="s">
        <v>59</v>
      </c>
      <c r="C3780" s="60" t="n">
        <f aca="false">Pressupostos!$C$47*Pressupostos!$C$66/(Pressupostos!$C$46*1000)</f>
        <v>0.02</v>
      </c>
      <c r="D3780" s="60" t="n">
        <f aca="false">Pressupostos!$C$47*Pressupostos!$C$66/(Pressupostos!$C$46*1000)</f>
        <v>0.02</v>
      </c>
      <c r="E3780" s="60" t="n">
        <f aca="false">Pressupostos!$C$47*Pressupostos!$C$66/(Pressupostos!$C$46*1000)</f>
        <v>0.02</v>
      </c>
      <c r="F3780" s="60" t="n">
        <f aca="false">Pressupostos!$C$47*Pressupostos!$C$66/(Pressupostos!$C$46*1000)</f>
        <v>0.02</v>
      </c>
      <c r="G3780" s="60" t="n">
        <f aca="false">Pressupostos!$C$47*Pressupostos!$C$66/(Pressupostos!$C$46*1000)</f>
        <v>0.02</v>
      </c>
      <c r="H3780" s="2" t="s">
        <v>1154</v>
      </c>
    </row>
    <row r="3781" customFormat="false" ht="15" hidden="false" customHeight="false" outlineLevel="1" collapsed="false">
      <c r="A3781" s="7" t="s">
        <v>473</v>
      </c>
      <c r="B3781" s="8" t="s">
        <v>59</v>
      </c>
      <c r="C3781" s="60" t="n">
        <f aca="false">Pressupostos!$C$67*C3770</f>
        <v>0.018</v>
      </c>
      <c r="D3781" s="60" t="n">
        <f aca="false">Pressupostos!$C$67*D3770</f>
        <v>0.018</v>
      </c>
      <c r="E3781" s="60" t="n">
        <f aca="false">Pressupostos!$C$67*E3770</f>
        <v>0.018</v>
      </c>
      <c r="F3781" s="60" t="n">
        <f aca="false">Pressupostos!$C$67*F3770</f>
        <v>0.018</v>
      </c>
      <c r="G3781" s="60" t="n">
        <f aca="false">Pressupostos!$C$67*G3770</f>
        <v>0.018</v>
      </c>
      <c r="H3781" s="2" t="s">
        <v>1155</v>
      </c>
    </row>
    <row r="3782" customFormat="false" ht="15" hidden="false" customHeight="false" outlineLevel="1" collapsed="false">
      <c r="A3782" s="7" t="s">
        <v>474</v>
      </c>
      <c r="B3782" s="8" t="s">
        <v>59</v>
      </c>
      <c r="C3782" s="60" t="n">
        <f aca="false">Pressupostos!$C$68*Pressupostos!$C$69*C3776/90</f>
        <v>0.003</v>
      </c>
      <c r="D3782" s="60" t="n">
        <f aca="false">Pressupostos!$C$68*Pressupostos!$C$69*D3776/90</f>
        <v>0.003</v>
      </c>
      <c r="E3782" s="60" t="n">
        <f aca="false">Pressupostos!$C$68*Pressupostos!$C$69*E3776/90</f>
        <v>0.003</v>
      </c>
      <c r="F3782" s="60" t="n">
        <f aca="false">Pressupostos!$C$68*Pressupostos!$C$69*F3776/90</f>
        <v>0.003</v>
      </c>
      <c r="G3782" s="60" t="n">
        <f aca="false">Pressupostos!$C$68*Pressupostos!$C$69*G3776/90</f>
        <v>0.003</v>
      </c>
      <c r="H3782" s="2" t="s">
        <v>1156</v>
      </c>
    </row>
    <row r="3783" customFormat="false" ht="15" hidden="false" customHeight="false" outlineLevel="1" collapsed="false">
      <c r="A3783" s="7" t="s">
        <v>637</v>
      </c>
      <c r="B3783" s="8" t="s">
        <v>59</v>
      </c>
      <c r="C3783" s="60" t="n">
        <f aca="false">Pressupostos!$C$48/(Pressupostos!$C$46*1000)</f>
        <v>0.04</v>
      </c>
      <c r="D3783" s="60" t="n">
        <f aca="false">Pressupostos!$C$48/(Pressupostos!$C$46*1000)</f>
        <v>0.04</v>
      </c>
      <c r="E3783" s="60" t="n">
        <f aca="false">Pressupostos!$C$48/(Pressupostos!$C$46*1000)</f>
        <v>0.04</v>
      </c>
      <c r="F3783" s="60" t="n">
        <f aca="false">Pressupostos!$C$48/(Pressupostos!$C$46*1000)</f>
        <v>0.04</v>
      </c>
      <c r="G3783" s="60" t="n">
        <f aca="false">Pressupostos!$C$48/(Pressupostos!$C$46*1000)</f>
        <v>0.04</v>
      </c>
      <c r="H3783" s="2" t="s">
        <v>1157</v>
      </c>
    </row>
    <row r="3784" customFormat="false" ht="15" hidden="false" customHeight="false" outlineLevel="1" collapsed="false">
      <c r="A3784" s="7" t="s">
        <v>131</v>
      </c>
      <c r="B3784" s="8" t="s">
        <v>59</v>
      </c>
      <c r="C3784" s="63" t="n">
        <f aca="false">Pressupostos!$C$49</f>
        <v>0.005</v>
      </c>
      <c r="D3784" s="63" t="n">
        <f aca="false">Pressupostos!$C$49</f>
        <v>0.005</v>
      </c>
      <c r="E3784" s="63" t="n">
        <f aca="false">Pressupostos!$C$49</f>
        <v>0.005</v>
      </c>
      <c r="F3784" s="63" t="n">
        <f aca="false">Pressupostos!$C$49</f>
        <v>0.005</v>
      </c>
      <c r="G3784" s="63" t="n">
        <f aca="false">Pressupostos!$C$49</f>
        <v>0.005</v>
      </c>
      <c r="H3784" s="2" t="s">
        <v>1158</v>
      </c>
    </row>
    <row r="3785" customFormat="false" ht="15" hidden="false" customHeight="false" outlineLevel="1" collapsed="false">
      <c r="A3785" s="7" t="s">
        <v>76</v>
      </c>
      <c r="B3785" s="8" t="s">
        <v>59</v>
      </c>
      <c r="C3785" s="60" t="n">
        <f aca="false">Pressupostos!$F$25*C3772</f>
        <v>0.01335</v>
      </c>
      <c r="D3785" s="60" t="n">
        <f aca="false">Pressupostos!$F$25*D3772</f>
        <v>0.01335</v>
      </c>
      <c r="E3785" s="60" t="n">
        <f aca="false">Pressupostos!$F$25*E3772</f>
        <v>0.01335</v>
      </c>
      <c r="F3785" s="60" t="n">
        <f aca="false">Pressupostos!$F$25*F3772</f>
        <v>0.01335</v>
      </c>
      <c r="G3785" s="60" t="n">
        <f aca="false">Pressupostos!$F$25*G3772</f>
        <v>0.01335</v>
      </c>
      <c r="H3785" s="2" t="s">
        <v>1159</v>
      </c>
    </row>
    <row r="3786" customFormat="false" ht="15" hidden="false" customHeight="false" outlineLevel="1" collapsed="false">
      <c r="A3786" s="7" t="s">
        <v>638</v>
      </c>
      <c r="B3786" s="8" t="s">
        <v>59</v>
      </c>
      <c r="C3786" s="60" t="n">
        <f aca="false">Pressupostos!$C$71*C3772</f>
        <v>0</v>
      </c>
      <c r="D3786" s="60" t="n">
        <f aca="false">Pressupostos!$C$71*D3772</f>
        <v>0</v>
      </c>
      <c r="E3786" s="60" t="n">
        <f aca="false">Pressupostos!$C$71*E3772</f>
        <v>0</v>
      </c>
      <c r="F3786" s="60" t="n">
        <f aca="false">Pressupostos!$C$71*F3772</f>
        <v>0</v>
      </c>
      <c r="G3786" s="60" t="n">
        <f aca="false">Pressupostos!$C$71*G3772</f>
        <v>0</v>
      </c>
      <c r="H3786" s="2" t="s">
        <v>1160</v>
      </c>
    </row>
    <row r="3787" customFormat="false" ht="15" hidden="false" customHeight="false" outlineLevel="1" collapsed="false">
      <c r="A3787" s="7" t="s">
        <v>639</v>
      </c>
      <c r="B3787" s="8" t="s">
        <v>59</v>
      </c>
      <c r="C3787" s="60" t="n">
        <f aca="false">Pressupostos!$C$285*(C3770+C3773)*(C3776+C3777-Pressupostos!$C$70)/365*Pressupostos!$C$279/Pressupostos!$F$31</f>
        <v>0</v>
      </c>
      <c r="D3787" s="60" t="n">
        <f aca="false">Pressupostos!$D$285*(D3770+D3773)*(D3776+D3777-Pressupostos!$C$70)/365*Pressupostos!$D$279/Pressupostos!$F$31</f>
        <v>0.0549246575342466</v>
      </c>
      <c r="E3787" s="60" t="n">
        <f aca="false">Pressupostos!$E$285*(E3770+E3773)*(E3776+E3777-Pressupostos!$C$70)/365*Pressupostos!$E$279/Pressupostos!$F$31</f>
        <v>0.0514918664383562</v>
      </c>
      <c r="F3787" s="60" t="n">
        <f aca="false">Pressupostos!$F$285*(F3770+F3773)*(F3776+F3777-Pressupostos!$C$70)/365*Pressupostos!$F$279/Pressupostos!$F$31</f>
        <v>0.0480590753424658</v>
      </c>
      <c r="G3787" s="60" t="n">
        <f aca="false">Pressupostos!$G$285*(G3770+G3773)*(G3776+G3777-Pressupostos!$C$70)/365*Pressupostos!$G$279/Pressupostos!$F$31</f>
        <v>0.0480590753424658</v>
      </c>
      <c r="H3787" s="2" t="s">
        <v>1161</v>
      </c>
    </row>
    <row r="3788" customFormat="false" ht="15" hidden="false" customHeight="false" outlineLevel="1" collapsed="false">
      <c r="A3788" s="7" t="s">
        <v>640</v>
      </c>
      <c r="B3788" s="8" t="s">
        <v>59</v>
      </c>
      <c r="C3788" s="60" t="n">
        <f aca="false">C3770+C3773+C3774+C3775+C3778+C3779+C3780+C3781+C3782+C3783+C3784+C3785+C3786+C3787</f>
        <v>4.25394178082192</v>
      </c>
      <c r="D3788" s="60" t="n">
        <f aca="false">D3770+D3773+D3774+D3775+D3778+D3779+D3780+D3781+D3782+D3783+D3784+D3785+D3786+D3787</f>
        <v>4.30886643835616</v>
      </c>
      <c r="E3788" s="60" t="n">
        <f aca="false">E3770+E3773+E3774+E3775+E3778+E3779+E3780+E3781+E3782+E3783+E3784+E3785+E3786+E3787</f>
        <v>4.29543364726027</v>
      </c>
      <c r="F3788" s="60" t="n">
        <f aca="false">F3770+F3773+F3774+F3775+F3778+F3779+F3780+F3781+F3782+F3783+F3784+F3785+F3786+F3787</f>
        <v>4.29200085616438</v>
      </c>
      <c r="G3788" s="60" t="n">
        <f aca="false">G3770+G3773+G3774+G3775+G3778+G3779+G3780+G3781+G3782+G3783+G3784+G3785+G3786+G3787</f>
        <v>4.29200085616438</v>
      </c>
      <c r="H3788" s="2" t="s">
        <v>1162</v>
      </c>
    </row>
    <row r="3789" customFormat="false" ht="15" hidden="false" customHeight="false" outlineLevel="1" collapsed="false">
      <c r="A3789" s="52" t="s">
        <v>641</v>
      </c>
      <c r="B3789" s="53" t="s">
        <v>59</v>
      </c>
      <c r="C3789" s="64" t="n">
        <f aca="false">C3772-C3788</f>
        <v>0.196058219178083</v>
      </c>
      <c r="D3789" s="64" t="n">
        <f aca="false">D3772-D3788</f>
        <v>0.141133561643836</v>
      </c>
      <c r="E3789" s="64" t="n">
        <f aca="false">E3772-E3788</f>
        <v>0.154566352739726</v>
      </c>
      <c r="F3789" s="64" t="n">
        <f aca="false">F3772-F3788</f>
        <v>0.157999143835617</v>
      </c>
      <c r="G3789" s="64" t="n">
        <f aca="false">G3772-G3788</f>
        <v>0.157999143835617</v>
      </c>
      <c r="H3789" s="2" t="s">
        <v>1163</v>
      </c>
    </row>
    <row r="3790" customFormat="false" ht="15" hidden="false" customHeight="false" outlineLevel="1" collapsed="false">
      <c r="A3790" s="7" t="s">
        <v>642</v>
      </c>
      <c r="B3790" s="8" t="s">
        <v>71</v>
      </c>
      <c r="C3790" s="55" t="n">
        <f aca="false">IF(C3772&gt;0,C3789/C3772,0)</f>
        <v>0.0440580267815916</v>
      </c>
      <c r="D3790" s="55" t="n">
        <f aca="false">IF(D3772&gt;0,D3789/D3772,0)</f>
        <v>0.0317154071109745</v>
      </c>
      <c r="E3790" s="55" t="n">
        <f aca="false">IF(E3772&gt;0,E3789/E3772,0)</f>
        <v>0.0347340118516239</v>
      </c>
      <c r="F3790" s="55" t="n">
        <f aca="false">IF(F3772&gt;0,F3789/F3772,0)</f>
        <v>0.0355054255810374</v>
      </c>
      <c r="G3790" s="55" t="n">
        <f aca="false">IF(G3772&gt;0,G3789/G3772,0)</f>
        <v>0.0355054255810374</v>
      </c>
      <c r="H3790" s="2" t="s">
        <v>1164</v>
      </c>
    </row>
    <row r="3791" customFormat="false" ht="15" hidden="false" customHeight="false" outlineLevel="1" collapsed="false">
      <c r="A3791" s="7" t="s">
        <v>643</v>
      </c>
      <c r="B3791" s="8" t="s">
        <v>59</v>
      </c>
      <c r="C3791" s="60" t="n">
        <f aca="false">(C3770+C3773)*(C3776-Pressupostos!$C$70)/365+C3772*C3777/365</f>
        <v>0.670547945205479</v>
      </c>
      <c r="D3791" s="60" t="n">
        <f aca="false">(D3770+D3773)*(D3776-Pressupostos!$C$70)/365+D3772*D3777/365</f>
        <v>0.670547945205479</v>
      </c>
      <c r="E3791" s="60" t="n">
        <f aca="false">(E3770+E3773)*(E3776-Pressupostos!$C$70)/365+E3772*E3777/365</f>
        <v>0.670547945205479</v>
      </c>
      <c r="F3791" s="60" t="n">
        <f aca="false">(F3770+F3773)*(F3776-Pressupostos!$C$70)/365+F3772*F3777/365</f>
        <v>0.670547945205479</v>
      </c>
      <c r="G3791" s="60" t="n">
        <f aca="false">(G3770+G3773)*(G3776-Pressupostos!$C$70)/365+G3772*G3777/365</f>
        <v>0.670547945205479</v>
      </c>
      <c r="H3791" s="2" t="s">
        <v>1165</v>
      </c>
    </row>
    <row r="3792" customFormat="false" ht="15" hidden="false" customHeight="false" outlineLevel="0" collapsed="false">
      <c r="A3792" s="3" t="s">
        <v>1166</v>
      </c>
      <c r="B3792" s="4"/>
      <c r="C3792" s="4"/>
      <c r="D3792" s="4"/>
      <c r="E3792" s="4"/>
      <c r="F3792" s="4"/>
      <c r="G3792" s="4"/>
      <c r="H3792" s="4"/>
    </row>
    <row r="3793" customFormat="false" ht="15" hidden="false" customHeight="false" outlineLevel="1" collapsed="false">
      <c r="A3793" s="7" t="s">
        <v>633</v>
      </c>
      <c r="B3793" s="8" t="s">
        <v>59</v>
      </c>
      <c r="C3793" s="60" t="n">
        <f aca="false">Pressupostos!$F$10+Pressupostos!$F$13</f>
        <v>3.5</v>
      </c>
      <c r="D3793" s="60" t="n">
        <f aca="false">Pressupostos!$F$10+Pressupostos!$F$13</f>
        <v>3.5</v>
      </c>
      <c r="E3793" s="60" t="n">
        <f aca="false">Pressupostos!$F$10+Pressupostos!$F$13</f>
        <v>3.5</v>
      </c>
      <c r="F3793" s="60" t="n">
        <f aca="false">Pressupostos!$F$10+Pressupostos!$F$13</f>
        <v>3.5</v>
      </c>
      <c r="G3793" s="60" t="n">
        <f aca="false">Pressupostos!$F$10+Pressupostos!$F$13</f>
        <v>3.5</v>
      </c>
      <c r="H3793" s="2" t="s">
        <v>1167</v>
      </c>
    </row>
    <row r="3794" customFormat="false" ht="15" hidden="false" customHeight="false" outlineLevel="1" collapsed="false">
      <c r="A3794" s="7" t="s">
        <v>634</v>
      </c>
      <c r="B3794" s="8" t="s">
        <v>59</v>
      </c>
      <c r="C3794" s="60" t="n">
        <f aca="false">Pressupostos!$F$10+Pressupostos!$C$51</f>
        <v>3.65</v>
      </c>
      <c r="D3794" s="60" t="n">
        <f aca="false">Pressupostos!$F$10+Pressupostos!$C$51</f>
        <v>3.65</v>
      </c>
      <c r="E3794" s="60" t="n">
        <f aca="false">Pressupostos!$F$10+Pressupostos!$C$51</f>
        <v>3.65</v>
      </c>
      <c r="F3794" s="60" t="n">
        <f aca="false">Pressupostos!$F$10+Pressupostos!$C$51</f>
        <v>3.65</v>
      </c>
      <c r="G3794" s="60" t="n">
        <f aca="false">Pressupostos!$F$10+Pressupostos!$C$51</f>
        <v>3.65</v>
      </c>
      <c r="H3794" s="2" t="s">
        <v>1168</v>
      </c>
    </row>
    <row r="3795" customFormat="false" ht="15" hidden="false" customHeight="false" outlineLevel="1" collapsed="false">
      <c r="A3795" s="52" t="s">
        <v>635</v>
      </c>
      <c r="B3795" s="53" t="s">
        <v>59</v>
      </c>
      <c r="C3795" s="64" t="n">
        <f aca="false">C3794*(1-Pressupostos!$C$52)</f>
        <v>3.65</v>
      </c>
      <c r="D3795" s="64" t="n">
        <f aca="false">D3794*(1-Pressupostos!$C$52)</f>
        <v>3.65</v>
      </c>
      <c r="E3795" s="64" t="n">
        <f aca="false">E3794*(1-Pressupostos!$C$52)</f>
        <v>3.65</v>
      </c>
      <c r="F3795" s="64" t="n">
        <f aca="false">F3794*(1-Pressupostos!$C$52)</f>
        <v>3.65</v>
      </c>
      <c r="G3795" s="64" t="n">
        <f aca="false">G3794*(1-Pressupostos!$C$52)</f>
        <v>3.65</v>
      </c>
      <c r="H3795" s="2" t="s">
        <v>1169</v>
      </c>
    </row>
    <row r="3796" customFormat="false" ht="15" hidden="false" customHeight="false" outlineLevel="1" collapsed="false">
      <c r="A3796" s="7" t="s">
        <v>136</v>
      </c>
      <c r="B3796" s="8" t="s">
        <v>59</v>
      </c>
      <c r="C3796" s="63" t="n">
        <f aca="false">Pressupostos!$C$53</f>
        <v>0</v>
      </c>
      <c r="D3796" s="63" t="n">
        <f aca="false">Pressupostos!$C$53</f>
        <v>0</v>
      </c>
      <c r="E3796" s="63" t="n">
        <f aca="false">Pressupostos!$C$53</f>
        <v>0</v>
      </c>
      <c r="F3796" s="63" t="n">
        <f aca="false">Pressupostos!$C$53</f>
        <v>0</v>
      </c>
      <c r="G3796" s="63" t="n">
        <f aca="false">Pressupostos!$C$53</f>
        <v>0</v>
      </c>
      <c r="H3796" s="2" t="s">
        <v>1170</v>
      </c>
    </row>
    <row r="3797" customFormat="false" ht="15" hidden="false" customHeight="false" outlineLevel="1" collapsed="false">
      <c r="A3797" s="7" t="s">
        <v>205</v>
      </c>
      <c r="B3797" s="8" t="s">
        <v>59</v>
      </c>
      <c r="C3797" s="63" t="n">
        <f aca="false">Pressupostos!$C$54</f>
        <v>0.04</v>
      </c>
      <c r="D3797" s="63" t="n">
        <f aca="false">Pressupostos!$C$54</f>
        <v>0.04</v>
      </c>
      <c r="E3797" s="63" t="n">
        <f aca="false">Pressupostos!$C$54</f>
        <v>0.04</v>
      </c>
      <c r="F3797" s="63" t="n">
        <f aca="false">Pressupostos!$C$54</f>
        <v>0.04</v>
      </c>
      <c r="G3797" s="63" t="n">
        <f aca="false">Pressupostos!$C$54</f>
        <v>0.04</v>
      </c>
      <c r="H3797" s="2" t="s">
        <v>1171</v>
      </c>
    </row>
    <row r="3798" customFormat="false" ht="15" hidden="false" customHeight="false" outlineLevel="1" collapsed="false">
      <c r="A3798" s="7" t="s">
        <v>109</v>
      </c>
      <c r="B3798" s="8" t="s">
        <v>59</v>
      </c>
      <c r="C3798" s="63" t="n">
        <f aca="false">Pressupostos!$C$55</f>
        <v>0</v>
      </c>
      <c r="D3798" s="63" t="n">
        <f aca="false">Pressupostos!$C$55</f>
        <v>0</v>
      </c>
      <c r="E3798" s="63" t="n">
        <f aca="false">Pressupostos!$C$55</f>
        <v>0</v>
      </c>
      <c r="F3798" s="63" t="n">
        <f aca="false">Pressupostos!$C$55</f>
        <v>0</v>
      </c>
      <c r="G3798" s="63" t="n">
        <f aca="false">Pressupostos!$C$55</f>
        <v>0</v>
      </c>
      <c r="H3798" s="2" t="s">
        <v>1172</v>
      </c>
    </row>
    <row r="3799" customFormat="false" ht="15" hidden="false" customHeight="false" outlineLevel="1" collapsed="false">
      <c r="A3799" s="7" t="s">
        <v>86</v>
      </c>
      <c r="B3799" s="8" t="s">
        <v>74</v>
      </c>
      <c r="C3799" s="65" t="n">
        <f aca="false">Pressupostos!$C$56</f>
        <v>15</v>
      </c>
      <c r="D3799" s="65" t="n">
        <f aca="false">Pressupostos!$C$56</f>
        <v>15</v>
      </c>
      <c r="E3799" s="65" t="n">
        <f aca="false">Pressupostos!$C$56</f>
        <v>15</v>
      </c>
      <c r="F3799" s="65" t="n">
        <f aca="false">Pressupostos!$C$56</f>
        <v>15</v>
      </c>
      <c r="G3799" s="65" t="n">
        <f aca="false">Pressupostos!$C$56</f>
        <v>15</v>
      </c>
      <c r="H3799" s="2" t="s">
        <v>1173</v>
      </c>
    </row>
    <row r="3800" customFormat="false" ht="15" hidden="false" customHeight="false" outlineLevel="1" collapsed="false">
      <c r="A3800" s="7" t="s">
        <v>73</v>
      </c>
      <c r="B3800" s="8" t="s">
        <v>74</v>
      </c>
      <c r="C3800" s="65" t="n">
        <f aca="false">Pressupostos!$C$57</f>
        <v>45</v>
      </c>
      <c r="D3800" s="65" t="n">
        <f aca="false">Pressupostos!$C$57</f>
        <v>45</v>
      </c>
      <c r="E3800" s="65" t="n">
        <f aca="false">Pressupostos!$C$57</f>
        <v>45</v>
      </c>
      <c r="F3800" s="65" t="n">
        <f aca="false">Pressupostos!$C$57</f>
        <v>45</v>
      </c>
      <c r="G3800" s="65" t="n">
        <f aca="false">Pressupostos!$C$57</f>
        <v>45</v>
      </c>
      <c r="H3800" s="2" t="s">
        <v>1174</v>
      </c>
    </row>
    <row r="3801" customFormat="false" ht="15" hidden="false" customHeight="false" outlineLevel="1" collapsed="false">
      <c r="A3801" s="7" t="s">
        <v>471</v>
      </c>
      <c r="B3801" s="8" t="s">
        <v>59</v>
      </c>
      <c r="C3801" s="60" t="n">
        <f aca="false">Pressupostos!$C$64*C3799/30/1000</f>
        <v>0.002</v>
      </c>
      <c r="D3801" s="60" t="n">
        <f aca="false">Pressupostos!$C$64*D3799/30/1000</f>
        <v>0.002</v>
      </c>
      <c r="E3801" s="60" t="n">
        <f aca="false">Pressupostos!$C$64*E3799/30/1000</f>
        <v>0.002</v>
      </c>
      <c r="F3801" s="60" t="n">
        <f aca="false">Pressupostos!$C$64*F3799/30/1000</f>
        <v>0.002</v>
      </c>
      <c r="G3801" s="60" t="n">
        <f aca="false">Pressupostos!$C$64*G3799/30/1000</f>
        <v>0.002</v>
      </c>
      <c r="H3801" s="2" t="s">
        <v>1175</v>
      </c>
    </row>
    <row r="3802" customFormat="false" ht="15" hidden="false" customHeight="false" outlineLevel="1" collapsed="false">
      <c r="A3802" s="7" t="s">
        <v>154</v>
      </c>
      <c r="B3802" s="8" t="s">
        <v>59</v>
      </c>
      <c r="C3802" s="60" t="n">
        <f aca="false">C3793*Pressupostos!$C$65*C3799/365</f>
        <v>0.000287671232876712</v>
      </c>
      <c r="D3802" s="60" t="n">
        <f aca="false">D3793*Pressupostos!$C$65*D3799/365</f>
        <v>0.000287671232876712</v>
      </c>
      <c r="E3802" s="60" t="n">
        <f aca="false">E3793*Pressupostos!$C$65*E3799/365</f>
        <v>0.000287671232876712</v>
      </c>
      <c r="F3802" s="60" t="n">
        <f aca="false">F3793*Pressupostos!$C$65*F3799/365</f>
        <v>0.000287671232876712</v>
      </c>
      <c r="G3802" s="60" t="n">
        <f aca="false">G3793*Pressupostos!$C$65*G3799/365</f>
        <v>0.000287671232876712</v>
      </c>
      <c r="H3802" s="2" t="s">
        <v>1176</v>
      </c>
    </row>
    <row r="3803" customFormat="false" ht="15" hidden="false" customHeight="false" outlineLevel="1" collapsed="false">
      <c r="A3803" s="7" t="s">
        <v>636</v>
      </c>
      <c r="B3803" s="8" t="s">
        <v>59</v>
      </c>
      <c r="C3803" s="60" t="n">
        <f aca="false">Pressupostos!$C$59*Pressupostos!$C$66/(Pressupostos!$C$58*1000)</f>
        <v>0.006</v>
      </c>
      <c r="D3803" s="60" t="n">
        <f aca="false">Pressupostos!$C$59*Pressupostos!$C$66/(Pressupostos!$C$58*1000)</f>
        <v>0.006</v>
      </c>
      <c r="E3803" s="60" t="n">
        <f aca="false">Pressupostos!$C$59*Pressupostos!$C$66/(Pressupostos!$C$58*1000)</f>
        <v>0.006</v>
      </c>
      <c r="F3803" s="60" t="n">
        <f aca="false">Pressupostos!$C$59*Pressupostos!$C$66/(Pressupostos!$C$58*1000)</f>
        <v>0.006</v>
      </c>
      <c r="G3803" s="60" t="n">
        <f aca="false">Pressupostos!$C$59*Pressupostos!$C$66/(Pressupostos!$C$58*1000)</f>
        <v>0.006</v>
      </c>
      <c r="H3803" s="2" t="s">
        <v>1177</v>
      </c>
    </row>
    <row r="3804" customFormat="false" ht="15" hidden="false" customHeight="false" outlineLevel="1" collapsed="false">
      <c r="A3804" s="7" t="s">
        <v>473</v>
      </c>
      <c r="B3804" s="8" t="s">
        <v>59</v>
      </c>
      <c r="C3804" s="60" t="n">
        <f aca="false">Pressupostos!$C$67*C3793</f>
        <v>0.0175</v>
      </c>
      <c r="D3804" s="60" t="n">
        <f aca="false">Pressupostos!$C$67*D3793</f>
        <v>0.0175</v>
      </c>
      <c r="E3804" s="60" t="n">
        <f aca="false">Pressupostos!$C$67*E3793</f>
        <v>0.0175</v>
      </c>
      <c r="F3804" s="60" t="n">
        <f aca="false">Pressupostos!$C$67*F3793</f>
        <v>0.0175</v>
      </c>
      <c r="G3804" s="60" t="n">
        <f aca="false">Pressupostos!$C$67*G3793</f>
        <v>0.0175</v>
      </c>
      <c r="H3804" s="2" t="s">
        <v>1178</v>
      </c>
    </row>
    <row r="3805" customFormat="false" ht="15" hidden="false" customHeight="false" outlineLevel="1" collapsed="false">
      <c r="A3805" s="7" t="s">
        <v>474</v>
      </c>
      <c r="B3805" s="8" t="s">
        <v>59</v>
      </c>
      <c r="C3805" s="60" t="n">
        <f aca="false">Pressupostos!$C$68*Pressupostos!$C$69*C3799/90</f>
        <v>0.0015</v>
      </c>
      <c r="D3805" s="60" t="n">
        <f aca="false">Pressupostos!$C$68*Pressupostos!$C$69*D3799/90</f>
        <v>0.0015</v>
      </c>
      <c r="E3805" s="60" t="n">
        <f aca="false">Pressupostos!$C$68*Pressupostos!$C$69*E3799/90</f>
        <v>0.0015</v>
      </c>
      <c r="F3805" s="60" t="n">
        <f aca="false">Pressupostos!$C$68*Pressupostos!$C$69*F3799/90</f>
        <v>0.0015</v>
      </c>
      <c r="G3805" s="60" t="n">
        <f aca="false">Pressupostos!$C$68*Pressupostos!$C$69*G3799/90</f>
        <v>0.0015</v>
      </c>
      <c r="H3805" s="2" t="s">
        <v>1179</v>
      </c>
    </row>
    <row r="3806" customFormat="false" ht="15" hidden="false" customHeight="false" outlineLevel="1" collapsed="false">
      <c r="A3806" s="7" t="s">
        <v>637</v>
      </c>
      <c r="B3806" s="8" t="s">
        <v>59</v>
      </c>
      <c r="C3806" s="60" t="n">
        <f aca="false">Pressupostos!$C$60/(Pressupostos!$C$58*1000)</f>
        <v>0.012</v>
      </c>
      <c r="D3806" s="60" t="n">
        <f aca="false">Pressupostos!$C$60/(Pressupostos!$C$58*1000)</f>
        <v>0.012</v>
      </c>
      <c r="E3806" s="60" t="n">
        <f aca="false">Pressupostos!$C$60/(Pressupostos!$C$58*1000)</f>
        <v>0.012</v>
      </c>
      <c r="F3806" s="60" t="n">
        <f aca="false">Pressupostos!$C$60/(Pressupostos!$C$58*1000)</f>
        <v>0.012</v>
      </c>
      <c r="G3806" s="60" t="n">
        <f aca="false">Pressupostos!$C$60/(Pressupostos!$C$58*1000)</f>
        <v>0.012</v>
      </c>
      <c r="H3806" s="2" t="s">
        <v>1180</v>
      </c>
    </row>
    <row r="3807" customFormat="false" ht="15" hidden="false" customHeight="false" outlineLevel="1" collapsed="false">
      <c r="A3807" s="7" t="s">
        <v>131</v>
      </c>
      <c r="B3807" s="8" t="s">
        <v>59</v>
      </c>
      <c r="C3807" s="63" t="n">
        <f aca="false">Pressupostos!$C$61</f>
        <v>0.001</v>
      </c>
      <c r="D3807" s="63" t="n">
        <f aca="false">Pressupostos!$C$61</f>
        <v>0.001</v>
      </c>
      <c r="E3807" s="63" t="n">
        <f aca="false">Pressupostos!$C$61</f>
        <v>0.001</v>
      </c>
      <c r="F3807" s="63" t="n">
        <f aca="false">Pressupostos!$C$61</f>
        <v>0.001</v>
      </c>
      <c r="G3807" s="63" t="n">
        <f aca="false">Pressupostos!$C$61</f>
        <v>0.001</v>
      </c>
      <c r="H3807" s="2" t="s">
        <v>1181</v>
      </c>
    </row>
    <row r="3808" customFormat="false" ht="15" hidden="false" customHeight="false" outlineLevel="1" collapsed="false">
      <c r="A3808" s="7" t="s">
        <v>76</v>
      </c>
      <c r="B3808" s="8" t="s">
        <v>59</v>
      </c>
      <c r="C3808" s="60" t="n">
        <f aca="false">Pressupostos!$C$62*C3795</f>
        <v>0.01095</v>
      </c>
      <c r="D3808" s="60" t="n">
        <f aca="false">Pressupostos!$C$62*D3795</f>
        <v>0.01095</v>
      </c>
      <c r="E3808" s="60" t="n">
        <f aca="false">Pressupostos!$C$62*E3795</f>
        <v>0.01095</v>
      </c>
      <c r="F3808" s="60" t="n">
        <f aca="false">Pressupostos!$C$62*F3795</f>
        <v>0.01095</v>
      </c>
      <c r="G3808" s="60" t="n">
        <f aca="false">Pressupostos!$C$62*G3795</f>
        <v>0.01095</v>
      </c>
      <c r="H3808" s="2" t="s">
        <v>1182</v>
      </c>
    </row>
    <row r="3809" customFormat="false" ht="15" hidden="false" customHeight="false" outlineLevel="1" collapsed="false">
      <c r="A3809" s="7" t="s">
        <v>638</v>
      </c>
      <c r="B3809" s="8" t="s">
        <v>59</v>
      </c>
      <c r="C3809" s="60" t="n">
        <f aca="false">Pressupostos!$C$71*C3795</f>
        <v>0</v>
      </c>
      <c r="D3809" s="60" t="n">
        <f aca="false">Pressupostos!$C$71*D3795</f>
        <v>0</v>
      </c>
      <c r="E3809" s="60" t="n">
        <f aca="false">Pressupostos!$C$71*E3795</f>
        <v>0</v>
      </c>
      <c r="F3809" s="60" t="n">
        <f aca="false">Pressupostos!$C$71*F3795</f>
        <v>0</v>
      </c>
      <c r="G3809" s="60" t="n">
        <f aca="false">Pressupostos!$C$71*G3795</f>
        <v>0</v>
      </c>
      <c r="H3809" s="2" t="s">
        <v>1183</v>
      </c>
    </row>
    <row r="3810" customFormat="false" ht="15" hidden="false" customHeight="false" outlineLevel="1" collapsed="false">
      <c r="A3810" s="7" t="s">
        <v>639</v>
      </c>
      <c r="B3810" s="8" t="s">
        <v>59</v>
      </c>
      <c r="C3810" s="60" t="n">
        <f aca="false">Pressupostos!$C$285*(C3793+C3796)*(C3799+C3800-Pressupostos!$C$70)/365*Pressupostos!$C$279/Pressupostos!$F$31</f>
        <v>0</v>
      </c>
      <c r="D3810" s="60" t="n">
        <f aca="false">Pressupostos!$D$285*(D3793+D3796)*(D3799+D3800-Pressupostos!$C$70)/365*Pressupostos!$D$279/Pressupostos!$F$31</f>
        <v>0.0258904109589041</v>
      </c>
      <c r="E3810" s="60" t="n">
        <f aca="false">Pressupostos!$E$285*(E3793+E3796)*(E3799+E3800-Pressupostos!$C$70)/365*Pressupostos!$E$279/Pressupostos!$F$31</f>
        <v>0.0242722602739726</v>
      </c>
      <c r="F3810" s="60" t="n">
        <f aca="false">Pressupostos!$F$285*(F3793+F3796)*(F3799+F3800-Pressupostos!$C$70)/365*Pressupostos!$F$279/Pressupostos!$F$31</f>
        <v>0.0226541095890411</v>
      </c>
      <c r="G3810" s="60" t="n">
        <f aca="false">Pressupostos!$G$285*(G3793+G3796)*(G3799+G3800-Pressupostos!$C$70)/365*Pressupostos!$G$279/Pressupostos!$F$31</f>
        <v>0.0226541095890411</v>
      </c>
      <c r="H3810" s="2" t="s">
        <v>1184</v>
      </c>
    </row>
    <row r="3811" customFormat="false" ht="15" hidden="false" customHeight="false" outlineLevel="1" collapsed="false">
      <c r="A3811" s="7" t="s">
        <v>640</v>
      </c>
      <c r="B3811" s="8" t="s">
        <v>59</v>
      </c>
      <c r="C3811" s="60" t="n">
        <f aca="false">C3793+C3796+C3797+C3798+C3801+C3802+C3803+C3804+C3805+C3806+C3807+C3808+C3809+C3810</f>
        <v>3.59123767123288</v>
      </c>
      <c r="D3811" s="60" t="n">
        <f aca="false">D3793+D3796+D3797+D3798+D3801+D3802+D3803+D3804+D3805+D3806+D3807+D3808+D3809+D3810</f>
        <v>3.61712808219178</v>
      </c>
      <c r="E3811" s="60" t="n">
        <f aca="false">E3793+E3796+E3797+E3798+E3801+E3802+E3803+E3804+E3805+E3806+E3807+E3808+E3809+E3810</f>
        <v>3.61550993150685</v>
      </c>
      <c r="F3811" s="60" t="n">
        <f aca="false">F3793+F3796+F3797+F3798+F3801+F3802+F3803+F3804+F3805+F3806+F3807+F3808+F3809+F3810</f>
        <v>3.61389178082192</v>
      </c>
      <c r="G3811" s="60" t="n">
        <f aca="false">G3793+G3796+G3797+G3798+G3801+G3802+G3803+G3804+G3805+G3806+G3807+G3808+G3809+G3810</f>
        <v>3.61389178082192</v>
      </c>
      <c r="H3811" s="2" t="s">
        <v>1185</v>
      </c>
    </row>
    <row r="3812" customFormat="false" ht="15" hidden="false" customHeight="false" outlineLevel="1" collapsed="false">
      <c r="A3812" s="52" t="s">
        <v>641</v>
      </c>
      <c r="B3812" s="53" t="s">
        <v>59</v>
      </c>
      <c r="C3812" s="64" t="n">
        <f aca="false">C3795-C3811</f>
        <v>0.058762328767124</v>
      </c>
      <c r="D3812" s="64" t="n">
        <f aca="false">D3795-D3811</f>
        <v>0.0328719178082197</v>
      </c>
      <c r="E3812" s="64" t="n">
        <f aca="false">E3795-E3811</f>
        <v>0.0344900684931515</v>
      </c>
      <c r="F3812" s="64" t="n">
        <f aca="false">F3795-F3811</f>
        <v>0.0361082191780828</v>
      </c>
      <c r="G3812" s="64" t="n">
        <f aca="false">G3795-G3811</f>
        <v>0.0361082191780828</v>
      </c>
      <c r="H3812" s="2" t="s">
        <v>1186</v>
      </c>
    </row>
    <row r="3813" customFormat="false" ht="15" hidden="false" customHeight="false" outlineLevel="1" collapsed="false">
      <c r="A3813" s="7" t="s">
        <v>642</v>
      </c>
      <c r="B3813" s="8" t="s">
        <v>71</v>
      </c>
      <c r="C3813" s="55" t="n">
        <f aca="false">IF(C3795&gt;0,C3812/C3795,0)</f>
        <v>0.0160992681553764</v>
      </c>
      <c r="D3813" s="55" t="n">
        <f aca="false">IF(D3795&gt;0,D3812/D3795,0)</f>
        <v>0.00900600487896431</v>
      </c>
      <c r="E3813" s="55" t="n">
        <f aca="false">IF(E3795&gt;0,E3812/E3795,0)</f>
        <v>0.00944933383374014</v>
      </c>
      <c r="F3813" s="55" t="n">
        <f aca="false">IF(F3795&gt;0,F3812/F3795,0)</f>
        <v>0.00989266278851584</v>
      </c>
      <c r="G3813" s="55" t="n">
        <f aca="false">IF(G3795&gt;0,G3812/G3795,0)</f>
        <v>0.00989266278851584</v>
      </c>
      <c r="H3813" s="2" t="s">
        <v>1187</v>
      </c>
    </row>
    <row r="3814" customFormat="false" ht="15" hidden="false" customHeight="false" outlineLevel="1" collapsed="false">
      <c r="A3814" s="7" t="s">
        <v>643</v>
      </c>
      <c r="B3814" s="8" t="s">
        <v>59</v>
      </c>
      <c r="C3814" s="60" t="n">
        <f aca="false">(C3793+C3796)*(C3799-Pressupostos!$C$70)/365+C3795*C3800/365</f>
        <v>0.306164383561644</v>
      </c>
      <c r="D3814" s="60" t="n">
        <f aca="false">(D3793+D3796)*(D3799-Pressupostos!$C$70)/365+D3795*D3800/365</f>
        <v>0.306164383561644</v>
      </c>
      <c r="E3814" s="60" t="n">
        <f aca="false">(E3793+E3796)*(E3799-Pressupostos!$C$70)/365+E3795*E3800/365</f>
        <v>0.306164383561644</v>
      </c>
      <c r="F3814" s="60" t="n">
        <f aca="false">(F3793+F3796)*(F3799-Pressupostos!$C$70)/365+F3795*F3800/365</f>
        <v>0.306164383561644</v>
      </c>
      <c r="G3814" s="60" t="n">
        <f aca="false">(G3793+G3796)*(G3799-Pressupostos!$C$70)/365+G3795*G3800/365</f>
        <v>0.306164383561644</v>
      </c>
      <c r="H3814" s="2" t="s">
        <v>1188</v>
      </c>
    </row>
    <row r="3815" customFormat="false" ht="15" hidden="false" customHeight="false" outlineLevel="0" collapsed="false">
      <c r="A3815" s="3" t="s">
        <v>1189</v>
      </c>
      <c r="B3815" s="4"/>
      <c r="C3815" s="4"/>
      <c r="D3815" s="4"/>
      <c r="E3815" s="4"/>
      <c r="F3815" s="4"/>
      <c r="G3815" s="4"/>
      <c r="H3815" s="4"/>
    </row>
    <row r="3816" customFormat="false" ht="15" hidden="false" customHeight="false" outlineLevel="1" collapsed="false">
      <c r="A3816" s="7" t="s">
        <v>575</v>
      </c>
      <c r="B3816" s="8" t="s">
        <v>10</v>
      </c>
      <c r="C3816" s="58" t="n">
        <f aca="false">C3731*1000*C3749</f>
        <v>43050</v>
      </c>
      <c r="D3816" s="58" t="n">
        <f aca="false">D3731*1000*D3749</f>
        <v>161437.5</v>
      </c>
      <c r="E3816" s="58" t="n">
        <f aca="false">E3731*1000*E3749</f>
        <v>430500</v>
      </c>
      <c r="F3816" s="58" t="n">
        <f aca="false">F3731*1000*F3749</f>
        <v>753375</v>
      </c>
      <c r="G3816" s="58" t="n">
        <f aca="false">G3731*1000*G3749</f>
        <v>1076250</v>
      </c>
      <c r="H3816" s="2" t="s">
        <v>1190</v>
      </c>
    </row>
    <row r="3817" customFormat="false" ht="15" hidden="false" customHeight="false" outlineLevel="1" collapsed="false">
      <c r="A3817" s="7" t="s">
        <v>576</v>
      </c>
      <c r="B3817" s="8" t="s">
        <v>10</v>
      </c>
      <c r="C3817" s="58" t="n">
        <f aca="false">C3732*1000*C3772</f>
        <v>231400</v>
      </c>
      <c r="D3817" s="58" t="n">
        <f aca="false">D3732*1000*D3772</f>
        <v>1615350</v>
      </c>
      <c r="E3817" s="58" t="n">
        <f aca="false">E3732*1000*E3772</f>
        <v>3190650</v>
      </c>
      <c r="F3817" s="58" t="n">
        <f aca="false">F3732*1000*F3772</f>
        <v>5264350</v>
      </c>
      <c r="G3817" s="58" t="n">
        <f aca="false">G3732*1000*G3772</f>
        <v>7965500</v>
      </c>
      <c r="H3817" s="2" t="s">
        <v>1191</v>
      </c>
    </row>
    <row r="3818" customFormat="false" ht="15" hidden="false" customHeight="false" outlineLevel="1" collapsed="false">
      <c r="A3818" s="7" t="s">
        <v>577</v>
      </c>
      <c r="B3818" s="8" t="s">
        <v>10</v>
      </c>
      <c r="C3818" s="58" t="n">
        <f aca="false">C3733*1000*C3795</f>
        <v>0</v>
      </c>
      <c r="D3818" s="58" t="n">
        <f aca="false">D3733*1000*D3795</f>
        <v>1825000</v>
      </c>
      <c r="E3818" s="58" t="n">
        <f aca="false">E3733*1000*E3795</f>
        <v>5475000</v>
      </c>
      <c r="F3818" s="58" t="n">
        <f aca="false">F3733*1000*F3795</f>
        <v>9125000</v>
      </c>
      <c r="G3818" s="58" t="n">
        <f aca="false">G3733*1000*G3795</f>
        <v>12775000</v>
      </c>
      <c r="H3818" s="2" t="s">
        <v>1192</v>
      </c>
    </row>
    <row r="3819" customFormat="false" ht="15" hidden="false" customHeight="false" outlineLevel="1" collapsed="false">
      <c r="A3819" s="7" t="s">
        <v>578</v>
      </c>
      <c r="B3819" s="8" t="s">
        <v>10</v>
      </c>
      <c r="C3819" s="58" t="n">
        <f aca="false">C3816+C3817+C3818</f>
        <v>274450</v>
      </c>
      <c r="D3819" s="58" t="n">
        <f aca="false">D3816+D3817+D3818</f>
        <v>3601787.5</v>
      </c>
      <c r="E3819" s="58" t="n">
        <f aca="false">E3816+E3817+E3818</f>
        <v>9096150</v>
      </c>
      <c r="F3819" s="58" t="n">
        <f aca="false">F3816+F3817+F3818</f>
        <v>15142725</v>
      </c>
      <c r="G3819" s="58" t="n">
        <f aca="false">G3816+G3817+G3818</f>
        <v>21816750</v>
      </c>
      <c r="H3819" s="2" t="s">
        <v>1193</v>
      </c>
    </row>
    <row r="3820" customFormat="false" ht="15" hidden="false" customHeight="false" outlineLevel="1" collapsed="false">
      <c r="A3820" s="7" t="s">
        <v>579</v>
      </c>
      <c r="B3820" s="8" t="s">
        <v>10</v>
      </c>
      <c r="C3820" s="58" t="n">
        <f aca="false">C3742*1000*Pressupostos!$C$91</f>
        <v>0</v>
      </c>
      <c r="D3820" s="58" t="n">
        <f aca="false">D3742*1000*Pressupostos!$C$91</f>
        <v>0</v>
      </c>
      <c r="E3820" s="58" t="n">
        <f aca="false">E3742*1000*Pressupostos!$C$91</f>
        <v>0</v>
      </c>
      <c r="F3820" s="58" t="n">
        <f aca="false">F3742*1000*Pressupostos!$C$91</f>
        <v>157000</v>
      </c>
      <c r="G3820" s="58" t="n">
        <f aca="false">G3742*1000*Pressupostos!$C$91</f>
        <v>392500</v>
      </c>
      <c r="H3820" s="2" t="s">
        <v>1194</v>
      </c>
    </row>
    <row r="3821" customFormat="false" ht="15" hidden="false" customHeight="false" outlineLevel="1" collapsed="false">
      <c r="A3821" s="2" t="s">
        <v>580</v>
      </c>
      <c r="B3821" s="8" t="s">
        <v>10</v>
      </c>
      <c r="C3821" s="58" t="n">
        <f aca="false">C3740*Pressupostos!$C$78*(1-Pressupostos!$C$79)</f>
        <v>9720</v>
      </c>
      <c r="D3821" s="58" t="n">
        <f aca="false">D3740*Pressupostos!$C$78*(1-Pressupostos!$C$79)</f>
        <v>36450</v>
      </c>
      <c r="E3821" s="58" t="n">
        <f aca="false">E3740*Pressupostos!$C$78*(1-Pressupostos!$C$79)</f>
        <v>97200</v>
      </c>
      <c r="F3821" s="58" t="n">
        <f aca="false">F3740*Pressupostos!$C$78*(1-Pressupostos!$C$79)</f>
        <v>170100</v>
      </c>
      <c r="G3821" s="58" t="n">
        <f aca="false">G3740*Pressupostos!$C$78*(1-Pressupostos!$C$79)</f>
        <v>243000</v>
      </c>
      <c r="H3821" s="2" t="s">
        <v>1195</v>
      </c>
    </row>
    <row r="3822" customFormat="false" ht="15" hidden="false" customHeight="false" outlineLevel="1" collapsed="false">
      <c r="A3822" s="7" t="s">
        <v>581</v>
      </c>
      <c r="B3822" s="8" t="s">
        <v>10</v>
      </c>
      <c r="C3822" s="58" t="n">
        <f aca="false">C3821*Pressupostos!$F$27</f>
        <v>194.4</v>
      </c>
      <c r="D3822" s="58" t="n">
        <f aca="false">D3821*Pressupostos!$F$27</f>
        <v>729</v>
      </c>
      <c r="E3822" s="58" t="n">
        <f aca="false">E3821*Pressupostos!$F$27</f>
        <v>1944</v>
      </c>
      <c r="F3822" s="58" t="n">
        <f aca="false">F3821*Pressupostos!$F$27</f>
        <v>3402</v>
      </c>
      <c r="G3822" s="58" t="n">
        <f aca="false">G3821*Pressupostos!$F$27</f>
        <v>4860</v>
      </c>
      <c r="H3822" s="2" t="s">
        <v>1196</v>
      </c>
    </row>
    <row r="3823" customFormat="false" ht="15" hidden="false" customHeight="false" outlineLevel="1" collapsed="false">
      <c r="A3823" s="7" t="s">
        <v>582</v>
      </c>
      <c r="B3823" s="8" t="s">
        <v>10</v>
      </c>
      <c r="C3823" s="58" t="n">
        <f aca="false">C3744*(Pressupostos!$C$99*Pressupostos!$C$100+Pressupostos!$C$101)</f>
        <v>0</v>
      </c>
      <c r="D3823" s="58" t="n">
        <f aca="false">D3744*(Pressupostos!$C$99*Pressupostos!$C$100+Pressupostos!$C$101)</f>
        <v>10000</v>
      </c>
      <c r="E3823" s="58" t="n">
        <f aca="false">E3744*(Pressupostos!$C$99*Pressupostos!$C$100+Pressupostos!$C$101)</f>
        <v>30000</v>
      </c>
      <c r="F3823" s="58" t="n">
        <f aca="false">F3744*(Pressupostos!$C$99*Pressupostos!$C$100+Pressupostos!$C$101)</f>
        <v>60000</v>
      </c>
      <c r="G3823" s="58" t="n">
        <f aca="false">G3744*(Pressupostos!$C$99*Pressupostos!$C$100+Pressupostos!$C$101)</f>
        <v>100000</v>
      </c>
      <c r="H3823" s="2" t="s">
        <v>1197</v>
      </c>
    </row>
    <row r="3824" customFormat="false" ht="15" hidden="false" customHeight="false" outlineLevel="1" collapsed="false">
      <c r="A3824" s="7" t="s">
        <v>583</v>
      </c>
      <c r="B3824" s="8" t="s">
        <v>10</v>
      </c>
      <c r="C3824" s="50" t="n">
        <f aca="false">Pressupostos!$C$272</f>
        <v>0</v>
      </c>
      <c r="D3824" s="50" t="n">
        <f aca="false">Pressupostos!$D$272</f>
        <v>0</v>
      </c>
      <c r="E3824" s="50" t="n">
        <f aca="false">Pressupostos!$E$272</f>
        <v>0</v>
      </c>
      <c r="F3824" s="50" t="n">
        <f aca="false">Pressupostos!$F$272</f>
        <v>10000</v>
      </c>
      <c r="G3824" s="50" t="n">
        <f aca="false">Pressupostos!$G$272</f>
        <v>30000</v>
      </c>
      <c r="H3824" s="2" t="s">
        <v>1198</v>
      </c>
    </row>
    <row r="3825" customFormat="false" ht="15" hidden="false" customHeight="false" outlineLevel="1" collapsed="false">
      <c r="A3825" s="52" t="s">
        <v>584</v>
      </c>
      <c r="B3825" s="53" t="s">
        <v>10</v>
      </c>
      <c r="C3825" s="59" t="n">
        <f aca="false">C3819+C3820+C3822+C3823+C3824</f>
        <v>274644.4</v>
      </c>
      <c r="D3825" s="59" t="n">
        <f aca="false">D3819+D3820+D3822+D3823+D3824</f>
        <v>3612516.5</v>
      </c>
      <c r="E3825" s="59" t="n">
        <f aca="false">E3819+E3820+E3822+E3823+E3824</f>
        <v>9128094</v>
      </c>
      <c r="F3825" s="59" t="n">
        <f aca="false">F3819+F3820+F3822+F3823+F3824</f>
        <v>15373127</v>
      </c>
      <c r="G3825" s="59" t="n">
        <f aca="false">G3819+G3820+G3822+G3823+G3824</f>
        <v>22344110</v>
      </c>
      <c r="H3825" s="2" t="s">
        <v>1199</v>
      </c>
    </row>
    <row r="3826" customFormat="false" ht="15" hidden="false" customHeight="false" outlineLevel="0" collapsed="false">
      <c r="A3826" s="3" t="s">
        <v>1200</v>
      </c>
      <c r="B3826" s="4"/>
      <c r="C3826" s="4"/>
      <c r="D3826" s="4"/>
      <c r="E3826" s="4"/>
      <c r="F3826" s="4"/>
      <c r="G3826" s="4"/>
      <c r="H3826" s="4"/>
    </row>
    <row r="3827" customFormat="false" ht="15" hidden="false" customHeight="false" outlineLevel="1" collapsed="false">
      <c r="A3827" s="52" t="s">
        <v>586</v>
      </c>
      <c r="B3827" s="53" t="s">
        <v>10</v>
      </c>
      <c r="C3827" s="59" t="n">
        <f aca="false">C3819+C3820+C3821</f>
        <v>284170</v>
      </c>
      <c r="D3827" s="59" t="n">
        <f aca="false">D3819+D3820+D3821</f>
        <v>3638237.5</v>
      </c>
      <c r="E3827" s="59" t="n">
        <f aca="false">E3819+E3820+E3821</f>
        <v>9193350</v>
      </c>
      <c r="F3827" s="59" t="n">
        <f aca="false">F3819+F3820+F3821</f>
        <v>15469825</v>
      </c>
      <c r="G3827" s="59" t="n">
        <f aca="false">G3819+G3820+G3821</f>
        <v>22452250</v>
      </c>
      <c r="H3827" s="2" t="s">
        <v>1201</v>
      </c>
    </row>
    <row r="3828" customFormat="false" ht="15" hidden="false" customHeight="false" outlineLevel="1" collapsed="false">
      <c r="A3828" s="7" t="s">
        <v>587</v>
      </c>
      <c r="B3828" s="8" t="s">
        <v>10</v>
      </c>
      <c r="C3828" s="58" t="n">
        <f aca="false">C3731*1000*(C3747+C3750)+C3732*1000*(C3770+C3773)+C3733*1000*(C3793+C3796)+C3742*1000*Pressupostos!$C$90</f>
        <v>245040</v>
      </c>
      <c r="D3828" s="58" t="n">
        <f aca="false">D3731*1000*(D3747+D3750)+D3732*1000*(D3770+D3773)+D3733*1000*(D3793+D3796)+D3742*1000*Pressupostos!$C$90</f>
        <v>3349300</v>
      </c>
      <c r="E3828" s="58" t="n">
        <f aca="false">E3731*1000*(E3747+E3750)+E3732*1000*(E3770+E3773)+E3733*1000*(E3793+E3796)+E3742*1000*Pressupostos!$C$90</f>
        <v>8498250</v>
      </c>
      <c r="F3828" s="58" t="n">
        <f aca="false">F3731*1000*(F3747+F3750)+F3732*1000*(F3770+F3773)+F3733*1000*(F3793+F3796)+F3742*1000*Pressupostos!$C$90</f>
        <v>14283850</v>
      </c>
      <c r="G3828" s="58" t="n">
        <f aca="false">G3731*1000*(G3747+G3750)+G3732*1000*(G3770+G3773)+G3733*1000*(G3793+G3796)+G3742*1000*Pressupostos!$C$90</f>
        <v>20710500</v>
      </c>
      <c r="H3828" s="2" t="s">
        <v>1202</v>
      </c>
    </row>
    <row r="3829" customFormat="false" ht="15" hidden="false" customHeight="false" outlineLevel="1" collapsed="false">
      <c r="A3829" s="7" t="s">
        <v>588</v>
      </c>
      <c r="B3829" s="8" t="s">
        <v>10</v>
      </c>
      <c r="C3829" s="58" t="n">
        <f aca="false">C3828*Pressupostos!$C$279</f>
        <v>0</v>
      </c>
      <c r="D3829" s="58" t="n">
        <f aca="false">D3828*Pressupostos!$D$279</f>
        <v>3014370</v>
      </c>
      <c r="E3829" s="58" t="n">
        <f aca="false">E3828*Pressupostos!$E$279</f>
        <v>7648425</v>
      </c>
      <c r="F3829" s="58" t="n">
        <f aca="false">F3828*Pressupostos!$F$279</f>
        <v>12855465</v>
      </c>
      <c r="G3829" s="58" t="n">
        <f aca="false">G3828*Pressupostos!$G$279</f>
        <v>18639450</v>
      </c>
      <c r="H3829" s="2" t="s">
        <v>1203</v>
      </c>
    </row>
    <row r="3830" customFormat="false" ht="15" hidden="false" customHeight="false" outlineLevel="0" collapsed="false">
      <c r="A3830" s="3" t="s">
        <v>1204</v>
      </c>
      <c r="B3830" s="4"/>
      <c r="C3830" s="4"/>
      <c r="D3830" s="4"/>
      <c r="E3830" s="4"/>
      <c r="F3830" s="4"/>
      <c r="G3830" s="4"/>
      <c r="H3830" s="4"/>
    </row>
    <row r="3831" customFormat="false" ht="15" hidden="false" customHeight="false" outlineLevel="1" collapsed="false">
      <c r="A3831" s="7" t="s">
        <v>590</v>
      </c>
      <c r="B3831" s="8" t="s">
        <v>10</v>
      </c>
      <c r="C3831" s="58" t="n">
        <f aca="false">C3731*1000*C3766</f>
        <v>3728.13000000001</v>
      </c>
      <c r="D3831" s="58" t="n">
        <f aca="false">D3731*1000*D3766</f>
        <v>8089.12448630139</v>
      </c>
      <c r="E3831" s="58" t="n">
        <f aca="false">E3731*1000*E3766</f>
        <v>37745.0493150685</v>
      </c>
      <c r="F3831" s="58" t="n">
        <f aca="false">F3731*1000*F3766</f>
        <v>67953.2455479451</v>
      </c>
      <c r="G3831" s="58" t="n">
        <f aca="false">G3731*1000*G3766</f>
        <v>97076.0650684931</v>
      </c>
      <c r="H3831" s="2" t="s">
        <v>1205</v>
      </c>
    </row>
    <row r="3832" customFormat="false" ht="15" hidden="false" customHeight="false" outlineLevel="1" collapsed="false">
      <c r="A3832" s="7" t="s">
        <v>591</v>
      </c>
      <c r="B3832" s="8" t="s">
        <v>10</v>
      </c>
      <c r="C3832" s="58" t="n">
        <f aca="false">C3732*1000*C3789</f>
        <v>10195.0273972603</v>
      </c>
      <c r="D3832" s="58" t="n">
        <f aca="false">D3732*1000*D3789</f>
        <v>51231.4828767126</v>
      </c>
      <c r="E3832" s="58" t="n">
        <f aca="false">E3732*1000*E3789</f>
        <v>110824.074914384</v>
      </c>
      <c r="F3832" s="58" t="n">
        <f aca="false">F3732*1000*F3789</f>
        <v>186912.987157534</v>
      </c>
      <c r="G3832" s="58" t="n">
        <f aca="false">G3732*1000*G3789</f>
        <v>282818.467465754</v>
      </c>
      <c r="H3832" s="2" t="s">
        <v>1206</v>
      </c>
    </row>
    <row r="3833" customFormat="false" ht="15" hidden="false" customHeight="false" outlineLevel="1" collapsed="false">
      <c r="A3833" s="7" t="s">
        <v>592</v>
      </c>
      <c r="B3833" s="8" t="s">
        <v>10</v>
      </c>
      <c r="C3833" s="58" t="n">
        <f aca="false">C3733*1000*C3812</f>
        <v>0</v>
      </c>
      <c r="D3833" s="58" t="n">
        <f aca="false">D3733*1000*D3812</f>
        <v>16435.9589041099</v>
      </c>
      <c r="E3833" s="58" t="n">
        <f aca="false">E3733*1000*E3812</f>
        <v>51735.1027397273</v>
      </c>
      <c r="F3833" s="58" t="n">
        <f aca="false">F3733*1000*F3812</f>
        <v>90270.5479452071</v>
      </c>
      <c r="G3833" s="58" t="n">
        <f aca="false">G3733*1000*G3812</f>
        <v>126378.76712329</v>
      </c>
      <c r="H3833" s="2" t="s">
        <v>1207</v>
      </c>
    </row>
    <row r="3834" customFormat="false" ht="15" hidden="false" customHeight="false" outlineLevel="1" collapsed="false">
      <c r="A3834" s="7" t="s">
        <v>593</v>
      </c>
      <c r="B3834" s="8" t="s">
        <v>10</v>
      </c>
      <c r="C3834" s="58" t="n">
        <f aca="false">C3831+C3832+C3833</f>
        <v>13923.1573972603</v>
      </c>
      <c r="D3834" s="58" t="n">
        <f aca="false">D3831+D3832+D3833</f>
        <v>75756.5662671238</v>
      </c>
      <c r="E3834" s="58" t="n">
        <f aca="false">E3831+E3832+E3833</f>
        <v>200304.22696918</v>
      </c>
      <c r="F3834" s="58" t="n">
        <f aca="false">F3831+F3832+F3833</f>
        <v>345136.780650687</v>
      </c>
      <c r="G3834" s="58" t="n">
        <f aca="false">G3831+G3832+G3833</f>
        <v>506273.299657537</v>
      </c>
      <c r="H3834" s="2" t="s">
        <v>1208</v>
      </c>
    </row>
    <row r="3835" customFormat="false" ht="15" hidden="false" customHeight="false" outlineLevel="1" collapsed="false">
      <c r="A3835" s="7" t="s">
        <v>594</v>
      </c>
      <c r="B3835" s="8" t="s">
        <v>59</v>
      </c>
      <c r="C3835" s="60" t="n">
        <f aca="false">IF(C3734&gt;0,C3834/(C3734*1000),0)</f>
        <v>0.231281684339872</v>
      </c>
      <c r="D3835" s="60" t="n">
        <f aca="false">IF(D3734&gt;0,D3834/(D3734*1000),0)</f>
        <v>0.0847625916275511</v>
      </c>
      <c r="E3835" s="60" t="n">
        <f aca="false">IF(E3734&gt;0,E3834/(E3734*1000),0)</f>
        <v>0.0871266754976857</v>
      </c>
      <c r="F3835" s="60" t="n">
        <f aca="false">IF(F3734&gt;0,F3834/(F3734*1000),0)</f>
        <v>0.0901964669151147</v>
      </c>
      <c r="G3835" s="60" t="n">
        <f aca="false">IF(G3734&gt;0,G3834/(G3734*1000),0)</f>
        <v>0.0921334485273042</v>
      </c>
      <c r="H3835" s="2" t="s">
        <v>1209</v>
      </c>
    </row>
    <row r="3836" customFormat="false" ht="15" hidden="false" customHeight="false" outlineLevel="1" collapsed="false">
      <c r="A3836" s="7" t="s">
        <v>595</v>
      </c>
      <c r="B3836" s="8" t="s">
        <v>71</v>
      </c>
      <c r="C3836" s="55" t="n">
        <f aca="false">IF(C3819&gt;0,C3834/C3819,0)</f>
        <v>0.0507311255137923</v>
      </c>
      <c r="D3836" s="55" t="n">
        <f aca="false">IF(D3819&gt;0,D3834/D3819,0)</f>
        <v>0.0210330471376015</v>
      </c>
      <c r="E3836" s="55" t="n">
        <f aca="false">IF(E3819&gt;0,E3834/E3819,0)</f>
        <v>0.022020769992709</v>
      </c>
      <c r="F3836" s="55" t="n">
        <f aca="false">IF(F3819&gt;0,F3834/F3819,0)</f>
        <v>0.0227922504470422</v>
      </c>
      <c r="G3836" s="55" t="n">
        <f aca="false">IF(G3819&gt;0,G3834/G3819,0)</f>
        <v>0.0232057157760682</v>
      </c>
      <c r="H3836" s="2" t="s">
        <v>1210</v>
      </c>
    </row>
    <row r="3837" customFormat="false" ht="15" hidden="false" customHeight="false" outlineLevel="1" collapsed="false">
      <c r="A3837" s="2" t="s">
        <v>596</v>
      </c>
      <c r="B3837" s="8" t="s">
        <v>59</v>
      </c>
      <c r="C3837" s="60" t="n">
        <f aca="false">Pressupostos!$C$285*Pressupostos!$C$90*(Pressupostos!$C$93+Pressupostos!$C$94-Pressupostos!$C$95)/365*Pressupostos!$C$279/Pressupostos!$F$31</f>
        <v>0</v>
      </c>
      <c r="D3837" s="60" t="n">
        <f aca="false">Pressupostos!$D$285*Pressupostos!$C$90*(Pressupostos!$C$93+Pressupostos!$C$94-Pressupostos!$C$95)/365*Pressupostos!$D$279/Pressupostos!$F$31</f>
        <v>0.0776712328767123</v>
      </c>
      <c r="E3837" s="60" t="n">
        <f aca="false">Pressupostos!$E$285*Pressupostos!$C$90*(Pressupostos!$C$93+Pressupostos!$C$94-Pressupostos!$C$95)/365*Pressupostos!$E$279/Pressupostos!$F$31</f>
        <v>0.0728167808219178</v>
      </c>
      <c r="F3837" s="60" t="n">
        <f aca="false">Pressupostos!$F$285*Pressupostos!$C$90*(Pressupostos!$C$93+Pressupostos!$C$94-Pressupostos!$C$95)/365*Pressupostos!$F$279/Pressupostos!$F$31</f>
        <v>0.0679623287671233</v>
      </c>
      <c r="G3837" s="60" t="n">
        <f aca="false">Pressupostos!$G$285*Pressupostos!$C$90*(Pressupostos!$C$93+Pressupostos!$C$94-Pressupostos!$C$95)/365*Pressupostos!$G$279/Pressupostos!$F$31</f>
        <v>0.0679623287671233</v>
      </c>
      <c r="H3837" s="2" t="s">
        <v>1211</v>
      </c>
    </row>
    <row r="3838" customFormat="false" ht="15" hidden="false" customHeight="false" outlineLevel="1" collapsed="false">
      <c r="A3838" s="7" t="s">
        <v>567</v>
      </c>
      <c r="B3838" s="8" t="s">
        <v>10</v>
      </c>
      <c r="C3838" s="58" t="n">
        <f aca="false">C3742*1000*(Pressupostos!$C$91-Pressupostos!$C$90-Pressupostos!$C$92-C3837-Pressupostos!$C$96*Pressupostos!$C$91-Pressupostos!$C$97-Pressupostos!$F$29*Pressupostos!$C$90)</f>
        <v>0</v>
      </c>
      <c r="D3838" s="58" t="n">
        <f aca="false">D3742*1000*(Pressupostos!$C$91-Pressupostos!$C$90-Pressupostos!$C$92-D3837-Pressupostos!$C$96*Pressupostos!$C$91-Pressupostos!$C$97-Pressupostos!$F$29*Pressupostos!$C$90)</f>
        <v>0</v>
      </c>
      <c r="E3838" s="58" t="n">
        <f aca="false">E3742*1000*(Pressupostos!$C$91-Pressupostos!$C$90-Pressupostos!$C$92-E3837-Pressupostos!$C$96*Pressupostos!$C$91-Pressupostos!$C$97-Pressupostos!$F$29*Pressupostos!$C$90)</f>
        <v>0</v>
      </c>
      <c r="F3838" s="58" t="n">
        <f aca="false">F3742*1000*(Pressupostos!$C$91-Pressupostos!$C$90-Pressupostos!$C$92-F3837-Pressupostos!$C$96*Pressupostos!$C$91-Pressupostos!$C$97-Pressupostos!$F$29*Pressupostos!$C$90)</f>
        <v>10678.7534246575</v>
      </c>
      <c r="G3838" s="58" t="n">
        <f aca="false">G3742*1000*(Pressupostos!$C$91-Pressupostos!$C$90-Pressupostos!$C$92-G3837-Pressupostos!$C$96*Pressupostos!$C$91-Pressupostos!$C$97-Pressupostos!$F$29*Pressupostos!$C$90)</f>
        <v>26696.8835616438</v>
      </c>
      <c r="H3838" s="2" t="s">
        <v>1212</v>
      </c>
    </row>
    <row r="3839" customFormat="false" ht="15" hidden="false" customHeight="false" outlineLevel="1" collapsed="false">
      <c r="A3839" s="7" t="s">
        <v>597</v>
      </c>
      <c r="B3839" s="8" t="s">
        <v>10</v>
      </c>
      <c r="C3839" s="58" t="n">
        <f aca="false">C3822</f>
        <v>194.4</v>
      </c>
      <c r="D3839" s="58" t="n">
        <f aca="false">D3822</f>
        <v>729</v>
      </c>
      <c r="E3839" s="58" t="n">
        <f aca="false">E3822</f>
        <v>1944</v>
      </c>
      <c r="F3839" s="58" t="n">
        <f aca="false">F3822</f>
        <v>3402</v>
      </c>
      <c r="G3839" s="58" t="n">
        <f aca="false">G3822</f>
        <v>4860</v>
      </c>
      <c r="H3839" s="2" t="s">
        <v>1213</v>
      </c>
    </row>
    <row r="3840" customFormat="false" ht="15" hidden="false" customHeight="false" outlineLevel="1" collapsed="false">
      <c r="A3840" s="7" t="s">
        <v>598</v>
      </c>
      <c r="B3840" s="8" t="s">
        <v>10</v>
      </c>
      <c r="C3840" s="58" t="n">
        <f aca="false">C3823-C3855</f>
        <v>0</v>
      </c>
      <c r="D3840" s="58" t="n">
        <f aca="false">D3823-D3855</f>
        <v>10000</v>
      </c>
      <c r="E3840" s="58" t="n">
        <f aca="false">E3823-E3855</f>
        <v>30000</v>
      </c>
      <c r="F3840" s="58" t="n">
        <f aca="false">F3823-F3855</f>
        <v>60000</v>
      </c>
      <c r="G3840" s="58" t="n">
        <f aca="false">G3823-G3855</f>
        <v>100000</v>
      </c>
      <c r="H3840" s="2" t="s">
        <v>1214</v>
      </c>
    </row>
    <row r="3841" customFormat="false" ht="15" hidden="false" customHeight="false" outlineLevel="1" collapsed="false">
      <c r="A3841" s="7" t="s">
        <v>583</v>
      </c>
      <c r="B3841" s="8" t="s">
        <v>10</v>
      </c>
      <c r="C3841" s="58" t="n">
        <f aca="false">C3824</f>
        <v>0</v>
      </c>
      <c r="D3841" s="58" t="n">
        <f aca="false">D3824</f>
        <v>0</v>
      </c>
      <c r="E3841" s="58" t="n">
        <f aca="false">E3824</f>
        <v>0</v>
      </c>
      <c r="F3841" s="58" t="n">
        <f aca="false">F3824</f>
        <v>10000</v>
      </c>
      <c r="G3841" s="58" t="n">
        <f aca="false">G3824</f>
        <v>30000</v>
      </c>
      <c r="H3841" s="2" t="s">
        <v>1215</v>
      </c>
    </row>
    <row r="3842" customFormat="false" ht="15" hidden="false" customHeight="false" outlineLevel="1" collapsed="false">
      <c r="A3842" s="52" t="s">
        <v>599</v>
      </c>
      <c r="B3842" s="53" t="s">
        <v>10</v>
      </c>
      <c r="C3842" s="59" t="n">
        <f aca="false">C3834+C3838+C3839+C3840+C3841</f>
        <v>14117.5573972603</v>
      </c>
      <c r="D3842" s="59" t="n">
        <f aca="false">D3834+D3838+D3839+D3840+D3841</f>
        <v>86485.5662671238</v>
      </c>
      <c r="E3842" s="59" t="n">
        <f aca="false">E3834+E3838+E3839+E3840+E3841</f>
        <v>232248.22696918</v>
      </c>
      <c r="F3842" s="59" t="n">
        <f aca="false">F3834+F3838+F3839+F3840+F3841</f>
        <v>429217.534075344</v>
      </c>
      <c r="G3842" s="59" t="n">
        <f aca="false">G3834+G3838+G3839+G3840+G3841</f>
        <v>667830.18321918</v>
      </c>
      <c r="H3842" s="2" t="s">
        <v>1216</v>
      </c>
    </row>
    <row r="3843" customFormat="false" ht="15" hidden="false" customHeight="false" outlineLevel="0" collapsed="false">
      <c r="A3843" s="3" t="s">
        <v>1217</v>
      </c>
      <c r="B3843" s="4"/>
      <c r="C3843" s="4"/>
      <c r="D3843" s="4"/>
      <c r="E3843" s="4"/>
      <c r="F3843" s="4"/>
      <c r="G3843" s="4"/>
      <c r="H3843" s="4"/>
    </row>
    <row r="3844" customFormat="false" ht="15" hidden="false" customHeight="false" outlineLevel="1" collapsed="false">
      <c r="A3844" s="7" t="s">
        <v>647</v>
      </c>
      <c r="B3844" s="8" t="s">
        <v>10</v>
      </c>
      <c r="C3844" s="58" t="n">
        <f aca="false">C3731*1000*(C3747+C3750)+C3732*1000*(C3770+C3773)+C3733*1000*(C3793+C3796)</f>
        <v>245040</v>
      </c>
      <c r="D3844" s="58" t="n">
        <f aca="false">D3731*1000*(D3747+D3750)+D3732*1000*(D3770+D3773)+D3733*1000*(D3793+D3796)</f>
        <v>3349300</v>
      </c>
      <c r="E3844" s="58" t="n">
        <f aca="false">E3731*1000*(E3747+E3750)+E3732*1000*(E3770+E3773)+E3733*1000*(E3793+E3796)</f>
        <v>8498250</v>
      </c>
      <c r="F3844" s="58" t="n">
        <f aca="false">F3731*1000*(F3747+F3750)+F3732*1000*(F3770+F3773)+F3733*1000*(F3793+F3796)</f>
        <v>14143850</v>
      </c>
      <c r="G3844" s="58" t="n">
        <f aca="false">G3731*1000*(G3747+G3750)+G3732*1000*(G3770+G3773)+G3733*1000*(G3793+G3796)</f>
        <v>20360500</v>
      </c>
      <c r="H3844" s="2" t="s">
        <v>1218</v>
      </c>
    </row>
    <row r="3845" customFormat="false" ht="15" hidden="false" customHeight="false" outlineLevel="1" collapsed="false">
      <c r="A3845" s="7" t="s">
        <v>648</v>
      </c>
      <c r="B3845" s="8" t="s">
        <v>10</v>
      </c>
      <c r="C3845" s="58" t="n">
        <f aca="false">C3742*1000*Pressupostos!$C$90</f>
        <v>0</v>
      </c>
      <c r="D3845" s="58" t="n">
        <f aca="false">D3742*1000*Pressupostos!$C$90</f>
        <v>0</v>
      </c>
      <c r="E3845" s="58" t="n">
        <f aca="false">E3742*1000*Pressupostos!$C$90</f>
        <v>0</v>
      </c>
      <c r="F3845" s="58" t="n">
        <f aca="false">F3742*1000*Pressupostos!$C$90</f>
        <v>140000</v>
      </c>
      <c r="G3845" s="58" t="n">
        <f aca="false">G3742*1000*Pressupostos!$C$90</f>
        <v>350000</v>
      </c>
      <c r="H3845" s="2" t="s">
        <v>1219</v>
      </c>
    </row>
    <row r="3846" customFormat="false" ht="15" hidden="false" customHeight="false" outlineLevel="1" collapsed="false">
      <c r="A3846" s="7" t="s">
        <v>649</v>
      </c>
      <c r="B3846" s="8" t="s">
        <v>10</v>
      </c>
      <c r="C3846" s="58" t="n">
        <f aca="false">C3844+C3845</f>
        <v>245040</v>
      </c>
      <c r="D3846" s="58" t="n">
        <f aca="false">D3844+D3845</f>
        <v>3349300</v>
      </c>
      <c r="E3846" s="58" t="n">
        <f aca="false">E3844+E3845</f>
        <v>8498250</v>
      </c>
      <c r="F3846" s="58" t="n">
        <f aca="false">F3844+F3845</f>
        <v>14283850</v>
      </c>
      <c r="G3846" s="58" t="n">
        <f aca="false">G3844+G3845</f>
        <v>20710500</v>
      </c>
      <c r="H3846" s="2" t="s">
        <v>1220</v>
      </c>
    </row>
    <row r="3847" customFormat="false" ht="15" hidden="false" customHeight="false" outlineLevel="1" collapsed="false">
      <c r="A3847" s="7" t="s">
        <v>205</v>
      </c>
      <c r="B3847" s="8" t="s">
        <v>10</v>
      </c>
      <c r="C3847" s="58" t="n">
        <f aca="false">C3731*1000*(C3751)+C3732*1000*(C3774)+C3733*1000*(C3797)+C3742*1000*Pressupostos!$C$92</f>
        <v>7660</v>
      </c>
      <c r="D3847" s="58" t="n">
        <f aca="false">D3731*1000*(D3751)+D3732*1000*(D3774)+D3733*1000*(D3797)+D3742*1000*Pressupostos!$C$92</f>
        <v>65525</v>
      </c>
      <c r="E3847" s="58" t="n">
        <f aca="false">E3731*1000*(E3751)+E3732*1000*(E3774)+E3733*1000*(E3797)+E3742*1000*Pressupostos!$C$92</f>
        <v>147490</v>
      </c>
      <c r="F3847" s="58" t="n">
        <f aca="false">F3731*1000*(F3751)+F3732*1000*(F3774)+F3733*1000*(F3797)+F3742*1000*Pressupostos!$C$92</f>
        <v>248215</v>
      </c>
      <c r="G3847" s="58" t="n">
        <f aca="false">G3731*1000*(G3751)+G3732*1000*(G3774)+G3733*1000*(G3797)+G3742*1000*Pressupostos!$C$92</f>
        <v>363950</v>
      </c>
      <c r="H3847" s="2" t="s">
        <v>1221</v>
      </c>
    </row>
    <row r="3848" customFormat="false" ht="15" hidden="false" customHeight="false" outlineLevel="1" collapsed="false">
      <c r="A3848" s="7" t="s">
        <v>109</v>
      </c>
      <c r="B3848" s="8" t="s">
        <v>10</v>
      </c>
      <c r="C3848" s="58" t="n">
        <f aca="false">C3731*1000*(C3752)+C3732*1000*(C3775)+C3733*1000*(C3798)</f>
        <v>492</v>
      </c>
      <c r="D3848" s="58" t="n">
        <f aca="false">D3731*1000*(D3752)+D3732*1000*(D3775)+D3733*1000*(D3798)</f>
        <v>1845</v>
      </c>
      <c r="E3848" s="58" t="n">
        <f aca="false">E3731*1000*(E3752)+E3732*1000*(E3775)+E3733*1000*(E3798)</f>
        <v>4920</v>
      </c>
      <c r="F3848" s="58" t="n">
        <f aca="false">F3731*1000*(F3752)+F3732*1000*(F3775)+F3733*1000*(F3798)</f>
        <v>8610</v>
      </c>
      <c r="G3848" s="58" t="n">
        <f aca="false">G3731*1000*(G3752)+G3732*1000*(G3775)+G3733*1000*(G3798)</f>
        <v>12300</v>
      </c>
      <c r="H3848" s="2" t="s">
        <v>1222</v>
      </c>
    </row>
    <row r="3849" customFormat="false" ht="15" hidden="false" customHeight="false" outlineLevel="1" collapsed="false">
      <c r="A3849" s="7" t="s">
        <v>650</v>
      </c>
      <c r="B3849" s="8" t="s">
        <v>10</v>
      </c>
      <c r="C3849" s="58" t="n">
        <f aca="false">C3731*1000*(C3755+C3756)+C3732*1000*(C3778+C3779)+C3733*1000*(C3801+C3802)</f>
        <v>465.092602739726</v>
      </c>
      <c r="D3849" s="58" t="n">
        <f aca="false">D3731*1000*(D3755+D3756)+D3732*1000*(D3778+D3779)+D3733*1000*(D3801+D3802)</f>
        <v>3659.35205479452</v>
      </c>
      <c r="E3849" s="58" t="n">
        <f aca="false">E3731*1000*(E3755+E3756)+E3732*1000*(E3778+E3779)+E3733*1000*(E3801+E3802)</f>
        <v>7289.61369863014</v>
      </c>
      <c r="F3849" s="58" t="n">
        <f aca="false">F3731*1000*(F3755+F3756)+F3732*1000*(F3778+F3779)+F3733*1000*(F3801+F3802)</f>
        <v>12141.4047945205</v>
      </c>
      <c r="G3849" s="58" t="n">
        <f aca="false">G3731*1000*(G3755+G3756)+G3732*1000*(G3778+G3779)+G3733*1000*(G3801+G3802)</f>
        <v>17640.6369863014</v>
      </c>
      <c r="H3849" s="2" t="s">
        <v>1223</v>
      </c>
    </row>
    <row r="3850" customFormat="false" ht="15" hidden="false" customHeight="false" outlineLevel="1" collapsed="false">
      <c r="A3850" s="7" t="s">
        <v>651</v>
      </c>
      <c r="B3850" s="8" t="s">
        <v>10</v>
      </c>
      <c r="C3850" s="58" t="n">
        <f aca="false">C3731*1000*(C3757+C3758+C3759)+C3732*1000*(C3780+C3781+C3782)+C3733*1000*(C3803+C3804+C3805)</f>
        <v>2675.25</v>
      </c>
      <c r="D3850" s="58" t="n">
        <f aca="false">D3731*1000*(D3757+D3758+D3759)+D3732*1000*(D3780+D3781+D3782)+D3733*1000*(D3803+D3804+D3805)</f>
        <v>29420.1875</v>
      </c>
      <c r="E3850" s="58" t="n">
        <f aca="false">E3731*1000*(E3757+E3758+E3759)+E3732*1000*(E3780+E3781+E3782)+E3733*1000*(E3803+E3804+E3805)</f>
        <v>71222.5</v>
      </c>
      <c r="F3850" s="58" t="n">
        <f aca="false">F3731*1000*(F3757+F3758+F3759)+F3732*1000*(F3780+F3781+F3782)+F3733*1000*(F3803+F3804+F3805)</f>
        <v>118572.625</v>
      </c>
      <c r="G3850" s="58" t="n">
        <f aca="false">G3731*1000*(G3757+G3758+G3759)+G3732*1000*(G3780+G3781+G3782)+G3733*1000*(G3803+G3804+G3805)</f>
        <v>171703.75</v>
      </c>
      <c r="H3850" s="2" t="s">
        <v>1224</v>
      </c>
    </row>
    <row r="3851" customFormat="false" ht="15" hidden="false" customHeight="false" outlineLevel="1" collapsed="false">
      <c r="A3851" s="7" t="s">
        <v>637</v>
      </c>
      <c r="B3851" s="8" t="s">
        <v>10</v>
      </c>
      <c r="C3851" s="58" t="n">
        <f aca="false">C3731*1000*(C3760)+C3732*1000*(C3783)+C3733*1000*(C3806)</f>
        <v>2900</v>
      </c>
      <c r="D3851" s="58" t="n">
        <f aca="false">D3731*1000*(D3760)+D3732*1000*(D3783)+D3733*1000*(D3806)</f>
        <v>23595</v>
      </c>
      <c r="E3851" s="58" t="n">
        <f aca="false">E3731*1000*(E3760)+E3732*1000*(E3783)+E3733*1000*(E3806)</f>
        <v>54880</v>
      </c>
      <c r="F3851" s="58" t="n">
        <f aca="false">F3731*1000*(F3760)+F3732*1000*(F3783)+F3733*1000*(F3806)</f>
        <v>91670</v>
      </c>
      <c r="G3851" s="58" t="n">
        <f aca="false">G3731*1000*(G3760)+G3732*1000*(G3783)+G3733*1000*(G3806)</f>
        <v>134100</v>
      </c>
      <c r="H3851" s="2" t="s">
        <v>1225</v>
      </c>
    </row>
    <row r="3852" customFormat="false" ht="15" hidden="false" customHeight="false" outlineLevel="1" collapsed="false">
      <c r="A3852" s="7" t="s">
        <v>652</v>
      </c>
      <c r="B3852" s="8" t="s">
        <v>10</v>
      </c>
      <c r="C3852" s="58" t="n">
        <f aca="false">C3731*1000*(C3761)+C3732*1000*(C3784)+C3733*1000*(C3807)+C3742*1000*Pressupostos!$C$97</f>
        <v>342</v>
      </c>
      <c r="D3852" s="58" t="n">
        <f aca="false">D3731*1000*(D3761)+D3732*1000*(D3784)+D3733*1000*(D3807)+D3742*1000*Pressupostos!$C$97</f>
        <v>2622.5</v>
      </c>
      <c r="E3852" s="58" t="n">
        <f aca="false">E3731*1000*(E3761)+E3732*1000*(E3784)+E3733*1000*(E3807)+E3742*1000*Pressupostos!$C$97</f>
        <v>5905</v>
      </c>
      <c r="F3852" s="58" t="n">
        <f aca="false">F3731*1000*(F3761)+F3732*1000*(F3784)+F3733*1000*(F3807)+F3742*1000*Pressupostos!$C$97</f>
        <v>10450</v>
      </c>
      <c r="G3852" s="58" t="n">
        <f aca="false">G3731*1000*(G3761)+G3732*1000*(G3784)+G3733*1000*(G3807)+G3742*1000*Pressupostos!$C$97</f>
        <v>16000</v>
      </c>
      <c r="H3852" s="2" t="s">
        <v>1226</v>
      </c>
    </row>
    <row r="3853" customFormat="false" ht="15" hidden="false" customHeight="false" outlineLevel="1" collapsed="false">
      <c r="A3853" s="7" t="s">
        <v>76</v>
      </c>
      <c r="B3853" s="8" t="s">
        <v>10</v>
      </c>
      <c r="C3853" s="58" t="n">
        <f aca="false">C3731*1000*(C3762)+C3732*1000*(C3785)+C3733*1000*(C3808)+C3742*1000*Pressupostos!$C$96*Pressupostos!$C$91</f>
        <v>952.5</v>
      </c>
      <c r="D3853" s="58" t="n">
        <f aca="false">D3731*1000*(D3762)+D3732*1000*(D3785)+D3733*1000*(D3808)+D3742*1000*Pressupostos!$C$96*Pressupostos!$C$91</f>
        <v>11289.675</v>
      </c>
      <c r="E3853" s="58" t="n">
        <f aca="false">E3731*1000*(E3762)+E3732*1000*(E3785)+E3733*1000*(E3808)+E3742*1000*Pressupostos!$C$96*Pressupostos!$C$91</f>
        <v>28579.95</v>
      </c>
      <c r="F3853" s="58" t="n">
        <f aca="false">F3731*1000*(F3762)+F3732*1000*(F3785)+F3733*1000*(F3808)+F3742*1000*Pressupostos!$C$96*Pressupostos!$C$91</f>
        <v>48630.3</v>
      </c>
      <c r="G3853" s="58" t="n">
        <f aca="false">G3731*1000*(G3762)+G3732*1000*(G3785)+G3733*1000*(G3808)+G3742*1000*Pressupostos!$C$96*Pressupostos!$C$91</f>
        <v>71034</v>
      </c>
      <c r="H3853" s="2" t="s">
        <v>1227</v>
      </c>
    </row>
    <row r="3854" customFormat="false" ht="15" hidden="false" customHeight="false" outlineLevel="1" collapsed="false">
      <c r="A3854" s="7" t="s">
        <v>653</v>
      </c>
      <c r="B3854" s="8" t="s">
        <v>10</v>
      </c>
      <c r="C3854" s="58" t="n">
        <f aca="false">C3731*1000*(C3763)+C3732*1000*(C3786)+C3733*1000*(C3809)+C3742*1000*Pressupostos!$F$29*Pressupostos!$C$90</f>
        <v>0</v>
      </c>
      <c r="D3854" s="58" t="n">
        <f aca="false">D3731*1000*(D3763)+D3732*1000*(D3786)+D3733*1000*(D3809)+D3742*1000*Pressupostos!$F$29*Pressupostos!$C$90</f>
        <v>0</v>
      </c>
      <c r="E3854" s="58" t="n">
        <f aca="false">E3731*1000*(E3763)+E3732*1000*(E3786)+E3733*1000*(E3809)+E3742*1000*Pressupostos!$F$29*Pressupostos!$C$90</f>
        <v>0</v>
      </c>
      <c r="F3854" s="58" t="n">
        <f aca="false">F3731*1000*(F3763)+F3732*1000*(F3786)+F3733*1000*(F3809)+F3742*1000*Pressupostos!$F$29*Pressupostos!$C$90</f>
        <v>420</v>
      </c>
      <c r="G3854" s="58" t="n">
        <f aca="false">G3731*1000*(G3763)+G3732*1000*(G3786)+G3733*1000*(G3809)+G3742*1000*Pressupostos!$F$29*Pressupostos!$C$90</f>
        <v>1050</v>
      </c>
      <c r="H3854" s="2" t="s">
        <v>1228</v>
      </c>
    </row>
    <row r="3855" customFormat="false" ht="15" hidden="false" customHeight="false" outlineLevel="1" collapsed="false">
      <c r="A3855" s="7" t="s">
        <v>654</v>
      </c>
      <c r="B3855" s="8" t="s">
        <v>10</v>
      </c>
      <c r="C3855" s="58" t="n">
        <f aca="false">C3745*1000*Pressupostos!$C$102*Pressupostos!$F$30</f>
        <v>0</v>
      </c>
      <c r="D3855" s="58" t="n">
        <f aca="false">D3745*1000*Pressupostos!$C$102*Pressupostos!$F$30</f>
        <v>0</v>
      </c>
      <c r="E3855" s="58" t="n">
        <f aca="false">E3745*1000*Pressupostos!$C$102*Pressupostos!$F$30</f>
        <v>0</v>
      </c>
      <c r="F3855" s="58" t="n">
        <f aca="false">F3745*1000*Pressupostos!$C$102*Pressupostos!$F$30</f>
        <v>0</v>
      </c>
      <c r="G3855" s="58" t="n">
        <f aca="false">G3745*1000*Pressupostos!$C$102*Pressupostos!$F$30</f>
        <v>0</v>
      </c>
      <c r="H3855" s="2" t="s">
        <v>1229</v>
      </c>
    </row>
    <row r="3856" customFormat="false" ht="15" hidden="false" customHeight="false" outlineLevel="1" collapsed="false">
      <c r="A3856" s="7" t="s">
        <v>655</v>
      </c>
      <c r="B3856" s="8" t="s">
        <v>10</v>
      </c>
      <c r="C3856" s="58" t="n">
        <f aca="false">C3847+C3848+C3849+C3850+C3851+C3852+C3853+C3854+C3855</f>
        <v>15486.8426027397</v>
      </c>
      <c r="D3856" s="58" t="n">
        <f aca="false">D3847+D3848+D3849+D3850+D3851+D3852+D3853+D3854+D3855</f>
        <v>137956.714554795</v>
      </c>
      <c r="E3856" s="58" t="n">
        <f aca="false">E3847+E3848+E3849+E3850+E3851+E3852+E3853+E3854+E3855</f>
        <v>320287.06369863</v>
      </c>
      <c r="F3856" s="58" t="n">
        <f aca="false">F3847+F3848+F3849+F3850+F3851+F3852+F3853+F3854+F3855</f>
        <v>538709.329794521</v>
      </c>
      <c r="G3856" s="58" t="n">
        <f aca="false">G3847+G3848+G3849+G3850+G3851+G3852+G3853+G3854+G3855</f>
        <v>787778.386986301</v>
      </c>
      <c r="H3856" s="2" t="s">
        <v>1230</v>
      </c>
    </row>
    <row r="3857" customFormat="false" ht="15" hidden="false" customHeight="false" outlineLevel="1" collapsed="false">
      <c r="A3857" s="7" t="s">
        <v>656</v>
      </c>
      <c r="B3857" s="8" t="s">
        <v>10</v>
      </c>
      <c r="C3857" s="58" t="n">
        <f aca="false">C3731*1000*(C3764)+C3732*1000*(C3787)+C3733*1000*(C3810)</f>
        <v>0</v>
      </c>
      <c r="D3857" s="58" t="n">
        <f aca="false">D3731*1000*(D3764)+D3732*1000*(D3787)+D3733*1000*(D3810)</f>
        <v>38774.2191780822</v>
      </c>
      <c r="E3857" s="58" t="n">
        <f aca="false">E3731*1000*(E3764)+E3732*1000*(E3787)+E3733*1000*(E3810)</f>
        <v>77308.7093321918</v>
      </c>
      <c r="F3857" s="58" t="n">
        <f aca="false">F3731*1000*(F3764)+F3732*1000*(F3787)+F3733*1000*(F3810)</f>
        <v>119990.889554795</v>
      </c>
      <c r="G3857" s="58" t="n">
        <f aca="false">G3731*1000*(G3764)+G3732*1000*(G3787)+G3733*1000*(G3810)</f>
        <v>174603.313356164</v>
      </c>
      <c r="H3857" s="2" t="s">
        <v>1231</v>
      </c>
    </row>
    <row r="3858" customFormat="false" ht="15" hidden="false" customHeight="false" outlineLevel="1" collapsed="false">
      <c r="A3858" s="7" t="s">
        <v>657</v>
      </c>
      <c r="B3858" s="8" t="s">
        <v>10</v>
      </c>
      <c r="C3858" s="58" t="n">
        <f aca="false">C3742*1000*C3837</f>
        <v>0</v>
      </c>
      <c r="D3858" s="58" t="n">
        <f aca="false">D3742*1000*D3837</f>
        <v>0</v>
      </c>
      <c r="E3858" s="58" t="n">
        <f aca="false">E3742*1000*E3837</f>
        <v>0</v>
      </c>
      <c r="F3858" s="58" t="n">
        <f aca="false">F3742*1000*F3837</f>
        <v>1359.24657534247</v>
      </c>
      <c r="G3858" s="58" t="n">
        <f aca="false">G3742*1000*G3837</f>
        <v>3398.11643835617</v>
      </c>
      <c r="H3858" s="2" t="s">
        <v>1232</v>
      </c>
    </row>
    <row r="3859" customFormat="false" ht="15" hidden="false" customHeight="false" outlineLevel="1" collapsed="false">
      <c r="A3859" s="7" t="s">
        <v>658</v>
      </c>
      <c r="B3859" s="8" t="s">
        <v>10</v>
      </c>
      <c r="C3859" s="58" t="n">
        <f aca="false">C3857+C3858</f>
        <v>0</v>
      </c>
      <c r="D3859" s="58" t="n">
        <f aca="false">D3857+D3858</f>
        <v>38774.2191780822</v>
      </c>
      <c r="E3859" s="58" t="n">
        <f aca="false">E3857+E3858</f>
        <v>77308.7093321918</v>
      </c>
      <c r="F3859" s="58" t="n">
        <f aca="false">F3857+F3858</f>
        <v>121350.136130137</v>
      </c>
      <c r="G3859" s="58" t="n">
        <f aca="false">G3857+G3858</f>
        <v>178001.429794521</v>
      </c>
      <c r="H3859" s="2" t="s">
        <v>1233</v>
      </c>
    </row>
    <row r="3860" customFormat="false" ht="15" hidden="false" customHeight="false" outlineLevel="1" collapsed="false">
      <c r="A3860" s="8" t="s">
        <v>659</v>
      </c>
      <c r="B3860" s="8" t="s">
        <v>10</v>
      </c>
      <c r="C3860" s="66" t="n">
        <f aca="false">ROUND(C3825-C3846-C3856-C3859-C3842,6)</f>
        <v>0</v>
      </c>
      <c r="D3860" s="66" t="n">
        <f aca="false">ROUND(D3825-D3846-D3856-D3859-D3842,6)</f>
        <v>-0</v>
      </c>
      <c r="E3860" s="66" t="n">
        <f aca="false">ROUND(E3825-E3846-E3856-E3859-E3842,6)</f>
        <v>-0</v>
      </c>
      <c r="F3860" s="66" t="n">
        <f aca="false">ROUND(F3825-F3846-F3856-F3859-F3842,6)</f>
        <v>-0</v>
      </c>
      <c r="G3860" s="66" t="n">
        <f aca="false">ROUND(G3825-G3846-G3856-G3859-G3842,6)</f>
        <v>0</v>
      </c>
      <c r="H3860" s="2" t="s">
        <v>1234</v>
      </c>
    </row>
    <row r="3861" customFormat="false" ht="15" hidden="false" customHeight="false" outlineLevel="0" collapsed="false">
      <c r="A3861" s="3" t="s">
        <v>1235</v>
      </c>
      <c r="B3861" s="4"/>
      <c r="C3861" s="4"/>
      <c r="D3861" s="4"/>
      <c r="E3861" s="4"/>
      <c r="F3861" s="4"/>
      <c r="G3861" s="4"/>
      <c r="H3861" s="4"/>
    </row>
    <row r="3862" customFormat="false" ht="15" hidden="false" customHeight="false" outlineLevel="1" collapsed="false">
      <c r="A3862" s="7" t="s">
        <v>602</v>
      </c>
      <c r="B3862" s="8" t="s">
        <v>413</v>
      </c>
      <c r="C3862" s="61" t="n">
        <f aca="false">Pressupostos!$C$317</f>
        <v>1</v>
      </c>
      <c r="D3862" s="61" t="n">
        <f aca="false">Pressupostos!$D$317</f>
        <v>1</v>
      </c>
      <c r="E3862" s="61" t="n">
        <f aca="false">Pressupostos!$E$317</f>
        <v>1</v>
      </c>
      <c r="F3862" s="61" t="n">
        <f aca="false">Pressupostos!$F$317</f>
        <v>1</v>
      </c>
      <c r="G3862" s="61" t="n">
        <f aca="false">Pressupostos!$G$317</f>
        <v>1</v>
      </c>
      <c r="H3862" s="2" t="s">
        <v>1236</v>
      </c>
    </row>
    <row r="3863" customFormat="false" ht="15" hidden="false" customHeight="false" outlineLevel="1" collapsed="false">
      <c r="A3863" s="7" t="s">
        <v>603</v>
      </c>
      <c r="B3863" s="8" t="s">
        <v>413</v>
      </c>
      <c r="C3863" s="61" t="n">
        <f aca="false">Pressupostos!$C$323</f>
        <v>1</v>
      </c>
      <c r="D3863" s="61" t="n">
        <f aca="false">Pressupostos!$D$323</f>
        <v>1</v>
      </c>
      <c r="E3863" s="61" t="n">
        <f aca="false">Pressupostos!$E$323</f>
        <v>1</v>
      </c>
      <c r="F3863" s="61" t="n">
        <f aca="false">Pressupostos!$F$323</f>
        <v>1</v>
      </c>
      <c r="G3863" s="61" t="n">
        <f aca="false">Pressupostos!$G$323</f>
        <v>1</v>
      </c>
      <c r="H3863" s="2" t="s">
        <v>1237</v>
      </c>
    </row>
    <row r="3864" customFormat="false" ht="15" hidden="false" customHeight="false" outlineLevel="1" collapsed="false">
      <c r="A3864" s="7" t="s">
        <v>604</v>
      </c>
      <c r="B3864" s="8" t="s">
        <v>413</v>
      </c>
      <c r="C3864" s="61" t="n">
        <f aca="false">Pressupostos!$C$329</f>
        <v>0</v>
      </c>
      <c r="D3864" s="61" t="n">
        <f aca="false">Pressupostos!$D$329</f>
        <v>1</v>
      </c>
      <c r="E3864" s="61" t="n">
        <f aca="false">Pressupostos!$E$329</f>
        <v>1</v>
      </c>
      <c r="F3864" s="61" t="n">
        <f aca="false">Pressupostos!$F$329</f>
        <v>1</v>
      </c>
      <c r="G3864" s="61" t="n">
        <f aca="false">Pressupostos!$G$329</f>
        <v>1</v>
      </c>
      <c r="H3864" s="2" t="s">
        <v>1238</v>
      </c>
    </row>
    <row r="3865" customFormat="false" ht="15" hidden="false" customHeight="false" outlineLevel="1" collapsed="false">
      <c r="A3865" s="7" t="s">
        <v>605</v>
      </c>
      <c r="B3865" s="8" t="s">
        <v>413</v>
      </c>
      <c r="C3865" s="61" t="n">
        <f aca="false">Pressupostos!$C$335</f>
        <v>0.5</v>
      </c>
      <c r="D3865" s="61" t="n">
        <f aca="false">Pressupostos!$D$335</f>
        <v>1</v>
      </c>
      <c r="E3865" s="61" t="n">
        <f aca="false">Pressupostos!$E$335</f>
        <v>1</v>
      </c>
      <c r="F3865" s="61" t="n">
        <f aca="false">Pressupostos!$F$335</f>
        <v>1</v>
      </c>
      <c r="G3865" s="61" t="n">
        <f aca="false">Pressupostos!$G$335</f>
        <v>1</v>
      </c>
      <c r="H3865" s="2" t="s">
        <v>1239</v>
      </c>
    </row>
    <row r="3866" customFormat="false" ht="15" hidden="false" customHeight="false" outlineLevel="1" collapsed="false">
      <c r="A3866" s="7" t="s">
        <v>606</v>
      </c>
      <c r="B3866" s="8" t="s">
        <v>413</v>
      </c>
      <c r="C3866" s="61" t="n">
        <f aca="false">Pressupostos!$C$341</f>
        <v>0.5</v>
      </c>
      <c r="D3866" s="61" t="n">
        <f aca="false">Pressupostos!$D$341</f>
        <v>0.5</v>
      </c>
      <c r="E3866" s="61" t="n">
        <f aca="false">Pressupostos!$E$341</f>
        <v>0.5</v>
      </c>
      <c r="F3866" s="61" t="n">
        <f aca="false">Pressupostos!$F$341</f>
        <v>1</v>
      </c>
      <c r="G3866" s="61" t="n">
        <f aca="false">Pressupostos!$G$341</f>
        <v>1</v>
      </c>
      <c r="H3866" s="2" t="s">
        <v>1240</v>
      </c>
    </row>
    <row r="3867" customFormat="false" ht="15" hidden="false" customHeight="false" outlineLevel="1" collapsed="false">
      <c r="A3867" s="7" t="s">
        <v>607</v>
      </c>
      <c r="B3867" s="8" t="s">
        <v>413</v>
      </c>
      <c r="C3867" s="61" t="n">
        <f aca="false">Pressupostos!$C$347</f>
        <v>1</v>
      </c>
      <c r="D3867" s="61" t="n">
        <f aca="false">Pressupostos!$D$347</f>
        <v>1</v>
      </c>
      <c r="E3867" s="61" t="n">
        <f aca="false">Pressupostos!$E$347</f>
        <v>1</v>
      </c>
      <c r="F3867" s="61" t="n">
        <f aca="false">Pressupostos!$F$347</f>
        <v>1</v>
      </c>
      <c r="G3867" s="61" t="n">
        <f aca="false">Pressupostos!$G$347</f>
        <v>1</v>
      </c>
      <c r="H3867" s="2" t="s">
        <v>1241</v>
      </c>
    </row>
    <row r="3868" customFormat="false" ht="15" hidden="false" customHeight="false" outlineLevel="1" collapsed="false">
      <c r="A3868" s="7" t="s">
        <v>608</v>
      </c>
      <c r="B3868" s="8" t="s">
        <v>413</v>
      </c>
      <c r="C3868" s="61" t="n">
        <f aca="false">Pressupostos!$C$353</f>
        <v>0.5</v>
      </c>
      <c r="D3868" s="61" t="n">
        <f aca="false">Pressupostos!$D$353</f>
        <v>1</v>
      </c>
      <c r="E3868" s="61" t="n">
        <f aca="false">Pressupostos!$E$353</f>
        <v>1</v>
      </c>
      <c r="F3868" s="61" t="n">
        <f aca="false">Pressupostos!$F$353</f>
        <v>1</v>
      </c>
      <c r="G3868" s="61" t="n">
        <f aca="false">Pressupostos!$G$353</f>
        <v>1</v>
      </c>
      <c r="H3868" s="2" t="s">
        <v>1242</v>
      </c>
    </row>
    <row r="3869" customFormat="false" ht="15" hidden="false" customHeight="false" outlineLevel="1" collapsed="false">
      <c r="A3869" s="7" t="s">
        <v>609</v>
      </c>
      <c r="B3869" s="8" t="s">
        <v>413</v>
      </c>
      <c r="C3869" s="61" t="n">
        <f aca="false">Pressupostos!$C$359</f>
        <v>1</v>
      </c>
      <c r="D3869" s="61" t="n">
        <f aca="false">Pressupostos!$D$359</f>
        <v>1</v>
      </c>
      <c r="E3869" s="61" t="n">
        <f aca="false">Pressupostos!$E$359</f>
        <v>1</v>
      </c>
      <c r="F3869" s="61" t="n">
        <f aca="false">Pressupostos!$F$359</f>
        <v>2</v>
      </c>
      <c r="G3869" s="61" t="n">
        <f aca="false">Pressupostos!$G$359</f>
        <v>3</v>
      </c>
      <c r="H3869" s="2" t="s">
        <v>1243</v>
      </c>
    </row>
    <row r="3870" customFormat="false" ht="15" hidden="false" customHeight="false" outlineLevel="1" collapsed="false">
      <c r="A3870" s="7" t="s">
        <v>610</v>
      </c>
      <c r="B3870" s="8" t="s">
        <v>413</v>
      </c>
      <c r="C3870" s="61" t="n">
        <f aca="false">Pressupostos!$C$365</f>
        <v>0</v>
      </c>
      <c r="D3870" s="61" t="n">
        <f aca="false">Pressupostos!$D$365</f>
        <v>0</v>
      </c>
      <c r="E3870" s="61" t="n">
        <f aca="false">Pressupostos!$E$365</f>
        <v>0</v>
      </c>
      <c r="F3870" s="61" t="n">
        <f aca="false">Pressupostos!$F$365</f>
        <v>0</v>
      </c>
      <c r="G3870" s="61" t="n">
        <f aca="false">Pressupostos!$G$365</f>
        <v>0</v>
      </c>
      <c r="H3870" s="2" t="s">
        <v>1244</v>
      </c>
    </row>
    <row r="3871" customFormat="false" ht="15" hidden="false" customHeight="false" outlineLevel="1" collapsed="false">
      <c r="A3871" s="7" t="s">
        <v>611</v>
      </c>
      <c r="B3871" s="8" t="s">
        <v>413</v>
      </c>
      <c r="C3871" s="61" t="n">
        <f aca="false">Pressupostos!$C$371</f>
        <v>0</v>
      </c>
      <c r="D3871" s="61" t="n">
        <f aca="false">Pressupostos!$D$371</f>
        <v>0</v>
      </c>
      <c r="E3871" s="61" t="n">
        <f aca="false">Pressupostos!$E$371</f>
        <v>0</v>
      </c>
      <c r="F3871" s="61" t="n">
        <f aca="false">Pressupostos!$F$371</f>
        <v>0</v>
      </c>
      <c r="G3871" s="61" t="n">
        <f aca="false">Pressupostos!$G$371</f>
        <v>0</v>
      </c>
      <c r="H3871" s="2" t="s">
        <v>1245</v>
      </c>
    </row>
    <row r="3872" customFormat="false" ht="15" hidden="false" customHeight="false" outlineLevel="1" collapsed="false">
      <c r="A3872" s="7" t="s">
        <v>612</v>
      </c>
      <c r="B3872" s="8" t="s">
        <v>413</v>
      </c>
      <c r="C3872" s="61" t="n">
        <f aca="false">Pressupostos!$C$377</f>
        <v>0</v>
      </c>
      <c r="D3872" s="61" t="n">
        <f aca="false">Pressupostos!$D$377</f>
        <v>0</v>
      </c>
      <c r="E3872" s="61" t="n">
        <f aca="false">Pressupostos!$E$377</f>
        <v>0</v>
      </c>
      <c r="F3872" s="61" t="n">
        <f aca="false">Pressupostos!$F$377</f>
        <v>1</v>
      </c>
      <c r="G3872" s="61" t="n">
        <f aca="false">Pressupostos!$G$377</f>
        <v>1</v>
      </c>
      <c r="H3872" s="2" t="s">
        <v>1246</v>
      </c>
    </row>
    <row r="3873" customFormat="false" ht="15" hidden="false" customHeight="false" outlineLevel="1" collapsed="false">
      <c r="A3873" s="7" t="s">
        <v>613</v>
      </c>
      <c r="B3873" s="8" t="s">
        <v>413</v>
      </c>
      <c r="C3873" s="61" t="n">
        <f aca="false">Pressupostos!$C$383</f>
        <v>0</v>
      </c>
      <c r="D3873" s="61" t="n">
        <f aca="false">Pressupostos!$D$383</f>
        <v>0</v>
      </c>
      <c r="E3873" s="61" t="n">
        <f aca="false">Pressupostos!$E$383</f>
        <v>1</v>
      </c>
      <c r="F3873" s="61" t="n">
        <f aca="false">Pressupostos!$F$383</f>
        <v>1</v>
      </c>
      <c r="G3873" s="61" t="n">
        <f aca="false">Pressupostos!$G$383</f>
        <v>1</v>
      </c>
      <c r="H3873" s="2" t="s">
        <v>1247</v>
      </c>
    </row>
    <row r="3874" customFormat="false" ht="15" hidden="false" customHeight="false" outlineLevel="1" collapsed="false">
      <c r="A3874" s="52" t="s">
        <v>614</v>
      </c>
      <c r="B3874" s="53" t="s">
        <v>413</v>
      </c>
      <c r="C3874" s="62" t="n">
        <f aca="false">C3862+C3863+C3864+C3865+C3866+C3867+C3868+C3869+C3870+C3871+C3872+C3873</f>
        <v>5.5</v>
      </c>
      <c r="D3874" s="62" t="n">
        <f aca="false">D3862+D3863+D3864+D3865+D3866+D3867+D3868+D3869+D3870+D3871+D3872+D3873</f>
        <v>7.5</v>
      </c>
      <c r="E3874" s="62" t="n">
        <f aca="false">E3862+E3863+E3864+E3865+E3866+E3867+E3868+E3869+E3870+E3871+E3872+E3873</f>
        <v>8.5</v>
      </c>
      <c r="F3874" s="62" t="n">
        <f aca="false">F3862+F3863+F3864+F3865+F3866+F3867+F3868+F3869+F3870+F3871+F3872+F3873</f>
        <v>11</v>
      </c>
      <c r="G3874" s="62" t="n">
        <f aca="false">G3862+G3863+G3864+G3865+G3866+G3867+G3868+G3869+G3870+G3871+G3872+G3873</f>
        <v>12</v>
      </c>
      <c r="H3874" s="2" t="s">
        <v>1248</v>
      </c>
    </row>
    <row r="3875" customFormat="false" ht="15" hidden="false" customHeight="false" outlineLevel="0" collapsed="false">
      <c r="A3875" s="3" t="s">
        <v>1249</v>
      </c>
      <c r="B3875" s="4"/>
      <c r="C3875" s="4"/>
      <c r="D3875" s="4"/>
      <c r="E3875" s="4"/>
      <c r="F3875" s="4"/>
      <c r="G3875" s="4"/>
      <c r="H3875" s="4"/>
    </row>
    <row r="3876" customFormat="false" ht="15" hidden="false" customHeight="false" outlineLevel="1" collapsed="false">
      <c r="A3876" s="7" t="s">
        <v>602</v>
      </c>
      <c r="B3876" s="8" t="s">
        <v>10</v>
      </c>
      <c r="C3876" s="58" t="n">
        <f aca="false">C3862*Pressupostos!$C$129*(1+Pressupostos!$C$125)^0*(1+Pressupostos!$C$130)*Pressupostos!$C$126</f>
        <v>43998</v>
      </c>
      <c r="D3876" s="58" t="n">
        <f aca="false">D3862*Pressupostos!$C$129*(1+Pressupostos!$C$125)^1*(1+Pressupostos!$C$130)</f>
        <v>61800</v>
      </c>
      <c r="E3876" s="58" t="n">
        <f aca="false">E3862*Pressupostos!$C$129*(1+Pressupostos!$C$125)^2*(1+Pressupostos!$C$130)</f>
        <v>63654</v>
      </c>
      <c r="F3876" s="58" t="n">
        <f aca="false">F3862*Pressupostos!$C$129*(1+Pressupostos!$C$125)^3*(1+Pressupostos!$C$130)</f>
        <v>65563.62</v>
      </c>
      <c r="G3876" s="58" t="n">
        <f aca="false">G3862*Pressupostos!$C$129*(1+Pressupostos!$C$125)^4*(1+Pressupostos!$C$130)</f>
        <v>67530.5286</v>
      </c>
      <c r="H3876" s="2" t="s">
        <v>1250</v>
      </c>
    </row>
    <row r="3877" customFormat="false" ht="15" hidden="false" customHeight="false" outlineLevel="1" collapsed="false">
      <c r="A3877" s="7" t="s">
        <v>603</v>
      </c>
      <c r="B3877" s="8" t="s">
        <v>10</v>
      </c>
      <c r="C3877" s="58" t="n">
        <f aca="false">C3863*Pressupostos!$C$131*(1+Pressupostos!$C$125)^0*(1+Pressupostos!$C$132)*Pressupostos!$C$126</f>
        <v>47664.5</v>
      </c>
      <c r="D3877" s="58" t="n">
        <f aca="false">D3863*Pressupostos!$C$131*(1+Pressupostos!$C$125)^1*(1+Pressupostos!$C$132)</f>
        <v>66950</v>
      </c>
      <c r="E3877" s="58" t="n">
        <f aca="false">E3863*Pressupostos!$C$131*(1+Pressupostos!$C$125)^2*(1+Pressupostos!$C$132)</f>
        <v>68958.5</v>
      </c>
      <c r="F3877" s="58" t="n">
        <f aca="false">F3863*Pressupostos!$C$131*(1+Pressupostos!$C$125)^3*(1+Pressupostos!$C$132)</f>
        <v>71027.255</v>
      </c>
      <c r="G3877" s="58" t="n">
        <f aca="false">G3863*Pressupostos!$C$131*(1+Pressupostos!$C$125)^4*(1+Pressupostos!$C$132)</f>
        <v>73158.07265</v>
      </c>
      <c r="H3877" s="2" t="s">
        <v>1251</v>
      </c>
    </row>
    <row r="3878" customFormat="false" ht="15" hidden="false" customHeight="false" outlineLevel="1" collapsed="false">
      <c r="A3878" s="7" t="s">
        <v>604</v>
      </c>
      <c r="B3878" s="8" t="s">
        <v>10</v>
      </c>
      <c r="C3878" s="58" t="n">
        <f aca="false">C3864*Pressupostos!$C$133*(1+Pressupostos!$C$125)^0*(1+Pressupostos!$C$134)</f>
        <v>0</v>
      </c>
      <c r="D3878" s="58" t="n">
        <f aca="false">D3864*Pressupostos!$C$133*(1+Pressupostos!$C$125)^1*(1+Pressupostos!$C$134)</f>
        <v>46350</v>
      </c>
      <c r="E3878" s="58" t="n">
        <f aca="false">E3864*Pressupostos!$C$133*(1+Pressupostos!$C$125)^2*(1+Pressupostos!$C$134)</f>
        <v>47740.5</v>
      </c>
      <c r="F3878" s="58" t="n">
        <f aca="false">F3864*Pressupostos!$C$133*(1+Pressupostos!$C$125)^3*(1+Pressupostos!$C$134)</f>
        <v>49172.715</v>
      </c>
      <c r="G3878" s="58" t="n">
        <f aca="false">G3864*Pressupostos!$C$133*(1+Pressupostos!$C$125)^4*(1+Pressupostos!$C$134)</f>
        <v>50647.89645</v>
      </c>
      <c r="H3878" s="2" t="s">
        <v>1252</v>
      </c>
    </row>
    <row r="3879" customFormat="false" ht="15" hidden="false" customHeight="false" outlineLevel="1" collapsed="false">
      <c r="A3879" s="7" t="s">
        <v>605</v>
      </c>
      <c r="B3879" s="8" t="s">
        <v>10</v>
      </c>
      <c r="C3879" s="58" t="n">
        <f aca="false">C3865*Pressupostos!$C$135*(1+Pressupostos!$C$125)^0*(1+Pressupostos!$C$136)</f>
        <v>30000</v>
      </c>
      <c r="D3879" s="58" t="n">
        <f aca="false">D3865*Pressupostos!$C$135*(1+Pressupostos!$C$125)^1*(1+Pressupostos!$C$136)</f>
        <v>61800</v>
      </c>
      <c r="E3879" s="58" t="n">
        <f aca="false">E3865*Pressupostos!$C$135*(1+Pressupostos!$C$125)^2*(1+Pressupostos!$C$136)</f>
        <v>63654</v>
      </c>
      <c r="F3879" s="58" t="n">
        <f aca="false">F3865*Pressupostos!$C$135*(1+Pressupostos!$C$125)^3*(1+Pressupostos!$C$136)</f>
        <v>65563.62</v>
      </c>
      <c r="G3879" s="58" t="n">
        <f aca="false">G3865*Pressupostos!$C$135*(1+Pressupostos!$C$125)^4*(1+Pressupostos!$C$136)</f>
        <v>67530.5286</v>
      </c>
      <c r="H3879" s="2" t="s">
        <v>1253</v>
      </c>
    </row>
    <row r="3880" customFormat="false" ht="15" hidden="false" customHeight="false" outlineLevel="1" collapsed="false">
      <c r="A3880" s="7" t="s">
        <v>606</v>
      </c>
      <c r="B3880" s="8" t="s">
        <v>10</v>
      </c>
      <c r="C3880" s="58" t="n">
        <f aca="false">C3866*Pressupostos!$C$137*(1+Pressupostos!$C$125)^0*(1+Pressupostos!$C$138)</f>
        <v>22500</v>
      </c>
      <c r="D3880" s="58" t="n">
        <f aca="false">D3866*Pressupostos!$C$137*(1+Pressupostos!$C$125)^1*(1+Pressupostos!$C$138)</f>
        <v>23175</v>
      </c>
      <c r="E3880" s="58" t="n">
        <f aca="false">E3866*Pressupostos!$C$137*(1+Pressupostos!$C$125)^2*(1+Pressupostos!$C$138)</f>
        <v>23870.25</v>
      </c>
      <c r="F3880" s="58" t="n">
        <f aca="false">F3866*Pressupostos!$C$137*(1+Pressupostos!$C$125)^3*(1+Pressupostos!$C$138)</f>
        <v>49172.715</v>
      </c>
      <c r="G3880" s="58" t="n">
        <f aca="false">G3866*Pressupostos!$C$137*(1+Pressupostos!$C$125)^4*(1+Pressupostos!$C$138)</f>
        <v>50647.89645</v>
      </c>
      <c r="H3880" s="2" t="s">
        <v>1254</v>
      </c>
    </row>
    <row r="3881" customFormat="false" ht="15" hidden="false" customHeight="false" outlineLevel="1" collapsed="false">
      <c r="A3881" s="7" t="s">
        <v>607</v>
      </c>
      <c r="B3881" s="8" t="s">
        <v>10</v>
      </c>
      <c r="C3881" s="58" t="n">
        <f aca="false">C3867*Pressupostos!$C$139*(1+Pressupostos!$C$125)^0*(1+Pressupostos!$C$140)</f>
        <v>38000</v>
      </c>
      <c r="D3881" s="58" t="n">
        <f aca="false">D3867*Pressupostos!$C$139*(1+Pressupostos!$C$125)^1*(1+Pressupostos!$C$140)</f>
        <v>39140</v>
      </c>
      <c r="E3881" s="58" t="n">
        <f aca="false">E3867*Pressupostos!$C$139*(1+Pressupostos!$C$125)^2*(1+Pressupostos!$C$140)</f>
        <v>40314.2</v>
      </c>
      <c r="F3881" s="58" t="n">
        <f aca="false">F3867*Pressupostos!$C$139*(1+Pressupostos!$C$125)^3*(1+Pressupostos!$C$140)</f>
        <v>41523.626</v>
      </c>
      <c r="G3881" s="58" t="n">
        <f aca="false">G3867*Pressupostos!$C$139*(1+Pressupostos!$C$125)^4*(1+Pressupostos!$C$140)</f>
        <v>42769.33478</v>
      </c>
      <c r="H3881" s="2" t="s">
        <v>1255</v>
      </c>
    </row>
    <row r="3882" customFormat="false" ht="15" hidden="false" customHeight="false" outlineLevel="1" collapsed="false">
      <c r="A3882" s="7" t="s">
        <v>608</v>
      </c>
      <c r="B3882" s="8" t="s">
        <v>10</v>
      </c>
      <c r="C3882" s="58" t="n">
        <f aca="false">C3868*Pressupostos!$C$141*(1+Pressupostos!$C$125)^0*(1+Pressupostos!$C$142)</f>
        <v>16000</v>
      </c>
      <c r="D3882" s="58" t="n">
        <f aca="false">D3868*Pressupostos!$C$141*(1+Pressupostos!$C$125)^1*(1+Pressupostos!$C$142)</f>
        <v>32960</v>
      </c>
      <c r="E3882" s="58" t="n">
        <f aca="false">E3868*Pressupostos!$C$141*(1+Pressupostos!$C$125)^2*(1+Pressupostos!$C$142)</f>
        <v>33948.8</v>
      </c>
      <c r="F3882" s="58" t="n">
        <f aca="false">F3868*Pressupostos!$C$141*(1+Pressupostos!$C$125)^3*(1+Pressupostos!$C$142)</f>
        <v>34967.264</v>
      </c>
      <c r="G3882" s="58" t="n">
        <f aca="false">G3868*Pressupostos!$C$141*(1+Pressupostos!$C$125)^4*(1+Pressupostos!$C$142)</f>
        <v>36016.28192</v>
      </c>
      <c r="H3882" s="2" t="s">
        <v>1256</v>
      </c>
    </row>
    <row r="3883" customFormat="false" ht="15" hidden="false" customHeight="false" outlineLevel="1" collapsed="false">
      <c r="A3883" s="7" t="s">
        <v>609</v>
      </c>
      <c r="B3883" s="8" t="s">
        <v>10</v>
      </c>
      <c r="C3883" s="58" t="n">
        <f aca="false">C3869*Pressupostos!$C$143*(1+Pressupostos!$C$125)^0*(1+Pressupostos!$C$144)</f>
        <v>34500</v>
      </c>
      <c r="D3883" s="58" t="n">
        <f aca="false">D3869*Pressupostos!$C$143*(1+Pressupostos!$C$125)^1*(1+Pressupostos!$C$144)</f>
        <v>35535</v>
      </c>
      <c r="E3883" s="58" t="n">
        <f aca="false">E3869*Pressupostos!$C$143*(1+Pressupostos!$C$125)^2*(1+Pressupostos!$C$144)</f>
        <v>36601.05</v>
      </c>
      <c r="F3883" s="58" t="n">
        <f aca="false">F3869*Pressupostos!$C$143*(1+Pressupostos!$C$125)^3*(1+Pressupostos!$C$144)</f>
        <v>75398.163</v>
      </c>
      <c r="G3883" s="58" t="n">
        <f aca="false">G3869*Pressupostos!$C$143*(1+Pressupostos!$C$125)^4*(1+Pressupostos!$C$144)</f>
        <v>116490.161835</v>
      </c>
      <c r="H3883" s="2" t="s">
        <v>1257</v>
      </c>
    </row>
    <row r="3884" customFormat="false" ht="15" hidden="false" customHeight="false" outlineLevel="1" collapsed="false">
      <c r="A3884" s="7" t="s">
        <v>610</v>
      </c>
      <c r="B3884" s="8" t="s">
        <v>10</v>
      </c>
      <c r="C3884" s="58" t="n">
        <f aca="false">C3870*Pressupostos!$C$145*(1+Pressupostos!$C$125)^0*(1+Pressupostos!$C$146)</f>
        <v>0</v>
      </c>
      <c r="D3884" s="58" t="n">
        <f aca="false">D3870*Pressupostos!$C$145*(1+Pressupostos!$C$125)^1*(1+Pressupostos!$C$146)</f>
        <v>0</v>
      </c>
      <c r="E3884" s="58" t="n">
        <f aca="false">E3870*Pressupostos!$C$145*(1+Pressupostos!$C$125)^2*(1+Pressupostos!$C$146)</f>
        <v>0</v>
      </c>
      <c r="F3884" s="58" t="n">
        <f aca="false">F3870*Pressupostos!$C$145*(1+Pressupostos!$C$125)^3*(1+Pressupostos!$C$146)</f>
        <v>0</v>
      </c>
      <c r="G3884" s="58" t="n">
        <f aca="false">G3870*Pressupostos!$C$145*(1+Pressupostos!$C$125)^4*(1+Pressupostos!$C$146)</f>
        <v>0</v>
      </c>
      <c r="H3884" s="2" t="s">
        <v>1258</v>
      </c>
    </row>
    <row r="3885" customFormat="false" ht="15" hidden="false" customHeight="false" outlineLevel="1" collapsed="false">
      <c r="A3885" s="7" t="s">
        <v>611</v>
      </c>
      <c r="B3885" s="8" t="s">
        <v>10</v>
      </c>
      <c r="C3885" s="58" t="n">
        <f aca="false">C3871*Pressupostos!$C$147*(1+Pressupostos!$C$125)^0*(1+Pressupostos!$C$148)</f>
        <v>0</v>
      </c>
      <c r="D3885" s="58" t="n">
        <f aca="false">D3871*Pressupostos!$C$147*(1+Pressupostos!$C$125)^1*(1+Pressupostos!$C$148)</f>
        <v>0</v>
      </c>
      <c r="E3885" s="58" t="n">
        <f aca="false">E3871*Pressupostos!$C$147*(1+Pressupostos!$C$125)^2*(1+Pressupostos!$C$148)</f>
        <v>0</v>
      </c>
      <c r="F3885" s="58" t="n">
        <f aca="false">F3871*Pressupostos!$C$147*(1+Pressupostos!$C$125)^3*(1+Pressupostos!$C$148)</f>
        <v>0</v>
      </c>
      <c r="G3885" s="58" t="n">
        <f aca="false">G3871*Pressupostos!$C$147*(1+Pressupostos!$C$125)^4*(1+Pressupostos!$C$148)</f>
        <v>0</v>
      </c>
      <c r="H3885" s="2" t="s">
        <v>1259</v>
      </c>
    </row>
    <row r="3886" customFormat="false" ht="15" hidden="false" customHeight="false" outlineLevel="1" collapsed="false">
      <c r="A3886" s="7" t="s">
        <v>612</v>
      </c>
      <c r="B3886" s="8" t="s">
        <v>10</v>
      </c>
      <c r="C3886" s="58" t="n">
        <f aca="false">C3872*Pressupostos!$C$149*(1+Pressupostos!$C$125)^0*(1+Pressupostos!$C$150)</f>
        <v>0</v>
      </c>
      <c r="D3886" s="58" t="n">
        <f aca="false">D3872*Pressupostos!$C$149*(1+Pressupostos!$C$125)^1*(1+Pressupostos!$C$150)</f>
        <v>0</v>
      </c>
      <c r="E3886" s="58" t="n">
        <f aca="false">E3872*Pressupostos!$C$149*(1+Pressupostos!$C$125)^2*(1+Pressupostos!$C$150)</f>
        <v>0</v>
      </c>
      <c r="F3886" s="58" t="n">
        <f aca="false">F3872*Pressupostos!$C$149*(1+Pressupostos!$C$125)^3*(1+Pressupostos!$C$150)</f>
        <v>26225.448</v>
      </c>
      <c r="G3886" s="58" t="n">
        <f aca="false">G3872*Pressupostos!$C$149*(1+Pressupostos!$C$125)^4*(1+Pressupostos!$C$150)</f>
        <v>27012.21144</v>
      </c>
      <c r="H3886" s="2" t="s">
        <v>1260</v>
      </c>
    </row>
    <row r="3887" customFormat="false" ht="15" hidden="false" customHeight="false" outlineLevel="1" collapsed="false">
      <c r="A3887" s="7" t="s">
        <v>613</v>
      </c>
      <c r="B3887" s="8" t="s">
        <v>10</v>
      </c>
      <c r="C3887" s="58" t="n">
        <f aca="false">C3873*Pressupostos!$C$151*(1+Pressupostos!$C$125)^0*(1+Pressupostos!$C$152)</f>
        <v>0</v>
      </c>
      <c r="D3887" s="58" t="n">
        <f aca="false">D3873*Pressupostos!$C$151*(1+Pressupostos!$C$125)^1*(1+Pressupostos!$C$152)</f>
        <v>0</v>
      </c>
      <c r="E3887" s="58" t="n">
        <f aca="false">E3873*Pressupostos!$C$151*(1+Pressupostos!$C$125)^2*(1+Pressupostos!$C$152)</f>
        <v>54901.575</v>
      </c>
      <c r="F3887" s="58" t="n">
        <f aca="false">F3873*Pressupostos!$C$151*(1+Pressupostos!$C$125)^3*(1+Pressupostos!$C$152)</f>
        <v>56548.62225</v>
      </c>
      <c r="G3887" s="58" t="n">
        <f aca="false">G3873*Pressupostos!$C$151*(1+Pressupostos!$C$125)^4*(1+Pressupostos!$C$152)</f>
        <v>58245.0809175</v>
      </c>
      <c r="H3887" s="2" t="s">
        <v>1261</v>
      </c>
    </row>
    <row r="3888" customFormat="false" ht="15" hidden="false" customHeight="false" outlineLevel="1" collapsed="false">
      <c r="A3888" s="7" t="s">
        <v>616</v>
      </c>
      <c r="B3888" s="8" t="s">
        <v>10</v>
      </c>
      <c r="C3888" s="58" t="n">
        <f aca="false">C3876+C3877+C3878+C3879+C3880+C3881+C3882+C3883+C3884+C3885+C3886+C3887</f>
        <v>232662.5</v>
      </c>
      <c r="D3888" s="58" t="n">
        <f aca="false">D3876+D3877+D3878+D3879+D3880+D3881+D3882+D3883+D3884+D3885+D3886+D3887</f>
        <v>367710</v>
      </c>
      <c r="E3888" s="58" t="n">
        <f aca="false">E3876+E3877+E3878+E3879+E3880+E3881+E3882+E3883+E3884+E3885+E3886+E3887</f>
        <v>433642.875</v>
      </c>
      <c r="F3888" s="58" t="n">
        <f aca="false">F3876+F3877+F3878+F3879+F3880+F3881+F3882+F3883+F3884+F3885+F3886+F3887</f>
        <v>535163.04825</v>
      </c>
      <c r="G3888" s="58" t="n">
        <f aca="false">G3876+G3877+G3878+G3879+G3880+G3881+G3882+G3883+G3884+G3885+G3886+G3887</f>
        <v>590047.9936425</v>
      </c>
      <c r="H3888" s="2" t="s">
        <v>1262</v>
      </c>
    </row>
    <row r="3889" customFormat="false" ht="15" hidden="false" customHeight="false" outlineLevel="1" collapsed="false">
      <c r="A3889" s="7" t="s">
        <v>617</v>
      </c>
      <c r="B3889" s="8" t="s">
        <v>10</v>
      </c>
      <c r="C3889" s="58" t="n">
        <f aca="false">C3888*(Pressupostos!$C$122+Pressupostos!$C$123)</f>
        <v>59910.59375</v>
      </c>
      <c r="D3889" s="58" t="n">
        <f aca="false">D3888*(Pressupostos!$C$122+Pressupostos!$C$123)</f>
        <v>94685.325</v>
      </c>
      <c r="E3889" s="58" t="n">
        <f aca="false">E3888*(Pressupostos!$C$122+Pressupostos!$C$123)</f>
        <v>111663.0403125</v>
      </c>
      <c r="F3889" s="58" t="n">
        <f aca="false">F3888*(Pressupostos!$C$122+Pressupostos!$C$123)</f>
        <v>137804.484924375</v>
      </c>
      <c r="G3889" s="58" t="n">
        <f aca="false">G3888*(Pressupostos!$C$122+Pressupostos!$C$123)</f>
        <v>151937.358362944</v>
      </c>
      <c r="H3889" s="2" t="s">
        <v>1263</v>
      </c>
    </row>
    <row r="3890" customFormat="false" ht="15" hidden="false" customHeight="false" outlineLevel="1" collapsed="false">
      <c r="A3890" s="7" t="s">
        <v>618</v>
      </c>
      <c r="B3890" s="8" t="s">
        <v>10</v>
      </c>
      <c r="C3890" s="58" t="n">
        <f aca="false">C3874*Pressupostos!$C$124*(1+Pressupostos!$C$125)^0</f>
        <v>11000</v>
      </c>
      <c r="D3890" s="58" t="n">
        <f aca="false">D3874*Pressupostos!$C$124*(1+Pressupostos!$C$125)^1</f>
        <v>15450</v>
      </c>
      <c r="E3890" s="58" t="n">
        <f aca="false">E3874*Pressupostos!$C$124*(1+Pressupostos!$C$125)^2</f>
        <v>18035.3</v>
      </c>
      <c r="F3890" s="58" t="n">
        <f aca="false">F3874*Pressupostos!$C$124*(1+Pressupostos!$C$125)^3</f>
        <v>24039.994</v>
      </c>
      <c r="G3890" s="58" t="n">
        <f aca="false">G3874*Pressupostos!$C$124*(1+Pressupostos!$C$125)^4</f>
        <v>27012.21144</v>
      </c>
      <c r="H3890" s="2" t="s">
        <v>1264</v>
      </c>
    </row>
    <row r="3891" customFormat="false" ht="15" hidden="false" customHeight="false" outlineLevel="1" collapsed="false">
      <c r="A3891" s="52" t="s">
        <v>619</v>
      </c>
      <c r="B3891" s="53" t="s">
        <v>10</v>
      </c>
      <c r="C3891" s="59" t="n">
        <f aca="false">C3888+C3889+C3890</f>
        <v>303573.09375</v>
      </c>
      <c r="D3891" s="59" t="n">
        <f aca="false">D3888+D3889+D3890</f>
        <v>477845.325</v>
      </c>
      <c r="E3891" s="59" t="n">
        <f aca="false">E3888+E3889+E3890</f>
        <v>563341.2153125</v>
      </c>
      <c r="F3891" s="59" t="n">
        <f aca="false">F3888+F3889+F3890</f>
        <v>697007.527174375</v>
      </c>
      <c r="G3891" s="59" t="n">
        <f aca="false">G3888+G3889+G3890</f>
        <v>768997.563445444</v>
      </c>
      <c r="H3891" s="2" t="s">
        <v>1265</v>
      </c>
    </row>
    <row r="3892" customFormat="false" ht="15" hidden="false" customHeight="false" outlineLevel="1" collapsed="false">
      <c r="A3892" s="2" t="s">
        <v>620</v>
      </c>
      <c r="B3892" s="8" t="s">
        <v>10</v>
      </c>
      <c r="C3892" s="58" t="n">
        <f aca="false">IF(C3874&gt;0,C3891/C3874,0)</f>
        <v>55195.1079545455</v>
      </c>
      <c r="D3892" s="58" t="n">
        <f aca="false">IF(D3874&gt;0,D3891/D3874,0)</f>
        <v>63712.71</v>
      </c>
      <c r="E3892" s="58" t="n">
        <f aca="false">IF(E3874&gt;0,E3891/E3874,0)</f>
        <v>66275.4370955882</v>
      </c>
      <c r="F3892" s="58" t="n">
        <f aca="false">IF(F3874&gt;0,F3891/F3874,0)</f>
        <v>63364.3206522159</v>
      </c>
      <c r="G3892" s="58" t="n">
        <f aca="false">IF(G3874&gt;0,G3891/G3874,0)</f>
        <v>64083.1302871203</v>
      </c>
      <c r="H3892" s="2" t="s">
        <v>1266</v>
      </c>
    </row>
    <row r="3893" customFormat="false" ht="15" hidden="false" customHeight="false" outlineLevel="0" collapsed="false">
      <c r="A3893" s="3" t="s">
        <v>1267</v>
      </c>
      <c r="B3893" s="4"/>
      <c r="C3893" s="4"/>
      <c r="D3893" s="4"/>
      <c r="E3893" s="4"/>
      <c r="F3893" s="4"/>
      <c r="G3893" s="4"/>
      <c r="H3893" s="4"/>
    </row>
    <row r="3894" customFormat="false" ht="15" hidden="false" customHeight="false" outlineLevel="1" collapsed="false">
      <c r="A3894" s="7" t="s">
        <v>430</v>
      </c>
      <c r="B3894" s="8" t="s">
        <v>10</v>
      </c>
      <c r="C3894" s="58" t="n">
        <f aca="false">Pressupostos!$C$390*(1+Pressupostos!$C$154)*(1+Pressupostos!$C$155)^0</f>
        <v>94500</v>
      </c>
      <c r="D3894" s="58" t="n">
        <f aca="false">Pressupostos!$D$390*(1+Pressupostos!$C$154)*(1+Pressupostos!$C$155)^1</f>
        <v>53550</v>
      </c>
      <c r="E3894" s="58" t="n">
        <f aca="false">Pressupostos!$E$390*(1+Pressupostos!$C$154)*(1+Pressupostos!$C$155)^2</f>
        <v>49158.9</v>
      </c>
      <c r="F3894" s="58" t="n">
        <f aca="false">Pressupostos!$F$390*(1+Pressupostos!$C$154)*(1+Pressupostos!$C$155)^3</f>
        <v>50142.078</v>
      </c>
      <c r="G3894" s="58" t="n">
        <f aca="false">Pressupostos!$G$390*(1+Pressupostos!$C$154)*(1+Pressupostos!$C$155)^4</f>
        <v>51144.91956</v>
      </c>
      <c r="H3894" s="2" t="s">
        <v>1268</v>
      </c>
    </row>
    <row r="3895" customFormat="false" ht="15" hidden="false" customHeight="false" outlineLevel="1" collapsed="false">
      <c r="A3895" s="7" t="s">
        <v>432</v>
      </c>
      <c r="B3895" s="8" t="s">
        <v>10</v>
      </c>
      <c r="C3895" s="58" t="n">
        <f aca="false">Pressupostos!$C$396*(1+Pressupostos!$C$154)*(1+Pressupostos!$C$155)^0</f>
        <v>10500</v>
      </c>
      <c r="D3895" s="58" t="n">
        <f aca="false">Pressupostos!$D$396*(1+Pressupostos!$C$154)*(1+Pressupostos!$C$155)^1</f>
        <v>10710</v>
      </c>
      <c r="E3895" s="58" t="n">
        <f aca="false">Pressupostos!$E$396*(1+Pressupostos!$C$154)*(1+Pressupostos!$C$155)^2</f>
        <v>10924.2</v>
      </c>
      <c r="F3895" s="58" t="n">
        <f aca="false">Pressupostos!$F$396*(1+Pressupostos!$C$154)*(1+Pressupostos!$C$155)^3</f>
        <v>11142.684</v>
      </c>
      <c r="G3895" s="58" t="n">
        <f aca="false">Pressupostos!$G$396*(1+Pressupostos!$C$154)*(1+Pressupostos!$C$155)^4</f>
        <v>11365.53768</v>
      </c>
      <c r="H3895" s="2" t="s">
        <v>1269</v>
      </c>
    </row>
    <row r="3896" customFormat="false" ht="15" hidden="false" customHeight="false" outlineLevel="1" collapsed="false">
      <c r="A3896" s="7" t="s">
        <v>433</v>
      </c>
      <c r="B3896" s="8" t="s">
        <v>10</v>
      </c>
      <c r="C3896" s="58" t="n">
        <f aca="false">Pressupostos!$C$402*(1+Pressupostos!$C$154)*(1+Pressupostos!$C$155)^0</f>
        <v>12600</v>
      </c>
      <c r="D3896" s="58" t="n">
        <f aca="false">Pressupostos!$D$402*(1+Pressupostos!$C$154)*(1+Pressupostos!$C$155)^1</f>
        <v>12852</v>
      </c>
      <c r="E3896" s="58" t="n">
        <f aca="false">Pressupostos!$E$402*(1+Pressupostos!$C$154)*(1+Pressupostos!$C$155)^2</f>
        <v>13109.04</v>
      </c>
      <c r="F3896" s="58" t="n">
        <f aca="false">Pressupostos!$F$402*(1+Pressupostos!$C$154)*(1+Pressupostos!$C$155)^3</f>
        <v>13371.2208</v>
      </c>
      <c r="G3896" s="58" t="n">
        <f aca="false">Pressupostos!$G$402*(1+Pressupostos!$C$154)*(1+Pressupostos!$C$155)^4</f>
        <v>13638.645216</v>
      </c>
      <c r="H3896" s="2" t="s">
        <v>1270</v>
      </c>
    </row>
    <row r="3897" customFormat="false" ht="15" hidden="false" customHeight="false" outlineLevel="1" collapsed="false">
      <c r="A3897" s="7" t="s">
        <v>435</v>
      </c>
      <c r="B3897" s="8" t="s">
        <v>10</v>
      </c>
      <c r="C3897" s="58" t="n">
        <f aca="false">Pressupostos!$C$408*(1+Pressupostos!$C$154)*(1+Pressupostos!$C$155)^0</f>
        <v>31500</v>
      </c>
      <c r="D3897" s="58" t="n">
        <f aca="false">Pressupostos!$D$408*(1+Pressupostos!$C$154)*(1+Pressupostos!$C$155)^1</f>
        <v>37485</v>
      </c>
      <c r="E3897" s="58" t="n">
        <f aca="false">Pressupostos!$E$408*(1+Pressupostos!$C$154)*(1+Pressupostos!$C$155)^2</f>
        <v>49158.9</v>
      </c>
      <c r="F3897" s="58" t="n">
        <f aca="false">Pressupostos!$F$408*(1+Pressupostos!$C$154)*(1+Pressupostos!$C$155)^3</f>
        <v>55713.42</v>
      </c>
      <c r="G3897" s="58" t="n">
        <f aca="false">Pressupostos!$G$408*(1+Pressupostos!$C$154)*(1+Pressupostos!$C$155)^4</f>
        <v>62510.45724</v>
      </c>
      <c r="H3897" s="2" t="s">
        <v>1271</v>
      </c>
    </row>
    <row r="3898" customFormat="false" ht="15" hidden="false" customHeight="false" outlineLevel="1" collapsed="false">
      <c r="A3898" s="7" t="s">
        <v>437</v>
      </c>
      <c r="B3898" s="8" t="s">
        <v>10</v>
      </c>
      <c r="C3898" s="58" t="n">
        <f aca="false">Pressupostos!$C$414*(1+Pressupostos!$C$154)*(1+Pressupostos!$C$155)^0</f>
        <v>15750</v>
      </c>
      <c r="D3898" s="58" t="n">
        <f aca="false">Pressupostos!$D$414*(1+Pressupostos!$C$154)*(1+Pressupostos!$C$155)^1</f>
        <v>16065</v>
      </c>
      <c r="E3898" s="58" t="n">
        <f aca="false">Pressupostos!$E$414*(1+Pressupostos!$C$154)*(1+Pressupostos!$C$155)^2</f>
        <v>38234.7</v>
      </c>
      <c r="F3898" s="58" t="n">
        <f aca="false">Pressupostos!$F$414*(1+Pressupostos!$C$154)*(1+Pressupostos!$C$155)^3</f>
        <v>22285.368</v>
      </c>
      <c r="G3898" s="58" t="n">
        <f aca="false">Pressupostos!$G$414*(1+Pressupostos!$C$154)*(1+Pressupostos!$C$155)^4</f>
        <v>22731.07536</v>
      </c>
      <c r="H3898" s="2" t="s">
        <v>1272</v>
      </c>
    </row>
    <row r="3899" customFormat="false" ht="15" hidden="false" customHeight="false" outlineLevel="1" collapsed="false">
      <c r="A3899" s="7" t="s">
        <v>439</v>
      </c>
      <c r="B3899" s="8" t="s">
        <v>10</v>
      </c>
      <c r="C3899" s="58" t="n">
        <f aca="false">Pressupostos!$C$420*(1+Pressupostos!$C$154)*(1+Pressupostos!$C$155)^0</f>
        <v>10500</v>
      </c>
      <c r="D3899" s="58" t="n">
        <f aca="false">Pressupostos!$D$420*(1+Pressupostos!$C$154)*(1+Pressupostos!$C$155)^1</f>
        <v>12852</v>
      </c>
      <c r="E3899" s="58" t="n">
        <f aca="false">Pressupostos!$E$420*(1+Pressupostos!$C$154)*(1+Pressupostos!$C$155)^2</f>
        <v>16386.3</v>
      </c>
      <c r="F3899" s="58" t="n">
        <f aca="false">Pressupostos!$F$420*(1+Pressupostos!$C$154)*(1+Pressupostos!$C$155)^3</f>
        <v>20056.8312</v>
      </c>
      <c r="G3899" s="58" t="n">
        <f aca="false">Pressupostos!$G$420*(1+Pressupostos!$C$154)*(1+Pressupostos!$C$155)^4</f>
        <v>22731.07536</v>
      </c>
      <c r="H3899" s="2" t="s">
        <v>1273</v>
      </c>
    </row>
    <row r="3900" customFormat="false" ht="15" hidden="false" customHeight="false" outlineLevel="1" collapsed="false">
      <c r="A3900" s="7" t="s">
        <v>440</v>
      </c>
      <c r="B3900" s="8" t="s">
        <v>10</v>
      </c>
      <c r="C3900" s="58" t="n">
        <f aca="false">Pressupostos!$C$426*(1+Pressupostos!$C$154)*(1+Pressupostos!$C$155)^0</f>
        <v>31500</v>
      </c>
      <c r="D3900" s="58" t="n">
        <f aca="false">Pressupostos!$D$426*(1+Pressupostos!$C$154)*(1+Pressupostos!$C$155)^1</f>
        <v>37485</v>
      </c>
      <c r="E3900" s="58" t="n">
        <f aca="false">Pressupostos!$E$426*(1+Pressupostos!$C$154)*(1+Pressupostos!$C$155)^2</f>
        <v>49158.9</v>
      </c>
      <c r="F3900" s="58" t="n">
        <f aca="false">Pressupostos!$F$426*(1+Pressupostos!$C$154)*(1+Pressupostos!$C$155)^3</f>
        <v>55713.42</v>
      </c>
      <c r="G3900" s="58" t="n">
        <f aca="false">Pressupostos!$G$426*(1+Pressupostos!$C$154)*(1+Pressupostos!$C$155)^4</f>
        <v>62510.45724</v>
      </c>
      <c r="H3900" s="2" t="s">
        <v>1274</v>
      </c>
    </row>
    <row r="3901" customFormat="false" ht="15" hidden="false" customHeight="false" outlineLevel="1" collapsed="false">
      <c r="A3901" s="7" t="s">
        <v>442</v>
      </c>
      <c r="B3901" s="8" t="s">
        <v>10</v>
      </c>
      <c r="C3901" s="58" t="n">
        <f aca="false">Pressupostos!$C$432*(1+Pressupostos!$C$154)*(1+Pressupostos!$C$155)^0</f>
        <v>6300</v>
      </c>
      <c r="D3901" s="58" t="n">
        <f aca="false">Pressupostos!$D$432*(1+Pressupostos!$C$154)*(1+Pressupostos!$C$155)^1</f>
        <v>8568</v>
      </c>
      <c r="E3901" s="58" t="n">
        <f aca="false">Pressupostos!$E$432*(1+Pressupostos!$C$154)*(1+Pressupostos!$C$155)^2</f>
        <v>13109.04</v>
      </c>
      <c r="F3901" s="58" t="n">
        <f aca="false">Pressupostos!$F$432*(1+Pressupostos!$C$154)*(1+Pressupostos!$C$155)^3</f>
        <v>16714.026</v>
      </c>
      <c r="G3901" s="58" t="n">
        <f aca="false">Pressupostos!$G$432*(1+Pressupostos!$C$154)*(1+Pressupostos!$C$155)^4</f>
        <v>20457.967824</v>
      </c>
      <c r="H3901" s="2" t="s">
        <v>1275</v>
      </c>
    </row>
    <row r="3902" customFormat="false" ht="15" hidden="false" customHeight="false" outlineLevel="1" collapsed="false">
      <c r="A3902" s="7" t="s">
        <v>444</v>
      </c>
      <c r="B3902" s="8" t="s">
        <v>10</v>
      </c>
      <c r="C3902" s="58" t="n">
        <f aca="false">Pressupostos!$C$438*(1+Pressupostos!$C$154)*(1+Pressupostos!$C$155)^0</f>
        <v>15750</v>
      </c>
      <c r="D3902" s="58" t="n">
        <f aca="false">Pressupostos!$D$438*(1+Pressupostos!$C$154)*(1+Pressupostos!$C$155)^1</f>
        <v>21420</v>
      </c>
      <c r="E3902" s="58" t="n">
        <f aca="false">Pressupostos!$E$438*(1+Pressupostos!$C$154)*(1+Pressupostos!$C$155)^2</f>
        <v>30587.76</v>
      </c>
      <c r="F3902" s="58" t="n">
        <f aca="false">Pressupostos!$F$438*(1+Pressupostos!$C$154)*(1+Pressupostos!$C$155)^3</f>
        <v>35656.5888</v>
      </c>
      <c r="G3902" s="58" t="n">
        <f aca="false">Pressupostos!$G$438*(1+Pressupostos!$C$154)*(1+Pressupostos!$C$155)^4</f>
        <v>40915.935648</v>
      </c>
      <c r="H3902" s="2" t="s">
        <v>1276</v>
      </c>
    </row>
    <row r="3903" customFormat="false" ht="15" hidden="false" customHeight="false" outlineLevel="1" collapsed="false">
      <c r="A3903" s="7" t="s">
        <v>445</v>
      </c>
      <c r="B3903" s="8" t="s">
        <v>10</v>
      </c>
      <c r="C3903" s="58" t="n">
        <f aca="false">Pressupostos!$C$444*(1+Pressupostos!$C$154)*(1+Pressupostos!$C$155)^0</f>
        <v>4200</v>
      </c>
      <c r="D3903" s="58" t="n">
        <f aca="false">Pressupostos!$D$444*(1+Pressupostos!$C$154)*(1+Pressupostos!$C$155)^1</f>
        <v>6426</v>
      </c>
      <c r="E3903" s="58" t="n">
        <f aca="false">Pressupostos!$E$444*(1+Pressupostos!$C$154)*(1+Pressupostos!$C$155)^2</f>
        <v>8739.36</v>
      </c>
      <c r="F3903" s="58" t="n">
        <f aca="false">Pressupostos!$F$444*(1+Pressupostos!$C$154)*(1+Pressupostos!$C$155)^3</f>
        <v>8914.1472</v>
      </c>
      <c r="G3903" s="58" t="n">
        <f aca="false">Pressupostos!$G$444*(1+Pressupostos!$C$154)*(1+Pressupostos!$C$155)^4</f>
        <v>9092.430144</v>
      </c>
      <c r="H3903" s="2" t="s">
        <v>1277</v>
      </c>
    </row>
    <row r="3904" customFormat="false" ht="15" hidden="false" customHeight="false" outlineLevel="1" collapsed="false">
      <c r="A3904" s="7" t="s">
        <v>661</v>
      </c>
      <c r="B3904" s="8" t="s">
        <v>10</v>
      </c>
      <c r="C3904" s="58" t="n">
        <f aca="false">C3894+C3895+C3896+C3897+C3898+C3899+C3900+C3901+C3902+C3903</f>
        <v>233100</v>
      </c>
      <c r="D3904" s="58" t="n">
        <f aca="false">D3894+D3895+D3896+D3897+D3898+D3899+D3900+D3901+D3902+D3903</f>
        <v>217413</v>
      </c>
      <c r="E3904" s="58" t="n">
        <f aca="false">E3894+E3895+E3896+E3897+E3898+E3899+E3900+E3901+E3902+E3903</f>
        <v>278567.1</v>
      </c>
      <c r="F3904" s="58" t="n">
        <f aca="false">F3894+F3895+F3896+F3897+F3898+F3899+F3900+F3901+F3902+F3903</f>
        <v>289709.784</v>
      </c>
      <c r="G3904" s="58" t="n">
        <f aca="false">G3894+G3895+G3896+G3897+G3898+G3899+G3900+G3901+G3902+G3903</f>
        <v>317098.501272</v>
      </c>
      <c r="H3904" s="2" t="s">
        <v>1278</v>
      </c>
    </row>
    <row r="3905" customFormat="false" ht="15" hidden="false" customHeight="false" outlineLevel="1" collapsed="false">
      <c r="A3905" s="7" t="s">
        <v>662</v>
      </c>
      <c r="B3905" s="8" t="s">
        <v>10</v>
      </c>
      <c r="C3905" s="58" t="n">
        <f aca="false">Pressupostos!$C$112+Pressupostos!$C$113+Pressupostos!$C$114*Pressupostos!$C$291+Pressupostos!$C$449</f>
        <v>65000</v>
      </c>
      <c r="D3905" s="58" t="n">
        <f aca="false">Pressupostos!$C$113+Pressupostos!$C$114*Pressupostos!$D$291+Pressupostos!$D$449</f>
        <v>65000</v>
      </c>
      <c r="E3905" s="58" t="n">
        <f aca="false">Pressupostos!$C$113+Pressupostos!$C$114*Pressupostos!$E$291+Pressupostos!$E$449</f>
        <v>70000</v>
      </c>
      <c r="F3905" s="58" t="n">
        <f aca="false">Pressupostos!$C$113+Pressupostos!$C$114*Pressupostos!$F$291+Pressupostos!$F$449</f>
        <v>75000</v>
      </c>
      <c r="G3905" s="58" t="n">
        <f aca="false">Pressupostos!$C$113+Pressupostos!$C$114*Pressupostos!$G$291+Pressupostos!$G$449</f>
        <v>80000</v>
      </c>
      <c r="H3905" s="2" t="s">
        <v>1279</v>
      </c>
    </row>
    <row r="3906" customFormat="false" ht="15" hidden="false" customHeight="false" outlineLevel="1" collapsed="false">
      <c r="A3906" s="7" t="s">
        <v>663</v>
      </c>
      <c r="B3906" s="8" t="s">
        <v>10</v>
      </c>
      <c r="C3906" s="58" t="n">
        <f aca="false">IF(C3728&lt;Pressupostos!$C$118,0,MAX(Pressupostos!$C$297,Pressupostos!$C$116*(C3816+C3817)+Pressupostos!$C$117*C3818))</f>
        <v>0</v>
      </c>
      <c r="D3906" s="58" t="n">
        <f aca="false">IF(D3728&lt;Pressupostos!$C$118,0,MAX(Pressupostos!$D$297,Pressupostos!$C$116*(D3816+D3817)+Pressupostos!$C$117*D3818))</f>
        <v>10757.15</v>
      </c>
      <c r="E3906" s="58" t="n">
        <f aca="false">IF(E3728&lt;Pressupostos!$C$118,0,MAX(Pressupostos!$E$297,Pressupostos!$C$116*(E3816+E3817)+Pressupostos!$C$117*E3818))</f>
        <v>25434.6</v>
      </c>
      <c r="F3906" s="58" t="n">
        <f aca="false">IF(F3728&lt;Pressupostos!$C$118,0,MAX(Pressupostos!$F$297,Pressupostos!$C$116*(F3816+F3817)+Pressupostos!$C$117*F3818))</f>
        <v>42320.9</v>
      </c>
      <c r="G3906" s="58" t="n">
        <f aca="false">IF(G3728&lt;Pressupostos!$C$118,0,MAX(Pressupostos!$G$297,Pressupostos!$C$116*(G3816+G3817)+Pressupostos!$C$117*G3818))</f>
        <v>61717</v>
      </c>
      <c r="H3906" s="2" t="s">
        <v>1280</v>
      </c>
    </row>
    <row r="3907" customFormat="false" ht="15" hidden="false" customHeight="false" outlineLevel="1" collapsed="false">
      <c r="A3907" s="52" t="s">
        <v>664</v>
      </c>
      <c r="B3907" s="53" t="s">
        <v>10</v>
      </c>
      <c r="C3907" s="59" t="n">
        <f aca="false">C3904+C3905+C3906</f>
        <v>298100</v>
      </c>
      <c r="D3907" s="59" t="n">
        <f aca="false">D3904+D3905+D3906</f>
        <v>293170.15</v>
      </c>
      <c r="E3907" s="59" t="n">
        <f aca="false">E3904+E3905+E3906</f>
        <v>374001.7</v>
      </c>
      <c r="F3907" s="59" t="n">
        <f aca="false">F3904+F3905+F3906</f>
        <v>407030.684</v>
      </c>
      <c r="G3907" s="59" t="n">
        <f aca="false">G3904+G3905+G3906</f>
        <v>458815.501272</v>
      </c>
      <c r="H3907" s="2" t="s">
        <v>1281</v>
      </c>
    </row>
    <row r="3908" customFormat="false" ht="15" hidden="false" customHeight="false" outlineLevel="0" collapsed="false">
      <c r="A3908" s="3" t="s">
        <v>1282</v>
      </c>
      <c r="B3908" s="4"/>
      <c r="C3908" s="4"/>
      <c r="D3908" s="4"/>
      <c r="E3908" s="4"/>
      <c r="F3908" s="4"/>
      <c r="G3908" s="4"/>
      <c r="H3908" s="4"/>
    </row>
    <row r="3909" customFormat="false" ht="15" hidden="false" customHeight="false" outlineLevel="1" collapsed="false">
      <c r="A3909" s="7" t="s">
        <v>666</v>
      </c>
      <c r="B3909" s="8" t="s">
        <v>10</v>
      </c>
      <c r="C3909" s="58" t="n">
        <f aca="false">Pressupostos!$C$163*Pressupostos!$C$304</f>
        <v>18000</v>
      </c>
      <c r="D3909" s="58" t="n">
        <f aca="false">Pressupostos!$C$163*Pressupostos!$D$304</f>
        <v>12000</v>
      </c>
      <c r="E3909" s="58" t="n">
        <f aca="false">Pressupostos!$C$163*Pressupostos!$E$304</f>
        <v>12000</v>
      </c>
      <c r="F3909" s="58" t="n">
        <f aca="false">Pressupostos!$C$163*Pressupostos!$F$304</f>
        <v>12000</v>
      </c>
      <c r="G3909" s="58" t="n">
        <f aca="false">Pressupostos!$C$163*Pressupostos!$G$304</f>
        <v>12000</v>
      </c>
      <c r="H3909" s="2" t="s">
        <v>1283</v>
      </c>
    </row>
    <row r="3910" customFormat="false" ht="15" hidden="false" customHeight="false" outlineLevel="1" collapsed="false">
      <c r="A3910" s="7" t="s">
        <v>667</v>
      </c>
      <c r="B3910" s="8" t="s">
        <v>10</v>
      </c>
      <c r="C3910" s="50" t="n">
        <f aca="false">Pressupostos!$C$310</f>
        <v>60000</v>
      </c>
      <c r="D3910" s="50" t="n">
        <f aca="false">Pressupostos!$D$310</f>
        <v>30000</v>
      </c>
      <c r="E3910" s="50" t="n">
        <f aca="false">Pressupostos!$E$310</f>
        <v>30000</v>
      </c>
      <c r="F3910" s="50" t="n">
        <f aca="false">Pressupostos!$F$310</f>
        <v>20000</v>
      </c>
      <c r="G3910" s="50" t="n">
        <f aca="false">Pressupostos!$G$310</f>
        <v>20000</v>
      </c>
      <c r="H3910" s="2" t="s">
        <v>1284</v>
      </c>
    </row>
    <row r="3911" customFormat="false" ht="15" hidden="false" customHeight="false" outlineLevel="1" collapsed="false">
      <c r="A3911" s="7" t="s">
        <v>668</v>
      </c>
      <c r="B3911" s="8" t="s">
        <v>10</v>
      </c>
      <c r="C3911" s="58" t="n">
        <f aca="false">Pressupostos!$C$164*MAX(0,C3874)</f>
        <v>11000</v>
      </c>
      <c r="D3911" s="58" t="n">
        <f aca="false">Pressupostos!$C$164*MAX(0,D3874-C3874)</f>
        <v>4000</v>
      </c>
      <c r="E3911" s="58" t="n">
        <f aca="false">Pressupostos!$C$164*MAX(0,E3874-D3874)</f>
        <v>2000</v>
      </c>
      <c r="F3911" s="58" t="n">
        <f aca="false">Pressupostos!$C$164*MAX(0,F3874-E3874)</f>
        <v>5000</v>
      </c>
      <c r="G3911" s="58" t="n">
        <f aca="false">Pressupostos!$C$164*MAX(0,G3874-F3874)</f>
        <v>2000</v>
      </c>
      <c r="H3911" s="2" t="s">
        <v>1285</v>
      </c>
    </row>
    <row r="3912" customFormat="false" ht="15" hidden="false" customHeight="false" outlineLevel="1" collapsed="false">
      <c r="A3912" s="7" t="s">
        <v>407</v>
      </c>
      <c r="B3912" s="8" t="s">
        <v>10</v>
      </c>
      <c r="C3912" s="58" t="n">
        <f aca="false">C3909+C3910+C3911</f>
        <v>89000</v>
      </c>
      <c r="D3912" s="58" t="n">
        <f aca="false">D3909+D3910+D3911</f>
        <v>46000</v>
      </c>
      <c r="E3912" s="58" t="n">
        <f aca="false">E3909+E3910+E3911</f>
        <v>44000</v>
      </c>
      <c r="F3912" s="58" t="n">
        <f aca="false">F3909+F3910+F3911</f>
        <v>37000</v>
      </c>
      <c r="G3912" s="58" t="n">
        <f aca="false">G3909+G3910+G3911</f>
        <v>34000</v>
      </c>
      <c r="H3912" s="2" t="s">
        <v>1286</v>
      </c>
    </row>
    <row r="3913" customFormat="false" ht="15" hidden="false" customHeight="false" outlineLevel="1" collapsed="false">
      <c r="A3913" s="7" t="s">
        <v>669</v>
      </c>
      <c r="B3913" s="8" t="s">
        <v>10</v>
      </c>
      <c r="C3913" s="58" t="n">
        <f aca="false">(C3910*((0)&lt;Pressupostos!$C$165))/Pressupostos!$C$165</f>
        <v>20000</v>
      </c>
      <c r="D3913" s="58" t="n">
        <f aca="false">(C3910*((1)&lt;Pressupostos!$C$165)+D3910*((0)&lt;Pressupostos!$C$165))/Pressupostos!$C$165</f>
        <v>30000</v>
      </c>
      <c r="E3913" s="58" t="n">
        <f aca="false">(C3910*((2)&lt;Pressupostos!$C$165)+D3910*((1)&lt;Pressupostos!$C$165)+E3910*((0)&lt;Pressupostos!$C$165))/Pressupostos!$C$165</f>
        <v>40000</v>
      </c>
      <c r="F3913" s="58" t="n">
        <f aca="false">(C3910*((3)&lt;Pressupostos!$C$165)+D3910*((2)&lt;Pressupostos!$C$165)+E3910*((1)&lt;Pressupostos!$C$165)+F3910*((0)&lt;Pressupostos!$C$165))/Pressupostos!$C$165</f>
        <v>26666.6666666667</v>
      </c>
      <c r="G3913" s="58" t="n">
        <f aca="false">(C3910*((4)&lt;Pressupostos!$C$165)+D3910*((3)&lt;Pressupostos!$C$165)+E3910*((2)&lt;Pressupostos!$C$165)+F3910*((1)&lt;Pressupostos!$C$165)+G3910*((0)&lt;Pressupostos!$C$165))/Pressupostos!$C$165</f>
        <v>23333.3333333333</v>
      </c>
      <c r="H3913" s="2" t="s">
        <v>1287</v>
      </c>
    </row>
    <row r="3914" customFormat="false" ht="15" hidden="false" customHeight="false" outlineLevel="1" collapsed="false">
      <c r="A3914" s="7" t="s">
        <v>670</v>
      </c>
      <c r="B3914" s="8" t="s">
        <v>10</v>
      </c>
      <c r="C3914" s="58" t="n">
        <f aca="false">(C3909*((0)&lt;Pressupostos!$C$167))/Pressupostos!$C$167</f>
        <v>3600</v>
      </c>
      <c r="D3914" s="58" t="n">
        <f aca="false">(C3909*((1)&lt;Pressupostos!$C$167)+D3909*((0)&lt;Pressupostos!$C$167))/Pressupostos!$C$167</f>
        <v>6000</v>
      </c>
      <c r="E3914" s="58" t="n">
        <f aca="false">(C3909*((2)&lt;Pressupostos!$C$167)+D3909*((1)&lt;Pressupostos!$C$167)+E3909*((0)&lt;Pressupostos!$C$167))/Pressupostos!$C$167</f>
        <v>8400</v>
      </c>
      <c r="F3914" s="58" t="n">
        <f aca="false">(C3909*((3)&lt;Pressupostos!$C$167)+D3909*((2)&lt;Pressupostos!$C$167)+E3909*((1)&lt;Pressupostos!$C$167)+F3909*((0)&lt;Pressupostos!$C$167))/Pressupostos!$C$167</f>
        <v>10800</v>
      </c>
      <c r="G3914" s="58" t="n">
        <f aca="false">(C3909*((4)&lt;Pressupostos!$C$167)+D3909*((3)&lt;Pressupostos!$C$167)+E3909*((2)&lt;Pressupostos!$C$167)+F3909*((1)&lt;Pressupostos!$C$167)+G3909*((0)&lt;Pressupostos!$C$167))/Pressupostos!$C$167</f>
        <v>13200</v>
      </c>
      <c r="H3914" s="2" t="s">
        <v>1288</v>
      </c>
    </row>
    <row r="3915" customFormat="false" ht="15" hidden="false" customHeight="false" outlineLevel="1" collapsed="false">
      <c r="A3915" s="7" t="s">
        <v>671</v>
      </c>
      <c r="B3915" s="8" t="s">
        <v>10</v>
      </c>
      <c r="C3915" s="58" t="n">
        <f aca="false">(C3911*((0)&lt;Pressupostos!$C$166))/Pressupostos!$C$166</f>
        <v>2750</v>
      </c>
      <c r="D3915" s="58" t="n">
        <f aca="false">(C3911*((1)&lt;Pressupostos!$C$166)+D3911*((0)&lt;Pressupostos!$C$166))/Pressupostos!$C$166</f>
        <v>3750</v>
      </c>
      <c r="E3915" s="58" t="n">
        <f aca="false">(C3911*((2)&lt;Pressupostos!$C$166)+D3911*((1)&lt;Pressupostos!$C$166)+E3911*((0)&lt;Pressupostos!$C$166))/Pressupostos!$C$166</f>
        <v>4250</v>
      </c>
      <c r="F3915" s="58" t="n">
        <f aca="false">(C3911*((3)&lt;Pressupostos!$C$166)+D3911*((2)&lt;Pressupostos!$C$166)+E3911*((1)&lt;Pressupostos!$C$166)+F3911*((0)&lt;Pressupostos!$C$166))/Pressupostos!$C$166</f>
        <v>5500</v>
      </c>
      <c r="G3915" s="58" t="n">
        <f aca="false">(C3911*((4)&lt;Pressupostos!$C$166)+D3911*((3)&lt;Pressupostos!$C$166)+E3911*((2)&lt;Pressupostos!$C$166)+F3911*((1)&lt;Pressupostos!$C$166)+G3911*((0)&lt;Pressupostos!$C$166))/Pressupostos!$C$166</f>
        <v>3250</v>
      </c>
      <c r="H3915" s="2" t="s">
        <v>1289</v>
      </c>
    </row>
    <row r="3916" customFormat="false" ht="15" hidden="false" customHeight="false" outlineLevel="1" collapsed="false">
      <c r="A3916" s="7" t="s">
        <v>672</v>
      </c>
      <c r="B3916" s="8" t="s">
        <v>10</v>
      </c>
      <c r="C3916" s="58" t="n">
        <f aca="false">C3913+C3914+C3915</f>
        <v>26350</v>
      </c>
      <c r="D3916" s="58" t="n">
        <f aca="false">D3913+D3914+D3915</f>
        <v>39750</v>
      </c>
      <c r="E3916" s="58" t="n">
        <f aca="false">E3913+E3914+E3915</f>
        <v>52650</v>
      </c>
      <c r="F3916" s="58" t="n">
        <f aca="false">F3913+F3914+F3915</f>
        <v>42966.6666666667</v>
      </c>
      <c r="G3916" s="58" t="n">
        <f aca="false">G3913+G3914+G3915</f>
        <v>39783.3333333333</v>
      </c>
      <c r="H3916" s="2" t="s">
        <v>1290</v>
      </c>
    </row>
    <row r="3917" customFormat="false" ht="15" hidden="false" customHeight="false" outlineLevel="0" collapsed="false">
      <c r="A3917" s="3" t="s">
        <v>1291</v>
      </c>
      <c r="B3917" s="4"/>
      <c r="C3917" s="4"/>
      <c r="D3917" s="4"/>
      <c r="E3917" s="4"/>
      <c r="F3917" s="4"/>
      <c r="G3917" s="4"/>
      <c r="H3917" s="4"/>
    </row>
    <row r="3918" customFormat="false" ht="15" hidden="false" customHeight="false" outlineLevel="1" collapsed="false">
      <c r="A3918" s="52" t="s">
        <v>676</v>
      </c>
      <c r="B3918" s="53" t="s">
        <v>10</v>
      </c>
      <c r="C3918" s="59" t="n">
        <f aca="false">C3825</f>
        <v>274644.4</v>
      </c>
      <c r="D3918" s="59" t="n">
        <f aca="false">D3825</f>
        <v>3612516.5</v>
      </c>
      <c r="E3918" s="59" t="n">
        <f aca="false">E3825</f>
        <v>9128094</v>
      </c>
      <c r="F3918" s="59" t="n">
        <f aca="false">F3825</f>
        <v>15373127</v>
      </c>
      <c r="G3918" s="59" t="n">
        <f aca="false">G3825</f>
        <v>22344110</v>
      </c>
      <c r="H3918" s="2" t="s">
        <v>1292</v>
      </c>
    </row>
    <row r="3919" customFormat="false" ht="15" hidden="false" customHeight="false" outlineLevel="1" collapsed="false">
      <c r="A3919" s="7" t="s">
        <v>649</v>
      </c>
      <c r="B3919" s="8" t="s">
        <v>10</v>
      </c>
      <c r="C3919" s="58" t="n">
        <f aca="false">-C3846</f>
        <v>-245040</v>
      </c>
      <c r="D3919" s="58" t="n">
        <f aca="false">-D3846</f>
        <v>-3349300</v>
      </c>
      <c r="E3919" s="58" t="n">
        <f aca="false">-E3846</f>
        <v>-8498250</v>
      </c>
      <c r="F3919" s="58" t="n">
        <f aca="false">-F3846</f>
        <v>-14283850</v>
      </c>
      <c r="G3919" s="58" t="n">
        <f aca="false">-G3846</f>
        <v>-20710500</v>
      </c>
      <c r="H3919" s="2" t="s">
        <v>1293</v>
      </c>
    </row>
    <row r="3920" customFormat="false" ht="15" hidden="false" customHeight="false" outlineLevel="1" collapsed="false">
      <c r="A3920" s="52" t="s">
        <v>677</v>
      </c>
      <c r="B3920" s="53" t="s">
        <v>10</v>
      </c>
      <c r="C3920" s="59" t="n">
        <f aca="false">C3918+C3919</f>
        <v>29604.4</v>
      </c>
      <c r="D3920" s="59" t="n">
        <f aca="false">D3918+D3919</f>
        <v>263216.5</v>
      </c>
      <c r="E3920" s="59" t="n">
        <f aca="false">E3918+E3919</f>
        <v>629844</v>
      </c>
      <c r="F3920" s="59" t="n">
        <f aca="false">F3918+F3919</f>
        <v>1089277</v>
      </c>
      <c r="G3920" s="59" t="n">
        <f aca="false">G3918+G3919</f>
        <v>1633610</v>
      </c>
      <c r="H3920" s="2" t="s">
        <v>1294</v>
      </c>
    </row>
    <row r="3921" customFormat="false" ht="15" hidden="false" customHeight="false" outlineLevel="1" collapsed="false">
      <c r="A3921" s="2" t="s">
        <v>678</v>
      </c>
      <c r="B3921" s="8" t="s">
        <v>71</v>
      </c>
      <c r="C3921" s="55" t="n">
        <f aca="false">IF(C3918&gt;0,C3920/C3918,0)</f>
        <v>0.107791748165992</v>
      </c>
      <c r="D3921" s="55" t="n">
        <f aca="false">IF(D3918&gt;0,D3920/D3918,0)</f>
        <v>0.0728623661649712</v>
      </c>
      <c r="E3921" s="55" t="n">
        <f aca="false">IF(E3918&gt;0,E3920/E3918,0)</f>
        <v>0.0690006040691518</v>
      </c>
      <c r="F3921" s="55" t="n">
        <f aca="false">IF(F3918&gt;0,F3920/F3918,0)</f>
        <v>0.0708559163012184</v>
      </c>
      <c r="G3921" s="55" t="n">
        <f aca="false">IF(G3918&gt;0,G3920/G3918,0)</f>
        <v>0.073111437421316</v>
      </c>
      <c r="H3921" s="2" t="s">
        <v>1295</v>
      </c>
    </row>
    <row r="3922" customFormat="false" ht="15" hidden="false" customHeight="false" outlineLevel="1" collapsed="false">
      <c r="A3922" s="7" t="s">
        <v>679</v>
      </c>
      <c r="B3922" s="8" t="s">
        <v>10</v>
      </c>
      <c r="C3922" s="58" t="n">
        <f aca="false">-C3856</f>
        <v>-15486.8426027397</v>
      </c>
      <c r="D3922" s="58" t="n">
        <f aca="false">-D3856</f>
        <v>-137956.714554795</v>
      </c>
      <c r="E3922" s="58" t="n">
        <f aca="false">-E3856</f>
        <v>-320287.06369863</v>
      </c>
      <c r="F3922" s="58" t="n">
        <f aca="false">-F3856</f>
        <v>-538709.329794521</v>
      </c>
      <c r="G3922" s="58" t="n">
        <f aca="false">-G3856</f>
        <v>-787778.386986301</v>
      </c>
      <c r="H3922" s="2" t="s">
        <v>1296</v>
      </c>
    </row>
    <row r="3923" customFormat="false" ht="15" hidden="false" customHeight="false" outlineLevel="1" collapsed="false">
      <c r="A3923" s="7" t="s">
        <v>658</v>
      </c>
      <c r="B3923" s="8" t="s">
        <v>10</v>
      </c>
      <c r="C3923" s="58" t="n">
        <f aca="false">-C3859</f>
        <v>-0</v>
      </c>
      <c r="D3923" s="58" t="n">
        <f aca="false">-D3859</f>
        <v>-38774.2191780822</v>
      </c>
      <c r="E3923" s="58" t="n">
        <f aca="false">-E3859</f>
        <v>-77308.7093321918</v>
      </c>
      <c r="F3923" s="58" t="n">
        <f aca="false">-F3859</f>
        <v>-121350.136130137</v>
      </c>
      <c r="G3923" s="58" t="n">
        <f aca="false">-G3859</f>
        <v>-178001.429794521</v>
      </c>
      <c r="H3923" s="2" t="s">
        <v>1297</v>
      </c>
    </row>
    <row r="3924" customFormat="false" ht="15" hidden="false" customHeight="false" outlineLevel="1" collapsed="false">
      <c r="A3924" s="52" t="s">
        <v>641</v>
      </c>
      <c r="B3924" s="53" t="s">
        <v>10</v>
      </c>
      <c r="C3924" s="59" t="n">
        <f aca="false">C3920+C3922+C3923</f>
        <v>14117.5573972603</v>
      </c>
      <c r="D3924" s="59" t="n">
        <f aca="false">D3920+D3922+D3923</f>
        <v>86485.5662671233</v>
      </c>
      <c r="E3924" s="59" t="n">
        <f aca="false">E3920+E3922+E3923</f>
        <v>232248.226969178</v>
      </c>
      <c r="F3924" s="59" t="n">
        <f aca="false">F3920+F3922+F3923</f>
        <v>429217.534075342</v>
      </c>
      <c r="G3924" s="59" t="n">
        <f aca="false">G3920+G3922+G3923</f>
        <v>667830.183219178</v>
      </c>
      <c r="H3924" s="2" t="s">
        <v>1298</v>
      </c>
    </row>
    <row r="3925" customFormat="false" ht="15" hidden="false" customHeight="false" outlineLevel="1" collapsed="false">
      <c r="A3925" s="7" t="s">
        <v>251</v>
      </c>
      <c r="B3925" s="8" t="s">
        <v>10</v>
      </c>
      <c r="C3925" s="58" t="n">
        <f aca="false">-C3891</f>
        <v>-303573.09375</v>
      </c>
      <c r="D3925" s="58" t="n">
        <f aca="false">-D3891</f>
        <v>-477845.325</v>
      </c>
      <c r="E3925" s="58" t="n">
        <f aca="false">-E3891</f>
        <v>-563341.2153125</v>
      </c>
      <c r="F3925" s="58" t="n">
        <f aca="false">-F3891</f>
        <v>-697007.527174375</v>
      </c>
      <c r="G3925" s="58" t="n">
        <f aca="false">-G3891</f>
        <v>-768997.563445444</v>
      </c>
      <c r="H3925" s="2" t="s">
        <v>1299</v>
      </c>
    </row>
    <row r="3926" customFormat="false" ht="15" hidden="false" customHeight="false" outlineLevel="1" collapsed="false">
      <c r="A3926" s="7" t="s">
        <v>680</v>
      </c>
      <c r="B3926" s="8" t="s">
        <v>10</v>
      </c>
      <c r="C3926" s="58" t="n">
        <f aca="false">-C3907</f>
        <v>-298100</v>
      </c>
      <c r="D3926" s="58" t="n">
        <f aca="false">-D3907</f>
        <v>-293170.15</v>
      </c>
      <c r="E3926" s="58" t="n">
        <f aca="false">-E3907</f>
        <v>-374001.7</v>
      </c>
      <c r="F3926" s="58" t="n">
        <f aca="false">-F3907</f>
        <v>-407030.684</v>
      </c>
      <c r="G3926" s="58" t="n">
        <f aca="false">-G3907</f>
        <v>-458815.501272</v>
      </c>
      <c r="H3926" s="2" t="s">
        <v>1300</v>
      </c>
    </row>
    <row r="3927" customFormat="false" ht="15" hidden="false" customHeight="false" outlineLevel="1" collapsed="false">
      <c r="A3927" s="52" t="s">
        <v>681</v>
      </c>
      <c r="B3927" s="53" t="s">
        <v>10</v>
      </c>
      <c r="C3927" s="59" t="n">
        <f aca="false">C3924+C3925+C3926</f>
        <v>-587555.53635274</v>
      </c>
      <c r="D3927" s="59" t="n">
        <f aca="false">D3924+D3925+D3926</f>
        <v>-684529.908732877</v>
      </c>
      <c r="E3927" s="59" t="n">
        <f aca="false">E3924+E3925+E3926</f>
        <v>-705094.688343322</v>
      </c>
      <c r="F3927" s="59" t="n">
        <f aca="false">F3924+F3925+F3926</f>
        <v>-674820.677099032</v>
      </c>
      <c r="G3927" s="59" t="n">
        <f aca="false">G3924+G3925+G3926</f>
        <v>-559982.881498266</v>
      </c>
      <c r="H3927" s="2" t="s">
        <v>1301</v>
      </c>
    </row>
    <row r="3928" customFormat="false" ht="15" hidden="false" customHeight="false" outlineLevel="1" collapsed="false">
      <c r="A3928" s="2" t="s">
        <v>683</v>
      </c>
      <c r="B3928" s="8" t="s">
        <v>71</v>
      </c>
      <c r="C3928" s="55" t="n">
        <f aca="false">IF(C3918&gt;0,C3927/C3918,0)</f>
        <v>-2.13933193741704</v>
      </c>
      <c r="D3928" s="55" t="n">
        <f aca="false">IF(D3918&gt;0,D3927/D3918,0)</f>
        <v>-0.189488382608876</v>
      </c>
      <c r="E3928" s="55" t="n">
        <f aca="false">IF(E3918&gt;0,E3927/E3918,0)</f>
        <v>-0.0772444596148245</v>
      </c>
      <c r="F3928" s="55" t="n">
        <f aca="false">IF(F3918&gt;0,F3927/F3918,0)</f>
        <v>-0.0438961232219725</v>
      </c>
      <c r="G3928" s="55" t="n">
        <f aca="false">IF(G3918&gt;0,G3927/G3918,0)</f>
        <v>-0.0250617671278143</v>
      </c>
      <c r="H3928" s="2" t="s">
        <v>1302</v>
      </c>
    </row>
    <row r="3929" customFormat="false" ht="15" hidden="false" customHeight="false" outlineLevel="1" collapsed="false">
      <c r="A3929" s="2" t="s">
        <v>684</v>
      </c>
      <c r="B3929" s="8" t="s">
        <v>10</v>
      </c>
      <c r="C3929" s="58" t="n">
        <f aca="false">C3927+C3859</f>
        <v>-587555.53635274</v>
      </c>
      <c r="D3929" s="58" t="n">
        <f aca="false">D3927+D3859</f>
        <v>-645755.689554795</v>
      </c>
      <c r="E3929" s="58" t="n">
        <f aca="false">E3927+E3859</f>
        <v>-627785.97901113</v>
      </c>
      <c r="F3929" s="58" t="n">
        <f aca="false">F3927+F3859</f>
        <v>-553470.540968895</v>
      </c>
      <c r="G3929" s="58" t="n">
        <f aca="false">G3927+G3859</f>
        <v>-381981.451703745</v>
      </c>
      <c r="H3929" s="2" t="s">
        <v>1303</v>
      </c>
    </row>
    <row r="3930" customFormat="false" ht="15" hidden="false" customHeight="false" outlineLevel="1" collapsed="false">
      <c r="A3930" s="7" t="s">
        <v>672</v>
      </c>
      <c r="B3930" s="8" t="s">
        <v>10</v>
      </c>
      <c r="C3930" s="58" t="n">
        <f aca="false">-C3916</f>
        <v>-26350</v>
      </c>
      <c r="D3930" s="58" t="n">
        <f aca="false">-D3916</f>
        <v>-39750</v>
      </c>
      <c r="E3930" s="58" t="n">
        <f aca="false">-E3916</f>
        <v>-52650</v>
      </c>
      <c r="F3930" s="58" t="n">
        <f aca="false">-F3916</f>
        <v>-42966.6666666667</v>
      </c>
      <c r="G3930" s="58" t="n">
        <f aca="false">-G3916</f>
        <v>-39783.3333333333</v>
      </c>
      <c r="H3930" s="2" t="s">
        <v>1304</v>
      </c>
    </row>
    <row r="3931" customFormat="false" ht="15" hidden="false" customHeight="false" outlineLevel="1" collapsed="false">
      <c r="A3931" s="52" t="s">
        <v>685</v>
      </c>
      <c r="B3931" s="53" t="s">
        <v>10</v>
      </c>
      <c r="C3931" s="59" t="n">
        <f aca="false">C3927+C3930</f>
        <v>-613905.53635274</v>
      </c>
      <c r="D3931" s="59" t="n">
        <f aca="false">D3927+D3930</f>
        <v>-724279.908732877</v>
      </c>
      <c r="E3931" s="59" t="n">
        <f aca="false">E3927+E3930</f>
        <v>-757744.688343322</v>
      </c>
      <c r="F3931" s="59" t="n">
        <f aca="false">F3927+F3930</f>
        <v>-717787.343765699</v>
      </c>
      <c r="G3931" s="59" t="n">
        <f aca="false">G3927+G3930</f>
        <v>-599766.214831599</v>
      </c>
      <c r="H3931" s="2" t="s">
        <v>1305</v>
      </c>
    </row>
    <row r="3932" customFormat="false" ht="15" hidden="false" customHeight="false" outlineLevel="0" collapsed="false">
      <c r="A3932" s="3" t="s">
        <v>1306</v>
      </c>
      <c r="B3932" s="4"/>
      <c r="C3932" s="4"/>
      <c r="D3932" s="4"/>
      <c r="E3932" s="4"/>
      <c r="F3932" s="4"/>
      <c r="G3932" s="4"/>
      <c r="H3932" s="4"/>
    </row>
    <row r="3933" customFormat="false" ht="15" hidden="false" customHeight="false" outlineLevel="1" collapsed="false">
      <c r="A3933" s="7" t="s">
        <v>687</v>
      </c>
      <c r="B3933" s="8" t="s">
        <v>10</v>
      </c>
      <c r="C3933" s="58" t="n">
        <f aca="false">C3931</f>
        <v>-613905.53635274</v>
      </c>
      <c r="D3933" s="58" t="n">
        <f aca="false">D3931</f>
        <v>-724279.908732877</v>
      </c>
      <c r="E3933" s="58" t="n">
        <f aca="false">E3931</f>
        <v>-757744.688343322</v>
      </c>
      <c r="F3933" s="58" t="n">
        <f aca="false">F3931</f>
        <v>-717787.343765699</v>
      </c>
      <c r="G3933" s="58" t="n">
        <f aca="false">G3931</f>
        <v>-599766.214831599</v>
      </c>
      <c r="H3933" s="2" t="s">
        <v>1307</v>
      </c>
    </row>
    <row r="3934" customFormat="false" ht="15" hidden="false" customHeight="false" outlineLevel="1" collapsed="false">
      <c r="A3934" s="7" t="s">
        <v>688</v>
      </c>
      <c r="B3934" s="8" t="s">
        <v>10</v>
      </c>
      <c r="C3934" s="58" t="n">
        <f aca="false">0</f>
        <v>0</v>
      </c>
      <c r="D3934" s="58" t="n">
        <f aca="false">C3937</f>
        <v>613905.53635274</v>
      </c>
      <c r="E3934" s="58" t="n">
        <f aca="false">D3937</f>
        <v>1338185.44508562</v>
      </c>
      <c r="F3934" s="58" t="n">
        <f aca="false">E3937</f>
        <v>2095930.13342894</v>
      </c>
      <c r="G3934" s="58" t="n">
        <f aca="false">F3937</f>
        <v>2813717.47719464</v>
      </c>
      <c r="H3934" s="2" t="s">
        <v>1308</v>
      </c>
    </row>
    <row r="3935" customFormat="false" ht="15" hidden="false" customHeight="false" outlineLevel="1" collapsed="false">
      <c r="A3935" s="7" t="s">
        <v>689</v>
      </c>
      <c r="B3935" s="8" t="s">
        <v>10</v>
      </c>
      <c r="C3935" s="58" t="n">
        <f aca="false">MAX(0,-C3933)</f>
        <v>613905.53635274</v>
      </c>
      <c r="D3935" s="58" t="n">
        <f aca="false">MAX(0,-D3933)</f>
        <v>724279.908732877</v>
      </c>
      <c r="E3935" s="58" t="n">
        <f aca="false">MAX(0,-E3933)</f>
        <v>757744.688343322</v>
      </c>
      <c r="F3935" s="58" t="n">
        <f aca="false">MAX(0,-F3933)</f>
        <v>717787.343765699</v>
      </c>
      <c r="G3935" s="58" t="n">
        <f aca="false">MAX(0,-G3933)</f>
        <v>599766.214831599</v>
      </c>
      <c r="H3935" s="2" t="s">
        <v>1309</v>
      </c>
    </row>
    <row r="3936" customFormat="false" ht="15" hidden="false" customHeight="false" outlineLevel="1" collapsed="false">
      <c r="A3936" s="7" t="s">
        <v>690</v>
      </c>
      <c r="B3936" s="8" t="s">
        <v>10</v>
      </c>
      <c r="C3936" s="58" t="n">
        <f aca="false">MIN(C3934,Pressupostos!$C$179*MAX(0,C3933))</f>
        <v>0</v>
      </c>
      <c r="D3936" s="58" t="n">
        <f aca="false">MIN(D3934,Pressupostos!$C$179*MAX(0,D3933))</f>
        <v>0</v>
      </c>
      <c r="E3936" s="58" t="n">
        <f aca="false">MIN(E3934,Pressupostos!$C$179*MAX(0,E3933))</f>
        <v>0</v>
      </c>
      <c r="F3936" s="58" t="n">
        <f aca="false">MIN(F3934,Pressupostos!$C$179*MAX(0,F3933))</f>
        <v>0</v>
      </c>
      <c r="G3936" s="58" t="n">
        <f aca="false">MIN(G3934,Pressupostos!$C$179*MAX(0,G3933))</f>
        <v>0</v>
      </c>
      <c r="H3936" s="2" t="s">
        <v>1310</v>
      </c>
    </row>
    <row r="3937" customFormat="false" ht="15" hidden="false" customHeight="false" outlineLevel="1" collapsed="false">
      <c r="A3937" s="7" t="s">
        <v>691</v>
      </c>
      <c r="B3937" s="8" t="s">
        <v>10</v>
      </c>
      <c r="C3937" s="58" t="n">
        <f aca="false">C3934+C3935-C3936</f>
        <v>613905.53635274</v>
      </c>
      <c r="D3937" s="58" t="n">
        <f aca="false">D3934+D3935-D3936</f>
        <v>1338185.44508562</v>
      </c>
      <c r="E3937" s="58" t="n">
        <f aca="false">E3934+E3935-E3936</f>
        <v>2095930.13342894</v>
      </c>
      <c r="F3937" s="58" t="n">
        <f aca="false">F3934+F3935-F3936</f>
        <v>2813717.47719464</v>
      </c>
      <c r="G3937" s="58" t="n">
        <f aca="false">G3934+G3935-G3936</f>
        <v>3413483.69202624</v>
      </c>
      <c r="H3937" s="2" t="s">
        <v>1311</v>
      </c>
    </row>
    <row r="3938" customFormat="false" ht="15" hidden="false" customHeight="false" outlineLevel="1" collapsed="false">
      <c r="A3938" s="7" t="s">
        <v>692</v>
      </c>
      <c r="B3938" s="8" t="s">
        <v>10</v>
      </c>
      <c r="C3938" s="58" t="n">
        <f aca="false">MAX(0,C3933)-C3936</f>
        <v>0</v>
      </c>
      <c r="D3938" s="58" t="n">
        <f aca="false">MAX(0,D3933)-D3936</f>
        <v>0</v>
      </c>
      <c r="E3938" s="58" t="n">
        <f aca="false">MAX(0,E3933)-E3936</f>
        <v>0</v>
      </c>
      <c r="F3938" s="58" t="n">
        <f aca="false">MAX(0,F3933)-F3936</f>
        <v>0</v>
      </c>
      <c r="G3938" s="58" t="n">
        <f aca="false">MAX(0,G3933)-G3936</f>
        <v>0</v>
      </c>
      <c r="H3938" s="2" t="s">
        <v>1312</v>
      </c>
    </row>
    <row r="3939" customFormat="false" ht="15" hidden="false" customHeight="false" outlineLevel="1" collapsed="false">
      <c r="A3939" s="7" t="s">
        <v>693</v>
      </c>
      <c r="B3939" s="8" t="s">
        <v>10</v>
      </c>
      <c r="C3939" s="58" t="n">
        <f aca="false">Pressupostos!$C$170*MIN(C3938,Pressupostos!$C$171)+Pressupostos!$C$450*MAX(0,C3938-Pressupostos!$C$171)</f>
        <v>0</v>
      </c>
      <c r="D3939" s="58" t="n">
        <f aca="false">Pressupostos!$C$170*MIN(D3938,Pressupostos!$C$171)+Pressupostos!$D$450*MAX(0,D3938-Pressupostos!$C$171)</f>
        <v>0</v>
      </c>
      <c r="E3939" s="58" t="n">
        <f aca="false">Pressupostos!$C$170*MIN(E3938,Pressupostos!$C$171)+Pressupostos!$E$450*MAX(0,E3938-Pressupostos!$C$171)</f>
        <v>0</v>
      </c>
      <c r="F3939" s="58" t="n">
        <f aca="false">Pressupostos!$C$170*MIN(F3938,Pressupostos!$C$171)+Pressupostos!$F$450*MAX(0,F3938-Pressupostos!$C$171)</f>
        <v>0</v>
      </c>
      <c r="G3939" s="58" t="n">
        <f aca="false">Pressupostos!$C$170*MIN(G3938,Pressupostos!$C$171)+Pressupostos!$G$450*MAX(0,G3938-Pressupostos!$C$171)</f>
        <v>0</v>
      </c>
      <c r="H3939" s="2" t="s">
        <v>1313</v>
      </c>
    </row>
    <row r="3940" customFormat="false" ht="15" hidden="false" customHeight="false" outlineLevel="1" collapsed="false">
      <c r="A3940" s="7" t="s">
        <v>694</v>
      </c>
      <c r="B3940" s="8" t="s">
        <v>10</v>
      </c>
      <c r="C3940" s="58" t="n">
        <f aca="false">Pressupostos!$C$172*MAX(0,C3933)</f>
        <v>0</v>
      </c>
      <c r="D3940" s="58" t="n">
        <f aca="false">Pressupostos!$C$172*MAX(0,D3933)</f>
        <v>0</v>
      </c>
      <c r="E3940" s="58" t="n">
        <f aca="false">Pressupostos!$C$172*MAX(0,E3933)</f>
        <v>0</v>
      </c>
      <c r="F3940" s="58" t="n">
        <f aca="false">Pressupostos!$C$172*MAX(0,F3933)</f>
        <v>0</v>
      </c>
      <c r="G3940" s="58" t="n">
        <f aca="false">Pressupostos!$C$172*MAX(0,G3933)</f>
        <v>0</v>
      </c>
      <c r="H3940" s="2" t="s">
        <v>1314</v>
      </c>
    </row>
    <row r="3941" customFormat="false" ht="15" hidden="false" customHeight="false" outlineLevel="1" collapsed="false">
      <c r="A3941" s="7" t="s">
        <v>695</v>
      </c>
      <c r="B3941" s="8" t="s">
        <v>10</v>
      </c>
      <c r="C3941" s="58" t="n">
        <f aca="false">Pressupostos!$C$174*MAX(0,MIN(C3933,Pressupostos!$C$175)-Pressupostos!$C$173)+Pressupostos!$C$176*MAX(0,MIN(C3933,Pressupostos!$C$177)-Pressupostos!$C$175)+Pressupostos!$C$178*MAX(0,C3933-Pressupostos!$C$177)</f>
        <v>0</v>
      </c>
      <c r="D3941" s="58" t="n">
        <f aca="false">Pressupostos!$C$174*MAX(0,MIN(D3933,Pressupostos!$C$175)-Pressupostos!$C$173)+Pressupostos!$C$176*MAX(0,MIN(D3933,Pressupostos!$C$177)-Pressupostos!$C$175)+Pressupostos!$C$178*MAX(0,D3933-Pressupostos!$C$177)</f>
        <v>0</v>
      </c>
      <c r="E3941" s="58" t="n">
        <f aca="false">Pressupostos!$C$174*MAX(0,MIN(E3933,Pressupostos!$C$175)-Pressupostos!$C$173)+Pressupostos!$C$176*MAX(0,MIN(E3933,Pressupostos!$C$177)-Pressupostos!$C$175)+Pressupostos!$C$178*MAX(0,E3933-Pressupostos!$C$177)</f>
        <v>0</v>
      </c>
      <c r="F3941" s="58" t="n">
        <f aca="false">Pressupostos!$C$174*MAX(0,MIN(F3933,Pressupostos!$C$175)-Pressupostos!$C$173)+Pressupostos!$C$176*MAX(0,MIN(F3933,Pressupostos!$C$177)-Pressupostos!$C$175)+Pressupostos!$C$178*MAX(0,F3933-Pressupostos!$C$177)</f>
        <v>0</v>
      </c>
      <c r="G3941" s="58" t="n">
        <f aca="false">Pressupostos!$C$174*MAX(0,MIN(G3933,Pressupostos!$C$175)-Pressupostos!$C$173)+Pressupostos!$C$176*MAX(0,MIN(G3933,Pressupostos!$C$177)-Pressupostos!$C$175)+Pressupostos!$C$178*MAX(0,G3933-Pressupostos!$C$177)</f>
        <v>0</v>
      </c>
      <c r="H3941" s="2" t="s">
        <v>1315</v>
      </c>
    </row>
    <row r="3942" customFormat="false" ht="15" hidden="false" customHeight="false" outlineLevel="1" collapsed="false">
      <c r="A3942" s="7" t="s">
        <v>696</v>
      </c>
      <c r="B3942" s="8" t="s">
        <v>10</v>
      </c>
      <c r="C3942" s="58" t="n">
        <f aca="false">C3939+C3940+C3941</f>
        <v>0</v>
      </c>
      <c r="D3942" s="58" t="n">
        <f aca="false">D3939+D3940+D3941</f>
        <v>0</v>
      </c>
      <c r="E3942" s="58" t="n">
        <f aca="false">E3939+E3940+E3941</f>
        <v>0</v>
      </c>
      <c r="F3942" s="58" t="n">
        <f aca="false">F3939+F3940+F3941</f>
        <v>0</v>
      </c>
      <c r="G3942" s="58" t="n">
        <f aca="false">G3939+G3940+G3941</f>
        <v>0</v>
      </c>
      <c r="H3942" s="2" t="s">
        <v>1316</v>
      </c>
    </row>
    <row r="3943" customFormat="false" ht="15" hidden="false" customHeight="false" outlineLevel="0" collapsed="false">
      <c r="A3943" s="3" t="s">
        <v>1317</v>
      </c>
      <c r="B3943" s="4"/>
      <c r="C3943" s="4"/>
      <c r="D3943" s="4"/>
      <c r="E3943" s="4"/>
      <c r="F3943" s="4"/>
      <c r="G3943" s="4"/>
      <c r="H3943" s="4"/>
    </row>
    <row r="3944" customFormat="false" ht="15" hidden="false" customHeight="false" outlineLevel="1" collapsed="false">
      <c r="A3944" s="7" t="s">
        <v>696</v>
      </c>
      <c r="B3944" s="8" t="s">
        <v>10</v>
      </c>
      <c r="C3944" s="58" t="n">
        <f aca="false">-C3942</f>
        <v>-0</v>
      </c>
      <c r="D3944" s="58" t="n">
        <f aca="false">-D3942</f>
        <v>-0</v>
      </c>
      <c r="E3944" s="58" t="n">
        <f aca="false">-E3942</f>
        <v>-0</v>
      </c>
      <c r="F3944" s="58" t="n">
        <f aca="false">-F3942</f>
        <v>-0</v>
      </c>
      <c r="G3944" s="58" t="n">
        <f aca="false">-G3942</f>
        <v>-0</v>
      </c>
      <c r="H3944" s="2" t="s">
        <v>1318</v>
      </c>
    </row>
    <row r="3945" customFormat="false" ht="15" hidden="false" customHeight="false" outlineLevel="1" collapsed="false">
      <c r="A3945" s="52" t="s">
        <v>698</v>
      </c>
      <c r="B3945" s="53" t="s">
        <v>10</v>
      </c>
      <c r="C3945" s="59" t="n">
        <f aca="false">C3931+C3944</f>
        <v>-613905.53635274</v>
      </c>
      <c r="D3945" s="59" t="n">
        <f aca="false">D3931+D3944</f>
        <v>-724279.908732877</v>
      </c>
      <c r="E3945" s="59" t="n">
        <f aca="false">E3931+E3944</f>
        <v>-757744.688343322</v>
      </c>
      <c r="F3945" s="59" t="n">
        <f aca="false">F3931+F3944</f>
        <v>-717787.343765699</v>
      </c>
      <c r="G3945" s="59" t="n">
        <f aca="false">G3931+G3944</f>
        <v>-599766.214831599</v>
      </c>
      <c r="H3945" s="2" t="s">
        <v>1319</v>
      </c>
    </row>
    <row r="3946" customFormat="false" ht="15" hidden="false" customHeight="false" outlineLevel="0" collapsed="false">
      <c r="A3946" s="3" t="s">
        <v>1320</v>
      </c>
      <c r="B3946" s="4"/>
      <c r="C3946" s="4"/>
      <c r="D3946" s="4"/>
      <c r="E3946" s="4"/>
      <c r="F3946" s="4"/>
      <c r="G3946" s="4"/>
      <c r="H3946" s="4"/>
    </row>
    <row r="3947" customFormat="false" ht="15" hidden="false" customHeight="false" outlineLevel="1" collapsed="false">
      <c r="A3947" s="7" t="s">
        <v>702</v>
      </c>
      <c r="B3947" s="8" t="s">
        <v>10</v>
      </c>
      <c r="C3947" s="58" t="n">
        <f aca="false">C3731*1000*((C3747+C3750)*C3753/365)+C3732*1000*((C3770+C3773)*C3776/365)+C3733*1000*((C3793+C3796)*C3799/365)</f>
        <v>34293.698630137</v>
      </c>
      <c r="D3947" s="58" t="n">
        <f aca="false">D3731*1000*((D3747+D3750)*D3753/365)+D3732*1000*((D3770+D3773)*D3776/365)+D3733*1000*((D3793+D3796)*D3799/365)</f>
        <v>256442.465753425</v>
      </c>
      <c r="E3947" s="58" t="n">
        <f aca="false">E3731*1000*((E3747+E3750)*E3753/365)+E3732*1000*((E3770+E3773)*E3776/365)+E3733*1000*((E3793+E3796)*E3799/365)</f>
        <v>496886.301369863</v>
      </c>
      <c r="F3947" s="58" t="n">
        <f aca="false">F3731*1000*((F3747+F3750)*F3753/365)+F3732*1000*((F3770+F3773)*F3776/365)+F3733*1000*((F3793+F3796)*F3799/365)</f>
        <v>827687.671232877</v>
      </c>
      <c r="G3947" s="58" t="n">
        <f aca="false">G3731*1000*((G3747+G3750)*G3753/365)+G3732*1000*((G3770+G3773)*G3776/365)+G3733*1000*((G3793+G3796)*G3799/365)</f>
        <v>1205424.65753425</v>
      </c>
      <c r="H3947" s="2" t="s">
        <v>1321</v>
      </c>
    </row>
    <row r="3948" customFormat="false" ht="15" hidden="false" customHeight="false" outlineLevel="1" collapsed="false">
      <c r="A3948" s="7" t="s">
        <v>703</v>
      </c>
      <c r="B3948" s="8" t="s">
        <v>10</v>
      </c>
      <c r="C3948" s="58" t="n">
        <f aca="false">C3947+C3742*1000*Pressupostos!$C$90*Pressupostos!$C$93/365</f>
        <v>34293.698630137</v>
      </c>
      <c r="D3948" s="58" t="n">
        <f aca="false">D3947+D3742*1000*Pressupostos!$C$90*Pressupostos!$C$93/365</f>
        <v>256442.465753425</v>
      </c>
      <c r="E3948" s="58" t="n">
        <f aca="false">E3947+E3742*1000*Pressupostos!$C$90*Pressupostos!$C$93/365</f>
        <v>496886.301369863</v>
      </c>
      <c r="F3948" s="58" t="n">
        <f aca="false">F3947+F3742*1000*Pressupostos!$C$90*Pressupostos!$C$93/365</f>
        <v>844947.94520548</v>
      </c>
      <c r="G3948" s="58" t="n">
        <f aca="false">G3947+G3742*1000*Pressupostos!$C$90*Pressupostos!$C$93/365</f>
        <v>1248575.34246575</v>
      </c>
      <c r="H3948" s="2" t="s">
        <v>1322</v>
      </c>
    </row>
    <row r="3949" customFormat="false" ht="15" hidden="false" customHeight="false" outlineLevel="1" collapsed="false">
      <c r="A3949" s="7" t="s">
        <v>704</v>
      </c>
      <c r="B3949" s="8" t="s">
        <v>10</v>
      </c>
      <c r="C3949" s="58" t="n">
        <f aca="false">C3731*1000*(C3749*C3754/365)+C3732*1000*(C3772*C3777/365)+C3733*1000*(C3795*C3800/365)+C3820*Pressupostos!$C$94/365+C3822*Pressupostos!$C$80/365</f>
        <v>39012.5534246575</v>
      </c>
      <c r="D3949" s="58" t="n">
        <f aca="false">D3731*1000*(D3749*D3754/365)+D3732*1000*(D3772*D3777/365)+D3733*1000*(D3795*D3800/365)+D3820*Pressupostos!$C$94/365+D3822*Pressupostos!$C$80/365</f>
        <v>483949.130136986</v>
      </c>
      <c r="E3949" s="58" t="n">
        <f aca="false">E3731*1000*(E3749*E3754/365)+E3732*1000*(E3772*E3777/365)+E3733*1000*(E3795*E3800/365)+E3820*Pressupostos!$C$94/365+E3822*Pressupostos!$C$80/365</f>
        <v>1197223.47945205</v>
      </c>
      <c r="F3949" s="58" t="n">
        <f aca="false">F3731*1000*(F3749*F3754/365)+F3732*1000*(F3772*F3777/365)+F3733*1000*(F3795*F3800/365)+F3820*Pressupostos!$C$94/365+F3822*Pressupostos!$C$80/365</f>
        <v>2003683.38356164</v>
      </c>
      <c r="G3949" s="58" t="n">
        <f aca="false">G3731*1000*(G3749*G3754/365)+G3732*1000*(G3772*G3777/365)+G3733*1000*(G3795*G3800/365)+G3820*Pressupostos!$C$94/365+G3822*Pressupostos!$C$80/365</f>
        <v>2911142.60273973</v>
      </c>
      <c r="H3949" s="2" t="s">
        <v>1323</v>
      </c>
    </row>
    <row r="3950" customFormat="false" ht="15" hidden="false" customHeight="false" outlineLevel="1" collapsed="false">
      <c r="A3950" s="7" t="s">
        <v>705</v>
      </c>
      <c r="B3950" s="8" t="s">
        <v>10</v>
      </c>
      <c r="C3950" s="58" t="n">
        <f aca="false">C3731*1000*((C3747+C3750)*Pressupostos!$C$70/365)+C3732*1000*((C3770+C3773)*Pressupostos!$C$70/365)+C3733*1000*((C3793+C3796)*Pressupostos!$C$70/365)+C3742*1000*Pressupostos!$C$90*Pressupostos!$C$95/365</f>
        <v>20140.2739726027</v>
      </c>
      <c r="D3950" s="58" t="n">
        <f aca="false">D3731*1000*((D3747+D3750)*Pressupostos!$C$70/365)+D3732*1000*((D3770+D3773)*Pressupostos!$C$70/365)+D3733*1000*((D3793+D3796)*Pressupostos!$C$70/365)+D3742*1000*Pressupostos!$C$90*Pressupostos!$C$95/365</f>
        <v>275284.931506849</v>
      </c>
      <c r="E3950" s="58" t="n">
        <f aca="false">E3731*1000*((E3747+E3750)*Pressupostos!$C$70/365)+E3732*1000*((E3770+E3773)*Pressupostos!$C$70/365)+E3733*1000*((E3793+E3796)*Pressupostos!$C$70/365)+E3742*1000*Pressupostos!$C$90*Pressupostos!$C$95/365</f>
        <v>698486.301369863</v>
      </c>
      <c r="F3950" s="58" t="n">
        <f aca="false">F3731*1000*((F3747+F3750)*Pressupostos!$C$70/365)+F3732*1000*((F3770+F3773)*Pressupostos!$C$70/365)+F3733*1000*((F3793+F3796)*Pressupostos!$C$70/365)+F3742*1000*Pressupostos!$C$90*Pressupostos!$C$95/365</f>
        <v>1174015.06849315</v>
      </c>
      <c r="G3950" s="58" t="n">
        <f aca="false">G3731*1000*((G3747+G3750)*Pressupostos!$C$70/365)+G3732*1000*((G3770+G3773)*Pressupostos!$C$70/365)+G3733*1000*((G3793+G3796)*Pressupostos!$C$70/365)+G3742*1000*Pressupostos!$C$90*Pressupostos!$C$95/365</f>
        <v>1702232.87671233</v>
      </c>
      <c r="H3950" s="2" t="s">
        <v>1324</v>
      </c>
    </row>
    <row r="3951" customFormat="false" ht="15" hidden="false" customHeight="false" outlineLevel="1" collapsed="false">
      <c r="A3951" s="52" t="s">
        <v>706</v>
      </c>
      <c r="B3951" s="53" t="s">
        <v>10</v>
      </c>
      <c r="C3951" s="59" t="n">
        <f aca="false">C3948+C3949-C3950</f>
        <v>53165.9780821918</v>
      </c>
      <c r="D3951" s="59" t="n">
        <f aca="false">D3948+D3949-D3950</f>
        <v>465106.664383562</v>
      </c>
      <c r="E3951" s="59" t="n">
        <f aca="false">E3948+E3949-E3950</f>
        <v>995623.479452055</v>
      </c>
      <c r="F3951" s="59" t="n">
        <f aca="false">F3948+F3949-F3950</f>
        <v>1674616.26027397</v>
      </c>
      <c r="G3951" s="59" t="n">
        <f aca="false">G3948+G3949-G3950</f>
        <v>2457485.06849315</v>
      </c>
      <c r="H3951" s="2" t="s">
        <v>1325</v>
      </c>
    </row>
    <row r="3952" customFormat="false" ht="15" hidden="false" customHeight="false" outlineLevel="0" collapsed="false">
      <c r="A3952" s="3" t="s">
        <v>1326</v>
      </c>
      <c r="B3952" s="4"/>
      <c r="C3952" s="4"/>
      <c r="D3952" s="4"/>
      <c r="E3952" s="4"/>
      <c r="F3952" s="4"/>
      <c r="G3952" s="4"/>
      <c r="H3952" s="4"/>
    </row>
    <row r="3953" customFormat="false" ht="15" hidden="false" customHeight="false" outlineLevel="1" collapsed="false">
      <c r="A3953" s="52" t="s">
        <v>708</v>
      </c>
      <c r="B3953" s="53" t="s">
        <v>10</v>
      </c>
      <c r="C3953" s="59" t="n">
        <f aca="false">Pressupostos!$C$279*C3951/Pressupostos!$F$31</f>
        <v>0</v>
      </c>
      <c r="D3953" s="59" t="n">
        <f aca="false">Pressupostos!$D$279*D3951/Pressupostos!$F$31</f>
        <v>523244.997431507</v>
      </c>
      <c r="E3953" s="59" t="n">
        <f aca="false">Pressupostos!$E$279*E3951/Pressupostos!$F$31</f>
        <v>1120076.41438356</v>
      </c>
      <c r="F3953" s="59" t="n">
        <f aca="false">Pressupostos!$F$279*F3951/Pressupostos!$F$31</f>
        <v>1883943.29280822</v>
      </c>
      <c r="G3953" s="59" t="n">
        <f aca="false">Pressupostos!$G$279*G3951/Pressupostos!$F$31</f>
        <v>2764670.70205479</v>
      </c>
      <c r="H3953" s="2" t="s">
        <v>1327</v>
      </c>
    </row>
    <row r="3954" customFormat="false" ht="15" hidden="false" customHeight="false" outlineLevel="1" collapsed="false">
      <c r="A3954" s="7" t="s">
        <v>709</v>
      </c>
      <c r="B3954" s="8" t="s">
        <v>10</v>
      </c>
      <c r="C3954" s="58" t="n">
        <f aca="false">Pressupostos!$C$279*C3951</f>
        <v>0</v>
      </c>
      <c r="D3954" s="58" t="n">
        <f aca="false">Pressupostos!$D$279*D3951</f>
        <v>418595.997945205</v>
      </c>
      <c r="E3954" s="58" t="n">
        <f aca="false">Pressupostos!$E$279*E3951</f>
        <v>896061.131506849</v>
      </c>
      <c r="F3954" s="58" t="n">
        <f aca="false">Pressupostos!$F$279*F3951</f>
        <v>1507154.63424658</v>
      </c>
      <c r="G3954" s="58" t="n">
        <f aca="false">Pressupostos!$G$279*G3951</f>
        <v>2211736.56164384</v>
      </c>
      <c r="H3954" s="2" t="s">
        <v>1328</v>
      </c>
    </row>
    <row r="3955" customFormat="false" ht="15" hidden="false" customHeight="false" outlineLevel="1" collapsed="false">
      <c r="A3955" s="7" t="s">
        <v>710</v>
      </c>
      <c r="B3955" s="8" t="s">
        <v>10</v>
      </c>
      <c r="C3955" s="58" t="n">
        <f aca="false">C3953-C3954</f>
        <v>0</v>
      </c>
      <c r="D3955" s="58" t="n">
        <f aca="false">D3953-D3954</f>
        <v>104648.999486301</v>
      </c>
      <c r="E3955" s="58" t="n">
        <f aca="false">E3953-E3954</f>
        <v>224015.282876712</v>
      </c>
      <c r="F3955" s="58" t="n">
        <f aca="false">F3953-F3954</f>
        <v>376788.658561644</v>
      </c>
      <c r="G3955" s="58" t="n">
        <f aca="false">G3953-G3954</f>
        <v>552934.140410959</v>
      </c>
      <c r="H3955" s="2" t="s">
        <v>1329</v>
      </c>
    </row>
    <row r="3956" customFormat="false" ht="15" hidden="false" customHeight="false" outlineLevel="1" collapsed="false">
      <c r="A3956" s="7" t="s">
        <v>711</v>
      </c>
      <c r="B3956" s="8" t="s">
        <v>10</v>
      </c>
      <c r="C3956" s="58" t="n">
        <f aca="false">C3951-C3954</f>
        <v>53165.9780821918</v>
      </c>
      <c r="D3956" s="58" t="n">
        <f aca="false">D3951-D3954</f>
        <v>46510.6664383562</v>
      </c>
      <c r="E3956" s="58" t="n">
        <f aca="false">E3951-E3954</f>
        <v>99562.3479452054</v>
      </c>
      <c r="F3956" s="58" t="n">
        <f aca="false">F3951-F3954</f>
        <v>167461.626027397</v>
      </c>
      <c r="G3956" s="58" t="n">
        <f aca="false">G3951-G3954</f>
        <v>245748.506849315</v>
      </c>
      <c r="H3956" s="2" t="s">
        <v>1330</v>
      </c>
    </row>
    <row r="3957" customFormat="false" ht="15" hidden="false" customHeight="false" outlineLevel="1" collapsed="false">
      <c r="A3957" s="7" t="s">
        <v>712</v>
      </c>
      <c r="B3957" s="8" t="s">
        <v>10</v>
      </c>
      <c r="C3957" s="58" t="n">
        <f aca="false">MAX(0,Pressupostos!$C$106-C3956)</f>
        <v>0</v>
      </c>
      <c r="D3957" s="58" t="n">
        <f aca="false">MAX(0,Pressupostos!$C$106-D3956)</f>
        <v>3489.33356164384</v>
      </c>
      <c r="E3957" s="58" t="n">
        <f aca="false">MAX(0,Pressupostos!$C$106-E3956)</f>
        <v>0</v>
      </c>
      <c r="F3957" s="58" t="n">
        <f aca="false">MAX(0,Pressupostos!$C$106-F3956)</f>
        <v>0</v>
      </c>
      <c r="G3957" s="58" t="n">
        <f aca="false">MAX(0,Pressupostos!$C$106-G3956)</f>
        <v>0</v>
      </c>
      <c r="H3957" s="2" t="s">
        <v>1331</v>
      </c>
    </row>
    <row r="3958" customFormat="false" ht="15" hidden="false" customHeight="false" outlineLevel="1" collapsed="false">
      <c r="A3958" s="7" t="s">
        <v>713</v>
      </c>
      <c r="B3958" s="8" t="s">
        <v>10</v>
      </c>
      <c r="C3958" s="58" t="n">
        <f aca="false">Pressupostos!$C$107*C3953</f>
        <v>0</v>
      </c>
      <c r="D3958" s="58" t="n">
        <f aca="false">Pressupostos!$C$107*D3953</f>
        <v>26162.2498715753</v>
      </c>
      <c r="E3958" s="58" t="n">
        <f aca="false">Pressupostos!$C$107*E3953</f>
        <v>56003.8207191781</v>
      </c>
      <c r="F3958" s="58" t="n">
        <f aca="false">Pressupostos!$C$107*F3953</f>
        <v>94197.164640411</v>
      </c>
      <c r="G3958" s="58" t="n">
        <f aca="false">Pressupostos!$C$107*G3953</f>
        <v>138233.53510274</v>
      </c>
      <c r="H3958" s="2" t="s">
        <v>1332</v>
      </c>
    </row>
    <row r="3959" customFormat="false" ht="15" hidden="false" customHeight="false" outlineLevel="1" collapsed="false">
      <c r="A3959" s="2" t="s">
        <v>714</v>
      </c>
      <c r="B3959" s="8" t="s">
        <v>115</v>
      </c>
      <c r="C3959" s="58" t="n">
        <f aca="false">C3953/Pressupostos!$C$110</f>
        <v>0</v>
      </c>
      <c r="D3959" s="58" t="n">
        <f aca="false">D3953/Pressupostos!$C$110</f>
        <v>10.4648999486301</v>
      </c>
      <c r="E3959" s="58" t="n">
        <f aca="false">E3953/Pressupostos!$C$110</f>
        <v>22.4015282876712</v>
      </c>
      <c r="F3959" s="58" t="n">
        <f aca="false">F3953/Pressupostos!$C$110</f>
        <v>37.6788658561644</v>
      </c>
      <c r="G3959" s="58" t="n">
        <f aca="false">G3953/Pressupostos!$C$110</f>
        <v>55.2934140410959</v>
      </c>
      <c r="H3959" s="2" t="s">
        <v>1333</v>
      </c>
    </row>
    <row r="3960" customFormat="false" ht="15" hidden="false" customHeight="false" outlineLevel="0" collapsed="false">
      <c r="A3960" s="3" t="s">
        <v>1334</v>
      </c>
      <c r="B3960" s="4"/>
      <c r="C3960" s="4"/>
      <c r="D3960" s="4"/>
      <c r="E3960" s="4"/>
      <c r="F3960" s="4"/>
      <c r="G3960" s="4"/>
      <c r="H3960" s="4"/>
    </row>
    <row r="3961" customFormat="false" ht="15" hidden="false" customHeight="false" outlineLevel="1" collapsed="false">
      <c r="A3961" s="7" t="s">
        <v>681</v>
      </c>
      <c r="B3961" s="8" t="s">
        <v>10</v>
      </c>
      <c r="C3961" s="58" t="n">
        <f aca="false">C3927</f>
        <v>-587555.53635274</v>
      </c>
      <c r="D3961" s="58" t="n">
        <f aca="false">D3927</f>
        <v>-684529.908732877</v>
      </c>
      <c r="E3961" s="58" t="n">
        <f aca="false">E3927</f>
        <v>-705094.688343322</v>
      </c>
      <c r="F3961" s="58" t="n">
        <f aca="false">F3927</f>
        <v>-674820.677099032</v>
      </c>
      <c r="G3961" s="58" t="n">
        <f aca="false">G3927</f>
        <v>-559982.881498266</v>
      </c>
      <c r="H3961" s="2" t="s">
        <v>1335</v>
      </c>
    </row>
    <row r="3962" customFormat="false" ht="15" hidden="false" customHeight="false" outlineLevel="1" collapsed="false">
      <c r="A3962" s="7" t="s">
        <v>716</v>
      </c>
      <c r="B3962" s="8" t="s">
        <v>10</v>
      </c>
      <c r="C3962" s="58" t="n">
        <f aca="false">-C3942</f>
        <v>-0</v>
      </c>
      <c r="D3962" s="58" t="n">
        <f aca="false">-D3942</f>
        <v>-0</v>
      </c>
      <c r="E3962" s="58" t="n">
        <f aca="false">-E3942</f>
        <v>-0</v>
      </c>
      <c r="F3962" s="58" t="n">
        <f aca="false">-F3942</f>
        <v>-0</v>
      </c>
      <c r="G3962" s="58" t="n">
        <f aca="false">-G3942</f>
        <v>-0</v>
      </c>
      <c r="H3962" s="2" t="s">
        <v>1336</v>
      </c>
    </row>
    <row r="3963" customFormat="false" ht="15" hidden="false" customHeight="false" outlineLevel="1" collapsed="false">
      <c r="A3963" s="7" t="s">
        <v>717</v>
      </c>
      <c r="B3963" s="8" t="s">
        <v>10</v>
      </c>
      <c r="C3963" s="58" t="n">
        <f aca="false">-C3951</f>
        <v>-53165.9780821918</v>
      </c>
      <c r="D3963" s="58" t="n">
        <f aca="false">-(D3951-C3951)</f>
        <v>-411940.68630137</v>
      </c>
      <c r="E3963" s="58" t="n">
        <f aca="false">-(E3951-D3951)</f>
        <v>-530516.815068493</v>
      </c>
      <c r="F3963" s="58" t="n">
        <f aca="false">-(F3951-E3951)</f>
        <v>-678992.780821918</v>
      </c>
      <c r="G3963" s="58" t="n">
        <f aca="false">-(G3951-F3951)</f>
        <v>-782868.808219178</v>
      </c>
      <c r="H3963" s="2" t="s">
        <v>1337</v>
      </c>
    </row>
    <row r="3964" customFormat="false" ht="15" hidden="false" customHeight="false" outlineLevel="1" collapsed="false">
      <c r="A3964" s="7" t="s">
        <v>407</v>
      </c>
      <c r="B3964" s="8" t="s">
        <v>10</v>
      </c>
      <c r="C3964" s="58" t="n">
        <f aca="false">-C3912</f>
        <v>-89000</v>
      </c>
      <c r="D3964" s="58" t="n">
        <f aca="false">-D3912</f>
        <v>-46000</v>
      </c>
      <c r="E3964" s="58" t="n">
        <f aca="false">-E3912</f>
        <v>-44000</v>
      </c>
      <c r="F3964" s="58" t="n">
        <f aca="false">-F3912</f>
        <v>-37000</v>
      </c>
      <c r="G3964" s="58" t="n">
        <f aca="false">-G3912</f>
        <v>-34000</v>
      </c>
      <c r="H3964" s="2" t="s">
        <v>1338</v>
      </c>
    </row>
    <row r="3965" customFormat="false" ht="15" hidden="false" customHeight="false" outlineLevel="1" collapsed="false">
      <c r="A3965" s="7" t="s">
        <v>718</v>
      </c>
      <c r="B3965" s="8" t="s">
        <v>10</v>
      </c>
      <c r="C3965" s="58" t="n">
        <f aca="false">C3961+C3962+C3963+C3964</f>
        <v>-729721.514434932</v>
      </c>
      <c r="D3965" s="58" t="n">
        <f aca="false">D3961+D3962+D3963+D3964</f>
        <v>-1142470.59503425</v>
      </c>
      <c r="E3965" s="58" t="n">
        <f aca="false">E3961+E3962+E3963+E3964</f>
        <v>-1279611.50341182</v>
      </c>
      <c r="F3965" s="58" t="n">
        <f aca="false">F3961+F3962+F3963+F3964</f>
        <v>-1390813.45792095</v>
      </c>
      <c r="G3965" s="58" t="n">
        <f aca="false">G3961+G3962+G3963+G3964</f>
        <v>-1376851.68971744</v>
      </c>
      <c r="H3965" s="2" t="s">
        <v>1339</v>
      </c>
    </row>
    <row r="3966" customFormat="false" ht="15" hidden="false" customHeight="false" outlineLevel="1" collapsed="false">
      <c r="A3966" s="7" t="s">
        <v>719</v>
      </c>
      <c r="B3966" s="8" t="s">
        <v>10</v>
      </c>
      <c r="C3966" s="58" t="n">
        <f aca="false">C3953</f>
        <v>0</v>
      </c>
      <c r="D3966" s="58" t="n">
        <f aca="false">D3953-C3953</f>
        <v>523244.997431507</v>
      </c>
      <c r="E3966" s="58" t="n">
        <f aca="false">E3953-D3953</f>
        <v>596831.416952055</v>
      </c>
      <c r="F3966" s="58" t="n">
        <f aca="false">F3953-E3953</f>
        <v>763866.878424658</v>
      </c>
      <c r="G3966" s="58" t="n">
        <f aca="false">G3953-F3953</f>
        <v>880727.409246575</v>
      </c>
      <c r="H3966" s="2" t="s">
        <v>1340</v>
      </c>
    </row>
    <row r="3967" customFormat="false" ht="15" hidden="false" customHeight="false" outlineLevel="1" collapsed="false">
      <c r="A3967" s="7" t="s">
        <v>720</v>
      </c>
      <c r="B3967" s="8" t="s">
        <v>10</v>
      </c>
      <c r="C3967" s="58" t="n">
        <f aca="false">-C3955</f>
        <v>-0</v>
      </c>
      <c r="D3967" s="58" t="n">
        <f aca="false">-(D3955-C3955)</f>
        <v>-104648.999486301</v>
      </c>
      <c r="E3967" s="58" t="n">
        <f aca="false">-(E3955-D3955)</f>
        <v>-119366.283390411</v>
      </c>
      <c r="F3967" s="58" t="n">
        <f aca="false">-(F3955-E3955)</f>
        <v>-152773.375684932</v>
      </c>
      <c r="G3967" s="58" t="n">
        <f aca="false">-(G3955-F3955)</f>
        <v>-176145.481849315</v>
      </c>
      <c r="H3967" s="2" t="s">
        <v>1341</v>
      </c>
    </row>
    <row r="3968" customFormat="false" ht="15" hidden="false" customHeight="false" outlineLevel="1" collapsed="false">
      <c r="A3968" s="7" t="s">
        <v>721</v>
      </c>
      <c r="B3968" s="8" t="s">
        <v>10</v>
      </c>
      <c r="C3968" s="58" t="n">
        <f aca="false">-C3958</f>
        <v>-0</v>
      </c>
      <c r="D3968" s="58" t="n">
        <f aca="false">-(D3958-C3958)</f>
        <v>-26162.2498715753</v>
      </c>
      <c r="E3968" s="58" t="n">
        <f aca="false">-(E3958-D3958)</f>
        <v>-29841.5708476027</v>
      </c>
      <c r="F3968" s="58" t="n">
        <f aca="false">-(F3958-E3958)</f>
        <v>-38193.3439212329</v>
      </c>
      <c r="G3968" s="58" t="n">
        <f aca="false">-(G3958-F3958)</f>
        <v>-44036.3704623287</v>
      </c>
      <c r="H3968" s="2" t="s">
        <v>1342</v>
      </c>
    </row>
    <row r="3969" customFormat="false" ht="15" hidden="false" customHeight="false" outlineLevel="1" collapsed="false">
      <c r="A3969" s="7" t="s">
        <v>722</v>
      </c>
      <c r="B3969" s="8" t="s">
        <v>10</v>
      </c>
      <c r="C3969" s="58" t="n">
        <f aca="false">-(C3957-Pressupostos!$C$106)</f>
        <v>50000</v>
      </c>
      <c r="D3969" s="58" t="n">
        <f aca="false">-(D3957-C3957)</f>
        <v>-3489.33356164384</v>
      </c>
      <c r="E3969" s="58" t="n">
        <f aca="false">-(E3957-D3957)</f>
        <v>3489.33356164384</v>
      </c>
      <c r="F3969" s="58" t="n">
        <f aca="false">-(F3957-E3957)</f>
        <v>-0</v>
      </c>
      <c r="G3969" s="58" t="n">
        <f aca="false">-(G3957-F3957)</f>
        <v>-0</v>
      </c>
      <c r="H3969" s="2" t="s">
        <v>1343</v>
      </c>
    </row>
    <row r="3970" customFormat="false" ht="15" hidden="false" customHeight="false" outlineLevel="1" collapsed="false">
      <c r="A3970" s="52" t="s">
        <v>723</v>
      </c>
      <c r="B3970" s="53" t="s">
        <v>10</v>
      </c>
      <c r="C3970" s="59" t="n">
        <f aca="false">C3965+C3966+C3967+C3968+C3969</f>
        <v>-679721.514434932</v>
      </c>
      <c r="D3970" s="59" t="n">
        <f aca="false">D3965+D3966+D3967+D3968+D3969</f>
        <v>-753526.18052226</v>
      </c>
      <c r="E3970" s="59" t="n">
        <f aca="false">E3965+E3966+E3967+E3968+E3969</f>
        <v>-828498.60713613</v>
      </c>
      <c r="F3970" s="59" t="n">
        <f aca="false">F3965+F3966+F3967+F3968+F3969</f>
        <v>-817913.299102457</v>
      </c>
      <c r="G3970" s="59" t="n">
        <f aca="false">G3965+G3966+G3967+G3968+G3969</f>
        <v>-716306.132782513</v>
      </c>
      <c r="H3970" s="2" t="s">
        <v>1344</v>
      </c>
    </row>
    <row r="3971" customFormat="false" ht="15" hidden="false" customHeight="false" outlineLevel="1" collapsed="false">
      <c r="A3971" s="52" t="s">
        <v>724</v>
      </c>
      <c r="B3971" s="53" t="s">
        <v>10</v>
      </c>
      <c r="C3971" s="59" t="n">
        <f aca="false">C3970</f>
        <v>-679721.514434932</v>
      </c>
      <c r="D3971" s="59" t="n">
        <f aca="false">C3971+D3970</f>
        <v>-1433247.69495719</v>
      </c>
      <c r="E3971" s="59" t="n">
        <f aca="false">D3971+E3970</f>
        <v>-2261746.30209332</v>
      </c>
      <c r="F3971" s="59" t="n">
        <f aca="false">E3971+F3970</f>
        <v>-3079659.60119578</v>
      </c>
      <c r="G3971" s="59" t="n">
        <f aca="false">F3971+G3970</f>
        <v>-3795965.73397829</v>
      </c>
      <c r="H3971" s="2" t="s">
        <v>1345</v>
      </c>
    </row>
    <row r="3972" customFormat="false" ht="15" hidden="false" customHeight="false" outlineLevel="1" collapsed="false">
      <c r="A3972" s="8" t="s">
        <v>725</v>
      </c>
      <c r="B3972" s="8" t="s">
        <v>10</v>
      </c>
      <c r="C3972" s="66" t="n">
        <f aca="false">ROUND(C3927-C3912-C3942-(MAX(C3956,Pressupostos!$C$106)-Pressupostos!$C$106)-(C3958)-C3970,6)</f>
        <v>0</v>
      </c>
      <c r="D3972" s="66" t="n">
        <f aca="false">ROUND(D3927-D3912-D3942-(MAX(D3956,Pressupostos!$C$106)-MAX(C3956,Pressupostos!$C$106))-(D3958-C3958)-D3970,6)</f>
        <v>0</v>
      </c>
      <c r="E3972" s="66" t="n">
        <f aca="false">ROUND(E3927-E3912-E3942-(MAX(E3956,Pressupostos!$C$106)-MAX(D3956,Pressupostos!$C$106))-(E3958-D3958)-E3970,6)</f>
        <v>0</v>
      </c>
      <c r="F3972" s="66" t="n">
        <f aca="false">ROUND(F3927-F3912-F3942-(MAX(F3956,Pressupostos!$C$106)-MAX(E3956,Pressupostos!$C$106))-(F3958-E3958)-F3970,6)</f>
        <v>0</v>
      </c>
      <c r="G3972" s="66" t="n">
        <f aca="false">ROUND(G3927-G3912-G3942-(MAX(G3956,Pressupostos!$C$106)-MAX(F3956,Pressupostos!$C$106))-(G3958-F3958)-G3970,6)</f>
        <v>0</v>
      </c>
      <c r="H3972" s="2" t="s">
        <v>1346</v>
      </c>
    </row>
    <row r="3973" customFormat="false" ht="15" hidden="false" customHeight="false" outlineLevel="0" collapsed="false">
      <c r="A3973" s="3" t="s">
        <v>1347</v>
      </c>
      <c r="B3973" s="4"/>
      <c r="C3973" s="4"/>
      <c r="D3973" s="4"/>
      <c r="E3973" s="4"/>
      <c r="F3973" s="4"/>
      <c r="G3973" s="4"/>
      <c r="H3973" s="4"/>
    </row>
    <row r="3974" customFormat="false" ht="15" hidden="false" customHeight="false" outlineLevel="1" collapsed="false">
      <c r="A3974" s="7" t="s">
        <v>727</v>
      </c>
      <c r="B3974" s="8" t="s">
        <v>10</v>
      </c>
      <c r="C3974" s="58" t="n">
        <f aca="false">0</f>
        <v>0</v>
      </c>
      <c r="D3974" s="58" t="n">
        <f aca="false">C3979</f>
        <v>275278.485565069</v>
      </c>
      <c r="E3974" s="58" t="n">
        <f aca="false">D3979</f>
        <v>150000</v>
      </c>
      <c r="F3974" s="58" t="n">
        <f aca="false">E3979</f>
        <v>150000</v>
      </c>
      <c r="G3974" s="58" t="n">
        <f aca="false">F3979</f>
        <v>150000</v>
      </c>
      <c r="H3974" s="2" t="s">
        <v>1348</v>
      </c>
    </row>
    <row r="3975" customFormat="false" ht="15" hidden="false" customHeight="false" outlineLevel="1" collapsed="false">
      <c r="A3975" s="7" t="s">
        <v>728</v>
      </c>
      <c r="B3975" s="8" t="s">
        <v>10</v>
      </c>
      <c r="C3975" s="58" t="n">
        <f aca="false">-(Pressupostos!$C$157+Pressupostos!$C$158+Pressupostos!$C$159+Pressupostos!$C$160+Pressupostos!$C$161+Pressupostos!$C$106)</f>
        <v>-145000</v>
      </c>
      <c r="D3975" s="58" t="n">
        <f aca="false">0</f>
        <v>0</v>
      </c>
      <c r="E3975" s="58" t="n">
        <f aca="false">0</f>
        <v>0</v>
      </c>
      <c r="F3975" s="58" t="n">
        <f aca="false">0</f>
        <v>0</v>
      </c>
      <c r="G3975" s="58" t="n">
        <f aca="false">0</f>
        <v>0</v>
      </c>
      <c r="H3975" s="2" t="s">
        <v>1349</v>
      </c>
    </row>
    <row r="3976" customFormat="false" ht="15" hidden="false" customHeight="false" outlineLevel="1" collapsed="false">
      <c r="A3976" s="7" t="s">
        <v>729</v>
      </c>
      <c r="B3976" s="8" t="s">
        <v>10</v>
      </c>
      <c r="C3976" s="50" t="n">
        <f aca="false">Pressupostos!$F$32</f>
        <v>1100000</v>
      </c>
      <c r="D3976" s="58" t="n">
        <f aca="false">0</f>
        <v>0</v>
      </c>
      <c r="E3976" s="58" t="n">
        <f aca="false">0</f>
        <v>0</v>
      </c>
      <c r="F3976" s="58" t="n">
        <f aca="false">0</f>
        <v>0</v>
      </c>
      <c r="G3976" s="58" t="n">
        <f aca="false">0</f>
        <v>0</v>
      </c>
      <c r="H3976" s="2" t="s">
        <v>1350</v>
      </c>
    </row>
    <row r="3977" customFormat="false" ht="15" hidden="false" customHeight="false" outlineLevel="1" collapsed="false">
      <c r="A3977" s="7" t="s">
        <v>730</v>
      </c>
      <c r="B3977" s="8" t="s">
        <v>10</v>
      </c>
      <c r="C3977" s="58" t="n">
        <f aca="false">C3974+C3975+C3976+C3970</f>
        <v>275278.485565069</v>
      </c>
      <c r="D3977" s="58" t="n">
        <f aca="false">D3974+D3975+D3976+D3970</f>
        <v>-478247.694957192</v>
      </c>
      <c r="E3977" s="58" t="n">
        <f aca="false">E3974+E3975+E3976+E3970</f>
        <v>-678498.60713613</v>
      </c>
      <c r="F3977" s="58" t="n">
        <f aca="false">F3974+F3975+F3976+F3970</f>
        <v>-667913.299102457</v>
      </c>
      <c r="G3977" s="58" t="n">
        <f aca="false">G3974+G3975+G3976+G3970</f>
        <v>-566306.132782513</v>
      </c>
      <c r="H3977" s="2" t="s">
        <v>1351</v>
      </c>
    </row>
    <row r="3978" customFormat="false" ht="15" hidden="false" customHeight="false" outlineLevel="1" collapsed="false">
      <c r="A3978" s="52" t="s">
        <v>731</v>
      </c>
      <c r="B3978" s="53" t="s">
        <v>10</v>
      </c>
      <c r="C3978" s="59" t="n">
        <f aca="false">MAX(0,Pressupostos!$C$168-C3977)</f>
        <v>0</v>
      </c>
      <c r="D3978" s="59" t="n">
        <f aca="false">MAX(0,Pressupostos!$C$168-D3977)</f>
        <v>628247.694957192</v>
      </c>
      <c r="E3978" s="59" t="n">
        <f aca="false">MAX(0,Pressupostos!$C$168-E3977)</f>
        <v>828498.60713613</v>
      </c>
      <c r="F3978" s="59" t="n">
        <f aca="false">MAX(0,Pressupostos!$C$168-F3977)</f>
        <v>817913.299102457</v>
      </c>
      <c r="G3978" s="59" t="n">
        <f aca="false">MAX(0,Pressupostos!$C$168-G3977)</f>
        <v>716306.132782513</v>
      </c>
      <c r="H3978" s="2" t="s">
        <v>1352</v>
      </c>
    </row>
    <row r="3979" customFormat="false" ht="15" hidden="false" customHeight="false" outlineLevel="1" collapsed="false">
      <c r="A3979" s="52" t="s">
        <v>732</v>
      </c>
      <c r="B3979" s="53" t="s">
        <v>10</v>
      </c>
      <c r="C3979" s="59" t="n">
        <f aca="false">C3977+C3978</f>
        <v>275278.485565069</v>
      </c>
      <c r="D3979" s="59" t="n">
        <f aca="false">D3977+D3978</f>
        <v>150000</v>
      </c>
      <c r="E3979" s="59" t="n">
        <f aca="false">E3977+E3978</f>
        <v>150000</v>
      </c>
      <c r="F3979" s="59" t="n">
        <f aca="false">F3977+F3978</f>
        <v>150000</v>
      </c>
      <c r="G3979" s="59" t="n">
        <f aca="false">G3977+G3978</f>
        <v>150000</v>
      </c>
      <c r="H3979" s="2" t="s">
        <v>1353</v>
      </c>
    </row>
    <row r="3980" customFormat="false" ht="15" hidden="false" customHeight="false" outlineLevel="1" collapsed="false">
      <c r="A3980" s="7" t="s">
        <v>733</v>
      </c>
      <c r="B3980" s="8" t="s">
        <v>10</v>
      </c>
      <c r="C3980" s="58" t="n">
        <f aca="false">C3955+C3958+C3957</f>
        <v>0</v>
      </c>
      <c r="D3980" s="58" t="n">
        <f aca="false">D3955+D3958+D3957</f>
        <v>134300.582919521</v>
      </c>
      <c r="E3980" s="58" t="n">
        <f aca="false">E3955+E3958+E3957</f>
        <v>280019.10359589</v>
      </c>
      <c r="F3980" s="58" t="n">
        <f aca="false">F3955+F3958+F3957</f>
        <v>470985.823202055</v>
      </c>
      <c r="G3980" s="58" t="n">
        <f aca="false">G3955+G3958+G3957</f>
        <v>691167.675513699</v>
      </c>
      <c r="H3980" s="2" t="s">
        <v>1354</v>
      </c>
    </row>
    <row r="3981" customFormat="false" ht="15" hidden="false" customHeight="false" outlineLevel="1" collapsed="false">
      <c r="A3981" s="7" t="s">
        <v>734</v>
      </c>
      <c r="B3981" s="8" t="s">
        <v>10</v>
      </c>
      <c r="C3981" s="58" t="n">
        <f aca="false">C3979+C3980</f>
        <v>275278.485565069</v>
      </c>
      <c r="D3981" s="58" t="n">
        <f aca="false">D3979+D3980</f>
        <v>284300.582919521</v>
      </c>
      <c r="E3981" s="58" t="n">
        <f aca="false">E3979+E3980</f>
        <v>430019.10359589</v>
      </c>
      <c r="F3981" s="58" t="n">
        <f aca="false">F3979+F3980</f>
        <v>620985.823202055</v>
      </c>
      <c r="G3981" s="58" t="n">
        <f aca="false">G3979+G3980</f>
        <v>841167.675513699</v>
      </c>
      <c r="H3981" s="2" t="s">
        <v>1355</v>
      </c>
    </row>
    <row r="3982" customFormat="false" ht="15" hidden="false" customHeight="false" outlineLevel="1" collapsed="false">
      <c r="A3982" s="7" t="s">
        <v>735</v>
      </c>
      <c r="B3982" s="8" t="s">
        <v>10</v>
      </c>
      <c r="C3982" s="58" t="n">
        <f aca="false">C3976+C3978</f>
        <v>1100000</v>
      </c>
      <c r="D3982" s="58" t="n">
        <f aca="false">C3982+D3976+D3978</f>
        <v>1728247.69495719</v>
      </c>
      <c r="E3982" s="58" t="n">
        <f aca="false">D3982+E3976+E3978</f>
        <v>2556746.30209332</v>
      </c>
      <c r="F3982" s="58" t="n">
        <f aca="false">E3982+F3976+F3978</f>
        <v>3374659.60119578</v>
      </c>
      <c r="G3982" s="58" t="n">
        <f aca="false">F3982+G3976+G3978</f>
        <v>4090965.73397829</v>
      </c>
      <c r="H3982" s="2" t="s">
        <v>1356</v>
      </c>
    </row>
    <row r="3983" customFormat="false" ht="15" hidden="false" customHeight="false" outlineLevel="0" collapsed="false">
      <c r="A3983" s="3" t="s">
        <v>1357</v>
      </c>
      <c r="B3983" s="4"/>
      <c r="C3983" s="4"/>
      <c r="D3983" s="4"/>
      <c r="E3983" s="4"/>
      <c r="F3983" s="4"/>
      <c r="G3983" s="4"/>
      <c r="H3983" s="4"/>
    </row>
    <row r="3984" customFormat="false" ht="15" hidden="false" customHeight="false" outlineLevel="1" collapsed="false">
      <c r="A3984" s="7" t="s">
        <v>739</v>
      </c>
      <c r="B3984" s="8" t="s">
        <v>10</v>
      </c>
      <c r="C3984" s="68" t="n">
        <f aca="false">Pressupostos!$C$157+Pressupostos!$C$158+Pressupostos!$C$159+Pressupostos!$C$160+Pressupostos!$C$161</f>
        <v>95000</v>
      </c>
      <c r="H3984" s="2" t="s">
        <v>1358</v>
      </c>
    </row>
    <row r="3985" customFormat="false" ht="15" hidden="false" customHeight="false" outlineLevel="1" collapsed="false">
      <c r="A3985" s="7" t="s">
        <v>740</v>
      </c>
      <c r="B3985" s="8" t="s">
        <v>10</v>
      </c>
      <c r="C3985" s="69" t="n">
        <f aca="false">Pressupostos!$C$106</f>
        <v>50000</v>
      </c>
      <c r="H3985" s="2" t="s">
        <v>1359</v>
      </c>
    </row>
    <row r="3986" customFormat="false" ht="15" hidden="false" customHeight="false" outlineLevel="1" collapsed="false">
      <c r="A3986" s="7" t="s">
        <v>312</v>
      </c>
      <c r="B3986" s="8" t="s">
        <v>10</v>
      </c>
      <c r="C3986" s="69" t="n">
        <f aca="false">Pressupostos!$C$168</f>
        <v>150000</v>
      </c>
      <c r="H3986" s="2" t="s">
        <v>1360</v>
      </c>
    </row>
    <row r="3987" customFormat="false" ht="15" hidden="false" customHeight="false" outlineLevel="1" collapsed="false">
      <c r="A3987" s="7" t="s">
        <v>741</v>
      </c>
      <c r="B3987" s="8" t="s">
        <v>10</v>
      </c>
      <c r="C3987" s="68" t="n">
        <f aca="false">MAX(0,-MIN($C$3971:$G$3971))</f>
        <v>3795965.73397829</v>
      </c>
      <c r="H3987" s="2" t="s">
        <v>1361</v>
      </c>
    </row>
    <row r="3988" customFormat="false" ht="15" hidden="false" customHeight="false" outlineLevel="1" collapsed="false">
      <c r="A3988" s="52" t="s">
        <v>14</v>
      </c>
      <c r="B3988" s="53" t="s">
        <v>10</v>
      </c>
      <c r="C3988" s="70" t="n">
        <f aca="false">C3984+C3985+C3986+C3987</f>
        <v>4090965.73397829</v>
      </c>
      <c r="H3988" s="2" t="s">
        <v>1362</v>
      </c>
    </row>
    <row r="3989" customFormat="false" ht="15" hidden="false" customHeight="false" outlineLevel="1" collapsed="false">
      <c r="A3989" s="7" t="s">
        <v>742</v>
      </c>
      <c r="B3989" s="8" t="s">
        <v>18</v>
      </c>
      <c r="C3989" s="71" t="n">
        <f aca="false">INDEX($C$3728:$G$3728,1,MATCH(MIN($C$3971:$G$3971),$C$3971:$G$3971,0))</f>
        <v>2031</v>
      </c>
      <c r="H3989" s="2" t="s">
        <v>1363</v>
      </c>
    </row>
    <row r="3990" customFormat="false" ht="15" hidden="false" customHeight="false" outlineLevel="1" collapsed="false">
      <c r="A3990" s="7" t="s">
        <v>743</v>
      </c>
      <c r="B3990" s="8"/>
      <c r="C3990" s="72" t="str">
        <f aca="false">IF(G3970&lt;0,"sim","não")</f>
        <v>sim</v>
      </c>
      <c r="H3990" s="2" t="s">
        <v>1364</v>
      </c>
    </row>
    <row r="3991" customFormat="false" ht="15" hidden="false" customHeight="false" outlineLevel="1" collapsed="false">
      <c r="A3991" s="7" t="s">
        <v>744</v>
      </c>
      <c r="B3991" s="8" t="s">
        <v>10</v>
      </c>
      <c r="C3991" s="68" t="n">
        <f aca="false">G3982</f>
        <v>4090965.73397829</v>
      </c>
      <c r="H3991" s="2" t="s">
        <v>1365</v>
      </c>
    </row>
    <row r="3992" customFormat="false" ht="15" hidden="false" customHeight="false" outlineLevel="0" collapsed="false">
      <c r="A3992" s="3" t="s">
        <v>1366</v>
      </c>
      <c r="B3992" s="4"/>
      <c r="C3992" s="4"/>
      <c r="D3992" s="4"/>
      <c r="E3992" s="4"/>
      <c r="F3992" s="4"/>
      <c r="G3992" s="4"/>
      <c r="H3992" s="4"/>
    </row>
    <row r="3993" customFormat="false" ht="15" hidden="false" customHeight="false" outlineLevel="1" collapsed="false">
      <c r="A3993" s="7" t="s">
        <v>746</v>
      </c>
      <c r="B3993" s="8" t="s">
        <v>10</v>
      </c>
      <c r="C3993" s="68" t="n">
        <f aca="false">C3984+C3985</f>
        <v>145000</v>
      </c>
      <c r="H3993" s="2" t="s">
        <v>1367</v>
      </c>
    </row>
    <row r="3994" customFormat="false" ht="15" hidden="false" customHeight="false" outlineLevel="1" collapsed="false">
      <c r="A3994" s="7" t="s">
        <v>747</v>
      </c>
      <c r="B3994" s="8" t="s">
        <v>10</v>
      </c>
      <c r="C3994" s="68" t="n">
        <f aca="false">-SUMPRODUCT(($C$3728:$G$3728&lt;=C3989)*$C$3927:$G$3927)</f>
        <v>3211983.69202624</v>
      </c>
      <c r="H3994" s="2" t="s">
        <v>1368</v>
      </c>
    </row>
    <row r="3995" customFormat="false" ht="15" hidden="false" customHeight="false" outlineLevel="1" collapsed="false">
      <c r="A3995" s="7" t="s">
        <v>407</v>
      </c>
      <c r="B3995" s="8" t="s">
        <v>10</v>
      </c>
      <c r="C3995" s="68" t="n">
        <f aca="false">SUMPRODUCT(($C$3728:$G$3728&lt;=C3989)*$C$3912:$G$3912)</f>
        <v>250000</v>
      </c>
      <c r="H3995" s="2" t="s">
        <v>1369</v>
      </c>
    </row>
    <row r="3996" customFormat="false" ht="15" hidden="false" customHeight="false" outlineLevel="1" collapsed="false">
      <c r="A3996" s="7" t="s">
        <v>748</v>
      </c>
      <c r="B3996" s="8" t="s">
        <v>10</v>
      </c>
      <c r="C3996" s="68" t="n">
        <f aca="false">SUMPRODUCT(($C$3728:$G$3728&lt;=C3989)*$C$3942:$G$3942)</f>
        <v>0</v>
      </c>
      <c r="H3996" s="2" t="s">
        <v>1370</v>
      </c>
    </row>
    <row r="3997" customFormat="false" ht="15" hidden="false" customHeight="false" outlineLevel="1" collapsed="false">
      <c r="A3997" s="7" t="s">
        <v>749</v>
      </c>
      <c r="B3997" s="8" t="s">
        <v>10</v>
      </c>
      <c r="C3997" s="68" t="n">
        <f aca="false">C3987-C3994-C3995-C3996</f>
        <v>333982.041952055</v>
      </c>
      <c r="H3997" s="2" t="s">
        <v>1371</v>
      </c>
    </row>
    <row r="3998" customFormat="false" ht="15" hidden="false" customHeight="false" outlineLevel="1" collapsed="false">
      <c r="A3998" s="7" t="s">
        <v>312</v>
      </c>
      <c r="B3998" s="8" t="s">
        <v>10</v>
      </c>
      <c r="C3998" s="68" t="n">
        <f aca="false">C3986</f>
        <v>150000</v>
      </c>
      <c r="H3998" s="2" t="s">
        <v>1372</v>
      </c>
    </row>
    <row r="3999" customFormat="false" ht="15" hidden="false" customHeight="false" outlineLevel="1" collapsed="false">
      <c r="A3999" s="52" t="s">
        <v>750</v>
      </c>
      <c r="B3999" s="53" t="s">
        <v>10</v>
      </c>
      <c r="C3999" s="70" t="n">
        <f aca="false">C3993+C3994+C3995+C3996+C3997+C3998</f>
        <v>4090965.73397829</v>
      </c>
      <c r="H3999" s="2" t="s">
        <v>1373</v>
      </c>
    </row>
    <row r="4000" customFormat="false" ht="15" hidden="false" customHeight="false" outlineLevel="0" collapsed="false">
      <c r="A4000" s="3" t="s">
        <v>1374</v>
      </c>
      <c r="B4000" s="4"/>
      <c r="C4000" s="4"/>
      <c r="D4000" s="4"/>
      <c r="E4000" s="4"/>
      <c r="F4000" s="4"/>
      <c r="G4000" s="4"/>
      <c r="H4000" s="4"/>
    </row>
    <row r="4001" customFormat="false" ht="15" hidden="false" customHeight="false" outlineLevel="1" collapsed="false">
      <c r="A4001" s="7" t="s">
        <v>729</v>
      </c>
      <c r="B4001" s="8" t="s">
        <v>10</v>
      </c>
      <c r="C4001" s="69" t="n">
        <f aca="false">Pressupostos!$F$32</f>
        <v>1100000</v>
      </c>
      <c r="H4001" s="2" t="s">
        <v>1375</v>
      </c>
    </row>
    <row r="4002" customFormat="false" ht="15" hidden="false" customHeight="false" outlineLevel="1" collapsed="false">
      <c r="A4002" s="7" t="s">
        <v>752</v>
      </c>
      <c r="B4002" s="8" t="s">
        <v>10</v>
      </c>
      <c r="C4002" s="68" t="n">
        <f aca="false">C3984+Pressupostos!$C$106+Pressupostos!$C$128/12*((C3888-C3876-C3877+(C3876+C3877)/Pressupostos!$C$126*Pressupostos!$C$127)*(1+Pressupostos!$C$122+Pressupostos!$C$123)+C3874*Pressupostos!$C$124+C3907)+C3912+MAX(0,Pressupostos!$C$181*1000*(C3747+C3750)+Pressupostos!$C$182*1000*(C3770+C3773)-Pressupostos!$C$106)</f>
        <v>652746.666666667</v>
      </c>
      <c r="H4002" s="2" t="s">
        <v>1376</v>
      </c>
    </row>
    <row r="4003" customFormat="false" ht="15" hidden="false" customHeight="false" outlineLevel="1" collapsed="false">
      <c r="A4003" s="7" t="s">
        <v>754</v>
      </c>
      <c r="B4003" s="8" t="s">
        <v>10</v>
      </c>
      <c r="C4003" s="68" t="n">
        <f aca="false">C3984+Pressupostos!$C$106-C3970</f>
        <v>824721.514434932</v>
      </c>
      <c r="H4003" s="2" t="s">
        <v>1377</v>
      </c>
    </row>
    <row r="4004" customFormat="false" ht="15" hidden="false" customHeight="false" outlineLevel="1" collapsed="false">
      <c r="A4004" s="7" t="s">
        <v>755</v>
      </c>
      <c r="B4004" s="8" t="s">
        <v>10</v>
      </c>
      <c r="C4004" s="58" t="n">
        <f aca="false">Pressupostos!$F$32-C3984-Pressupostos!$C$106+C3971</f>
        <v>275278.485565069</v>
      </c>
      <c r="D4004" s="58" t="n">
        <f aca="false">Pressupostos!$F$32-C3984-Pressupostos!$C$106+D3971</f>
        <v>-478247.694957192</v>
      </c>
      <c r="E4004" s="58" t="n">
        <f aca="false">Pressupostos!$F$32-C3984-Pressupostos!$C$106+E3971</f>
        <v>-1306746.30209332</v>
      </c>
      <c r="F4004" s="58" t="n">
        <f aca="false">Pressupostos!$F$32-C3984-Pressupostos!$C$106+F3971</f>
        <v>-2124659.60119578</v>
      </c>
      <c r="G4004" s="58" t="n">
        <f aca="false">Pressupostos!$F$32-C3984-Pressupostos!$C$106+G3971</f>
        <v>-2840965.73397829</v>
      </c>
      <c r="H4004" s="2" t="s">
        <v>1378</v>
      </c>
    </row>
    <row r="4005" customFormat="false" ht="15" hidden="false" customHeight="false" outlineLevel="1" collapsed="false">
      <c r="A4005" s="7" t="s">
        <v>756</v>
      </c>
      <c r="B4005" s="8" t="s">
        <v>16</v>
      </c>
      <c r="C4005" s="73" t="str">
        <f aca="false">IF(AND(Pressupostos!$F$32-C3984-Pressupostos!$C$106&gt;0,C4004&lt;=0),12*(Pressupostos!$F$32-C3984-Pressupostos!$C$106)/(Pressupostos!$F$32-C3984-Pressupostos!$C$106-C4004),"")</f>
        <v/>
      </c>
      <c r="D4005" s="73" t="n">
        <f aca="false">IF(AND(C4004&gt;0,D4004&lt;=0),12+12*C4004/(C4004-D4004),"")</f>
        <v>16.3838447981878</v>
      </c>
      <c r="E4005" s="73" t="str">
        <f aca="false">IF(AND(D4004&gt;0,E4004&lt;=0),24+12*D4004/(D4004-E4004),"")</f>
        <v/>
      </c>
      <c r="F4005" s="73" t="str">
        <f aca="false">IF(AND(E4004&gt;0,F4004&lt;=0),36+12*E4004/(E4004-F4004),"")</f>
        <v/>
      </c>
      <c r="G4005" s="73" t="str">
        <f aca="false">IF(AND(F4004&gt;0,G4004&lt;=0),48+12*F4004/(F4004-G4004),"")</f>
        <v/>
      </c>
      <c r="H4005" s="2" t="s">
        <v>1379</v>
      </c>
    </row>
    <row r="4006" customFormat="false" ht="15" hidden="false" customHeight="false" outlineLevel="1" collapsed="false">
      <c r="A4006" s="52" t="s">
        <v>757</v>
      </c>
      <c r="B4006" s="53" t="s">
        <v>264</v>
      </c>
      <c r="C4006" s="74" t="n">
        <f aca="false">IF(COUNT($C$4005:$G$4005)=0,"&gt; 60",MIN($C$4005:$G$4005))</f>
        <v>16.3838447981878</v>
      </c>
      <c r="H4006" s="2" t="s">
        <v>1380</v>
      </c>
    </row>
    <row r="4007" customFormat="false" ht="15" hidden="false" customHeight="false" outlineLevel="0" collapsed="false">
      <c r="A4007" s="3" t="s">
        <v>1381</v>
      </c>
      <c r="B4007" s="4"/>
      <c r="C4007" s="4"/>
      <c r="D4007" s="4"/>
      <c r="E4007" s="4"/>
      <c r="F4007" s="4"/>
      <c r="G4007" s="4"/>
      <c r="H4007" s="4"/>
    </row>
    <row r="4008" customFormat="false" ht="15" hidden="false" customHeight="false" outlineLevel="1" collapsed="false">
      <c r="A4008" s="7" t="s">
        <v>759</v>
      </c>
      <c r="B4008" s="8" t="s">
        <v>16</v>
      </c>
      <c r="C4008" s="73" t="str">
        <f aca="false">IF(C3927&gt;=0,1,"")</f>
        <v/>
      </c>
      <c r="D4008" s="73" t="str">
        <f aca="false">IF(AND(C3927&lt;0,D3927&gt;=0),6.5+12*(-C3927)/(D3927-C3927),"")</f>
        <v/>
      </c>
      <c r="E4008" s="73" t="str">
        <f aca="false">IF(AND(D3927&lt;0,E3927&gt;=0),18.5+12*(-D3927)/(E3927-D3927),"")</f>
        <v/>
      </c>
      <c r="F4008" s="73" t="str">
        <f aca="false">IF(AND(E3927&lt;0,F3927&gt;=0),30.5+12*(-E3927)/(F3927-E3927),"")</f>
        <v/>
      </c>
      <c r="G4008" s="73" t="str">
        <f aca="false">IF(AND(F3927&lt;0,G3927&gt;=0),42.5+12*(-F3927)/(G3927-F3927),"")</f>
        <v/>
      </c>
      <c r="H4008" s="2" t="s">
        <v>1382</v>
      </c>
    </row>
    <row r="4009" customFormat="false" ht="15" hidden="false" customHeight="false" outlineLevel="1" collapsed="false">
      <c r="A4009" s="7" t="s">
        <v>760</v>
      </c>
      <c r="B4009" s="8" t="s">
        <v>16</v>
      </c>
      <c r="C4009" s="75" t="str">
        <f aca="false">IF(COUNT($C$4008:$G$4008)=0,"não atinge até 2031",ROUNDUP(MIN($C$4008:$G$4008),0))</f>
        <v>não atinge até 2031</v>
      </c>
      <c r="H4009" s="2" t="s">
        <v>1383</v>
      </c>
    </row>
    <row r="4010" customFormat="false" ht="15" hidden="false" customHeight="false" outlineLevel="1" collapsed="false">
      <c r="A4010" s="52" t="s">
        <v>761</v>
      </c>
      <c r="B4010" s="53" t="s">
        <v>762</v>
      </c>
      <c r="C4010" s="76" t="str">
        <f aca="false">IF(ISNUMBER(C4009),DATE(2027,C4009,1),"não atinge até 2031")</f>
        <v>não atinge até 2031</v>
      </c>
      <c r="H4010" s="2" t="s">
        <v>1384</v>
      </c>
    </row>
    <row r="4011" customFormat="false" ht="15" hidden="false" customHeight="false" outlineLevel="1" collapsed="false">
      <c r="A4011" s="7" t="s">
        <v>763</v>
      </c>
      <c r="B4011" s="8" t="s">
        <v>18</v>
      </c>
      <c r="C4011" s="77" t="str">
        <f aca="false">IF(C3927&gt;=0,C3728,"")</f>
        <v/>
      </c>
      <c r="D4011" s="77" t="str">
        <f aca="false">IF(D3927&gt;=0,D3728,"")</f>
        <v/>
      </c>
      <c r="E4011" s="77" t="str">
        <f aca="false">IF(E3927&gt;=0,E3728,"")</f>
        <v/>
      </c>
      <c r="F4011" s="77" t="str">
        <f aca="false">IF(F3927&gt;=0,F3728,"")</f>
        <v/>
      </c>
      <c r="G4011" s="77" t="str">
        <f aca="false">IF(G3927&gt;=0,G3728,"")</f>
        <v/>
      </c>
      <c r="H4011" s="2" t="s">
        <v>1385</v>
      </c>
    </row>
    <row r="4012" customFormat="false" ht="15" hidden="false" customHeight="false" outlineLevel="1" collapsed="false">
      <c r="A4012" s="7" t="s">
        <v>764</v>
      </c>
      <c r="B4012" s="8" t="s">
        <v>18</v>
      </c>
      <c r="C4012" s="71" t="str">
        <f aca="false">IF(COUNT($C$4011:$G$4011)=0,"não atinge até 2031",MIN($C$4011:$G$4011))</f>
        <v>não atinge até 2031</v>
      </c>
      <c r="H4012" s="2" t="s">
        <v>1386</v>
      </c>
    </row>
    <row r="4013" customFormat="false" ht="15" hidden="false" customHeight="false" outlineLevel="1" collapsed="false">
      <c r="A4013" s="7" t="s">
        <v>765</v>
      </c>
      <c r="B4013" s="8" t="s">
        <v>18</v>
      </c>
      <c r="C4013" s="77" t="str">
        <f aca="false">IF(C3945&gt;=0,C3728,"")</f>
        <v/>
      </c>
      <c r="D4013" s="77" t="str">
        <f aca="false">IF(D3945&gt;=0,D3728,"")</f>
        <v/>
      </c>
      <c r="E4013" s="77" t="str">
        <f aca="false">IF(E3945&gt;=0,E3728,"")</f>
        <v/>
      </c>
      <c r="F4013" s="77" t="str">
        <f aca="false">IF(F3945&gt;=0,F3728,"")</f>
        <v/>
      </c>
      <c r="G4013" s="77" t="str">
        <f aca="false">IF(G3945&gt;=0,G3728,"")</f>
        <v/>
      </c>
      <c r="H4013" s="2" t="s">
        <v>1387</v>
      </c>
    </row>
    <row r="4014" customFormat="false" ht="15" hidden="false" customHeight="false" outlineLevel="1" collapsed="false">
      <c r="A4014" s="7" t="s">
        <v>766</v>
      </c>
      <c r="B4014" s="8" t="s">
        <v>18</v>
      </c>
      <c r="C4014" s="71" t="str">
        <f aca="false">IF(COUNT($C$4013:$G$4013)=0,"não atinge até 2031",MIN($C$4013:$G$4013))</f>
        <v>não atinge até 2031</v>
      </c>
      <c r="H4014" s="2" t="s">
        <v>1388</v>
      </c>
    </row>
    <row r="4015" customFormat="false" ht="15" hidden="false" customHeight="false" outlineLevel="1" collapsed="false">
      <c r="A4015" s="7" t="s">
        <v>767</v>
      </c>
      <c r="B4015" s="8" t="s">
        <v>18</v>
      </c>
      <c r="C4015" s="77" t="str">
        <f aca="false">IF(C3970&gt;=0,C3728,"")</f>
        <v/>
      </c>
      <c r="D4015" s="77" t="str">
        <f aca="false">IF(D3970&gt;=0,D3728,"")</f>
        <v/>
      </c>
      <c r="E4015" s="77" t="str">
        <f aca="false">IF(E3970&gt;=0,E3728,"")</f>
        <v/>
      </c>
      <c r="F4015" s="77" t="str">
        <f aca="false">IF(F3970&gt;=0,F3728,"")</f>
        <v/>
      </c>
      <c r="G4015" s="77" t="str">
        <f aca="false">IF(G3970&gt;=0,G3728,"")</f>
        <v/>
      </c>
      <c r="H4015" s="2" t="s">
        <v>1389</v>
      </c>
    </row>
    <row r="4016" customFormat="false" ht="15" hidden="false" customHeight="false" outlineLevel="1" collapsed="false">
      <c r="A4016" s="7" t="s">
        <v>17</v>
      </c>
      <c r="B4016" s="8" t="s">
        <v>18</v>
      </c>
      <c r="C4016" s="71" t="str">
        <f aca="false">IF(COUNT($C$4015:$G$4015)=0,"não atinge até 2031",MIN($C$4015:$G$4015))</f>
        <v>não atinge até 2031</v>
      </c>
      <c r="H4016" s="2" t="s">
        <v>1390</v>
      </c>
    </row>
    <row r="4017" customFormat="false" ht="15" hidden="false" customHeight="false" outlineLevel="0" collapsed="false">
      <c r="A4017" s="3" t="s">
        <v>1391</v>
      </c>
      <c r="B4017" s="4"/>
      <c r="C4017" s="4"/>
      <c r="D4017" s="4"/>
      <c r="E4017" s="4"/>
      <c r="F4017" s="4"/>
      <c r="G4017" s="4"/>
      <c r="H4017" s="4"/>
    </row>
    <row r="4018" customFormat="false" ht="15" hidden="false" customHeight="false" outlineLevel="1" collapsed="false">
      <c r="A4018" s="7" t="s">
        <v>769</v>
      </c>
      <c r="B4018" s="8" t="s">
        <v>10</v>
      </c>
      <c r="C4018" s="58" t="n">
        <f aca="false">C3953</f>
        <v>0</v>
      </c>
      <c r="D4018" s="58" t="n">
        <f aca="false">D3953</f>
        <v>523244.997431507</v>
      </c>
      <c r="E4018" s="58" t="n">
        <f aca="false">E3953</f>
        <v>1120076.41438356</v>
      </c>
      <c r="F4018" s="58" t="n">
        <f aca="false">F3953</f>
        <v>1883943.29280822</v>
      </c>
      <c r="G4018" s="58" t="n">
        <f aca="false">G3953</f>
        <v>2764670.70205479</v>
      </c>
      <c r="H4018" s="2" t="s">
        <v>1392</v>
      </c>
    </row>
    <row r="4019" customFormat="false" ht="15" hidden="false" customHeight="false" outlineLevel="1" collapsed="false">
      <c r="A4019" s="7" t="s">
        <v>487</v>
      </c>
      <c r="B4019" s="8" t="s">
        <v>71</v>
      </c>
      <c r="C4019" s="78" t="n">
        <f aca="false">Pressupostos!$C$285</f>
        <v>0.08</v>
      </c>
      <c r="D4019" s="78" t="n">
        <f aca="false">Pressupostos!$D$285</f>
        <v>0.08</v>
      </c>
      <c r="E4019" s="78" t="n">
        <f aca="false">Pressupostos!$E$285</f>
        <v>0.075</v>
      </c>
      <c r="F4019" s="78" t="n">
        <f aca="false">Pressupostos!$F$285</f>
        <v>0.07</v>
      </c>
      <c r="G4019" s="78" t="n">
        <f aca="false">Pressupostos!$G$285</f>
        <v>0.07</v>
      </c>
      <c r="H4019" s="2" t="s">
        <v>1393</v>
      </c>
    </row>
    <row r="4020" customFormat="false" ht="15" hidden="false" customHeight="false" outlineLevel="1" collapsed="false">
      <c r="A4020" s="7" t="s">
        <v>770</v>
      </c>
      <c r="B4020" s="8" t="s">
        <v>71</v>
      </c>
      <c r="C4020" s="56" t="n">
        <f aca="false">Pressupostos!$C$285*(1-Pressupostos!$C$109)</f>
        <v>0.0576</v>
      </c>
      <c r="D4020" s="56" t="n">
        <f aca="false">Pressupostos!$D$285*(1-Pressupostos!$C$109)</f>
        <v>0.0576</v>
      </c>
      <c r="E4020" s="56" t="n">
        <f aca="false">Pressupostos!$E$285*(1-Pressupostos!$C$109)</f>
        <v>0.054</v>
      </c>
      <c r="F4020" s="56" t="n">
        <f aca="false">Pressupostos!$F$285*(1-Pressupostos!$C$109)</f>
        <v>0.0504</v>
      </c>
      <c r="G4020" s="56" t="n">
        <f aca="false">Pressupostos!$G$285*(1-Pressupostos!$C$109)</f>
        <v>0.0504</v>
      </c>
      <c r="H4020" s="2" t="s">
        <v>1394</v>
      </c>
    </row>
    <row r="4021" customFormat="false" ht="15" hidden="false" customHeight="false" outlineLevel="1" collapsed="false">
      <c r="A4021" s="7" t="s">
        <v>771</v>
      </c>
      <c r="B4021" s="8" t="s">
        <v>10</v>
      </c>
      <c r="C4021" s="58" t="n">
        <f aca="false">C3859</f>
        <v>0</v>
      </c>
      <c r="D4021" s="58" t="n">
        <f aca="false">D3859</f>
        <v>38774.2191780822</v>
      </c>
      <c r="E4021" s="58" t="n">
        <f aca="false">E3859</f>
        <v>77308.7093321918</v>
      </c>
      <c r="F4021" s="58" t="n">
        <f aca="false">F3859</f>
        <v>121350.136130137</v>
      </c>
      <c r="G4021" s="58" t="n">
        <f aca="false">G3859</f>
        <v>178001.429794521</v>
      </c>
      <c r="H4021" s="2" t="s">
        <v>1395</v>
      </c>
    </row>
    <row r="4022" customFormat="false" ht="15" hidden="false" customHeight="false" outlineLevel="1" collapsed="false">
      <c r="A4022" s="7" t="s">
        <v>772</v>
      </c>
      <c r="B4022" s="8" t="s">
        <v>71</v>
      </c>
      <c r="C4022" s="55" t="n">
        <f aca="false">IF(C3953&gt;0,(C3956+C3958)/C3953,0)</f>
        <v>0</v>
      </c>
      <c r="D4022" s="55" t="n">
        <f aca="false">IF(D3953&gt;0,(D3956+D3958)/D3953,0)</f>
        <v>0.138888888888889</v>
      </c>
      <c r="E4022" s="55" t="n">
        <f aca="false">IF(E3953&gt;0,(E3956+E3958)/E3953,0)</f>
        <v>0.138888888888889</v>
      </c>
      <c r="F4022" s="55" t="n">
        <f aca="false">IF(F3953&gt;0,(F3956+F3958)/F3953,0)</f>
        <v>0.138888888888889</v>
      </c>
      <c r="G4022" s="55" t="n">
        <f aca="false">IF(G3953&gt;0,(G3956+G3958)/G3953,0)</f>
        <v>0.138888888888889</v>
      </c>
      <c r="H4022" s="2" t="s">
        <v>1396</v>
      </c>
    </row>
    <row r="4023" customFormat="false" ht="15" hidden="false" customHeight="false" outlineLevel="1" collapsed="false">
      <c r="A4023" s="7" t="s">
        <v>773</v>
      </c>
      <c r="B4023" s="8" t="s">
        <v>115</v>
      </c>
      <c r="C4023" s="58" t="n">
        <f aca="false">C3959</f>
        <v>0</v>
      </c>
      <c r="D4023" s="58" t="n">
        <f aca="false">D3959</f>
        <v>10.4648999486301</v>
      </c>
      <c r="E4023" s="58" t="n">
        <f aca="false">E3959</f>
        <v>22.4015282876712</v>
      </c>
      <c r="F4023" s="58" t="n">
        <f aca="false">F3959</f>
        <v>37.6788658561644</v>
      </c>
      <c r="G4023" s="58" t="n">
        <f aca="false">G3959</f>
        <v>55.2934140410959</v>
      </c>
      <c r="H4023" s="2" t="s">
        <v>1397</v>
      </c>
    </row>
    <row r="4024" customFormat="false" ht="15" hidden="false" customHeight="false" outlineLevel="0" collapsed="false">
      <c r="A4024" s="3" t="s">
        <v>1398</v>
      </c>
      <c r="B4024" s="4"/>
      <c r="C4024" s="4"/>
      <c r="D4024" s="4"/>
      <c r="E4024" s="4"/>
      <c r="F4024" s="4"/>
      <c r="G4024" s="4"/>
      <c r="H4024" s="4"/>
    </row>
    <row r="4025" customFormat="false" ht="15" hidden="false" customHeight="false" outlineLevel="1" collapsed="false">
      <c r="A4025" s="7" t="s">
        <v>775</v>
      </c>
      <c r="B4025" s="8" t="s">
        <v>10</v>
      </c>
      <c r="C4025" s="58" t="n">
        <f aca="false">MAX(0,-C3927)</f>
        <v>587555.53635274</v>
      </c>
      <c r="D4025" s="58" t="n">
        <f aca="false">MAX(0,-D3927)</f>
        <v>684529.908732877</v>
      </c>
      <c r="E4025" s="58" t="n">
        <f aca="false">MAX(0,-E3927)</f>
        <v>705094.688343322</v>
      </c>
      <c r="F4025" s="58" t="n">
        <f aca="false">MAX(0,-F3927)</f>
        <v>674820.677099032</v>
      </c>
      <c r="G4025" s="58" t="n">
        <f aca="false">MAX(0,-G3927)</f>
        <v>559982.881498266</v>
      </c>
      <c r="H4025" s="2" t="s">
        <v>1399</v>
      </c>
    </row>
    <row r="4026" customFormat="false" ht="15" hidden="false" customHeight="false" outlineLevel="1" collapsed="false">
      <c r="A4026" s="2" t="s">
        <v>776</v>
      </c>
      <c r="B4026" s="8"/>
      <c r="C4026" s="58" t="n">
        <f aca="false">IF(AND(C3728&gt;=Pressupostos!$C$118,Pressupostos!$C$116*(C3816+C3817)+Pressupostos!$C$117*C3818&gt;Pressupostos!$C$297),1,0)</f>
        <v>0</v>
      </c>
      <c r="D4026" s="58" t="n">
        <f aca="false">IF(AND(D3728&gt;=Pressupostos!$C$118,Pressupostos!$C$116*(D3816+D3817)+Pressupostos!$C$117*D3818&gt;Pressupostos!$D$297),1,0)</f>
        <v>1</v>
      </c>
      <c r="E4026" s="58" t="n">
        <f aca="false">IF(AND(E3728&gt;=Pressupostos!$C$118,Pressupostos!$C$116*(E3816+E3817)+Pressupostos!$C$117*E3818&gt;Pressupostos!$E$297),1,0)</f>
        <v>1</v>
      </c>
      <c r="F4026" s="58" t="n">
        <f aca="false">IF(AND(F3728&gt;=Pressupostos!$C$118,Pressupostos!$C$116*(F3816+F3817)+Pressupostos!$C$117*F3818&gt;Pressupostos!$F$297),1,0)</f>
        <v>1</v>
      </c>
      <c r="G4026" s="58" t="n">
        <f aca="false">IF(AND(G3728&gt;=Pressupostos!$C$118,Pressupostos!$C$116*(G3816+G3817)+Pressupostos!$C$117*G3818&gt;Pressupostos!$G$297),1,0)</f>
        <v>1</v>
      </c>
      <c r="H4026" s="2" t="s">
        <v>1400</v>
      </c>
    </row>
    <row r="4027" customFormat="false" ht="15" hidden="false" customHeight="false" outlineLevel="1" collapsed="false">
      <c r="A4027" s="7" t="s">
        <v>777</v>
      </c>
      <c r="B4027" s="8" t="s">
        <v>59</v>
      </c>
      <c r="C4027" s="60" t="n">
        <f aca="false">IF(C3732&gt;0,C4025/(C3732*1000*(1-Pressupostos!$F$22)*(1-Pressupostos!$F$25-C4026*Pressupostos!$C$116)),"n/a")</f>
        <v>11.3331443629492</v>
      </c>
      <c r="D4027" s="60" t="n">
        <f aca="false">IF(D3732&gt;0,D4025/(D3732*1000*(1-Pressupostos!$F$22)*(1-Pressupostos!$F$25-D4026*Pressupostos!$C$116)),"n/a")</f>
        <v>1.8990506790866</v>
      </c>
      <c r="E4027" s="60" t="n">
        <f aca="false">IF(E3732&gt;0,E4025/(E3732*1000*(1-Pressupostos!$F$22)*(1-Pressupostos!$F$25-E4026*Pressupostos!$C$116)),"n/a")</f>
        <v>0.990327955863038</v>
      </c>
      <c r="F4027" s="60" t="n">
        <f aca="false">IF(F3732&gt;0,F4025/(F3732*1000*(1-Pressupostos!$F$22)*(1-Pressupostos!$F$25-F4026*Pressupostos!$C$116)),"n/a")</f>
        <v>0.574452849659393</v>
      </c>
      <c r="G4027" s="60" t="n">
        <f aca="false">IF(G3732&gt;0,G4025/(G3732*1000*(1-Pressupostos!$F$22)*(1-Pressupostos!$F$25-G4026*Pressupostos!$C$116)),"n/a")</f>
        <v>0.315044912993337</v>
      </c>
      <c r="H4027" s="2" t="s">
        <v>1401</v>
      </c>
    </row>
    <row r="4028" customFormat="false" ht="15" hidden="false" customHeight="false" outlineLevel="1" collapsed="false">
      <c r="A4028" s="7" t="s">
        <v>778</v>
      </c>
      <c r="B4028" s="8" t="s">
        <v>59</v>
      </c>
      <c r="C4028" s="60" t="n">
        <f aca="false">IF(C3731&gt;0,Pressupostos!$F$15+C4025/(C3731*1000*(1-(Pressupostos!$C$190))*(1-Pressupostos!$F$18-C4026*Pressupostos!$C$116)),"n/a")</f>
        <v>88.3835748081156</v>
      </c>
      <c r="D4028" s="60" t="n">
        <f aca="false">IF(D3731&gt;0,Pressupostos!$F$15+D4025/(D3731*1000*(1-(Pressupostos!$C$190))*(1-Pressupostos!$F$18-D4026*Pressupostos!$C$116)),"n/a")</f>
        <v>31.6982802231984</v>
      </c>
      <c r="E4028" s="60" t="n">
        <f aca="false">IF(E3731&gt;0,Pressupostos!$F$15+E4025/(E3731*1000*(1-(Pressupostos!$C$190))*(1-Pressupostos!$F$18-E4026*Pressupostos!$C$116)),"n/a")</f>
        <v>15.9263673437275</v>
      </c>
      <c r="F4028" s="60" t="n">
        <f aca="false">IF(F3731&gt;0,Pressupostos!$F$15+F4025/(F3731*1000*(1-(Pressupostos!$C$190))*(1-Pressupostos!$F$18-F4026*Pressupostos!$C$116)),"n/a")</f>
        <v>11.4286673773999</v>
      </c>
      <c r="G4028" s="60" t="n">
        <f aca="false">IF(G3731&gt;0,Pressupostos!$F$15+G4025/(G3731*1000*(1-(Pressupostos!$C$190))*(1-Pressupostos!$F$18-G4026*Pressupostos!$C$116)),"n/a")</f>
        <v>9.15338968217797</v>
      </c>
      <c r="H4028" s="2" t="s">
        <v>1402</v>
      </c>
    </row>
    <row r="4029" customFormat="false" ht="15" hidden="false" customHeight="false" outlineLevel="1" collapsed="false">
      <c r="A4029" s="7" t="s">
        <v>779</v>
      </c>
      <c r="B4029" s="8" t="s">
        <v>59</v>
      </c>
      <c r="C4029" s="60" t="n">
        <f aca="false">C3812-C4026*Pressupostos!$C$117*C3795</f>
        <v>0.058762328767124</v>
      </c>
      <c r="D4029" s="60" t="n">
        <f aca="false">D3812-D4026*Pressupostos!$C$117*D3795</f>
        <v>0.0255719178082197</v>
      </c>
      <c r="E4029" s="60" t="n">
        <f aca="false">E3812-E4026*Pressupostos!$C$117*E3795</f>
        <v>0.0271900684931515</v>
      </c>
      <c r="F4029" s="60" t="n">
        <f aca="false">F3812-F4026*Pressupostos!$C$117*F3795</f>
        <v>0.0288082191780828</v>
      </c>
      <c r="G4029" s="60" t="n">
        <f aca="false">G3812-G4026*Pressupostos!$C$117*G3795</f>
        <v>0.0288082191780828</v>
      </c>
      <c r="H4029" s="2" t="s">
        <v>1403</v>
      </c>
    </row>
    <row r="4030" customFormat="false" ht="15" hidden="false" customHeight="false" outlineLevel="1" collapsed="false">
      <c r="A4030" s="7" t="s">
        <v>780</v>
      </c>
      <c r="B4030" s="8" t="s">
        <v>112</v>
      </c>
      <c r="C4030" s="57" t="n">
        <f aca="false">IF(C4029&gt;0,C3733+C4025/(C4029*1000),"n/a")</f>
        <v>9998.84702802082</v>
      </c>
      <c r="D4030" s="57" t="n">
        <f aca="false">IF(D4029&gt;0,D3733+D4025/(D4029*1000),"n/a")</f>
        <v>27268.8138944684</v>
      </c>
      <c r="E4030" s="57" t="n">
        <f aca="false">IF(E4029&gt;0,E3733+E4025/(E4029*1000),"n/a")</f>
        <v>27432.0673841229</v>
      </c>
      <c r="F4030" s="57" t="n">
        <f aca="false">IF(F4029&gt;0,F3733+F4025/(F4029*1000),"n/a")</f>
        <v>25924.5884109502</v>
      </c>
      <c r="G4030" s="57" t="n">
        <f aca="false">IF(G4029&gt;0,G3733+G4025/(G4029*1000),"n/a")</f>
        <v>22938.3025912375</v>
      </c>
      <c r="H4030" s="2" t="s">
        <v>1404</v>
      </c>
    </row>
    <row r="4031" customFormat="false" ht="15" hidden="false" customHeight="false" outlineLevel="1" collapsed="false">
      <c r="A4031" s="7" t="s">
        <v>781</v>
      </c>
      <c r="B4031" s="8" t="s">
        <v>71</v>
      </c>
      <c r="C4031" s="55" t="n">
        <f aca="false">C4025/(C3891+C3904+C3905)</f>
        <v>0.976536166327015</v>
      </c>
      <c r="D4031" s="55" t="n">
        <f aca="false">D4025/(D3891+D3904+D3905)</f>
        <v>0.900391204177707</v>
      </c>
      <c r="E4031" s="55" t="n">
        <f aca="false">E4025/(E3891+E3904+E3905)</f>
        <v>0.773207872440218</v>
      </c>
      <c r="F4031" s="55" t="n">
        <f aca="false">F4025/(F3891+F3904+F3905)</f>
        <v>0.635593552065763</v>
      </c>
      <c r="G4031" s="55" t="n">
        <f aca="false">G4025/(G3891+G3904+G3905)</f>
        <v>0.480220196638735</v>
      </c>
      <c r="H4031" s="2" t="s">
        <v>1405</v>
      </c>
    </row>
    <row r="4032" customFormat="false" ht="15" hidden="false" customHeight="false" outlineLevel="1" collapsed="false">
      <c r="A4032" s="2" t="s">
        <v>782</v>
      </c>
      <c r="B4032" s="8" t="s">
        <v>71</v>
      </c>
      <c r="C4032" s="56" t="n">
        <f aca="false">Pressupostos!$C$99*Pressupostos!$C$100+Pressupostos!$C$101-Pressupostos!$F$30*Pressupostos!$C$102*Pressupostos!$C$100/(Pressupostos!$C$103*Pressupostos!$C$104)</f>
        <v>0.02</v>
      </c>
      <c r="D4032" s="56" t="n">
        <f aca="false">Pressupostos!$C$99*Pressupostos!$C$100+Pressupostos!$C$101-Pressupostos!$F$30*Pressupostos!$C$102*Pressupostos!$C$100/(Pressupostos!$C$103*Pressupostos!$C$104)</f>
        <v>0.02</v>
      </c>
      <c r="E4032" s="56" t="n">
        <f aca="false">Pressupostos!$C$99*Pressupostos!$C$100+Pressupostos!$C$101-Pressupostos!$F$30*Pressupostos!$C$102*Pressupostos!$C$100/(Pressupostos!$C$103*Pressupostos!$C$104)</f>
        <v>0.02</v>
      </c>
      <c r="F4032" s="56" t="n">
        <f aca="false">Pressupostos!$C$99*Pressupostos!$C$100+Pressupostos!$C$101-Pressupostos!$F$30*Pressupostos!$C$102*Pressupostos!$C$100/(Pressupostos!$C$103*Pressupostos!$C$104)</f>
        <v>0.02</v>
      </c>
      <c r="G4032" s="56" t="n">
        <f aca="false">Pressupostos!$C$99*Pressupostos!$C$100+Pressupostos!$C$101-Pressupostos!$F$30*Pressupostos!$C$102*Pressupostos!$C$100/(Pressupostos!$C$103*Pressupostos!$C$104)</f>
        <v>0.02</v>
      </c>
      <c r="H4032" s="2" t="s">
        <v>1406</v>
      </c>
    </row>
    <row r="4033" customFormat="false" ht="15" hidden="false" customHeight="false" outlineLevel="1" collapsed="false">
      <c r="A4033" s="7" t="s">
        <v>783</v>
      </c>
      <c r="B4033" s="8" t="s">
        <v>10</v>
      </c>
      <c r="C4033" s="58" t="n">
        <f aca="false">IF(C4032&gt;0,C3744+C4025/C4032,"n/a")</f>
        <v>29377776.817637</v>
      </c>
      <c r="D4033" s="58" t="n">
        <f aca="false">IF(D4032&gt;0,D3744+D4025/D4032,"n/a")</f>
        <v>34726495.4366438</v>
      </c>
      <c r="E4033" s="58" t="n">
        <f aca="false">IF(E4032&gt;0,E3744+E4025/E4032,"n/a")</f>
        <v>36754734.4171661</v>
      </c>
      <c r="F4033" s="58" t="n">
        <f aca="false">IF(F4032&gt;0,F3744+F4025/F4032,"n/a")</f>
        <v>36741033.8549516</v>
      </c>
      <c r="G4033" s="58" t="n">
        <f aca="false">IF(G4032&gt;0,G3744+G4025/G4032,"n/a")</f>
        <v>32999144.0749133</v>
      </c>
      <c r="H4033" s="2" t="s">
        <v>1407</v>
      </c>
    </row>
    <row r="4036" customFormat="false" ht="15" hidden="false" customHeight="false" outlineLevel="0" collapsed="false">
      <c r="A4036" s="104" t="s">
        <v>1420</v>
      </c>
      <c r="B4036" s="105"/>
      <c r="C4036" s="105"/>
      <c r="D4036" s="105"/>
      <c r="E4036" s="105"/>
      <c r="F4036" s="105"/>
      <c r="G4036" s="105"/>
      <c r="H4036" s="105"/>
    </row>
    <row r="4037" customFormat="false" ht="15" hidden="false" customHeight="false" outlineLevel="0" collapsed="false">
      <c r="A4037" s="3" t="s">
        <v>1102</v>
      </c>
      <c r="B4037" s="4"/>
      <c r="C4037" s="4"/>
      <c r="D4037" s="4"/>
      <c r="E4037" s="4"/>
      <c r="F4037" s="4"/>
      <c r="G4037" s="4"/>
      <c r="H4037" s="4"/>
    </row>
    <row r="4038" customFormat="false" ht="15" hidden="false" customHeight="false" outlineLevel="1" collapsed="false">
      <c r="A4038" s="7" t="s">
        <v>557</v>
      </c>
      <c r="B4038" s="8"/>
      <c r="C4038" s="49" t="n">
        <v>2027</v>
      </c>
      <c r="D4038" s="49" t="n">
        <v>2028</v>
      </c>
      <c r="E4038" s="49" t="n">
        <v>2029</v>
      </c>
      <c r="F4038" s="49" t="n">
        <v>2030</v>
      </c>
      <c r="G4038" s="49" t="n">
        <v>2031</v>
      </c>
      <c r="H4038" s="2" t="s">
        <v>18</v>
      </c>
    </row>
    <row r="4039" customFormat="false" ht="15" hidden="false" customHeight="false" outlineLevel="0" collapsed="false">
      <c r="A4039" s="3" t="s">
        <v>1103</v>
      </c>
      <c r="B4039" s="4"/>
      <c r="C4039" s="4"/>
      <c r="D4039" s="4"/>
      <c r="E4039" s="4"/>
      <c r="F4039" s="4"/>
      <c r="G4039" s="4"/>
      <c r="H4039" s="4"/>
    </row>
    <row r="4040" customFormat="false" ht="15" hidden="false" customHeight="false" outlineLevel="1" collapsed="false">
      <c r="A4040" s="7" t="s">
        <v>372</v>
      </c>
      <c r="B4040" s="8" t="s">
        <v>115</v>
      </c>
      <c r="C4040" s="50" t="n">
        <f aca="false">Pressupostos!$C$210</f>
        <v>40</v>
      </c>
      <c r="D4040" s="50" t="n">
        <f aca="false">Pressupostos!$D$210</f>
        <v>150</v>
      </c>
      <c r="E4040" s="50" t="n">
        <f aca="false">Pressupostos!$E$210</f>
        <v>400</v>
      </c>
      <c r="F4040" s="50" t="n">
        <f aca="false">Pressupostos!$F$210</f>
        <v>700</v>
      </c>
      <c r="G4040" s="50" t="n">
        <f aca="false">Pressupostos!$G$210</f>
        <v>1000</v>
      </c>
      <c r="H4040" s="2" t="s">
        <v>1104</v>
      </c>
    </row>
    <row r="4041" customFormat="false" ht="15" hidden="false" customHeight="false" outlineLevel="1" collapsed="false">
      <c r="A4041" s="7" t="s">
        <v>559</v>
      </c>
      <c r="B4041" s="8" t="s">
        <v>112</v>
      </c>
      <c r="C4041" s="51" t="n">
        <f aca="false">Pressupostos!$C$216</f>
        <v>8.2</v>
      </c>
      <c r="D4041" s="51" t="n">
        <f aca="false">Pressupostos!$D$216</f>
        <v>30.75</v>
      </c>
      <c r="E4041" s="51" t="n">
        <f aca="false">Pressupostos!$E$216</f>
        <v>82</v>
      </c>
      <c r="F4041" s="51" t="n">
        <f aca="false">Pressupostos!$F$216</f>
        <v>143.5</v>
      </c>
      <c r="G4041" s="51" t="n">
        <f aca="false">Pressupostos!$G$216</f>
        <v>205</v>
      </c>
      <c r="H4041" s="2" t="s">
        <v>1105</v>
      </c>
    </row>
    <row r="4042" customFormat="false" ht="15" hidden="false" customHeight="false" outlineLevel="1" collapsed="false">
      <c r="A4042" s="7" t="s">
        <v>560</v>
      </c>
      <c r="B4042" s="8" t="s">
        <v>112</v>
      </c>
      <c r="C4042" s="51" t="n">
        <f aca="false">Pressupostos!$C$222</f>
        <v>52</v>
      </c>
      <c r="D4042" s="51" t="n">
        <f aca="false">Pressupostos!$D$222</f>
        <v>363</v>
      </c>
      <c r="E4042" s="51" t="n">
        <f aca="false">Pressupostos!$E$222</f>
        <v>717</v>
      </c>
      <c r="F4042" s="51" t="n">
        <f aca="false">Pressupostos!$F$222</f>
        <v>1183</v>
      </c>
      <c r="G4042" s="51" t="n">
        <f aca="false">Pressupostos!$G$222</f>
        <v>1790</v>
      </c>
      <c r="H4042" s="2" t="s">
        <v>1106</v>
      </c>
    </row>
    <row r="4043" customFormat="false" ht="15" hidden="false" customHeight="false" outlineLevel="1" collapsed="false">
      <c r="A4043" s="7" t="s">
        <v>383</v>
      </c>
      <c r="B4043" s="8" t="s">
        <v>112</v>
      </c>
      <c r="C4043" s="51" t="n">
        <f aca="false">Pressupostos!$C$228</f>
        <v>0</v>
      </c>
      <c r="D4043" s="51" t="n">
        <f aca="false">Pressupostos!$D$228</f>
        <v>500</v>
      </c>
      <c r="E4043" s="51" t="n">
        <f aca="false">Pressupostos!$E$228</f>
        <v>1500</v>
      </c>
      <c r="F4043" s="51" t="n">
        <f aca="false">Pressupostos!$F$228</f>
        <v>2500</v>
      </c>
      <c r="G4043" s="51" t="n">
        <f aca="false">Pressupostos!$G$228</f>
        <v>3500</v>
      </c>
      <c r="H4043" s="2" t="s">
        <v>1107</v>
      </c>
    </row>
    <row r="4044" customFormat="false" ht="15" hidden="false" customHeight="false" outlineLevel="1" collapsed="false">
      <c r="A4044" s="52" t="s">
        <v>561</v>
      </c>
      <c r="B4044" s="53" t="s">
        <v>112</v>
      </c>
      <c r="C4044" s="54" t="n">
        <f aca="false">C4041+C4042+C4043</f>
        <v>60.2</v>
      </c>
      <c r="D4044" s="54" t="n">
        <f aca="false">D4041+D4042+D4043</f>
        <v>893.75</v>
      </c>
      <c r="E4044" s="54" t="n">
        <f aca="false">E4041+E4042+E4043</f>
        <v>2299</v>
      </c>
      <c r="F4044" s="54" t="n">
        <f aca="false">F4041+F4042+F4043</f>
        <v>3826.5</v>
      </c>
      <c r="G4044" s="54" t="n">
        <f aca="false">G4041+G4042+G4043</f>
        <v>5495</v>
      </c>
      <c r="H4044" s="2" t="s">
        <v>1108</v>
      </c>
    </row>
    <row r="4045" customFormat="false" ht="15" hidden="false" customHeight="false" outlineLevel="1" collapsed="false">
      <c r="A4045" s="7" t="s">
        <v>562</v>
      </c>
      <c r="B4045" s="8" t="s">
        <v>71</v>
      </c>
      <c r="C4045" s="55" t="n">
        <f aca="false">IF(C4044&gt;0,C4041/C4044,0)</f>
        <v>0.136212624584718</v>
      </c>
      <c r="D4045" s="55" t="n">
        <f aca="false">IF(D4044&gt;0,D4041/D4044,0)</f>
        <v>0.0344055944055944</v>
      </c>
      <c r="E4045" s="55" t="n">
        <f aca="false">IF(E4044&gt;0,E4041/E4044,0)</f>
        <v>0.035667681600696</v>
      </c>
      <c r="F4045" s="55" t="n">
        <f aca="false">IF(F4044&gt;0,F4041/F4044,0)</f>
        <v>0.0375016333464001</v>
      </c>
      <c r="G4045" s="55" t="n">
        <f aca="false">IF(G4044&gt;0,G4041/G4044,0)</f>
        <v>0.0373066424021838</v>
      </c>
      <c r="H4045" s="2" t="s">
        <v>1109</v>
      </c>
    </row>
    <row r="4046" customFormat="false" ht="15" hidden="false" customHeight="false" outlineLevel="1" collapsed="false">
      <c r="A4046" s="7" t="s">
        <v>563</v>
      </c>
      <c r="B4046" s="8" t="s">
        <v>71</v>
      </c>
      <c r="C4046" s="56" t="n">
        <f aca="false">C4044/(Pressupostos!$C$74*1000)</f>
        <v>0.000344</v>
      </c>
      <c r="D4046" s="56" t="n">
        <f aca="false">D4044/(Pressupostos!$C$74*1000)</f>
        <v>0.00510714285714286</v>
      </c>
      <c r="E4046" s="56" t="n">
        <f aca="false">E4044/(Pressupostos!$C$74*1000)</f>
        <v>0.0131371428571429</v>
      </c>
      <c r="F4046" s="56" t="n">
        <f aca="false">F4044/(Pressupostos!$C$74*1000)</f>
        <v>0.0218657142857143</v>
      </c>
      <c r="G4046" s="56" t="n">
        <f aca="false">G4044/(Pressupostos!$C$74*1000)</f>
        <v>0.0314</v>
      </c>
      <c r="H4046" s="2" t="s">
        <v>1110</v>
      </c>
    </row>
    <row r="4047" customFormat="false" ht="15" hidden="false" customHeight="false" outlineLevel="1" collapsed="false">
      <c r="A4047" s="7" t="s">
        <v>564</v>
      </c>
      <c r="B4047" s="8" t="s">
        <v>115</v>
      </c>
      <c r="C4047" s="57" t="n">
        <f aca="false">C4041/Pressupostos!$C$39+C4042/Pressupostos!$C$46+C4043/Pressupostos!$C$58</f>
        <v>2.14333333333333</v>
      </c>
      <c r="D4047" s="57" t="n">
        <f aca="false">D4041/Pressupostos!$C$39+D4042/Pressupostos!$C$46+D4043/Pressupostos!$C$58</f>
        <v>18.6375</v>
      </c>
      <c r="E4047" s="57" t="n">
        <f aca="false">E4041/Pressupostos!$C$39+E4042/Pressupostos!$C$46+E4043/Pressupostos!$C$58</f>
        <v>43</v>
      </c>
      <c r="F4047" s="57" t="n">
        <f aca="false">F4041/Pressupostos!$C$39+F4042/Pressupostos!$C$46+F4043/Pressupostos!$C$58</f>
        <v>71.6083333333333</v>
      </c>
      <c r="G4047" s="57" t="n">
        <f aca="false">G4041/Pressupostos!$C$39+G4042/Pressupostos!$C$46+G4043/Pressupostos!$C$58</f>
        <v>104.916666666667</v>
      </c>
      <c r="H4047" s="2" t="s">
        <v>1111</v>
      </c>
    </row>
    <row r="4048" customFormat="false" ht="15" hidden="false" customHeight="false" outlineLevel="0" collapsed="false">
      <c r="A4048" s="3" t="s">
        <v>1112</v>
      </c>
      <c r="B4048" s="4"/>
      <c r="C4048" s="4"/>
      <c r="D4048" s="4"/>
      <c r="E4048" s="4"/>
      <c r="F4048" s="4"/>
      <c r="G4048" s="4"/>
      <c r="H4048" s="4"/>
    </row>
    <row r="4049" customFormat="false" ht="15" hidden="false" customHeight="false" outlineLevel="1" collapsed="false">
      <c r="A4049" s="7" t="s">
        <v>566</v>
      </c>
      <c r="B4049" s="8" t="s">
        <v>192</v>
      </c>
      <c r="C4049" s="50" t="n">
        <f aca="false">Pressupostos!$C$254</f>
        <v>36</v>
      </c>
      <c r="D4049" s="50" t="n">
        <f aca="false">Pressupostos!$D$254</f>
        <v>135</v>
      </c>
      <c r="E4049" s="50" t="n">
        <f aca="false">Pressupostos!$E$254</f>
        <v>360</v>
      </c>
      <c r="F4049" s="50" t="n">
        <f aca="false">Pressupostos!$F$254</f>
        <v>630</v>
      </c>
      <c r="G4049" s="50" t="n">
        <f aca="false">Pressupostos!$G$254</f>
        <v>900</v>
      </c>
      <c r="H4049" s="2" t="s">
        <v>1113</v>
      </c>
    </row>
    <row r="4050" customFormat="false" ht="15" hidden="false" customHeight="false" outlineLevel="1" collapsed="false">
      <c r="A4050" s="7" t="s">
        <v>566</v>
      </c>
      <c r="B4050" s="8" t="s">
        <v>179</v>
      </c>
      <c r="C4050" s="58" t="n">
        <f aca="false">C4049*Pressupostos!$C$76</f>
        <v>27000</v>
      </c>
      <c r="D4050" s="58" t="n">
        <f aca="false">D4049*Pressupostos!$C$76</f>
        <v>101250</v>
      </c>
      <c r="E4050" s="58" t="n">
        <f aca="false">E4049*Pressupostos!$C$76</f>
        <v>270000</v>
      </c>
      <c r="F4050" s="58" t="n">
        <f aca="false">F4049*Pressupostos!$C$76</f>
        <v>472500</v>
      </c>
      <c r="G4050" s="58" t="n">
        <f aca="false">G4049*Pressupostos!$C$76</f>
        <v>675000</v>
      </c>
      <c r="H4050" s="2" t="s">
        <v>1114</v>
      </c>
    </row>
    <row r="4051" customFormat="false" ht="15" hidden="false" customHeight="false" outlineLevel="0" collapsed="false">
      <c r="A4051" s="3" t="s">
        <v>1115</v>
      </c>
      <c r="B4051" s="4"/>
      <c r="C4051" s="4"/>
      <c r="D4051" s="4"/>
      <c r="E4051" s="4"/>
      <c r="F4051" s="4"/>
      <c r="G4051" s="4"/>
      <c r="H4051" s="4"/>
    </row>
    <row r="4052" customFormat="false" ht="15" hidden="false" customHeight="false" outlineLevel="1" collapsed="false">
      <c r="A4052" s="7" t="s">
        <v>568</v>
      </c>
      <c r="B4052" s="8" t="s">
        <v>112</v>
      </c>
      <c r="C4052" s="57" t="n">
        <f aca="false">IF(C4038&lt;Pressupostos!$F$28,0,Pressupostos!$C$260)</f>
        <v>0</v>
      </c>
      <c r="D4052" s="57" t="n">
        <f aca="false">IF(D4038&lt;Pressupostos!$F$28,0,Pressupostos!$D$260)</f>
        <v>0</v>
      </c>
      <c r="E4052" s="57" t="n">
        <f aca="false">IF(E4038&lt;Pressupostos!$F$28,0,Pressupostos!$E$260)</f>
        <v>0</v>
      </c>
      <c r="F4052" s="57" t="n">
        <f aca="false">IF(F4038&lt;Pressupostos!$F$28,0,Pressupostos!$F$260)</f>
        <v>20</v>
      </c>
      <c r="G4052" s="57" t="n">
        <f aca="false">IF(G4038&lt;Pressupostos!$F$28,0,Pressupostos!$G$260)</f>
        <v>50</v>
      </c>
      <c r="H4052" s="2" t="s">
        <v>1116</v>
      </c>
    </row>
    <row r="4053" customFormat="false" ht="15" hidden="false" customHeight="false" outlineLevel="0" collapsed="false">
      <c r="A4053" s="3" t="s">
        <v>1117</v>
      </c>
      <c r="B4053" s="4"/>
      <c r="C4053" s="4"/>
      <c r="D4053" s="4"/>
      <c r="E4053" s="4"/>
      <c r="F4053" s="4"/>
      <c r="G4053" s="4"/>
      <c r="H4053" s="4"/>
    </row>
    <row r="4054" customFormat="false" ht="15" hidden="false" customHeight="false" outlineLevel="1" collapsed="false">
      <c r="A4054" s="7" t="s">
        <v>570</v>
      </c>
      <c r="B4054" s="8" t="s">
        <v>10</v>
      </c>
      <c r="C4054" s="50" t="n">
        <f aca="false">Pressupostos!$C$266</f>
        <v>0</v>
      </c>
      <c r="D4054" s="50" t="n">
        <f aca="false">Pressupostos!$D$266</f>
        <v>500000</v>
      </c>
      <c r="E4054" s="50" t="n">
        <f aca="false">Pressupostos!$E$266</f>
        <v>1500000</v>
      </c>
      <c r="F4054" s="50" t="n">
        <f aca="false">Pressupostos!$F$266</f>
        <v>3000000</v>
      </c>
      <c r="G4054" s="50" t="n">
        <f aca="false">Pressupostos!$G$266</f>
        <v>5000000</v>
      </c>
      <c r="H4054" s="2" t="s">
        <v>1118</v>
      </c>
    </row>
    <row r="4055" customFormat="false" ht="15" hidden="false" customHeight="false" outlineLevel="1" collapsed="false">
      <c r="A4055" s="7" t="s">
        <v>571</v>
      </c>
      <c r="B4055" s="8" t="s">
        <v>112</v>
      </c>
      <c r="C4055" s="57" t="n">
        <f aca="false">C4054/(Pressupostos!$C$103*Pressupostos!$C$104)*Pressupostos!$C$100/1000</f>
        <v>0</v>
      </c>
      <c r="D4055" s="57" t="n">
        <f aca="false">D4054/(Pressupostos!$C$103*Pressupostos!$C$104)*Pressupostos!$C$100/1000</f>
        <v>457.142857142857</v>
      </c>
      <c r="E4055" s="57" t="n">
        <f aca="false">E4054/(Pressupostos!$C$103*Pressupostos!$C$104)*Pressupostos!$C$100/1000</f>
        <v>1371.42857142857</v>
      </c>
      <c r="F4055" s="57" t="n">
        <f aca="false">F4054/(Pressupostos!$C$103*Pressupostos!$C$104)*Pressupostos!$C$100/1000</f>
        <v>2742.85714285714</v>
      </c>
      <c r="G4055" s="57" t="n">
        <f aca="false">G4054/(Pressupostos!$C$103*Pressupostos!$C$104)*Pressupostos!$C$100/1000</f>
        <v>4571.42857142857</v>
      </c>
      <c r="H4055" s="2" t="s">
        <v>1119</v>
      </c>
    </row>
    <row r="4056" customFormat="false" ht="15" hidden="false" customHeight="false" outlineLevel="0" collapsed="false">
      <c r="A4056" s="3" t="s">
        <v>1120</v>
      </c>
      <c r="B4056" s="4"/>
      <c r="C4056" s="4"/>
      <c r="D4056" s="4"/>
      <c r="E4056" s="4"/>
      <c r="F4056" s="4"/>
      <c r="G4056" s="4"/>
      <c r="H4056" s="4"/>
    </row>
    <row r="4057" customFormat="false" ht="15" hidden="false" customHeight="false" outlineLevel="1" collapsed="false">
      <c r="A4057" s="7" t="s">
        <v>633</v>
      </c>
      <c r="B4057" s="8" t="s">
        <v>59</v>
      </c>
      <c r="C4057" s="60" t="n">
        <f aca="false">Pressupostos!$F$10+Pressupostos!$F$11</f>
        <v>3.65</v>
      </c>
      <c r="D4057" s="60" t="n">
        <f aca="false">Pressupostos!$F$10+Pressupostos!$F$11</f>
        <v>3.65</v>
      </c>
      <c r="E4057" s="60" t="n">
        <f aca="false">Pressupostos!$F$10+Pressupostos!$F$11</f>
        <v>3.65</v>
      </c>
      <c r="F4057" s="60" t="n">
        <f aca="false">Pressupostos!$F$10+Pressupostos!$F$11</f>
        <v>3.65</v>
      </c>
      <c r="G4057" s="60" t="n">
        <f aca="false">Pressupostos!$F$10+Pressupostos!$F$11</f>
        <v>3.65</v>
      </c>
      <c r="H4057" s="2" t="s">
        <v>1121</v>
      </c>
    </row>
    <row r="4058" customFormat="false" ht="15" hidden="false" customHeight="false" outlineLevel="1" collapsed="false">
      <c r="A4058" s="7" t="s">
        <v>634</v>
      </c>
      <c r="B4058" s="8" t="s">
        <v>59</v>
      </c>
      <c r="C4058" s="63" t="n">
        <f aca="false">Pressupostos!$F$15</f>
        <v>6</v>
      </c>
      <c r="D4058" s="63" t="n">
        <f aca="false">Pressupostos!$F$15</f>
        <v>6</v>
      </c>
      <c r="E4058" s="63" t="n">
        <f aca="false">Pressupostos!$F$15</f>
        <v>6</v>
      </c>
      <c r="F4058" s="63" t="n">
        <f aca="false">Pressupostos!$F$15</f>
        <v>6</v>
      </c>
      <c r="G4058" s="63" t="n">
        <f aca="false">Pressupostos!$F$15</f>
        <v>6</v>
      </c>
      <c r="H4058" s="2" t="s">
        <v>1122</v>
      </c>
    </row>
    <row r="4059" customFormat="false" ht="15" hidden="false" customHeight="false" outlineLevel="1" collapsed="false">
      <c r="A4059" s="52" t="s">
        <v>635</v>
      </c>
      <c r="B4059" s="53" t="s">
        <v>59</v>
      </c>
      <c r="C4059" s="64" t="n">
        <f aca="false">C4058*(1-(Pressupostos!$C$191))</f>
        <v>5.1</v>
      </c>
      <c r="D4059" s="64" t="n">
        <f aca="false">D4058*(1-(Pressupostos!$C$191))</f>
        <v>5.1</v>
      </c>
      <c r="E4059" s="64" t="n">
        <f aca="false">E4058*(1-(Pressupostos!$C$191))</f>
        <v>5.1</v>
      </c>
      <c r="F4059" s="64" t="n">
        <f aca="false">F4058*(1-(Pressupostos!$C$191))</f>
        <v>5.1</v>
      </c>
      <c r="G4059" s="64" t="n">
        <f aca="false">G4058*(1-(Pressupostos!$C$191))</f>
        <v>5.1</v>
      </c>
      <c r="H4059" s="2" t="s">
        <v>1123</v>
      </c>
    </row>
    <row r="4060" customFormat="false" ht="15" hidden="false" customHeight="false" outlineLevel="1" collapsed="false">
      <c r="A4060" s="7" t="s">
        <v>136</v>
      </c>
      <c r="B4060" s="8" t="s">
        <v>59</v>
      </c>
      <c r="C4060" s="63" t="n">
        <f aca="false">Pressupostos!$C$37</f>
        <v>0.55</v>
      </c>
      <c r="D4060" s="63" t="n">
        <f aca="false">Pressupostos!$C$37</f>
        <v>0.55</v>
      </c>
      <c r="E4060" s="63" t="n">
        <f aca="false">Pressupostos!$C$37</f>
        <v>0.55</v>
      </c>
      <c r="F4060" s="63" t="n">
        <f aca="false">Pressupostos!$C$37</f>
        <v>0.55</v>
      </c>
      <c r="G4060" s="63" t="n">
        <f aca="false">Pressupostos!$C$37</f>
        <v>0.55</v>
      </c>
      <c r="H4060" s="2" t="s">
        <v>1124</v>
      </c>
    </row>
    <row r="4061" customFormat="false" ht="15" hidden="false" customHeight="false" outlineLevel="1" collapsed="false">
      <c r="A4061" s="7" t="s">
        <v>205</v>
      </c>
      <c r="B4061" s="8" t="s">
        <v>59</v>
      </c>
      <c r="C4061" s="63" t="n">
        <f aca="false">Pressupostos!$C$235</f>
        <v>0.3</v>
      </c>
      <c r="D4061" s="63" t="n">
        <f aca="false">Pressupostos!$D$235</f>
        <v>0.3</v>
      </c>
      <c r="E4061" s="63" t="n">
        <f aca="false">Pressupostos!$E$235</f>
        <v>0.28</v>
      </c>
      <c r="F4061" s="63" t="n">
        <f aca="false">Pressupostos!$F$235</f>
        <v>0.27</v>
      </c>
      <c r="G4061" s="63" t="n">
        <f aca="false">Pressupostos!$G$235</f>
        <v>0.27</v>
      </c>
      <c r="H4061" s="2" t="s">
        <v>1125</v>
      </c>
    </row>
    <row r="4062" customFormat="false" ht="15" hidden="false" customHeight="false" outlineLevel="1" collapsed="false">
      <c r="A4062" s="7" t="s">
        <v>109</v>
      </c>
      <c r="B4062" s="8" t="s">
        <v>59</v>
      </c>
      <c r="C4062" s="63" t="n">
        <f aca="false">Pressupostos!$C$38</f>
        <v>0.06</v>
      </c>
      <c r="D4062" s="63" t="n">
        <f aca="false">Pressupostos!$C$38</f>
        <v>0.06</v>
      </c>
      <c r="E4062" s="63" t="n">
        <f aca="false">Pressupostos!$C$38</f>
        <v>0.06</v>
      </c>
      <c r="F4062" s="63" t="n">
        <f aca="false">Pressupostos!$C$38</f>
        <v>0.06</v>
      </c>
      <c r="G4062" s="63" t="n">
        <f aca="false">Pressupostos!$C$38</f>
        <v>0.06</v>
      </c>
      <c r="H4062" s="2" t="s">
        <v>1126</v>
      </c>
    </row>
    <row r="4063" customFormat="false" ht="15" hidden="false" customHeight="false" outlineLevel="1" collapsed="false">
      <c r="A4063" s="7" t="s">
        <v>86</v>
      </c>
      <c r="B4063" s="8" t="s">
        <v>74</v>
      </c>
      <c r="C4063" s="65" t="n">
        <f aca="false">Pressupostos!$C$241</f>
        <v>180</v>
      </c>
      <c r="D4063" s="65" t="n">
        <f aca="false">Pressupostos!$D$241</f>
        <v>180</v>
      </c>
      <c r="E4063" s="65" t="n">
        <f aca="false">Pressupostos!$E$241</f>
        <v>45</v>
      </c>
      <c r="F4063" s="65" t="n">
        <f aca="false">Pressupostos!$F$241</f>
        <v>45</v>
      </c>
      <c r="G4063" s="65" t="n">
        <f aca="false">Pressupostos!$G$241</f>
        <v>45</v>
      </c>
      <c r="H4063" s="2" t="s">
        <v>1127</v>
      </c>
    </row>
    <row r="4064" customFormat="false" ht="15" hidden="false" customHeight="false" outlineLevel="1" collapsed="false">
      <c r="A4064" s="7" t="s">
        <v>73</v>
      </c>
      <c r="B4064" s="8" t="s">
        <v>74</v>
      </c>
      <c r="C4064" s="65" t="n">
        <f aca="false">Pressupostos!$F$17</f>
        <v>35</v>
      </c>
      <c r="D4064" s="65" t="n">
        <f aca="false">Pressupostos!$F$17</f>
        <v>35</v>
      </c>
      <c r="E4064" s="65" t="n">
        <f aca="false">Pressupostos!$F$17</f>
        <v>35</v>
      </c>
      <c r="F4064" s="65" t="n">
        <f aca="false">Pressupostos!$F$17</f>
        <v>35</v>
      </c>
      <c r="G4064" s="65" t="n">
        <f aca="false">Pressupostos!$F$17</f>
        <v>35</v>
      </c>
      <c r="H4064" s="2" t="s">
        <v>1128</v>
      </c>
    </row>
    <row r="4065" customFormat="false" ht="15" hidden="false" customHeight="false" outlineLevel="1" collapsed="false">
      <c r="A4065" s="7" t="s">
        <v>471</v>
      </c>
      <c r="B4065" s="8" t="s">
        <v>59</v>
      </c>
      <c r="C4065" s="60" t="n">
        <f aca="false">Pressupostos!$C$64*C4063/30/1000</f>
        <v>0.024</v>
      </c>
      <c r="D4065" s="60" t="n">
        <f aca="false">Pressupostos!$C$64*D4063/30/1000</f>
        <v>0.024</v>
      </c>
      <c r="E4065" s="60" t="n">
        <f aca="false">Pressupostos!$C$64*E4063/30/1000</f>
        <v>0.006</v>
      </c>
      <c r="F4065" s="60" t="n">
        <f aca="false">Pressupostos!$C$64*F4063/30/1000</f>
        <v>0.006</v>
      </c>
      <c r="G4065" s="60" t="n">
        <f aca="false">Pressupostos!$C$64*G4063/30/1000</f>
        <v>0.006</v>
      </c>
      <c r="H4065" s="2" t="s">
        <v>1129</v>
      </c>
    </row>
    <row r="4066" customFormat="false" ht="15" hidden="false" customHeight="false" outlineLevel="1" collapsed="false">
      <c r="A4066" s="7" t="s">
        <v>154</v>
      </c>
      <c r="B4066" s="8" t="s">
        <v>59</v>
      </c>
      <c r="C4066" s="60" t="n">
        <f aca="false">C4057*Pressupostos!$C$65*C4063/365</f>
        <v>0.0036</v>
      </c>
      <c r="D4066" s="60" t="n">
        <f aca="false">D4057*Pressupostos!$C$65*D4063/365</f>
        <v>0.0036</v>
      </c>
      <c r="E4066" s="60" t="n">
        <f aca="false">E4057*Pressupostos!$C$65*E4063/365</f>
        <v>0.0009</v>
      </c>
      <c r="F4066" s="60" t="n">
        <f aca="false">F4057*Pressupostos!$C$65*F4063/365</f>
        <v>0.0009</v>
      </c>
      <c r="G4066" s="60" t="n">
        <f aca="false">G4057*Pressupostos!$C$65*G4063/365</f>
        <v>0.0009</v>
      </c>
      <c r="H4066" s="2" t="s">
        <v>1130</v>
      </c>
    </row>
    <row r="4067" customFormat="false" ht="15" hidden="false" customHeight="false" outlineLevel="1" collapsed="false">
      <c r="A4067" s="7" t="s">
        <v>636</v>
      </c>
      <c r="B4067" s="8" t="s">
        <v>59</v>
      </c>
      <c r="C4067" s="60" t="n">
        <f aca="false">Pressupostos!$C$40*Pressupostos!$C$66/(Pressupostos!$C$39*1000)</f>
        <v>0.03</v>
      </c>
      <c r="D4067" s="60" t="n">
        <f aca="false">Pressupostos!$C$40*Pressupostos!$C$66/(Pressupostos!$C$39*1000)</f>
        <v>0.03</v>
      </c>
      <c r="E4067" s="60" t="n">
        <f aca="false">Pressupostos!$C$40*Pressupostos!$C$66/(Pressupostos!$C$39*1000)</f>
        <v>0.03</v>
      </c>
      <c r="F4067" s="60" t="n">
        <f aca="false">Pressupostos!$C$40*Pressupostos!$C$66/(Pressupostos!$C$39*1000)</f>
        <v>0.03</v>
      </c>
      <c r="G4067" s="60" t="n">
        <f aca="false">Pressupostos!$C$40*Pressupostos!$C$66/(Pressupostos!$C$39*1000)</f>
        <v>0.03</v>
      </c>
      <c r="H4067" s="2" t="s">
        <v>1131</v>
      </c>
    </row>
    <row r="4068" customFormat="false" ht="15" hidden="false" customHeight="false" outlineLevel="1" collapsed="false">
      <c r="A4068" s="7" t="s">
        <v>473</v>
      </c>
      <c r="B4068" s="8" t="s">
        <v>59</v>
      </c>
      <c r="C4068" s="60" t="n">
        <f aca="false">Pressupostos!$C$67*C4057</f>
        <v>0.01825</v>
      </c>
      <c r="D4068" s="60" t="n">
        <f aca="false">Pressupostos!$C$67*D4057</f>
        <v>0.01825</v>
      </c>
      <c r="E4068" s="60" t="n">
        <f aca="false">Pressupostos!$C$67*E4057</f>
        <v>0.01825</v>
      </c>
      <c r="F4068" s="60" t="n">
        <f aca="false">Pressupostos!$C$67*F4057</f>
        <v>0.01825</v>
      </c>
      <c r="G4068" s="60" t="n">
        <f aca="false">Pressupostos!$C$67*G4057</f>
        <v>0.01825</v>
      </c>
      <c r="H4068" s="2" t="s">
        <v>1132</v>
      </c>
    </row>
    <row r="4069" customFormat="false" ht="15" hidden="false" customHeight="false" outlineLevel="1" collapsed="false">
      <c r="A4069" s="7" t="s">
        <v>474</v>
      </c>
      <c r="B4069" s="8" t="s">
        <v>59</v>
      </c>
      <c r="C4069" s="60" t="n">
        <f aca="false">Pressupostos!$C$68*Pressupostos!$C$69*C4063/90</f>
        <v>0.018</v>
      </c>
      <c r="D4069" s="60" t="n">
        <f aca="false">Pressupostos!$C$68*Pressupostos!$C$69*D4063/90</f>
        <v>0.018</v>
      </c>
      <c r="E4069" s="60" t="n">
        <f aca="false">Pressupostos!$C$68*Pressupostos!$C$69*E4063/90</f>
        <v>0.0045</v>
      </c>
      <c r="F4069" s="60" t="n">
        <f aca="false">Pressupostos!$C$68*Pressupostos!$C$69*F4063/90</f>
        <v>0.0045</v>
      </c>
      <c r="G4069" s="60" t="n">
        <f aca="false">Pressupostos!$C$68*Pressupostos!$C$69*G4063/90</f>
        <v>0.0045</v>
      </c>
      <c r="H4069" s="2" t="s">
        <v>1133</v>
      </c>
    </row>
    <row r="4070" customFormat="false" ht="15" hidden="false" customHeight="false" outlineLevel="1" collapsed="false">
      <c r="A4070" s="7" t="s">
        <v>637</v>
      </c>
      <c r="B4070" s="8" t="s">
        <v>59</v>
      </c>
      <c r="C4070" s="60" t="n">
        <f aca="false">Pressupostos!$C$41/(Pressupostos!$C$39*1000)</f>
        <v>0.1</v>
      </c>
      <c r="D4070" s="60" t="n">
        <f aca="false">Pressupostos!$C$41/(Pressupostos!$C$39*1000)</f>
        <v>0.1</v>
      </c>
      <c r="E4070" s="60" t="n">
        <f aca="false">Pressupostos!$C$41/(Pressupostos!$C$39*1000)</f>
        <v>0.1</v>
      </c>
      <c r="F4070" s="60" t="n">
        <f aca="false">Pressupostos!$C$41/(Pressupostos!$C$39*1000)</f>
        <v>0.1</v>
      </c>
      <c r="G4070" s="60" t="n">
        <f aca="false">Pressupostos!$C$41/(Pressupostos!$C$39*1000)</f>
        <v>0.1</v>
      </c>
      <c r="H4070" s="2" t="s">
        <v>1134</v>
      </c>
    </row>
    <row r="4071" customFormat="false" ht="15" hidden="false" customHeight="false" outlineLevel="1" collapsed="false">
      <c r="A4071" s="7" t="s">
        <v>131</v>
      </c>
      <c r="B4071" s="8" t="s">
        <v>59</v>
      </c>
      <c r="C4071" s="63" t="n">
        <f aca="false">Pressupostos!$C$42</f>
        <v>0.01</v>
      </c>
      <c r="D4071" s="63" t="n">
        <f aca="false">Pressupostos!$C$42</f>
        <v>0.01</v>
      </c>
      <c r="E4071" s="63" t="n">
        <f aca="false">Pressupostos!$C$42</f>
        <v>0.01</v>
      </c>
      <c r="F4071" s="63" t="n">
        <f aca="false">Pressupostos!$C$42</f>
        <v>0.01</v>
      </c>
      <c r="G4071" s="63" t="n">
        <f aca="false">Pressupostos!$C$42</f>
        <v>0.01</v>
      </c>
      <c r="H4071" s="2" t="s">
        <v>1135</v>
      </c>
    </row>
    <row r="4072" customFormat="false" ht="15" hidden="false" customHeight="false" outlineLevel="1" collapsed="false">
      <c r="A4072" s="7" t="s">
        <v>76</v>
      </c>
      <c r="B4072" s="8" t="s">
        <v>59</v>
      </c>
      <c r="C4072" s="60" t="n">
        <f aca="false">Pressupostos!$F$18*C4059</f>
        <v>0.0306</v>
      </c>
      <c r="D4072" s="60" t="n">
        <f aca="false">Pressupostos!$F$18*D4059</f>
        <v>0.0306</v>
      </c>
      <c r="E4072" s="60" t="n">
        <f aca="false">Pressupostos!$F$18*E4059</f>
        <v>0.0306</v>
      </c>
      <c r="F4072" s="60" t="n">
        <f aca="false">Pressupostos!$F$18*F4059</f>
        <v>0.0306</v>
      </c>
      <c r="G4072" s="60" t="n">
        <f aca="false">Pressupostos!$F$18*G4059</f>
        <v>0.0306</v>
      </c>
      <c r="H4072" s="2" t="s">
        <v>1136</v>
      </c>
    </row>
    <row r="4073" customFormat="false" ht="15" hidden="false" customHeight="false" outlineLevel="1" collapsed="false">
      <c r="A4073" s="7" t="s">
        <v>638</v>
      </c>
      <c r="B4073" s="8" t="s">
        <v>59</v>
      </c>
      <c r="C4073" s="60" t="n">
        <f aca="false">Pressupostos!$C$71*C4059</f>
        <v>0</v>
      </c>
      <c r="D4073" s="60" t="n">
        <f aca="false">Pressupostos!$C$71*D4059</f>
        <v>0</v>
      </c>
      <c r="E4073" s="60" t="n">
        <f aca="false">Pressupostos!$C$71*E4059</f>
        <v>0</v>
      </c>
      <c r="F4073" s="60" t="n">
        <f aca="false">Pressupostos!$C$71*F4059</f>
        <v>0</v>
      </c>
      <c r="G4073" s="60" t="n">
        <f aca="false">Pressupostos!$C$71*G4059</f>
        <v>0</v>
      </c>
      <c r="H4073" s="2" t="s">
        <v>1137</v>
      </c>
    </row>
    <row r="4074" customFormat="false" ht="15" hidden="false" customHeight="false" outlineLevel="1" collapsed="false">
      <c r="A4074" s="7" t="s">
        <v>639</v>
      </c>
      <c r="B4074" s="8" t="s">
        <v>59</v>
      </c>
      <c r="C4074" s="60" t="n">
        <f aca="false">Pressupostos!$C$285*(C4057+C4060)*(C4063+C4064-Pressupostos!$C$70)/365*Pressupostos!$C$279/Pressupostos!$F$31</f>
        <v>0</v>
      </c>
      <c r="D4074" s="60" t="n">
        <f aca="false">Pressupostos!$D$285*(D4057+D4060)*(D4063+D4064-Pressupostos!$C$70)/365*Pressupostos!$D$279/Pressupostos!$F$31</f>
        <v>0.19158904109589</v>
      </c>
      <c r="E4074" s="60" t="n">
        <f aca="false">Pressupostos!$E$285*(E4057+E4060)*(E4063+E4064-Pressupostos!$C$70)/365*Pressupostos!$E$279/Pressupostos!$F$31</f>
        <v>0.0485445205479452</v>
      </c>
      <c r="F4074" s="60" t="n">
        <f aca="false">Pressupostos!$F$285*(F4057+F4060)*(F4063+F4064-Pressupostos!$C$70)/365*Pressupostos!$F$279/Pressupostos!$F$31</f>
        <v>0.0453082191780822</v>
      </c>
      <c r="G4074" s="60" t="n">
        <f aca="false">Pressupostos!$G$285*(G4057+G4060)*(G4063+G4064-Pressupostos!$C$70)/365*Pressupostos!$G$279/Pressupostos!$F$31</f>
        <v>0.0453082191780822</v>
      </c>
      <c r="H4074" s="2" t="s">
        <v>1138</v>
      </c>
    </row>
    <row r="4075" customFormat="false" ht="15" hidden="false" customHeight="false" outlineLevel="1" collapsed="false">
      <c r="A4075" s="7" t="s">
        <v>640</v>
      </c>
      <c r="B4075" s="8" t="s">
        <v>59</v>
      </c>
      <c r="C4075" s="60" t="n">
        <f aca="false">C4057+C4060+C4061+C4062+C4065+C4066+C4067+C4068+C4069+C4070+C4071+C4072+C4073+C4074</f>
        <v>4.79445</v>
      </c>
      <c r="D4075" s="60" t="n">
        <f aca="false">D4057+D4060+D4061+D4062+D4065+D4066+D4067+D4068+D4069+D4070+D4071+D4072+D4073+D4074</f>
        <v>4.98603904109589</v>
      </c>
      <c r="E4075" s="60" t="n">
        <f aca="false">E4057+E4060+E4061+E4062+E4065+E4066+E4067+E4068+E4069+E4070+E4071+E4072+E4073+E4074</f>
        <v>4.78879452054794</v>
      </c>
      <c r="F4075" s="60" t="n">
        <f aca="false">F4057+F4060+F4061+F4062+F4065+F4066+F4067+F4068+F4069+F4070+F4071+F4072+F4073+F4074</f>
        <v>4.77555821917808</v>
      </c>
      <c r="G4075" s="60" t="n">
        <f aca="false">G4057+G4060+G4061+G4062+G4065+G4066+G4067+G4068+G4069+G4070+G4071+G4072+G4073+G4074</f>
        <v>4.77555821917808</v>
      </c>
      <c r="H4075" s="2" t="s">
        <v>1139</v>
      </c>
    </row>
    <row r="4076" customFormat="false" ht="15" hidden="false" customHeight="false" outlineLevel="1" collapsed="false">
      <c r="A4076" s="52" t="s">
        <v>641</v>
      </c>
      <c r="B4076" s="53" t="s">
        <v>59</v>
      </c>
      <c r="C4076" s="64" t="n">
        <f aca="false">C4059-C4075</f>
        <v>0.305550000000001</v>
      </c>
      <c r="D4076" s="64" t="n">
        <f aca="false">D4059-D4075</f>
        <v>0.11396095890411</v>
      </c>
      <c r="E4076" s="64" t="n">
        <f aca="false">E4059-E4075</f>
        <v>0.311205479452055</v>
      </c>
      <c r="F4076" s="64" t="n">
        <f aca="false">F4059-F4075</f>
        <v>0.324441780821918</v>
      </c>
      <c r="G4076" s="64" t="n">
        <f aca="false">G4059-G4075</f>
        <v>0.324441780821918</v>
      </c>
      <c r="H4076" s="2" t="s">
        <v>1140</v>
      </c>
    </row>
    <row r="4077" customFormat="false" ht="15" hidden="false" customHeight="false" outlineLevel="1" collapsed="false">
      <c r="A4077" s="7" t="s">
        <v>642</v>
      </c>
      <c r="B4077" s="8" t="s">
        <v>71</v>
      </c>
      <c r="C4077" s="55" t="n">
        <f aca="false">IF(C4059&gt;0,C4076/C4059,0)</f>
        <v>0.0599117647058826</v>
      </c>
      <c r="D4077" s="55" t="n">
        <f aca="false">IF(D4059&gt;0,D4076/D4059,0)</f>
        <v>0.0223452860596295</v>
      </c>
      <c r="E4077" s="55" t="n">
        <f aca="false">IF(E4059&gt;0,E4076/E4059,0)</f>
        <v>0.061020682245501</v>
      </c>
      <c r="F4077" s="55" t="n">
        <f aca="false">IF(F4059&gt;0,F4076/F4059,0)</f>
        <v>0.063616035455278</v>
      </c>
      <c r="G4077" s="55" t="n">
        <f aca="false">IF(G4059&gt;0,G4076/G4059,0)</f>
        <v>0.063616035455278</v>
      </c>
      <c r="H4077" s="2" t="s">
        <v>1141</v>
      </c>
    </row>
    <row r="4078" customFormat="false" ht="15" hidden="false" customHeight="false" outlineLevel="1" collapsed="false">
      <c r="A4078" s="7" t="s">
        <v>643</v>
      </c>
      <c r="B4078" s="8" t="s">
        <v>59</v>
      </c>
      <c r="C4078" s="60" t="n">
        <f aca="false">(C4057+C4060)*(C4063-Pressupostos!$C$70)/365+C4059*C4064/365</f>
        <v>2.21506849315068</v>
      </c>
      <c r="D4078" s="60" t="n">
        <f aca="false">(D4057+D4060)*(D4063-Pressupostos!$C$70)/365+D4059*D4064/365</f>
        <v>2.21506849315068</v>
      </c>
      <c r="E4078" s="60" t="n">
        <f aca="false">(E4057+E4060)*(E4063-Pressupostos!$C$70)/365+E4059*E4064/365</f>
        <v>0.661643835616438</v>
      </c>
      <c r="F4078" s="60" t="n">
        <f aca="false">(F4057+F4060)*(F4063-Pressupostos!$C$70)/365+F4059*F4064/365</f>
        <v>0.661643835616438</v>
      </c>
      <c r="G4078" s="60" t="n">
        <f aca="false">(G4057+G4060)*(G4063-Pressupostos!$C$70)/365+G4059*G4064/365</f>
        <v>0.661643835616438</v>
      </c>
      <c r="H4078" s="2" t="s">
        <v>1142</v>
      </c>
    </row>
    <row r="4079" customFormat="false" ht="15" hidden="false" customHeight="false" outlineLevel="0" collapsed="false">
      <c r="A4079" s="3" t="s">
        <v>1143</v>
      </c>
      <c r="B4079" s="4"/>
      <c r="C4079" s="4"/>
      <c r="D4079" s="4"/>
      <c r="E4079" s="4"/>
      <c r="F4079" s="4"/>
      <c r="G4079" s="4"/>
      <c r="H4079" s="4"/>
    </row>
    <row r="4080" customFormat="false" ht="15" hidden="false" customHeight="false" outlineLevel="1" collapsed="false">
      <c r="A4080" s="7" t="s">
        <v>633</v>
      </c>
      <c r="B4080" s="8" t="s">
        <v>59</v>
      </c>
      <c r="C4080" s="60" t="n">
        <f aca="false">Pressupostos!$F$10+Pressupostos!$F$12</f>
        <v>3.6</v>
      </c>
      <c r="D4080" s="60" t="n">
        <f aca="false">Pressupostos!$F$10+Pressupostos!$F$12</f>
        <v>3.6</v>
      </c>
      <c r="E4080" s="60" t="n">
        <f aca="false">Pressupostos!$F$10+Pressupostos!$F$12</f>
        <v>3.6</v>
      </c>
      <c r="F4080" s="60" t="n">
        <f aca="false">Pressupostos!$F$10+Pressupostos!$F$12</f>
        <v>3.6</v>
      </c>
      <c r="G4080" s="60" t="n">
        <f aca="false">Pressupostos!$F$10+Pressupostos!$F$12</f>
        <v>3.6</v>
      </c>
      <c r="H4080" s="2" t="s">
        <v>1144</v>
      </c>
    </row>
    <row r="4081" customFormat="false" ht="15" hidden="false" customHeight="false" outlineLevel="1" collapsed="false">
      <c r="A4081" s="7" t="s">
        <v>634</v>
      </c>
      <c r="B4081" s="8" t="s">
        <v>59</v>
      </c>
      <c r="C4081" s="60" t="n">
        <f aca="false">Pressupostos!$F$20+Pressupostos!$F$21</f>
        <v>4.45</v>
      </c>
      <c r="D4081" s="60" t="n">
        <f aca="false">Pressupostos!$F$20+Pressupostos!$F$21</f>
        <v>4.45</v>
      </c>
      <c r="E4081" s="60" t="n">
        <f aca="false">Pressupostos!$F$20+Pressupostos!$F$21</f>
        <v>4.45</v>
      </c>
      <c r="F4081" s="60" t="n">
        <f aca="false">Pressupostos!$F$20+Pressupostos!$F$21</f>
        <v>4.45</v>
      </c>
      <c r="G4081" s="60" t="n">
        <f aca="false">Pressupostos!$F$20+Pressupostos!$F$21</f>
        <v>4.45</v>
      </c>
      <c r="H4081" s="2" t="s">
        <v>1145</v>
      </c>
    </row>
    <row r="4082" customFormat="false" ht="15" hidden="false" customHeight="false" outlineLevel="1" collapsed="false">
      <c r="A4082" s="52" t="s">
        <v>635</v>
      </c>
      <c r="B4082" s="53" t="s">
        <v>59</v>
      </c>
      <c r="C4082" s="64" t="n">
        <f aca="false">C4081*(1-Pressupostos!$F$22)</f>
        <v>4.45</v>
      </c>
      <c r="D4082" s="64" t="n">
        <f aca="false">D4081*(1-Pressupostos!$F$22)</f>
        <v>4.45</v>
      </c>
      <c r="E4082" s="64" t="n">
        <f aca="false">E4081*(1-Pressupostos!$F$22)</f>
        <v>4.45</v>
      </c>
      <c r="F4082" s="64" t="n">
        <f aca="false">F4081*(1-Pressupostos!$F$22)</f>
        <v>4.45</v>
      </c>
      <c r="G4082" s="64" t="n">
        <f aca="false">G4081*(1-Pressupostos!$F$22)</f>
        <v>4.45</v>
      </c>
      <c r="H4082" s="2" t="s">
        <v>1146</v>
      </c>
    </row>
    <row r="4083" customFormat="false" ht="15" hidden="false" customHeight="false" outlineLevel="1" collapsed="false">
      <c r="A4083" s="7" t="s">
        <v>136</v>
      </c>
      <c r="B4083" s="8" t="s">
        <v>59</v>
      </c>
      <c r="C4083" s="63" t="n">
        <f aca="false">Pressupostos!$C$44</f>
        <v>0.45</v>
      </c>
      <c r="D4083" s="63" t="n">
        <f aca="false">Pressupostos!$C$44</f>
        <v>0.45</v>
      </c>
      <c r="E4083" s="63" t="n">
        <f aca="false">Pressupostos!$C$44</f>
        <v>0.45</v>
      </c>
      <c r="F4083" s="63" t="n">
        <f aca="false">Pressupostos!$C$44</f>
        <v>0.45</v>
      </c>
      <c r="G4083" s="63" t="n">
        <f aca="false">Pressupostos!$C$44</f>
        <v>0.45</v>
      </c>
      <c r="H4083" s="2" t="s">
        <v>1147</v>
      </c>
    </row>
    <row r="4084" customFormat="false" ht="15" hidden="false" customHeight="false" outlineLevel="1" collapsed="false">
      <c r="A4084" s="7" t="s">
        <v>205</v>
      </c>
      <c r="B4084" s="8" t="s">
        <v>59</v>
      </c>
      <c r="C4084" s="63" t="n">
        <f aca="false">Pressupostos!$C$247</f>
        <v>0.1</v>
      </c>
      <c r="D4084" s="63" t="n">
        <f aca="false">Pressupostos!$D$247</f>
        <v>0.1</v>
      </c>
      <c r="E4084" s="63" t="n">
        <f aca="false">Pressupostos!$E$247</f>
        <v>0.09</v>
      </c>
      <c r="F4084" s="63" t="n">
        <f aca="false">Pressupostos!$F$247</f>
        <v>0.09</v>
      </c>
      <c r="G4084" s="63" t="n">
        <f aca="false">Pressupostos!$G$247</f>
        <v>0.09</v>
      </c>
      <c r="H4084" s="2" t="s">
        <v>1148</v>
      </c>
    </row>
    <row r="4085" customFormat="false" ht="15" hidden="false" customHeight="false" outlineLevel="1" collapsed="false">
      <c r="A4085" s="7" t="s">
        <v>109</v>
      </c>
      <c r="B4085" s="8" t="s">
        <v>59</v>
      </c>
      <c r="C4085" s="63" t="n">
        <f aca="false">Pressupostos!$C$45</f>
        <v>0</v>
      </c>
      <c r="D4085" s="63" t="n">
        <f aca="false">Pressupostos!$C$45</f>
        <v>0</v>
      </c>
      <c r="E4085" s="63" t="n">
        <f aca="false">Pressupostos!$C$45</f>
        <v>0</v>
      </c>
      <c r="F4085" s="63" t="n">
        <f aca="false">Pressupostos!$C$45</f>
        <v>0</v>
      </c>
      <c r="G4085" s="63" t="n">
        <f aca="false">Pressupostos!$C$45</f>
        <v>0</v>
      </c>
      <c r="H4085" s="2" t="s">
        <v>1149</v>
      </c>
    </row>
    <row r="4086" customFormat="false" ht="15" hidden="false" customHeight="false" outlineLevel="1" collapsed="false">
      <c r="A4086" s="7" t="s">
        <v>86</v>
      </c>
      <c r="B4086" s="8" t="s">
        <v>74</v>
      </c>
      <c r="C4086" s="65" t="n">
        <f aca="false">Pressupostos!$F$23</f>
        <v>30</v>
      </c>
      <c r="D4086" s="65" t="n">
        <f aca="false">Pressupostos!$F$23</f>
        <v>30</v>
      </c>
      <c r="E4086" s="65" t="n">
        <f aca="false">Pressupostos!$F$23</f>
        <v>30</v>
      </c>
      <c r="F4086" s="65" t="n">
        <f aca="false">Pressupostos!$F$23</f>
        <v>30</v>
      </c>
      <c r="G4086" s="65" t="n">
        <f aca="false">Pressupostos!$F$23</f>
        <v>30</v>
      </c>
      <c r="H4086" s="2" t="s">
        <v>1150</v>
      </c>
    </row>
    <row r="4087" customFormat="false" ht="15" hidden="false" customHeight="false" outlineLevel="1" collapsed="false">
      <c r="A4087" s="7" t="s">
        <v>73</v>
      </c>
      <c r="B4087" s="8" t="s">
        <v>74</v>
      </c>
      <c r="C4087" s="65" t="n">
        <f aca="false">Pressupostos!$F$24</f>
        <v>55</v>
      </c>
      <c r="D4087" s="65" t="n">
        <f aca="false">Pressupostos!$F$24</f>
        <v>55</v>
      </c>
      <c r="E4087" s="65" t="n">
        <f aca="false">Pressupostos!$F$24</f>
        <v>55</v>
      </c>
      <c r="F4087" s="65" t="n">
        <f aca="false">Pressupostos!$F$24</f>
        <v>55</v>
      </c>
      <c r="G4087" s="65" t="n">
        <f aca="false">Pressupostos!$F$24</f>
        <v>55</v>
      </c>
      <c r="H4087" s="2" t="s">
        <v>1151</v>
      </c>
    </row>
    <row r="4088" customFormat="false" ht="15" hidden="false" customHeight="false" outlineLevel="1" collapsed="false">
      <c r="A4088" s="7" t="s">
        <v>471</v>
      </c>
      <c r="B4088" s="8" t="s">
        <v>59</v>
      </c>
      <c r="C4088" s="60" t="n">
        <f aca="false">Pressupostos!$C$64*C4086/30/1000</f>
        <v>0.004</v>
      </c>
      <c r="D4088" s="60" t="n">
        <f aca="false">Pressupostos!$C$64*D4086/30/1000</f>
        <v>0.004</v>
      </c>
      <c r="E4088" s="60" t="n">
        <f aca="false">Pressupostos!$C$64*E4086/30/1000</f>
        <v>0.004</v>
      </c>
      <c r="F4088" s="60" t="n">
        <f aca="false">Pressupostos!$C$64*F4086/30/1000</f>
        <v>0.004</v>
      </c>
      <c r="G4088" s="60" t="n">
        <f aca="false">Pressupostos!$C$64*G4086/30/1000</f>
        <v>0.004</v>
      </c>
      <c r="H4088" s="2" t="s">
        <v>1152</v>
      </c>
    </row>
    <row r="4089" customFormat="false" ht="15" hidden="false" customHeight="false" outlineLevel="1" collapsed="false">
      <c r="A4089" s="7" t="s">
        <v>154</v>
      </c>
      <c r="B4089" s="8" t="s">
        <v>59</v>
      </c>
      <c r="C4089" s="60" t="n">
        <f aca="false">C4080*Pressupostos!$C$65*C4086/365</f>
        <v>0.000591780821917808</v>
      </c>
      <c r="D4089" s="60" t="n">
        <f aca="false">D4080*Pressupostos!$C$65*D4086/365</f>
        <v>0.000591780821917808</v>
      </c>
      <c r="E4089" s="60" t="n">
        <f aca="false">E4080*Pressupostos!$C$65*E4086/365</f>
        <v>0.000591780821917808</v>
      </c>
      <c r="F4089" s="60" t="n">
        <f aca="false">F4080*Pressupostos!$C$65*F4086/365</f>
        <v>0.000591780821917808</v>
      </c>
      <c r="G4089" s="60" t="n">
        <f aca="false">G4080*Pressupostos!$C$65*G4086/365</f>
        <v>0.000591780821917808</v>
      </c>
      <c r="H4089" s="2" t="s">
        <v>1153</v>
      </c>
    </row>
    <row r="4090" customFormat="false" ht="15" hidden="false" customHeight="false" outlineLevel="1" collapsed="false">
      <c r="A4090" s="7" t="s">
        <v>636</v>
      </c>
      <c r="B4090" s="8" t="s">
        <v>59</v>
      </c>
      <c r="C4090" s="60" t="n">
        <f aca="false">Pressupostos!$C$47*Pressupostos!$C$66/(Pressupostos!$C$46*1000)</f>
        <v>0.02</v>
      </c>
      <c r="D4090" s="60" t="n">
        <f aca="false">Pressupostos!$C$47*Pressupostos!$C$66/(Pressupostos!$C$46*1000)</f>
        <v>0.02</v>
      </c>
      <c r="E4090" s="60" t="n">
        <f aca="false">Pressupostos!$C$47*Pressupostos!$C$66/(Pressupostos!$C$46*1000)</f>
        <v>0.02</v>
      </c>
      <c r="F4090" s="60" t="n">
        <f aca="false">Pressupostos!$C$47*Pressupostos!$C$66/(Pressupostos!$C$46*1000)</f>
        <v>0.02</v>
      </c>
      <c r="G4090" s="60" t="n">
        <f aca="false">Pressupostos!$C$47*Pressupostos!$C$66/(Pressupostos!$C$46*1000)</f>
        <v>0.02</v>
      </c>
      <c r="H4090" s="2" t="s">
        <v>1154</v>
      </c>
    </row>
    <row r="4091" customFormat="false" ht="15" hidden="false" customHeight="false" outlineLevel="1" collapsed="false">
      <c r="A4091" s="7" t="s">
        <v>473</v>
      </c>
      <c r="B4091" s="8" t="s">
        <v>59</v>
      </c>
      <c r="C4091" s="60" t="n">
        <f aca="false">Pressupostos!$C$67*C4080</f>
        <v>0.018</v>
      </c>
      <c r="D4091" s="60" t="n">
        <f aca="false">Pressupostos!$C$67*D4080</f>
        <v>0.018</v>
      </c>
      <c r="E4091" s="60" t="n">
        <f aca="false">Pressupostos!$C$67*E4080</f>
        <v>0.018</v>
      </c>
      <c r="F4091" s="60" t="n">
        <f aca="false">Pressupostos!$C$67*F4080</f>
        <v>0.018</v>
      </c>
      <c r="G4091" s="60" t="n">
        <f aca="false">Pressupostos!$C$67*G4080</f>
        <v>0.018</v>
      </c>
      <c r="H4091" s="2" t="s">
        <v>1155</v>
      </c>
    </row>
    <row r="4092" customFormat="false" ht="15" hidden="false" customHeight="false" outlineLevel="1" collapsed="false">
      <c r="A4092" s="7" t="s">
        <v>474</v>
      </c>
      <c r="B4092" s="8" t="s">
        <v>59</v>
      </c>
      <c r="C4092" s="60" t="n">
        <f aca="false">Pressupostos!$C$68*Pressupostos!$C$69*C4086/90</f>
        <v>0.003</v>
      </c>
      <c r="D4092" s="60" t="n">
        <f aca="false">Pressupostos!$C$68*Pressupostos!$C$69*D4086/90</f>
        <v>0.003</v>
      </c>
      <c r="E4092" s="60" t="n">
        <f aca="false">Pressupostos!$C$68*Pressupostos!$C$69*E4086/90</f>
        <v>0.003</v>
      </c>
      <c r="F4092" s="60" t="n">
        <f aca="false">Pressupostos!$C$68*Pressupostos!$C$69*F4086/90</f>
        <v>0.003</v>
      </c>
      <c r="G4092" s="60" t="n">
        <f aca="false">Pressupostos!$C$68*Pressupostos!$C$69*G4086/90</f>
        <v>0.003</v>
      </c>
      <c r="H4092" s="2" t="s">
        <v>1156</v>
      </c>
    </row>
    <row r="4093" customFormat="false" ht="15" hidden="false" customHeight="false" outlineLevel="1" collapsed="false">
      <c r="A4093" s="7" t="s">
        <v>637</v>
      </c>
      <c r="B4093" s="8" t="s">
        <v>59</v>
      </c>
      <c r="C4093" s="60" t="n">
        <f aca="false">Pressupostos!$C$48/(Pressupostos!$C$46*1000)</f>
        <v>0.04</v>
      </c>
      <c r="D4093" s="60" t="n">
        <f aca="false">Pressupostos!$C$48/(Pressupostos!$C$46*1000)</f>
        <v>0.04</v>
      </c>
      <c r="E4093" s="60" t="n">
        <f aca="false">Pressupostos!$C$48/(Pressupostos!$C$46*1000)</f>
        <v>0.04</v>
      </c>
      <c r="F4093" s="60" t="n">
        <f aca="false">Pressupostos!$C$48/(Pressupostos!$C$46*1000)</f>
        <v>0.04</v>
      </c>
      <c r="G4093" s="60" t="n">
        <f aca="false">Pressupostos!$C$48/(Pressupostos!$C$46*1000)</f>
        <v>0.04</v>
      </c>
      <c r="H4093" s="2" t="s">
        <v>1157</v>
      </c>
    </row>
    <row r="4094" customFormat="false" ht="15" hidden="false" customHeight="false" outlineLevel="1" collapsed="false">
      <c r="A4094" s="7" t="s">
        <v>131</v>
      </c>
      <c r="B4094" s="8" t="s">
        <v>59</v>
      </c>
      <c r="C4094" s="63" t="n">
        <f aca="false">Pressupostos!$C$49</f>
        <v>0.005</v>
      </c>
      <c r="D4094" s="63" t="n">
        <f aca="false">Pressupostos!$C$49</f>
        <v>0.005</v>
      </c>
      <c r="E4094" s="63" t="n">
        <f aca="false">Pressupostos!$C$49</f>
        <v>0.005</v>
      </c>
      <c r="F4094" s="63" t="n">
        <f aca="false">Pressupostos!$C$49</f>
        <v>0.005</v>
      </c>
      <c r="G4094" s="63" t="n">
        <f aca="false">Pressupostos!$C$49</f>
        <v>0.005</v>
      </c>
      <c r="H4094" s="2" t="s">
        <v>1158</v>
      </c>
    </row>
    <row r="4095" customFormat="false" ht="15" hidden="false" customHeight="false" outlineLevel="1" collapsed="false">
      <c r="A4095" s="7" t="s">
        <v>76</v>
      </c>
      <c r="B4095" s="8" t="s">
        <v>59</v>
      </c>
      <c r="C4095" s="60" t="n">
        <f aca="false">Pressupostos!$F$25*C4082</f>
        <v>0.01335</v>
      </c>
      <c r="D4095" s="60" t="n">
        <f aca="false">Pressupostos!$F$25*D4082</f>
        <v>0.01335</v>
      </c>
      <c r="E4095" s="60" t="n">
        <f aca="false">Pressupostos!$F$25*E4082</f>
        <v>0.01335</v>
      </c>
      <c r="F4095" s="60" t="n">
        <f aca="false">Pressupostos!$F$25*F4082</f>
        <v>0.01335</v>
      </c>
      <c r="G4095" s="60" t="n">
        <f aca="false">Pressupostos!$F$25*G4082</f>
        <v>0.01335</v>
      </c>
      <c r="H4095" s="2" t="s">
        <v>1159</v>
      </c>
    </row>
    <row r="4096" customFormat="false" ht="15" hidden="false" customHeight="false" outlineLevel="1" collapsed="false">
      <c r="A4096" s="7" t="s">
        <v>638</v>
      </c>
      <c r="B4096" s="8" t="s">
        <v>59</v>
      </c>
      <c r="C4096" s="60" t="n">
        <f aca="false">Pressupostos!$C$71*C4082</f>
        <v>0</v>
      </c>
      <c r="D4096" s="60" t="n">
        <f aca="false">Pressupostos!$C$71*D4082</f>
        <v>0</v>
      </c>
      <c r="E4096" s="60" t="n">
        <f aca="false">Pressupostos!$C$71*E4082</f>
        <v>0</v>
      </c>
      <c r="F4096" s="60" t="n">
        <f aca="false">Pressupostos!$C$71*F4082</f>
        <v>0</v>
      </c>
      <c r="G4096" s="60" t="n">
        <f aca="false">Pressupostos!$C$71*G4082</f>
        <v>0</v>
      </c>
      <c r="H4096" s="2" t="s">
        <v>1160</v>
      </c>
    </row>
    <row r="4097" customFormat="false" ht="15" hidden="false" customHeight="false" outlineLevel="1" collapsed="false">
      <c r="A4097" s="7" t="s">
        <v>639</v>
      </c>
      <c r="B4097" s="8" t="s">
        <v>59</v>
      </c>
      <c r="C4097" s="60" t="n">
        <f aca="false">Pressupostos!$C$285*(C4080+C4083)*(C4086+C4087-Pressupostos!$C$70)/365*Pressupostos!$C$279/Pressupostos!$F$31</f>
        <v>0</v>
      </c>
      <c r="D4097" s="60" t="n">
        <f aca="false">Pressupostos!$D$285*(D4080+D4083)*(D4086+D4087-Pressupostos!$C$70)/365*Pressupostos!$D$279/Pressupostos!$F$31</f>
        <v>0.0549246575342466</v>
      </c>
      <c r="E4097" s="60" t="n">
        <f aca="false">Pressupostos!$E$285*(E4080+E4083)*(E4086+E4087-Pressupostos!$C$70)/365*Pressupostos!$E$279/Pressupostos!$F$31</f>
        <v>0.0514918664383562</v>
      </c>
      <c r="F4097" s="60" t="n">
        <f aca="false">Pressupostos!$F$285*(F4080+F4083)*(F4086+F4087-Pressupostos!$C$70)/365*Pressupostos!$F$279/Pressupostos!$F$31</f>
        <v>0.0480590753424658</v>
      </c>
      <c r="G4097" s="60" t="n">
        <f aca="false">Pressupostos!$G$285*(G4080+G4083)*(G4086+G4087-Pressupostos!$C$70)/365*Pressupostos!$G$279/Pressupostos!$F$31</f>
        <v>0.0480590753424658</v>
      </c>
      <c r="H4097" s="2" t="s">
        <v>1161</v>
      </c>
    </row>
    <row r="4098" customFormat="false" ht="15" hidden="false" customHeight="false" outlineLevel="1" collapsed="false">
      <c r="A4098" s="7" t="s">
        <v>640</v>
      </c>
      <c r="B4098" s="8" t="s">
        <v>59</v>
      </c>
      <c r="C4098" s="60" t="n">
        <f aca="false">C4080+C4083+C4084+C4085+C4088+C4089+C4090+C4091+C4092+C4093+C4094+C4095+C4096+C4097</f>
        <v>4.25394178082192</v>
      </c>
      <c r="D4098" s="60" t="n">
        <f aca="false">D4080+D4083+D4084+D4085+D4088+D4089+D4090+D4091+D4092+D4093+D4094+D4095+D4096+D4097</f>
        <v>4.30886643835616</v>
      </c>
      <c r="E4098" s="60" t="n">
        <f aca="false">E4080+E4083+E4084+E4085+E4088+E4089+E4090+E4091+E4092+E4093+E4094+E4095+E4096+E4097</f>
        <v>4.29543364726027</v>
      </c>
      <c r="F4098" s="60" t="n">
        <f aca="false">F4080+F4083+F4084+F4085+F4088+F4089+F4090+F4091+F4092+F4093+F4094+F4095+F4096+F4097</f>
        <v>4.29200085616438</v>
      </c>
      <c r="G4098" s="60" t="n">
        <f aca="false">G4080+G4083+G4084+G4085+G4088+G4089+G4090+G4091+G4092+G4093+G4094+G4095+G4096+G4097</f>
        <v>4.29200085616438</v>
      </c>
      <c r="H4098" s="2" t="s">
        <v>1162</v>
      </c>
    </row>
    <row r="4099" customFormat="false" ht="15" hidden="false" customHeight="false" outlineLevel="1" collapsed="false">
      <c r="A4099" s="52" t="s">
        <v>641</v>
      </c>
      <c r="B4099" s="53" t="s">
        <v>59</v>
      </c>
      <c r="C4099" s="64" t="n">
        <f aca="false">C4082-C4098</f>
        <v>0.196058219178083</v>
      </c>
      <c r="D4099" s="64" t="n">
        <f aca="false">D4082-D4098</f>
        <v>0.141133561643836</v>
      </c>
      <c r="E4099" s="64" t="n">
        <f aca="false">E4082-E4098</f>
        <v>0.154566352739726</v>
      </c>
      <c r="F4099" s="64" t="n">
        <f aca="false">F4082-F4098</f>
        <v>0.157999143835617</v>
      </c>
      <c r="G4099" s="64" t="n">
        <f aca="false">G4082-G4098</f>
        <v>0.157999143835617</v>
      </c>
      <c r="H4099" s="2" t="s">
        <v>1163</v>
      </c>
    </row>
    <row r="4100" customFormat="false" ht="15" hidden="false" customHeight="false" outlineLevel="1" collapsed="false">
      <c r="A4100" s="7" t="s">
        <v>642</v>
      </c>
      <c r="B4100" s="8" t="s">
        <v>71</v>
      </c>
      <c r="C4100" s="55" t="n">
        <f aca="false">IF(C4082&gt;0,C4099/C4082,0)</f>
        <v>0.0440580267815916</v>
      </c>
      <c r="D4100" s="55" t="n">
        <f aca="false">IF(D4082&gt;0,D4099/D4082,0)</f>
        <v>0.0317154071109745</v>
      </c>
      <c r="E4100" s="55" t="n">
        <f aca="false">IF(E4082&gt;0,E4099/E4082,0)</f>
        <v>0.0347340118516239</v>
      </c>
      <c r="F4100" s="55" t="n">
        <f aca="false">IF(F4082&gt;0,F4099/F4082,0)</f>
        <v>0.0355054255810374</v>
      </c>
      <c r="G4100" s="55" t="n">
        <f aca="false">IF(G4082&gt;0,G4099/G4082,0)</f>
        <v>0.0355054255810374</v>
      </c>
      <c r="H4100" s="2" t="s">
        <v>1164</v>
      </c>
    </row>
    <row r="4101" customFormat="false" ht="15" hidden="false" customHeight="false" outlineLevel="1" collapsed="false">
      <c r="A4101" s="7" t="s">
        <v>643</v>
      </c>
      <c r="B4101" s="8" t="s">
        <v>59</v>
      </c>
      <c r="C4101" s="60" t="n">
        <f aca="false">(C4080+C4083)*(C4086-Pressupostos!$C$70)/365+C4082*C4087/365</f>
        <v>0.670547945205479</v>
      </c>
      <c r="D4101" s="60" t="n">
        <f aca="false">(D4080+D4083)*(D4086-Pressupostos!$C$70)/365+D4082*D4087/365</f>
        <v>0.670547945205479</v>
      </c>
      <c r="E4101" s="60" t="n">
        <f aca="false">(E4080+E4083)*(E4086-Pressupostos!$C$70)/365+E4082*E4087/365</f>
        <v>0.670547945205479</v>
      </c>
      <c r="F4101" s="60" t="n">
        <f aca="false">(F4080+F4083)*(F4086-Pressupostos!$C$70)/365+F4082*F4087/365</f>
        <v>0.670547945205479</v>
      </c>
      <c r="G4101" s="60" t="n">
        <f aca="false">(G4080+G4083)*(G4086-Pressupostos!$C$70)/365+G4082*G4087/365</f>
        <v>0.670547945205479</v>
      </c>
      <c r="H4101" s="2" t="s">
        <v>1165</v>
      </c>
    </row>
    <row r="4102" customFormat="false" ht="15" hidden="false" customHeight="false" outlineLevel="0" collapsed="false">
      <c r="A4102" s="3" t="s">
        <v>1166</v>
      </c>
      <c r="B4102" s="4"/>
      <c r="C4102" s="4"/>
      <c r="D4102" s="4"/>
      <c r="E4102" s="4"/>
      <c r="F4102" s="4"/>
      <c r="G4102" s="4"/>
      <c r="H4102" s="4"/>
    </row>
    <row r="4103" customFormat="false" ht="15" hidden="false" customHeight="false" outlineLevel="1" collapsed="false">
      <c r="A4103" s="7" t="s">
        <v>633</v>
      </c>
      <c r="B4103" s="8" t="s">
        <v>59</v>
      </c>
      <c r="C4103" s="60" t="n">
        <f aca="false">Pressupostos!$F$10+Pressupostos!$F$13</f>
        <v>3.5</v>
      </c>
      <c r="D4103" s="60" t="n">
        <f aca="false">Pressupostos!$F$10+Pressupostos!$F$13</f>
        <v>3.5</v>
      </c>
      <c r="E4103" s="60" t="n">
        <f aca="false">Pressupostos!$F$10+Pressupostos!$F$13</f>
        <v>3.5</v>
      </c>
      <c r="F4103" s="60" t="n">
        <f aca="false">Pressupostos!$F$10+Pressupostos!$F$13</f>
        <v>3.5</v>
      </c>
      <c r="G4103" s="60" t="n">
        <f aca="false">Pressupostos!$F$10+Pressupostos!$F$13</f>
        <v>3.5</v>
      </c>
      <c r="H4103" s="2" t="s">
        <v>1167</v>
      </c>
    </row>
    <row r="4104" customFormat="false" ht="15" hidden="false" customHeight="false" outlineLevel="1" collapsed="false">
      <c r="A4104" s="7" t="s">
        <v>634</v>
      </c>
      <c r="B4104" s="8" t="s">
        <v>59</v>
      </c>
      <c r="C4104" s="60" t="n">
        <f aca="false">Pressupostos!$F$10+Pressupostos!$C$51</f>
        <v>3.65</v>
      </c>
      <c r="D4104" s="60" t="n">
        <f aca="false">Pressupostos!$F$10+Pressupostos!$C$51</f>
        <v>3.65</v>
      </c>
      <c r="E4104" s="60" t="n">
        <f aca="false">Pressupostos!$F$10+Pressupostos!$C$51</f>
        <v>3.65</v>
      </c>
      <c r="F4104" s="60" t="n">
        <f aca="false">Pressupostos!$F$10+Pressupostos!$C$51</f>
        <v>3.65</v>
      </c>
      <c r="G4104" s="60" t="n">
        <f aca="false">Pressupostos!$F$10+Pressupostos!$C$51</f>
        <v>3.65</v>
      </c>
      <c r="H4104" s="2" t="s">
        <v>1168</v>
      </c>
    </row>
    <row r="4105" customFormat="false" ht="15" hidden="false" customHeight="false" outlineLevel="1" collapsed="false">
      <c r="A4105" s="52" t="s">
        <v>635</v>
      </c>
      <c r="B4105" s="53" t="s">
        <v>59</v>
      </c>
      <c r="C4105" s="64" t="n">
        <f aca="false">C4104*(1-Pressupostos!$C$52)</f>
        <v>3.65</v>
      </c>
      <c r="D4105" s="64" t="n">
        <f aca="false">D4104*(1-Pressupostos!$C$52)</f>
        <v>3.65</v>
      </c>
      <c r="E4105" s="64" t="n">
        <f aca="false">E4104*(1-Pressupostos!$C$52)</f>
        <v>3.65</v>
      </c>
      <c r="F4105" s="64" t="n">
        <f aca="false">F4104*(1-Pressupostos!$C$52)</f>
        <v>3.65</v>
      </c>
      <c r="G4105" s="64" t="n">
        <f aca="false">G4104*(1-Pressupostos!$C$52)</f>
        <v>3.65</v>
      </c>
      <c r="H4105" s="2" t="s">
        <v>1169</v>
      </c>
    </row>
    <row r="4106" customFormat="false" ht="15" hidden="false" customHeight="false" outlineLevel="1" collapsed="false">
      <c r="A4106" s="7" t="s">
        <v>136</v>
      </c>
      <c r="B4106" s="8" t="s">
        <v>59</v>
      </c>
      <c r="C4106" s="63" t="n">
        <f aca="false">Pressupostos!$C$53</f>
        <v>0</v>
      </c>
      <c r="D4106" s="63" t="n">
        <f aca="false">Pressupostos!$C$53</f>
        <v>0</v>
      </c>
      <c r="E4106" s="63" t="n">
        <f aca="false">Pressupostos!$C$53</f>
        <v>0</v>
      </c>
      <c r="F4106" s="63" t="n">
        <f aca="false">Pressupostos!$C$53</f>
        <v>0</v>
      </c>
      <c r="G4106" s="63" t="n">
        <f aca="false">Pressupostos!$C$53</f>
        <v>0</v>
      </c>
      <c r="H4106" s="2" t="s">
        <v>1170</v>
      </c>
    </row>
    <row r="4107" customFormat="false" ht="15" hidden="false" customHeight="false" outlineLevel="1" collapsed="false">
      <c r="A4107" s="7" t="s">
        <v>205</v>
      </c>
      <c r="B4107" s="8" t="s">
        <v>59</v>
      </c>
      <c r="C4107" s="63" t="n">
        <f aca="false">Pressupostos!$C$54</f>
        <v>0.04</v>
      </c>
      <c r="D4107" s="63" t="n">
        <f aca="false">Pressupostos!$C$54</f>
        <v>0.04</v>
      </c>
      <c r="E4107" s="63" t="n">
        <f aca="false">Pressupostos!$C$54</f>
        <v>0.04</v>
      </c>
      <c r="F4107" s="63" t="n">
        <f aca="false">Pressupostos!$C$54</f>
        <v>0.04</v>
      </c>
      <c r="G4107" s="63" t="n">
        <f aca="false">Pressupostos!$C$54</f>
        <v>0.04</v>
      </c>
      <c r="H4107" s="2" t="s">
        <v>1171</v>
      </c>
    </row>
    <row r="4108" customFormat="false" ht="15" hidden="false" customHeight="false" outlineLevel="1" collapsed="false">
      <c r="A4108" s="7" t="s">
        <v>109</v>
      </c>
      <c r="B4108" s="8" t="s">
        <v>59</v>
      </c>
      <c r="C4108" s="63" t="n">
        <f aca="false">Pressupostos!$C$55</f>
        <v>0</v>
      </c>
      <c r="D4108" s="63" t="n">
        <f aca="false">Pressupostos!$C$55</f>
        <v>0</v>
      </c>
      <c r="E4108" s="63" t="n">
        <f aca="false">Pressupostos!$C$55</f>
        <v>0</v>
      </c>
      <c r="F4108" s="63" t="n">
        <f aca="false">Pressupostos!$C$55</f>
        <v>0</v>
      </c>
      <c r="G4108" s="63" t="n">
        <f aca="false">Pressupostos!$C$55</f>
        <v>0</v>
      </c>
      <c r="H4108" s="2" t="s">
        <v>1172</v>
      </c>
    </row>
    <row r="4109" customFormat="false" ht="15" hidden="false" customHeight="false" outlineLevel="1" collapsed="false">
      <c r="A4109" s="7" t="s">
        <v>86</v>
      </c>
      <c r="B4109" s="8" t="s">
        <v>74</v>
      </c>
      <c r="C4109" s="65" t="n">
        <f aca="false">Pressupostos!$C$56</f>
        <v>15</v>
      </c>
      <c r="D4109" s="65" t="n">
        <f aca="false">Pressupostos!$C$56</f>
        <v>15</v>
      </c>
      <c r="E4109" s="65" t="n">
        <f aca="false">Pressupostos!$C$56</f>
        <v>15</v>
      </c>
      <c r="F4109" s="65" t="n">
        <f aca="false">Pressupostos!$C$56</f>
        <v>15</v>
      </c>
      <c r="G4109" s="65" t="n">
        <f aca="false">Pressupostos!$C$56</f>
        <v>15</v>
      </c>
      <c r="H4109" s="2" t="s">
        <v>1173</v>
      </c>
    </row>
    <row r="4110" customFormat="false" ht="15" hidden="false" customHeight="false" outlineLevel="1" collapsed="false">
      <c r="A4110" s="7" t="s">
        <v>73</v>
      </c>
      <c r="B4110" s="8" t="s">
        <v>74</v>
      </c>
      <c r="C4110" s="65" t="n">
        <f aca="false">Pressupostos!$C$57</f>
        <v>45</v>
      </c>
      <c r="D4110" s="65" t="n">
        <f aca="false">Pressupostos!$C$57</f>
        <v>45</v>
      </c>
      <c r="E4110" s="65" t="n">
        <f aca="false">Pressupostos!$C$57</f>
        <v>45</v>
      </c>
      <c r="F4110" s="65" t="n">
        <f aca="false">Pressupostos!$C$57</f>
        <v>45</v>
      </c>
      <c r="G4110" s="65" t="n">
        <f aca="false">Pressupostos!$C$57</f>
        <v>45</v>
      </c>
      <c r="H4110" s="2" t="s">
        <v>1174</v>
      </c>
    </row>
    <row r="4111" customFormat="false" ht="15" hidden="false" customHeight="false" outlineLevel="1" collapsed="false">
      <c r="A4111" s="7" t="s">
        <v>471</v>
      </c>
      <c r="B4111" s="8" t="s">
        <v>59</v>
      </c>
      <c r="C4111" s="60" t="n">
        <f aca="false">Pressupostos!$C$64*C4109/30/1000</f>
        <v>0.002</v>
      </c>
      <c r="D4111" s="60" t="n">
        <f aca="false">Pressupostos!$C$64*D4109/30/1000</f>
        <v>0.002</v>
      </c>
      <c r="E4111" s="60" t="n">
        <f aca="false">Pressupostos!$C$64*E4109/30/1000</f>
        <v>0.002</v>
      </c>
      <c r="F4111" s="60" t="n">
        <f aca="false">Pressupostos!$C$64*F4109/30/1000</f>
        <v>0.002</v>
      </c>
      <c r="G4111" s="60" t="n">
        <f aca="false">Pressupostos!$C$64*G4109/30/1000</f>
        <v>0.002</v>
      </c>
      <c r="H4111" s="2" t="s">
        <v>1175</v>
      </c>
    </row>
    <row r="4112" customFormat="false" ht="15" hidden="false" customHeight="false" outlineLevel="1" collapsed="false">
      <c r="A4112" s="7" t="s">
        <v>154</v>
      </c>
      <c r="B4112" s="8" t="s">
        <v>59</v>
      </c>
      <c r="C4112" s="60" t="n">
        <f aca="false">C4103*Pressupostos!$C$65*C4109/365</f>
        <v>0.000287671232876712</v>
      </c>
      <c r="D4112" s="60" t="n">
        <f aca="false">D4103*Pressupostos!$C$65*D4109/365</f>
        <v>0.000287671232876712</v>
      </c>
      <c r="E4112" s="60" t="n">
        <f aca="false">E4103*Pressupostos!$C$65*E4109/365</f>
        <v>0.000287671232876712</v>
      </c>
      <c r="F4112" s="60" t="n">
        <f aca="false">F4103*Pressupostos!$C$65*F4109/365</f>
        <v>0.000287671232876712</v>
      </c>
      <c r="G4112" s="60" t="n">
        <f aca="false">G4103*Pressupostos!$C$65*G4109/365</f>
        <v>0.000287671232876712</v>
      </c>
      <c r="H4112" s="2" t="s">
        <v>1176</v>
      </c>
    </row>
    <row r="4113" customFormat="false" ht="15" hidden="false" customHeight="false" outlineLevel="1" collapsed="false">
      <c r="A4113" s="7" t="s">
        <v>636</v>
      </c>
      <c r="B4113" s="8" t="s">
        <v>59</v>
      </c>
      <c r="C4113" s="60" t="n">
        <f aca="false">Pressupostos!$C$59*Pressupostos!$C$66/(Pressupostos!$C$58*1000)</f>
        <v>0.006</v>
      </c>
      <c r="D4113" s="60" t="n">
        <f aca="false">Pressupostos!$C$59*Pressupostos!$C$66/(Pressupostos!$C$58*1000)</f>
        <v>0.006</v>
      </c>
      <c r="E4113" s="60" t="n">
        <f aca="false">Pressupostos!$C$59*Pressupostos!$C$66/(Pressupostos!$C$58*1000)</f>
        <v>0.006</v>
      </c>
      <c r="F4113" s="60" t="n">
        <f aca="false">Pressupostos!$C$59*Pressupostos!$C$66/(Pressupostos!$C$58*1000)</f>
        <v>0.006</v>
      </c>
      <c r="G4113" s="60" t="n">
        <f aca="false">Pressupostos!$C$59*Pressupostos!$C$66/(Pressupostos!$C$58*1000)</f>
        <v>0.006</v>
      </c>
      <c r="H4113" s="2" t="s">
        <v>1177</v>
      </c>
    </row>
    <row r="4114" customFormat="false" ht="15" hidden="false" customHeight="false" outlineLevel="1" collapsed="false">
      <c r="A4114" s="7" t="s">
        <v>473</v>
      </c>
      <c r="B4114" s="8" t="s">
        <v>59</v>
      </c>
      <c r="C4114" s="60" t="n">
        <f aca="false">Pressupostos!$C$67*C4103</f>
        <v>0.0175</v>
      </c>
      <c r="D4114" s="60" t="n">
        <f aca="false">Pressupostos!$C$67*D4103</f>
        <v>0.0175</v>
      </c>
      <c r="E4114" s="60" t="n">
        <f aca="false">Pressupostos!$C$67*E4103</f>
        <v>0.0175</v>
      </c>
      <c r="F4114" s="60" t="n">
        <f aca="false">Pressupostos!$C$67*F4103</f>
        <v>0.0175</v>
      </c>
      <c r="G4114" s="60" t="n">
        <f aca="false">Pressupostos!$C$67*G4103</f>
        <v>0.0175</v>
      </c>
      <c r="H4114" s="2" t="s">
        <v>1178</v>
      </c>
    </row>
    <row r="4115" customFormat="false" ht="15" hidden="false" customHeight="false" outlineLevel="1" collapsed="false">
      <c r="A4115" s="7" t="s">
        <v>474</v>
      </c>
      <c r="B4115" s="8" t="s">
        <v>59</v>
      </c>
      <c r="C4115" s="60" t="n">
        <f aca="false">Pressupostos!$C$68*Pressupostos!$C$69*C4109/90</f>
        <v>0.0015</v>
      </c>
      <c r="D4115" s="60" t="n">
        <f aca="false">Pressupostos!$C$68*Pressupostos!$C$69*D4109/90</f>
        <v>0.0015</v>
      </c>
      <c r="E4115" s="60" t="n">
        <f aca="false">Pressupostos!$C$68*Pressupostos!$C$69*E4109/90</f>
        <v>0.0015</v>
      </c>
      <c r="F4115" s="60" t="n">
        <f aca="false">Pressupostos!$C$68*Pressupostos!$C$69*F4109/90</f>
        <v>0.0015</v>
      </c>
      <c r="G4115" s="60" t="n">
        <f aca="false">Pressupostos!$C$68*Pressupostos!$C$69*G4109/90</f>
        <v>0.0015</v>
      </c>
      <c r="H4115" s="2" t="s">
        <v>1179</v>
      </c>
    </row>
    <row r="4116" customFormat="false" ht="15" hidden="false" customHeight="false" outlineLevel="1" collapsed="false">
      <c r="A4116" s="7" t="s">
        <v>637</v>
      </c>
      <c r="B4116" s="8" t="s">
        <v>59</v>
      </c>
      <c r="C4116" s="60" t="n">
        <f aca="false">Pressupostos!$C$60/(Pressupostos!$C$58*1000)</f>
        <v>0.012</v>
      </c>
      <c r="D4116" s="60" t="n">
        <f aca="false">Pressupostos!$C$60/(Pressupostos!$C$58*1000)</f>
        <v>0.012</v>
      </c>
      <c r="E4116" s="60" t="n">
        <f aca="false">Pressupostos!$C$60/(Pressupostos!$C$58*1000)</f>
        <v>0.012</v>
      </c>
      <c r="F4116" s="60" t="n">
        <f aca="false">Pressupostos!$C$60/(Pressupostos!$C$58*1000)</f>
        <v>0.012</v>
      </c>
      <c r="G4116" s="60" t="n">
        <f aca="false">Pressupostos!$C$60/(Pressupostos!$C$58*1000)</f>
        <v>0.012</v>
      </c>
      <c r="H4116" s="2" t="s">
        <v>1180</v>
      </c>
    </row>
    <row r="4117" customFormat="false" ht="15" hidden="false" customHeight="false" outlineLevel="1" collapsed="false">
      <c r="A4117" s="7" t="s">
        <v>131</v>
      </c>
      <c r="B4117" s="8" t="s">
        <v>59</v>
      </c>
      <c r="C4117" s="63" t="n">
        <f aca="false">Pressupostos!$C$61</f>
        <v>0.001</v>
      </c>
      <c r="D4117" s="63" t="n">
        <f aca="false">Pressupostos!$C$61</f>
        <v>0.001</v>
      </c>
      <c r="E4117" s="63" t="n">
        <f aca="false">Pressupostos!$C$61</f>
        <v>0.001</v>
      </c>
      <c r="F4117" s="63" t="n">
        <f aca="false">Pressupostos!$C$61</f>
        <v>0.001</v>
      </c>
      <c r="G4117" s="63" t="n">
        <f aca="false">Pressupostos!$C$61</f>
        <v>0.001</v>
      </c>
      <c r="H4117" s="2" t="s">
        <v>1181</v>
      </c>
    </row>
    <row r="4118" customFormat="false" ht="15" hidden="false" customHeight="false" outlineLevel="1" collapsed="false">
      <c r="A4118" s="7" t="s">
        <v>76</v>
      </c>
      <c r="B4118" s="8" t="s">
        <v>59</v>
      </c>
      <c r="C4118" s="60" t="n">
        <f aca="false">Pressupostos!$C$62*C4105</f>
        <v>0.01095</v>
      </c>
      <c r="D4118" s="60" t="n">
        <f aca="false">Pressupostos!$C$62*D4105</f>
        <v>0.01095</v>
      </c>
      <c r="E4118" s="60" t="n">
        <f aca="false">Pressupostos!$C$62*E4105</f>
        <v>0.01095</v>
      </c>
      <c r="F4118" s="60" t="n">
        <f aca="false">Pressupostos!$C$62*F4105</f>
        <v>0.01095</v>
      </c>
      <c r="G4118" s="60" t="n">
        <f aca="false">Pressupostos!$C$62*G4105</f>
        <v>0.01095</v>
      </c>
      <c r="H4118" s="2" t="s">
        <v>1182</v>
      </c>
    </row>
    <row r="4119" customFormat="false" ht="15" hidden="false" customHeight="false" outlineLevel="1" collapsed="false">
      <c r="A4119" s="7" t="s">
        <v>638</v>
      </c>
      <c r="B4119" s="8" t="s">
        <v>59</v>
      </c>
      <c r="C4119" s="60" t="n">
        <f aca="false">Pressupostos!$C$71*C4105</f>
        <v>0</v>
      </c>
      <c r="D4119" s="60" t="n">
        <f aca="false">Pressupostos!$C$71*D4105</f>
        <v>0</v>
      </c>
      <c r="E4119" s="60" t="n">
        <f aca="false">Pressupostos!$C$71*E4105</f>
        <v>0</v>
      </c>
      <c r="F4119" s="60" t="n">
        <f aca="false">Pressupostos!$C$71*F4105</f>
        <v>0</v>
      </c>
      <c r="G4119" s="60" t="n">
        <f aca="false">Pressupostos!$C$71*G4105</f>
        <v>0</v>
      </c>
      <c r="H4119" s="2" t="s">
        <v>1183</v>
      </c>
    </row>
    <row r="4120" customFormat="false" ht="15" hidden="false" customHeight="false" outlineLevel="1" collapsed="false">
      <c r="A4120" s="7" t="s">
        <v>639</v>
      </c>
      <c r="B4120" s="8" t="s">
        <v>59</v>
      </c>
      <c r="C4120" s="60" t="n">
        <f aca="false">Pressupostos!$C$285*(C4103+C4106)*(C4109+C4110-Pressupostos!$C$70)/365*Pressupostos!$C$279/Pressupostos!$F$31</f>
        <v>0</v>
      </c>
      <c r="D4120" s="60" t="n">
        <f aca="false">Pressupostos!$D$285*(D4103+D4106)*(D4109+D4110-Pressupostos!$C$70)/365*Pressupostos!$D$279/Pressupostos!$F$31</f>
        <v>0.0258904109589041</v>
      </c>
      <c r="E4120" s="60" t="n">
        <f aca="false">Pressupostos!$E$285*(E4103+E4106)*(E4109+E4110-Pressupostos!$C$70)/365*Pressupostos!$E$279/Pressupostos!$F$31</f>
        <v>0.0242722602739726</v>
      </c>
      <c r="F4120" s="60" t="n">
        <f aca="false">Pressupostos!$F$285*(F4103+F4106)*(F4109+F4110-Pressupostos!$C$70)/365*Pressupostos!$F$279/Pressupostos!$F$31</f>
        <v>0.0226541095890411</v>
      </c>
      <c r="G4120" s="60" t="n">
        <f aca="false">Pressupostos!$G$285*(G4103+G4106)*(G4109+G4110-Pressupostos!$C$70)/365*Pressupostos!$G$279/Pressupostos!$F$31</f>
        <v>0.0226541095890411</v>
      </c>
      <c r="H4120" s="2" t="s">
        <v>1184</v>
      </c>
    </row>
    <row r="4121" customFormat="false" ht="15" hidden="false" customHeight="false" outlineLevel="1" collapsed="false">
      <c r="A4121" s="7" t="s">
        <v>640</v>
      </c>
      <c r="B4121" s="8" t="s">
        <v>59</v>
      </c>
      <c r="C4121" s="60" t="n">
        <f aca="false">C4103+C4106+C4107+C4108+C4111+C4112+C4113+C4114+C4115+C4116+C4117+C4118+C4119+C4120</f>
        <v>3.59123767123288</v>
      </c>
      <c r="D4121" s="60" t="n">
        <f aca="false">D4103+D4106+D4107+D4108+D4111+D4112+D4113+D4114+D4115+D4116+D4117+D4118+D4119+D4120</f>
        <v>3.61712808219178</v>
      </c>
      <c r="E4121" s="60" t="n">
        <f aca="false">E4103+E4106+E4107+E4108+E4111+E4112+E4113+E4114+E4115+E4116+E4117+E4118+E4119+E4120</f>
        <v>3.61550993150685</v>
      </c>
      <c r="F4121" s="60" t="n">
        <f aca="false">F4103+F4106+F4107+F4108+F4111+F4112+F4113+F4114+F4115+F4116+F4117+F4118+F4119+F4120</f>
        <v>3.61389178082192</v>
      </c>
      <c r="G4121" s="60" t="n">
        <f aca="false">G4103+G4106+G4107+G4108+G4111+G4112+G4113+G4114+G4115+G4116+G4117+G4118+G4119+G4120</f>
        <v>3.61389178082192</v>
      </c>
      <c r="H4121" s="2" t="s">
        <v>1185</v>
      </c>
    </row>
    <row r="4122" customFormat="false" ht="15" hidden="false" customHeight="false" outlineLevel="1" collapsed="false">
      <c r="A4122" s="52" t="s">
        <v>641</v>
      </c>
      <c r="B4122" s="53" t="s">
        <v>59</v>
      </c>
      <c r="C4122" s="64" t="n">
        <f aca="false">C4105-C4121</f>
        <v>0.058762328767124</v>
      </c>
      <c r="D4122" s="64" t="n">
        <f aca="false">D4105-D4121</f>
        <v>0.0328719178082197</v>
      </c>
      <c r="E4122" s="64" t="n">
        <f aca="false">E4105-E4121</f>
        <v>0.0344900684931515</v>
      </c>
      <c r="F4122" s="64" t="n">
        <f aca="false">F4105-F4121</f>
        <v>0.0361082191780828</v>
      </c>
      <c r="G4122" s="64" t="n">
        <f aca="false">G4105-G4121</f>
        <v>0.0361082191780828</v>
      </c>
      <c r="H4122" s="2" t="s">
        <v>1186</v>
      </c>
    </row>
    <row r="4123" customFormat="false" ht="15" hidden="false" customHeight="false" outlineLevel="1" collapsed="false">
      <c r="A4123" s="7" t="s">
        <v>642</v>
      </c>
      <c r="B4123" s="8" t="s">
        <v>71</v>
      </c>
      <c r="C4123" s="55" t="n">
        <f aca="false">IF(C4105&gt;0,C4122/C4105,0)</f>
        <v>0.0160992681553764</v>
      </c>
      <c r="D4123" s="55" t="n">
        <f aca="false">IF(D4105&gt;0,D4122/D4105,0)</f>
        <v>0.00900600487896431</v>
      </c>
      <c r="E4123" s="55" t="n">
        <f aca="false">IF(E4105&gt;0,E4122/E4105,0)</f>
        <v>0.00944933383374014</v>
      </c>
      <c r="F4123" s="55" t="n">
        <f aca="false">IF(F4105&gt;0,F4122/F4105,0)</f>
        <v>0.00989266278851584</v>
      </c>
      <c r="G4123" s="55" t="n">
        <f aca="false">IF(G4105&gt;0,G4122/G4105,0)</f>
        <v>0.00989266278851584</v>
      </c>
      <c r="H4123" s="2" t="s">
        <v>1187</v>
      </c>
    </row>
    <row r="4124" customFormat="false" ht="15" hidden="false" customHeight="false" outlineLevel="1" collapsed="false">
      <c r="A4124" s="7" t="s">
        <v>643</v>
      </c>
      <c r="B4124" s="8" t="s">
        <v>59</v>
      </c>
      <c r="C4124" s="60" t="n">
        <f aca="false">(C4103+C4106)*(C4109-Pressupostos!$C$70)/365+C4105*C4110/365</f>
        <v>0.306164383561644</v>
      </c>
      <c r="D4124" s="60" t="n">
        <f aca="false">(D4103+D4106)*(D4109-Pressupostos!$C$70)/365+D4105*D4110/365</f>
        <v>0.306164383561644</v>
      </c>
      <c r="E4124" s="60" t="n">
        <f aca="false">(E4103+E4106)*(E4109-Pressupostos!$C$70)/365+E4105*E4110/365</f>
        <v>0.306164383561644</v>
      </c>
      <c r="F4124" s="60" t="n">
        <f aca="false">(F4103+F4106)*(F4109-Pressupostos!$C$70)/365+F4105*F4110/365</f>
        <v>0.306164383561644</v>
      </c>
      <c r="G4124" s="60" t="n">
        <f aca="false">(G4103+G4106)*(G4109-Pressupostos!$C$70)/365+G4105*G4110/365</f>
        <v>0.306164383561644</v>
      </c>
      <c r="H4124" s="2" t="s">
        <v>1188</v>
      </c>
    </row>
    <row r="4125" customFormat="false" ht="15" hidden="false" customHeight="false" outlineLevel="0" collapsed="false">
      <c r="A4125" s="3" t="s">
        <v>1189</v>
      </c>
      <c r="B4125" s="4"/>
      <c r="C4125" s="4"/>
      <c r="D4125" s="4"/>
      <c r="E4125" s="4"/>
      <c r="F4125" s="4"/>
      <c r="G4125" s="4"/>
      <c r="H4125" s="4"/>
    </row>
    <row r="4126" customFormat="false" ht="15" hidden="false" customHeight="false" outlineLevel="1" collapsed="false">
      <c r="A4126" s="7" t="s">
        <v>575</v>
      </c>
      <c r="B4126" s="8" t="s">
        <v>10</v>
      </c>
      <c r="C4126" s="58" t="n">
        <f aca="false">C4041*1000*C4059</f>
        <v>41820</v>
      </c>
      <c r="D4126" s="58" t="n">
        <f aca="false">D4041*1000*D4059</f>
        <v>156825</v>
      </c>
      <c r="E4126" s="58" t="n">
        <f aca="false">E4041*1000*E4059</f>
        <v>418200</v>
      </c>
      <c r="F4126" s="58" t="n">
        <f aca="false">F4041*1000*F4059</f>
        <v>731850</v>
      </c>
      <c r="G4126" s="58" t="n">
        <f aca="false">G4041*1000*G4059</f>
        <v>1045500</v>
      </c>
      <c r="H4126" s="2" t="s">
        <v>1190</v>
      </c>
    </row>
    <row r="4127" customFormat="false" ht="15" hidden="false" customHeight="false" outlineLevel="1" collapsed="false">
      <c r="A4127" s="7" t="s">
        <v>576</v>
      </c>
      <c r="B4127" s="8" t="s">
        <v>10</v>
      </c>
      <c r="C4127" s="58" t="n">
        <f aca="false">C4042*1000*C4082</f>
        <v>231400</v>
      </c>
      <c r="D4127" s="58" t="n">
        <f aca="false">D4042*1000*D4082</f>
        <v>1615350</v>
      </c>
      <c r="E4127" s="58" t="n">
        <f aca="false">E4042*1000*E4082</f>
        <v>3190650</v>
      </c>
      <c r="F4127" s="58" t="n">
        <f aca="false">F4042*1000*F4082</f>
        <v>5264350</v>
      </c>
      <c r="G4127" s="58" t="n">
        <f aca="false">G4042*1000*G4082</f>
        <v>7965500</v>
      </c>
      <c r="H4127" s="2" t="s">
        <v>1191</v>
      </c>
    </row>
    <row r="4128" customFormat="false" ht="15" hidden="false" customHeight="false" outlineLevel="1" collapsed="false">
      <c r="A4128" s="7" t="s">
        <v>577</v>
      </c>
      <c r="B4128" s="8" t="s">
        <v>10</v>
      </c>
      <c r="C4128" s="58" t="n">
        <f aca="false">C4043*1000*C4105</f>
        <v>0</v>
      </c>
      <c r="D4128" s="58" t="n">
        <f aca="false">D4043*1000*D4105</f>
        <v>1825000</v>
      </c>
      <c r="E4128" s="58" t="n">
        <f aca="false">E4043*1000*E4105</f>
        <v>5475000</v>
      </c>
      <c r="F4128" s="58" t="n">
        <f aca="false">F4043*1000*F4105</f>
        <v>9125000</v>
      </c>
      <c r="G4128" s="58" t="n">
        <f aca="false">G4043*1000*G4105</f>
        <v>12775000</v>
      </c>
      <c r="H4128" s="2" t="s">
        <v>1192</v>
      </c>
    </row>
    <row r="4129" customFormat="false" ht="15" hidden="false" customHeight="false" outlineLevel="1" collapsed="false">
      <c r="A4129" s="7" t="s">
        <v>578</v>
      </c>
      <c r="B4129" s="8" t="s">
        <v>10</v>
      </c>
      <c r="C4129" s="58" t="n">
        <f aca="false">C4126+C4127+C4128</f>
        <v>273220</v>
      </c>
      <c r="D4129" s="58" t="n">
        <f aca="false">D4126+D4127+D4128</f>
        <v>3597175</v>
      </c>
      <c r="E4129" s="58" t="n">
        <f aca="false">E4126+E4127+E4128</f>
        <v>9083850</v>
      </c>
      <c r="F4129" s="58" t="n">
        <f aca="false">F4126+F4127+F4128</f>
        <v>15121200</v>
      </c>
      <c r="G4129" s="58" t="n">
        <f aca="false">G4126+G4127+G4128</f>
        <v>21786000</v>
      </c>
      <c r="H4129" s="2" t="s">
        <v>1193</v>
      </c>
    </row>
    <row r="4130" customFormat="false" ht="15" hidden="false" customHeight="false" outlineLevel="1" collapsed="false">
      <c r="A4130" s="7" t="s">
        <v>579</v>
      </c>
      <c r="B4130" s="8" t="s">
        <v>10</v>
      </c>
      <c r="C4130" s="58" t="n">
        <f aca="false">C4052*1000*Pressupostos!$C$91</f>
        <v>0</v>
      </c>
      <c r="D4130" s="58" t="n">
        <f aca="false">D4052*1000*Pressupostos!$C$91</f>
        <v>0</v>
      </c>
      <c r="E4130" s="58" t="n">
        <f aca="false">E4052*1000*Pressupostos!$C$91</f>
        <v>0</v>
      </c>
      <c r="F4130" s="58" t="n">
        <f aca="false">F4052*1000*Pressupostos!$C$91</f>
        <v>157000</v>
      </c>
      <c r="G4130" s="58" t="n">
        <f aca="false">G4052*1000*Pressupostos!$C$91</f>
        <v>392500</v>
      </c>
      <c r="H4130" s="2" t="s">
        <v>1194</v>
      </c>
    </row>
    <row r="4131" customFormat="false" ht="15" hidden="false" customHeight="false" outlineLevel="1" collapsed="false">
      <c r="A4131" s="2" t="s">
        <v>580</v>
      </c>
      <c r="B4131" s="8" t="s">
        <v>10</v>
      </c>
      <c r="C4131" s="58" t="n">
        <f aca="false">C4050*Pressupostos!$C$78*(1-Pressupostos!$C$79)</f>
        <v>9720</v>
      </c>
      <c r="D4131" s="58" t="n">
        <f aca="false">D4050*Pressupostos!$C$78*(1-Pressupostos!$C$79)</f>
        <v>36450</v>
      </c>
      <c r="E4131" s="58" t="n">
        <f aca="false">E4050*Pressupostos!$C$78*(1-Pressupostos!$C$79)</f>
        <v>97200</v>
      </c>
      <c r="F4131" s="58" t="n">
        <f aca="false">F4050*Pressupostos!$C$78*(1-Pressupostos!$C$79)</f>
        <v>170100</v>
      </c>
      <c r="G4131" s="58" t="n">
        <f aca="false">G4050*Pressupostos!$C$78*(1-Pressupostos!$C$79)</f>
        <v>243000</v>
      </c>
      <c r="H4131" s="2" t="s">
        <v>1195</v>
      </c>
    </row>
    <row r="4132" customFormat="false" ht="15" hidden="false" customHeight="false" outlineLevel="1" collapsed="false">
      <c r="A4132" s="7" t="s">
        <v>581</v>
      </c>
      <c r="B4132" s="8" t="s">
        <v>10</v>
      </c>
      <c r="C4132" s="58" t="n">
        <f aca="false">C4131*Pressupostos!$F$27</f>
        <v>194.4</v>
      </c>
      <c r="D4132" s="58" t="n">
        <f aca="false">D4131*Pressupostos!$F$27</f>
        <v>729</v>
      </c>
      <c r="E4132" s="58" t="n">
        <f aca="false">E4131*Pressupostos!$F$27</f>
        <v>1944</v>
      </c>
      <c r="F4132" s="58" t="n">
        <f aca="false">F4131*Pressupostos!$F$27</f>
        <v>3402</v>
      </c>
      <c r="G4132" s="58" t="n">
        <f aca="false">G4131*Pressupostos!$F$27</f>
        <v>4860</v>
      </c>
      <c r="H4132" s="2" t="s">
        <v>1196</v>
      </c>
    </row>
    <row r="4133" customFormat="false" ht="15" hidden="false" customHeight="false" outlineLevel="1" collapsed="false">
      <c r="A4133" s="7" t="s">
        <v>582</v>
      </c>
      <c r="B4133" s="8" t="s">
        <v>10</v>
      </c>
      <c r="C4133" s="58" t="n">
        <f aca="false">C4054*(Pressupostos!$C$99*Pressupostos!$C$100+Pressupostos!$C$101)</f>
        <v>0</v>
      </c>
      <c r="D4133" s="58" t="n">
        <f aca="false">D4054*(Pressupostos!$C$99*Pressupostos!$C$100+Pressupostos!$C$101)</f>
        <v>10000</v>
      </c>
      <c r="E4133" s="58" t="n">
        <f aca="false">E4054*(Pressupostos!$C$99*Pressupostos!$C$100+Pressupostos!$C$101)</f>
        <v>30000</v>
      </c>
      <c r="F4133" s="58" t="n">
        <f aca="false">F4054*(Pressupostos!$C$99*Pressupostos!$C$100+Pressupostos!$C$101)</f>
        <v>60000</v>
      </c>
      <c r="G4133" s="58" t="n">
        <f aca="false">G4054*(Pressupostos!$C$99*Pressupostos!$C$100+Pressupostos!$C$101)</f>
        <v>100000</v>
      </c>
      <c r="H4133" s="2" t="s">
        <v>1197</v>
      </c>
    </row>
    <row r="4134" customFormat="false" ht="15" hidden="false" customHeight="false" outlineLevel="1" collapsed="false">
      <c r="A4134" s="7" t="s">
        <v>583</v>
      </c>
      <c r="B4134" s="8" t="s">
        <v>10</v>
      </c>
      <c r="C4134" s="50" t="n">
        <f aca="false">Pressupostos!$C$272</f>
        <v>0</v>
      </c>
      <c r="D4134" s="50" t="n">
        <f aca="false">Pressupostos!$D$272</f>
        <v>0</v>
      </c>
      <c r="E4134" s="50" t="n">
        <f aca="false">Pressupostos!$E$272</f>
        <v>0</v>
      </c>
      <c r="F4134" s="50" t="n">
        <f aca="false">Pressupostos!$F$272</f>
        <v>10000</v>
      </c>
      <c r="G4134" s="50" t="n">
        <f aca="false">Pressupostos!$G$272</f>
        <v>30000</v>
      </c>
      <c r="H4134" s="2" t="s">
        <v>1198</v>
      </c>
    </row>
    <row r="4135" customFormat="false" ht="15" hidden="false" customHeight="false" outlineLevel="1" collapsed="false">
      <c r="A4135" s="52" t="s">
        <v>584</v>
      </c>
      <c r="B4135" s="53" t="s">
        <v>10</v>
      </c>
      <c r="C4135" s="59" t="n">
        <f aca="false">C4129+C4130+C4132+C4133+C4134</f>
        <v>273414.4</v>
      </c>
      <c r="D4135" s="59" t="n">
        <f aca="false">D4129+D4130+D4132+D4133+D4134</f>
        <v>3607904</v>
      </c>
      <c r="E4135" s="59" t="n">
        <f aca="false">E4129+E4130+E4132+E4133+E4134</f>
        <v>9115794</v>
      </c>
      <c r="F4135" s="59" t="n">
        <f aca="false">F4129+F4130+F4132+F4133+F4134</f>
        <v>15351602</v>
      </c>
      <c r="G4135" s="59" t="n">
        <f aca="false">G4129+G4130+G4132+G4133+G4134</f>
        <v>22313360</v>
      </c>
      <c r="H4135" s="2" t="s">
        <v>1199</v>
      </c>
    </row>
    <row r="4136" customFormat="false" ht="15" hidden="false" customHeight="false" outlineLevel="0" collapsed="false">
      <c r="A4136" s="3" t="s">
        <v>1200</v>
      </c>
      <c r="B4136" s="4"/>
      <c r="C4136" s="4"/>
      <c r="D4136" s="4"/>
      <c r="E4136" s="4"/>
      <c r="F4136" s="4"/>
      <c r="G4136" s="4"/>
      <c r="H4136" s="4"/>
    </row>
    <row r="4137" customFormat="false" ht="15" hidden="false" customHeight="false" outlineLevel="1" collapsed="false">
      <c r="A4137" s="52" t="s">
        <v>586</v>
      </c>
      <c r="B4137" s="53" t="s">
        <v>10</v>
      </c>
      <c r="C4137" s="59" t="n">
        <f aca="false">C4129+C4130+C4131</f>
        <v>282940</v>
      </c>
      <c r="D4137" s="59" t="n">
        <f aca="false">D4129+D4130+D4131</f>
        <v>3633625</v>
      </c>
      <c r="E4137" s="59" t="n">
        <f aca="false">E4129+E4130+E4131</f>
        <v>9181050</v>
      </c>
      <c r="F4137" s="59" t="n">
        <f aca="false">F4129+F4130+F4131</f>
        <v>15448300</v>
      </c>
      <c r="G4137" s="59" t="n">
        <f aca="false">G4129+G4130+G4131</f>
        <v>22421500</v>
      </c>
      <c r="H4137" s="2" t="s">
        <v>1201</v>
      </c>
    </row>
    <row r="4138" customFormat="false" ht="15" hidden="false" customHeight="false" outlineLevel="1" collapsed="false">
      <c r="A4138" s="7" t="s">
        <v>587</v>
      </c>
      <c r="B4138" s="8" t="s">
        <v>10</v>
      </c>
      <c r="C4138" s="58" t="n">
        <f aca="false">C4041*1000*(C4057+C4060)+C4042*1000*(C4080+C4083)+C4043*1000*(C4103+C4106)+C4052*1000*Pressupostos!$C$90</f>
        <v>245040</v>
      </c>
      <c r="D4138" s="58" t="n">
        <f aca="false">D4041*1000*(D4057+D4060)+D4042*1000*(D4080+D4083)+D4043*1000*(D4103+D4106)+D4052*1000*Pressupostos!$C$90</f>
        <v>3349300</v>
      </c>
      <c r="E4138" s="58" t="n">
        <f aca="false">E4041*1000*(E4057+E4060)+E4042*1000*(E4080+E4083)+E4043*1000*(E4103+E4106)+E4052*1000*Pressupostos!$C$90</f>
        <v>8498250</v>
      </c>
      <c r="F4138" s="58" t="n">
        <f aca="false">F4041*1000*(F4057+F4060)+F4042*1000*(F4080+F4083)+F4043*1000*(F4103+F4106)+F4052*1000*Pressupostos!$C$90</f>
        <v>14283850</v>
      </c>
      <c r="G4138" s="58" t="n">
        <f aca="false">G4041*1000*(G4057+G4060)+G4042*1000*(G4080+G4083)+G4043*1000*(G4103+G4106)+G4052*1000*Pressupostos!$C$90</f>
        <v>20710500</v>
      </c>
      <c r="H4138" s="2" t="s">
        <v>1202</v>
      </c>
    </row>
    <row r="4139" customFormat="false" ht="15" hidden="false" customHeight="false" outlineLevel="1" collapsed="false">
      <c r="A4139" s="7" t="s">
        <v>588</v>
      </c>
      <c r="B4139" s="8" t="s">
        <v>10</v>
      </c>
      <c r="C4139" s="58" t="n">
        <f aca="false">C4138*Pressupostos!$C$279</f>
        <v>0</v>
      </c>
      <c r="D4139" s="58" t="n">
        <f aca="false">D4138*Pressupostos!$D$279</f>
        <v>3014370</v>
      </c>
      <c r="E4139" s="58" t="n">
        <f aca="false">E4138*Pressupostos!$E$279</f>
        <v>7648425</v>
      </c>
      <c r="F4139" s="58" t="n">
        <f aca="false">F4138*Pressupostos!$F$279</f>
        <v>12855465</v>
      </c>
      <c r="G4139" s="58" t="n">
        <f aca="false">G4138*Pressupostos!$G$279</f>
        <v>18639450</v>
      </c>
      <c r="H4139" s="2" t="s">
        <v>1203</v>
      </c>
    </row>
    <row r="4140" customFormat="false" ht="15" hidden="false" customHeight="false" outlineLevel="0" collapsed="false">
      <c r="A4140" s="3" t="s">
        <v>1204</v>
      </c>
      <c r="B4140" s="4"/>
      <c r="C4140" s="4"/>
      <c r="D4140" s="4"/>
      <c r="E4140" s="4"/>
      <c r="F4140" s="4"/>
      <c r="G4140" s="4"/>
      <c r="H4140" s="4"/>
    </row>
    <row r="4141" customFormat="false" ht="15" hidden="false" customHeight="false" outlineLevel="1" collapsed="false">
      <c r="A4141" s="7" t="s">
        <v>590</v>
      </c>
      <c r="B4141" s="8" t="s">
        <v>10</v>
      </c>
      <c r="C4141" s="58" t="n">
        <f aca="false">C4041*1000*C4076</f>
        <v>2505.51000000001</v>
      </c>
      <c r="D4141" s="58" t="n">
        <f aca="false">D4041*1000*D4076</f>
        <v>3504.29948630139</v>
      </c>
      <c r="E4141" s="58" t="n">
        <f aca="false">E4041*1000*E4076</f>
        <v>25518.8493150685</v>
      </c>
      <c r="F4141" s="58" t="n">
        <f aca="false">F4041*1000*F4076</f>
        <v>46557.3955479452</v>
      </c>
      <c r="G4141" s="58" t="n">
        <f aca="false">G4041*1000*G4076</f>
        <v>66510.5650684931</v>
      </c>
      <c r="H4141" s="2" t="s">
        <v>1205</v>
      </c>
    </row>
    <row r="4142" customFormat="false" ht="15" hidden="false" customHeight="false" outlineLevel="1" collapsed="false">
      <c r="A4142" s="7" t="s">
        <v>591</v>
      </c>
      <c r="B4142" s="8" t="s">
        <v>10</v>
      </c>
      <c r="C4142" s="58" t="n">
        <f aca="false">C4042*1000*C4099</f>
        <v>10195.0273972603</v>
      </c>
      <c r="D4142" s="58" t="n">
        <f aca="false">D4042*1000*D4099</f>
        <v>51231.4828767126</v>
      </c>
      <c r="E4142" s="58" t="n">
        <f aca="false">E4042*1000*E4099</f>
        <v>110824.074914384</v>
      </c>
      <c r="F4142" s="58" t="n">
        <f aca="false">F4042*1000*F4099</f>
        <v>186912.987157534</v>
      </c>
      <c r="G4142" s="58" t="n">
        <f aca="false">G4042*1000*G4099</f>
        <v>282818.467465754</v>
      </c>
      <c r="H4142" s="2" t="s">
        <v>1206</v>
      </c>
    </row>
    <row r="4143" customFormat="false" ht="15" hidden="false" customHeight="false" outlineLevel="1" collapsed="false">
      <c r="A4143" s="7" t="s">
        <v>592</v>
      </c>
      <c r="B4143" s="8" t="s">
        <v>10</v>
      </c>
      <c r="C4143" s="58" t="n">
        <f aca="false">C4043*1000*C4122</f>
        <v>0</v>
      </c>
      <c r="D4143" s="58" t="n">
        <f aca="false">D4043*1000*D4122</f>
        <v>16435.9589041099</v>
      </c>
      <c r="E4143" s="58" t="n">
        <f aca="false">E4043*1000*E4122</f>
        <v>51735.1027397273</v>
      </c>
      <c r="F4143" s="58" t="n">
        <f aca="false">F4043*1000*F4122</f>
        <v>90270.5479452071</v>
      </c>
      <c r="G4143" s="58" t="n">
        <f aca="false">G4043*1000*G4122</f>
        <v>126378.76712329</v>
      </c>
      <c r="H4143" s="2" t="s">
        <v>1207</v>
      </c>
    </row>
    <row r="4144" customFormat="false" ht="15" hidden="false" customHeight="false" outlineLevel="1" collapsed="false">
      <c r="A4144" s="7" t="s">
        <v>593</v>
      </c>
      <c r="B4144" s="8" t="s">
        <v>10</v>
      </c>
      <c r="C4144" s="58" t="n">
        <f aca="false">C4141+C4142+C4143</f>
        <v>12700.5373972603</v>
      </c>
      <c r="D4144" s="58" t="n">
        <f aca="false">D4141+D4142+D4143</f>
        <v>71171.7412671238</v>
      </c>
      <c r="E4144" s="58" t="n">
        <f aca="false">E4141+E4142+E4143</f>
        <v>188078.02696918</v>
      </c>
      <c r="F4144" s="58" t="n">
        <f aca="false">F4141+F4142+F4143</f>
        <v>323740.930650687</v>
      </c>
      <c r="G4144" s="58" t="n">
        <f aca="false">G4141+G4142+G4143</f>
        <v>475707.799657537</v>
      </c>
      <c r="H4144" s="2" t="s">
        <v>1208</v>
      </c>
    </row>
    <row r="4145" customFormat="false" ht="15" hidden="false" customHeight="false" outlineLevel="1" collapsed="false">
      <c r="A4145" s="7" t="s">
        <v>594</v>
      </c>
      <c r="B4145" s="8" t="s">
        <v>59</v>
      </c>
      <c r="C4145" s="60" t="n">
        <f aca="false">IF(C4044&gt;0,C4144/(C4044*1000),0)</f>
        <v>0.210972382014291</v>
      </c>
      <c r="D4145" s="60" t="n">
        <f aca="false">IF(D4044&gt;0,D4144/(D4044*1000),0)</f>
        <v>0.079632717501677</v>
      </c>
      <c r="E4145" s="60" t="n">
        <f aca="false">IF(E4044&gt;0,E4144/(E4044*1000),0)</f>
        <v>0.081808624171022</v>
      </c>
      <c r="F4145" s="60" t="n">
        <f aca="false">IF(F4044&gt;0,F4144/(F4044*1000),0)</f>
        <v>0.0846049733831665</v>
      </c>
      <c r="G4145" s="60" t="n">
        <f aca="false">IF(G4044&gt;0,G4144/(G4044*1000),0)</f>
        <v>0.0865710281451386</v>
      </c>
      <c r="H4145" s="2" t="s">
        <v>1209</v>
      </c>
    </row>
    <row r="4146" customFormat="false" ht="15" hidden="false" customHeight="false" outlineLevel="1" collapsed="false">
      <c r="A4146" s="7" t="s">
        <v>595</v>
      </c>
      <c r="B4146" s="8" t="s">
        <v>71</v>
      </c>
      <c r="C4146" s="55" t="n">
        <f aca="false">IF(C4129&gt;0,C4144/C4129,0)</f>
        <v>0.0464846548468645</v>
      </c>
      <c r="D4146" s="55" t="n">
        <f aca="false">IF(D4129&gt;0,D4144/D4129,0)</f>
        <v>0.0197854542153562</v>
      </c>
      <c r="E4146" s="55" t="n">
        <f aca="false">IF(E4129&gt;0,E4144/E4129,0)</f>
        <v>0.0207046601352047</v>
      </c>
      <c r="F4146" s="55" t="n">
        <f aca="false">IF(F4129&gt;0,F4144/F4129,0)</f>
        <v>0.0214097380267893</v>
      </c>
      <c r="G4146" s="55" t="n">
        <f aca="false">IF(G4129&gt;0,G4144/G4129,0)</f>
        <v>0.0218354814861625</v>
      </c>
      <c r="H4146" s="2" t="s">
        <v>1210</v>
      </c>
    </row>
    <row r="4147" customFormat="false" ht="15" hidden="false" customHeight="false" outlineLevel="1" collapsed="false">
      <c r="A4147" s="2" t="s">
        <v>596</v>
      </c>
      <c r="B4147" s="8" t="s">
        <v>59</v>
      </c>
      <c r="C4147" s="60" t="n">
        <f aca="false">Pressupostos!$C$285*Pressupostos!$C$90*(Pressupostos!$C$93+Pressupostos!$C$94-Pressupostos!$C$95)/365*Pressupostos!$C$279/Pressupostos!$F$31</f>
        <v>0</v>
      </c>
      <c r="D4147" s="60" t="n">
        <f aca="false">Pressupostos!$D$285*Pressupostos!$C$90*(Pressupostos!$C$93+Pressupostos!$C$94-Pressupostos!$C$95)/365*Pressupostos!$D$279/Pressupostos!$F$31</f>
        <v>0.0776712328767123</v>
      </c>
      <c r="E4147" s="60" t="n">
        <f aca="false">Pressupostos!$E$285*Pressupostos!$C$90*(Pressupostos!$C$93+Pressupostos!$C$94-Pressupostos!$C$95)/365*Pressupostos!$E$279/Pressupostos!$F$31</f>
        <v>0.0728167808219178</v>
      </c>
      <c r="F4147" s="60" t="n">
        <f aca="false">Pressupostos!$F$285*Pressupostos!$C$90*(Pressupostos!$C$93+Pressupostos!$C$94-Pressupostos!$C$95)/365*Pressupostos!$F$279/Pressupostos!$F$31</f>
        <v>0.0679623287671233</v>
      </c>
      <c r="G4147" s="60" t="n">
        <f aca="false">Pressupostos!$G$285*Pressupostos!$C$90*(Pressupostos!$C$93+Pressupostos!$C$94-Pressupostos!$C$95)/365*Pressupostos!$G$279/Pressupostos!$F$31</f>
        <v>0.0679623287671233</v>
      </c>
      <c r="H4147" s="2" t="s">
        <v>1211</v>
      </c>
    </row>
    <row r="4148" customFormat="false" ht="15" hidden="false" customHeight="false" outlineLevel="1" collapsed="false">
      <c r="A4148" s="7" t="s">
        <v>567</v>
      </c>
      <c r="B4148" s="8" t="s">
        <v>10</v>
      </c>
      <c r="C4148" s="58" t="n">
        <f aca="false">C4052*1000*(Pressupostos!$C$91-Pressupostos!$C$90-Pressupostos!$C$92-C4147-Pressupostos!$C$96*Pressupostos!$C$91-Pressupostos!$C$97-Pressupostos!$F$29*Pressupostos!$C$90)</f>
        <v>0</v>
      </c>
      <c r="D4148" s="58" t="n">
        <f aca="false">D4052*1000*(Pressupostos!$C$91-Pressupostos!$C$90-Pressupostos!$C$92-D4147-Pressupostos!$C$96*Pressupostos!$C$91-Pressupostos!$C$97-Pressupostos!$F$29*Pressupostos!$C$90)</f>
        <v>0</v>
      </c>
      <c r="E4148" s="58" t="n">
        <f aca="false">E4052*1000*(Pressupostos!$C$91-Pressupostos!$C$90-Pressupostos!$C$92-E4147-Pressupostos!$C$96*Pressupostos!$C$91-Pressupostos!$C$97-Pressupostos!$F$29*Pressupostos!$C$90)</f>
        <v>0</v>
      </c>
      <c r="F4148" s="58" t="n">
        <f aca="false">F4052*1000*(Pressupostos!$C$91-Pressupostos!$C$90-Pressupostos!$C$92-F4147-Pressupostos!$C$96*Pressupostos!$C$91-Pressupostos!$C$97-Pressupostos!$F$29*Pressupostos!$C$90)</f>
        <v>10678.7534246575</v>
      </c>
      <c r="G4148" s="58" t="n">
        <f aca="false">G4052*1000*(Pressupostos!$C$91-Pressupostos!$C$90-Pressupostos!$C$92-G4147-Pressupostos!$C$96*Pressupostos!$C$91-Pressupostos!$C$97-Pressupostos!$F$29*Pressupostos!$C$90)</f>
        <v>26696.8835616438</v>
      </c>
      <c r="H4148" s="2" t="s">
        <v>1212</v>
      </c>
    </row>
    <row r="4149" customFormat="false" ht="15" hidden="false" customHeight="false" outlineLevel="1" collapsed="false">
      <c r="A4149" s="7" t="s">
        <v>597</v>
      </c>
      <c r="B4149" s="8" t="s">
        <v>10</v>
      </c>
      <c r="C4149" s="58" t="n">
        <f aca="false">C4132</f>
        <v>194.4</v>
      </c>
      <c r="D4149" s="58" t="n">
        <f aca="false">D4132</f>
        <v>729</v>
      </c>
      <c r="E4149" s="58" t="n">
        <f aca="false">E4132</f>
        <v>1944</v>
      </c>
      <c r="F4149" s="58" t="n">
        <f aca="false">F4132</f>
        <v>3402</v>
      </c>
      <c r="G4149" s="58" t="n">
        <f aca="false">G4132</f>
        <v>4860</v>
      </c>
      <c r="H4149" s="2" t="s">
        <v>1213</v>
      </c>
    </row>
    <row r="4150" customFormat="false" ht="15" hidden="false" customHeight="false" outlineLevel="1" collapsed="false">
      <c r="A4150" s="7" t="s">
        <v>598</v>
      </c>
      <c r="B4150" s="8" t="s">
        <v>10</v>
      </c>
      <c r="C4150" s="58" t="n">
        <f aca="false">C4133-C4165</f>
        <v>0</v>
      </c>
      <c r="D4150" s="58" t="n">
        <f aca="false">D4133-D4165</f>
        <v>10000</v>
      </c>
      <c r="E4150" s="58" t="n">
        <f aca="false">E4133-E4165</f>
        <v>30000</v>
      </c>
      <c r="F4150" s="58" t="n">
        <f aca="false">F4133-F4165</f>
        <v>60000</v>
      </c>
      <c r="G4150" s="58" t="n">
        <f aca="false">G4133-G4165</f>
        <v>100000</v>
      </c>
      <c r="H4150" s="2" t="s">
        <v>1214</v>
      </c>
    </row>
    <row r="4151" customFormat="false" ht="15" hidden="false" customHeight="false" outlineLevel="1" collapsed="false">
      <c r="A4151" s="7" t="s">
        <v>583</v>
      </c>
      <c r="B4151" s="8" t="s">
        <v>10</v>
      </c>
      <c r="C4151" s="58" t="n">
        <f aca="false">C4134</f>
        <v>0</v>
      </c>
      <c r="D4151" s="58" t="n">
        <f aca="false">D4134</f>
        <v>0</v>
      </c>
      <c r="E4151" s="58" t="n">
        <f aca="false">E4134</f>
        <v>0</v>
      </c>
      <c r="F4151" s="58" t="n">
        <f aca="false">F4134</f>
        <v>10000</v>
      </c>
      <c r="G4151" s="58" t="n">
        <f aca="false">G4134</f>
        <v>30000</v>
      </c>
      <c r="H4151" s="2" t="s">
        <v>1215</v>
      </c>
    </row>
    <row r="4152" customFormat="false" ht="15" hidden="false" customHeight="false" outlineLevel="1" collapsed="false">
      <c r="A4152" s="52" t="s">
        <v>599</v>
      </c>
      <c r="B4152" s="53" t="s">
        <v>10</v>
      </c>
      <c r="C4152" s="59" t="n">
        <f aca="false">C4144+C4148+C4149+C4150+C4151</f>
        <v>12894.9373972603</v>
      </c>
      <c r="D4152" s="59" t="n">
        <f aca="false">D4144+D4148+D4149+D4150+D4151</f>
        <v>81900.7412671238</v>
      </c>
      <c r="E4152" s="59" t="n">
        <f aca="false">E4144+E4148+E4149+E4150+E4151</f>
        <v>220022.02696918</v>
      </c>
      <c r="F4152" s="59" t="n">
        <f aca="false">F4144+F4148+F4149+F4150+F4151</f>
        <v>407821.684075344</v>
      </c>
      <c r="G4152" s="59" t="n">
        <f aca="false">G4144+G4148+G4149+G4150+G4151</f>
        <v>637264.68321918</v>
      </c>
      <c r="H4152" s="2" t="s">
        <v>1216</v>
      </c>
    </row>
    <row r="4153" customFormat="false" ht="15" hidden="false" customHeight="false" outlineLevel="0" collapsed="false">
      <c r="A4153" s="3" t="s">
        <v>1217</v>
      </c>
      <c r="B4153" s="4"/>
      <c r="C4153" s="4"/>
      <c r="D4153" s="4"/>
      <c r="E4153" s="4"/>
      <c r="F4153" s="4"/>
      <c r="G4153" s="4"/>
      <c r="H4153" s="4"/>
    </row>
    <row r="4154" customFormat="false" ht="15" hidden="false" customHeight="false" outlineLevel="1" collapsed="false">
      <c r="A4154" s="7" t="s">
        <v>647</v>
      </c>
      <c r="B4154" s="8" t="s">
        <v>10</v>
      </c>
      <c r="C4154" s="58" t="n">
        <f aca="false">C4041*1000*(C4057+C4060)+C4042*1000*(C4080+C4083)+C4043*1000*(C4103+C4106)</f>
        <v>245040</v>
      </c>
      <c r="D4154" s="58" t="n">
        <f aca="false">D4041*1000*(D4057+D4060)+D4042*1000*(D4080+D4083)+D4043*1000*(D4103+D4106)</f>
        <v>3349300</v>
      </c>
      <c r="E4154" s="58" t="n">
        <f aca="false">E4041*1000*(E4057+E4060)+E4042*1000*(E4080+E4083)+E4043*1000*(E4103+E4106)</f>
        <v>8498250</v>
      </c>
      <c r="F4154" s="58" t="n">
        <f aca="false">F4041*1000*(F4057+F4060)+F4042*1000*(F4080+F4083)+F4043*1000*(F4103+F4106)</f>
        <v>14143850</v>
      </c>
      <c r="G4154" s="58" t="n">
        <f aca="false">G4041*1000*(G4057+G4060)+G4042*1000*(G4080+G4083)+G4043*1000*(G4103+G4106)</f>
        <v>20360500</v>
      </c>
      <c r="H4154" s="2" t="s">
        <v>1218</v>
      </c>
    </row>
    <row r="4155" customFormat="false" ht="15" hidden="false" customHeight="false" outlineLevel="1" collapsed="false">
      <c r="A4155" s="7" t="s">
        <v>648</v>
      </c>
      <c r="B4155" s="8" t="s">
        <v>10</v>
      </c>
      <c r="C4155" s="58" t="n">
        <f aca="false">C4052*1000*Pressupostos!$C$90</f>
        <v>0</v>
      </c>
      <c r="D4155" s="58" t="n">
        <f aca="false">D4052*1000*Pressupostos!$C$90</f>
        <v>0</v>
      </c>
      <c r="E4155" s="58" t="n">
        <f aca="false">E4052*1000*Pressupostos!$C$90</f>
        <v>0</v>
      </c>
      <c r="F4155" s="58" t="n">
        <f aca="false">F4052*1000*Pressupostos!$C$90</f>
        <v>140000</v>
      </c>
      <c r="G4155" s="58" t="n">
        <f aca="false">G4052*1000*Pressupostos!$C$90</f>
        <v>350000</v>
      </c>
      <c r="H4155" s="2" t="s">
        <v>1219</v>
      </c>
    </row>
    <row r="4156" customFormat="false" ht="15" hidden="false" customHeight="false" outlineLevel="1" collapsed="false">
      <c r="A4156" s="7" t="s">
        <v>649</v>
      </c>
      <c r="B4156" s="8" t="s">
        <v>10</v>
      </c>
      <c r="C4156" s="58" t="n">
        <f aca="false">C4154+C4155</f>
        <v>245040</v>
      </c>
      <c r="D4156" s="58" t="n">
        <f aca="false">D4154+D4155</f>
        <v>3349300</v>
      </c>
      <c r="E4156" s="58" t="n">
        <f aca="false">E4154+E4155</f>
        <v>8498250</v>
      </c>
      <c r="F4156" s="58" t="n">
        <f aca="false">F4154+F4155</f>
        <v>14283850</v>
      </c>
      <c r="G4156" s="58" t="n">
        <f aca="false">G4154+G4155</f>
        <v>20710500</v>
      </c>
      <c r="H4156" s="2" t="s">
        <v>1220</v>
      </c>
    </row>
    <row r="4157" customFormat="false" ht="15" hidden="false" customHeight="false" outlineLevel="1" collapsed="false">
      <c r="A4157" s="7" t="s">
        <v>205</v>
      </c>
      <c r="B4157" s="8" t="s">
        <v>10</v>
      </c>
      <c r="C4157" s="58" t="n">
        <f aca="false">C4041*1000*(C4061)+C4042*1000*(C4084)+C4043*1000*(C4107)+C4052*1000*Pressupostos!$C$92</f>
        <v>7660</v>
      </c>
      <c r="D4157" s="58" t="n">
        <f aca="false">D4041*1000*(D4061)+D4042*1000*(D4084)+D4043*1000*(D4107)+D4052*1000*Pressupostos!$C$92</f>
        <v>65525</v>
      </c>
      <c r="E4157" s="58" t="n">
        <f aca="false">E4041*1000*(E4061)+E4042*1000*(E4084)+E4043*1000*(E4107)+E4052*1000*Pressupostos!$C$92</f>
        <v>147490</v>
      </c>
      <c r="F4157" s="58" t="n">
        <f aca="false">F4041*1000*(F4061)+F4042*1000*(F4084)+F4043*1000*(F4107)+F4052*1000*Pressupostos!$C$92</f>
        <v>248215</v>
      </c>
      <c r="G4157" s="58" t="n">
        <f aca="false">G4041*1000*(G4061)+G4042*1000*(G4084)+G4043*1000*(G4107)+G4052*1000*Pressupostos!$C$92</f>
        <v>363950</v>
      </c>
      <c r="H4157" s="2" t="s">
        <v>1221</v>
      </c>
    </row>
    <row r="4158" customFormat="false" ht="15" hidden="false" customHeight="false" outlineLevel="1" collapsed="false">
      <c r="A4158" s="7" t="s">
        <v>109</v>
      </c>
      <c r="B4158" s="8" t="s">
        <v>10</v>
      </c>
      <c r="C4158" s="58" t="n">
        <f aca="false">C4041*1000*(C4062)+C4042*1000*(C4085)+C4043*1000*(C4108)</f>
        <v>492</v>
      </c>
      <c r="D4158" s="58" t="n">
        <f aca="false">D4041*1000*(D4062)+D4042*1000*(D4085)+D4043*1000*(D4108)</f>
        <v>1845</v>
      </c>
      <c r="E4158" s="58" t="n">
        <f aca="false">E4041*1000*(E4062)+E4042*1000*(E4085)+E4043*1000*(E4108)</f>
        <v>4920</v>
      </c>
      <c r="F4158" s="58" t="n">
        <f aca="false">F4041*1000*(F4062)+F4042*1000*(F4085)+F4043*1000*(F4108)</f>
        <v>8610</v>
      </c>
      <c r="G4158" s="58" t="n">
        <f aca="false">G4041*1000*(G4062)+G4042*1000*(G4085)+G4043*1000*(G4108)</f>
        <v>12300</v>
      </c>
      <c r="H4158" s="2" t="s">
        <v>1222</v>
      </c>
    </row>
    <row r="4159" customFormat="false" ht="15" hidden="false" customHeight="false" outlineLevel="1" collapsed="false">
      <c r="A4159" s="7" t="s">
        <v>650</v>
      </c>
      <c r="B4159" s="8" t="s">
        <v>10</v>
      </c>
      <c r="C4159" s="58" t="n">
        <f aca="false">C4041*1000*(C4065+C4066)+C4042*1000*(C4088+C4089)+C4043*1000*(C4111+C4112)</f>
        <v>465.092602739726</v>
      </c>
      <c r="D4159" s="58" t="n">
        <f aca="false">D4041*1000*(D4065+D4066)+D4042*1000*(D4088+D4089)+D4043*1000*(D4111+D4112)</f>
        <v>3659.35205479452</v>
      </c>
      <c r="E4159" s="58" t="n">
        <f aca="false">E4041*1000*(E4065+E4066)+E4042*1000*(E4088+E4089)+E4043*1000*(E4111+E4112)</f>
        <v>7289.61369863014</v>
      </c>
      <c r="F4159" s="58" t="n">
        <f aca="false">F4041*1000*(F4065+F4066)+F4042*1000*(F4088+F4089)+F4043*1000*(F4111+F4112)</f>
        <v>12141.4047945205</v>
      </c>
      <c r="G4159" s="58" t="n">
        <f aca="false">G4041*1000*(G4065+G4066)+G4042*1000*(G4088+G4089)+G4043*1000*(G4111+G4112)</f>
        <v>17640.6369863014</v>
      </c>
      <c r="H4159" s="2" t="s">
        <v>1223</v>
      </c>
    </row>
    <row r="4160" customFormat="false" ht="15" hidden="false" customHeight="false" outlineLevel="1" collapsed="false">
      <c r="A4160" s="7" t="s">
        <v>651</v>
      </c>
      <c r="B4160" s="8" t="s">
        <v>10</v>
      </c>
      <c r="C4160" s="58" t="n">
        <f aca="false">C4041*1000*(C4067+C4068+C4069)+C4042*1000*(C4090+C4091+C4092)+C4043*1000*(C4113+C4114+C4115)</f>
        <v>2675.25</v>
      </c>
      <c r="D4160" s="58" t="n">
        <f aca="false">D4041*1000*(D4067+D4068+D4069)+D4042*1000*(D4090+D4091+D4092)+D4043*1000*(D4113+D4114+D4115)</f>
        <v>29420.1875</v>
      </c>
      <c r="E4160" s="58" t="n">
        <f aca="false">E4041*1000*(E4067+E4068+E4069)+E4042*1000*(E4090+E4091+E4092)+E4043*1000*(E4113+E4114+E4115)</f>
        <v>71222.5</v>
      </c>
      <c r="F4160" s="58" t="n">
        <f aca="false">F4041*1000*(F4067+F4068+F4069)+F4042*1000*(F4090+F4091+F4092)+F4043*1000*(F4113+F4114+F4115)</f>
        <v>118572.625</v>
      </c>
      <c r="G4160" s="58" t="n">
        <f aca="false">G4041*1000*(G4067+G4068+G4069)+G4042*1000*(G4090+G4091+G4092)+G4043*1000*(G4113+G4114+G4115)</f>
        <v>171703.75</v>
      </c>
      <c r="H4160" s="2" t="s">
        <v>1224</v>
      </c>
    </row>
    <row r="4161" customFormat="false" ht="15" hidden="false" customHeight="false" outlineLevel="1" collapsed="false">
      <c r="A4161" s="7" t="s">
        <v>637</v>
      </c>
      <c r="B4161" s="8" t="s">
        <v>10</v>
      </c>
      <c r="C4161" s="58" t="n">
        <f aca="false">C4041*1000*(C4070)+C4042*1000*(C4093)+C4043*1000*(C4116)</f>
        <v>2900</v>
      </c>
      <c r="D4161" s="58" t="n">
        <f aca="false">D4041*1000*(D4070)+D4042*1000*(D4093)+D4043*1000*(D4116)</f>
        <v>23595</v>
      </c>
      <c r="E4161" s="58" t="n">
        <f aca="false">E4041*1000*(E4070)+E4042*1000*(E4093)+E4043*1000*(E4116)</f>
        <v>54880</v>
      </c>
      <c r="F4161" s="58" t="n">
        <f aca="false">F4041*1000*(F4070)+F4042*1000*(F4093)+F4043*1000*(F4116)</f>
        <v>91670</v>
      </c>
      <c r="G4161" s="58" t="n">
        <f aca="false">G4041*1000*(G4070)+G4042*1000*(G4093)+G4043*1000*(G4116)</f>
        <v>134100</v>
      </c>
      <c r="H4161" s="2" t="s">
        <v>1225</v>
      </c>
    </row>
    <row r="4162" customFormat="false" ht="15" hidden="false" customHeight="false" outlineLevel="1" collapsed="false">
      <c r="A4162" s="7" t="s">
        <v>652</v>
      </c>
      <c r="B4162" s="8" t="s">
        <v>10</v>
      </c>
      <c r="C4162" s="58" t="n">
        <f aca="false">C4041*1000*(C4071)+C4042*1000*(C4094)+C4043*1000*(C4117)+C4052*1000*Pressupostos!$C$97</f>
        <v>342</v>
      </c>
      <c r="D4162" s="58" t="n">
        <f aca="false">D4041*1000*(D4071)+D4042*1000*(D4094)+D4043*1000*(D4117)+D4052*1000*Pressupostos!$C$97</f>
        <v>2622.5</v>
      </c>
      <c r="E4162" s="58" t="n">
        <f aca="false">E4041*1000*(E4071)+E4042*1000*(E4094)+E4043*1000*(E4117)+E4052*1000*Pressupostos!$C$97</f>
        <v>5905</v>
      </c>
      <c r="F4162" s="58" t="n">
        <f aca="false">F4041*1000*(F4071)+F4042*1000*(F4094)+F4043*1000*(F4117)+F4052*1000*Pressupostos!$C$97</f>
        <v>10450</v>
      </c>
      <c r="G4162" s="58" t="n">
        <f aca="false">G4041*1000*(G4071)+G4042*1000*(G4094)+G4043*1000*(G4117)+G4052*1000*Pressupostos!$C$97</f>
        <v>16000</v>
      </c>
      <c r="H4162" s="2" t="s">
        <v>1226</v>
      </c>
    </row>
    <row r="4163" customFormat="false" ht="15" hidden="false" customHeight="false" outlineLevel="1" collapsed="false">
      <c r="A4163" s="7" t="s">
        <v>76</v>
      </c>
      <c r="B4163" s="8" t="s">
        <v>10</v>
      </c>
      <c r="C4163" s="58" t="n">
        <f aca="false">C4041*1000*(C4072)+C4042*1000*(C4095)+C4043*1000*(C4118)+C4052*1000*Pressupostos!$C$96*Pressupostos!$C$91</f>
        <v>945.12</v>
      </c>
      <c r="D4163" s="58" t="n">
        <f aca="false">D4041*1000*(D4072)+D4042*1000*(D4095)+D4043*1000*(D4118)+D4052*1000*Pressupostos!$C$96*Pressupostos!$C$91</f>
        <v>11262</v>
      </c>
      <c r="E4163" s="58" t="n">
        <f aca="false">E4041*1000*(E4072)+E4042*1000*(E4095)+E4043*1000*(E4118)+E4052*1000*Pressupostos!$C$96*Pressupostos!$C$91</f>
        <v>28506.15</v>
      </c>
      <c r="F4163" s="58" t="n">
        <f aca="false">F4041*1000*(F4072)+F4042*1000*(F4095)+F4043*1000*(F4118)+F4052*1000*Pressupostos!$C$96*Pressupostos!$C$91</f>
        <v>48501.15</v>
      </c>
      <c r="G4163" s="58" t="n">
        <f aca="false">G4041*1000*(G4072)+G4042*1000*(G4095)+G4043*1000*(G4118)+G4052*1000*Pressupostos!$C$96*Pressupostos!$C$91</f>
        <v>70849.5</v>
      </c>
      <c r="H4163" s="2" t="s">
        <v>1227</v>
      </c>
    </row>
    <row r="4164" customFormat="false" ht="15" hidden="false" customHeight="false" outlineLevel="1" collapsed="false">
      <c r="A4164" s="7" t="s">
        <v>653</v>
      </c>
      <c r="B4164" s="8" t="s">
        <v>10</v>
      </c>
      <c r="C4164" s="58" t="n">
        <f aca="false">C4041*1000*(C4073)+C4042*1000*(C4096)+C4043*1000*(C4119)+C4052*1000*Pressupostos!$F$29*Pressupostos!$C$90</f>
        <v>0</v>
      </c>
      <c r="D4164" s="58" t="n">
        <f aca="false">D4041*1000*(D4073)+D4042*1000*(D4096)+D4043*1000*(D4119)+D4052*1000*Pressupostos!$F$29*Pressupostos!$C$90</f>
        <v>0</v>
      </c>
      <c r="E4164" s="58" t="n">
        <f aca="false">E4041*1000*(E4073)+E4042*1000*(E4096)+E4043*1000*(E4119)+E4052*1000*Pressupostos!$F$29*Pressupostos!$C$90</f>
        <v>0</v>
      </c>
      <c r="F4164" s="58" t="n">
        <f aca="false">F4041*1000*(F4073)+F4042*1000*(F4096)+F4043*1000*(F4119)+F4052*1000*Pressupostos!$F$29*Pressupostos!$C$90</f>
        <v>420</v>
      </c>
      <c r="G4164" s="58" t="n">
        <f aca="false">G4041*1000*(G4073)+G4042*1000*(G4096)+G4043*1000*(G4119)+G4052*1000*Pressupostos!$F$29*Pressupostos!$C$90</f>
        <v>1050</v>
      </c>
      <c r="H4164" s="2" t="s">
        <v>1228</v>
      </c>
    </row>
    <row r="4165" customFormat="false" ht="15" hidden="false" customHeight="false" outlineLevel="1" collapsed="false">
      <c r="A4165" s="7" t="s">
        <v>654</v>
      </c>
      <c r="B4165" s="8" t="s">
        <v>10</v>
      </c>
      <c r="C4165" s="58" t="n">
        <f aca="false">C4055*1000*Pressupostos!$C$102*Pressupostos!$F$30</f>
        <v>0</v>
      </c>
      <c r="D4165" s="58" t="n">
        <f aca="false">D4055*1000*Pressupostos!$C$102*Pressupostos!$F$30</f>
        <v>0</v>
      </c>
      <c r="E4165" s="58" t="n">
        <f aca="false">E4055*1000*Pressupostos!$C$102*Pressupostos!$F$30</f>
        <v>0</v>
      </c>
      <c r="F4165" s="58" t="n">
        <f aca="false">F4055*1000*Pressupostos!$C$102*Pressupostos!$F$30</f>
        <v>0</v>
      </c>
      <c r="G4165" s="58" t="n">
        <f aca="false">G4055*1000*Pressupostos!$C$102*Pressupostos!$F$30</f>
        <v>0</v>
      </c>
      <c r="H4165" s="2" t="s">
        <v>1229</v>
      </c>
    </row>
    <row r="4166" customFormat="false" ht="15" hidden="false" customHeight="false" outlineLevel="1" collapsed="false">
      <c r="A4166" s="7" t="s">
        <v>655</v>
      </c>
      <c r="B4166" s="8" t="s">
        <v>10</v>
      </c>
      <c r="C4166" s="58" t="n">
        <f aca="false">C4157+C4158+C4159+C4160+C4161+C4162+C4163+C4164+C4165</f>
        <v>15479.4626027397</v>
      </c>
      <c r="D4166" s="58" t="n">
        <f aca="false">D4157+D4158+D4159+D4160+D4161+D4162+D4163+D4164+D4165</f>
        <v>137929.039554795</v>
      </c>
      <c r="E4166" s="58" t="n">
        <f aca="false">E4157+E4158+E4159+E4160+E4161+E4162+E4163+E4164+E4165</f>
        <v>320213.26369863</v>
      </c>
      <c r="F4166" s="58" t="n">
        <f aca="false">F4157+F4158+F4159+F4160+F4161+F4162+F4163+F4164+F4165</f>
        <v>538580.179794521</v>
      </c>
      <c r="G4166" s="58" t="n">
        <f aca="false">G4157+G4158+G4159+G4160+G4161+G4162+G4163+G4164+G4165</f>
        <v>787593.886986301</v>
      </c>
      <c r="H4166" s="2" t="s">
        <v>1230</v>
      </c>
    </row>
    <row r="4167" customFormat="false" ht="15" hidden="false" customHeight="false" outlineLevel="1" collapsed="false">
      <c r="A4167" s="7" t="s">
        <v>656</v>
      </c>
      <c r="B4167" s="8" t="s">
        <v>10</v>
      </c>
      <c r="C4167" s="58" t="n">
        <f aca="false">C4041*1000*(C4074)+C4042*1000*(C4097)+C4043*1000*(C4120)</f>
        <v>0</v>
      </c>
      <c r="D4167" s="58" t="n">
        <f aca="false">D4041*1000*(D4074)+D4042*1000*(D4097)+D4043*1000*(D4120)</f>
        <v>38774.2191780822</v>
      </c>
      <c r="E4167" s="58" t="n">
        <f aca="false">E4041*1000*(E4074)+E4042*1000*(E4097)+E4043*1000*(E4120)</f>
        <v>77308.7093321918</v>
      </c>
      <c r="F4167" s="58" t="n">
        <f aca="false">F4041*1000*(F4074)+F4042*1000*(F4097)+F4043*1000*(F4120)</f>
        <v>119990.889554795</v>
      </c>
      <c r="G4167" s="58" t="n">
        <f aca="false">G4041*1000*(G4074)+G4042*1000*(G4097)+G4043*1000*(G4120)</f>
        <v>174603.313356164</v>
      </c>
      <c r="H4167" s="2" t="s">
        <v>1231</v>
      </c>
    </row>
    <row r="4168" customFormat="false" ht="15" hidden="false" customHeight="false" outlineLevel="1" collapsed="false">
      <c r="A4168" s="7" t="s">
        <v>657</v>
      </c>
      <c r="B4168" s="8" t="s">
        <v>10</v>
      </c>
      <c r="C4168" s="58" t="n">
        <f aca="false">C4052*1000*C4147</f>
        <v>0</v>
      </c>
      <c r="D4168" s="58" t="n">
        <f aca="false">D4052*1000*D4147</f>
        <v>0</v>
      </c>
      <c r="E4168" s="58" t="n">
        <f aca="false">E4052*1000*E4147</f>
        <v>0</v>
      </c>
      <c r="F4168" s="58" t="n">
        <f aca="false">F4052*1000*F4147</f>
        <v>1359.24657534247</v>
      </c>
      <c r="G4168" s="58" t="n">
        <f aca="false">G4052*1000*G4147</f>
        <v>3398.11643835617</v>
      </c>
      <c r="H4168" s="2" t="s">
        <v>1232</v>
      </c>
    </row>
    <row r="4169" customFormat="false" ht="15" hidden="false" customHeight="false" outlineLevel="1" collapsed="false">
      <c r="A4169" s="7" t="s">
        <v>658</v>
      </c>
      <c r="B4169" s="8" t="s">
        <v>10</v>
      </c>
      <c r="C4169" s="58" t="n">
        <f aca="false">C4167+C4168</f>
        <v>0</v>
      </c>
      <c r="D4169" s="58" t="n">
        <f aca="false">D4167+D4168</f>
        <v>38774.2191780822</v>
      </c>
      <c r="E4169" s="58" t="n">
        <f aca="false">E4167+E4168</f>
        <v>77308.7093321918</v>
      </c>
      <c r="F4169" s="58" t="n">
        <f aca="false">F4167+F4168</f>
        <v>121350.136130137</v>
      </c>
      <c r="G4169" s="58" t="n">
        <f aca="false">G4167+G4168</f>
        <v>178001.429794521</v>
      </c>
      <c r="H4169" s="2" t="s">
        <v>1233</v>
      </c>
    </row>
    <row r="4170" customFormat="false" ht="15" hidden="false" customHeight="false" outlineLevel="1" collapsed="false">
      <c r="A4170" s="8" t="s">
        <v>659</v>
      </c>
      <c r="B4170" s="8" t="s">
        <v>10</v>
      </c>
      <c r="C4170" s="66" t="n">
        <f aca="false">ROUND(C4135-C4156-C4166-C4169-C4152,6)</f>
        <v>0</v>
      </c>
      <c r="D4170" s="66" t="n">
        <f aca="false">ROUND(D4135-D4156-D4166-D4169-D4152,6)</f>
        <v>-0</v>
      </c>
      <c r="E4170" s="66" t="n">
        <f aca="false">ROUND(E4135-E4156-E4166-E4169-E4152,6)</f>
        <v>-0</v>
      </c>
      <c r="F4170" s="66" t="n">
        <f aca="false">ROUND(F4135-F4156-F4166-F4169-F4152,6)</f>
        <v>-0</v>
      </c>
      <c r="G4170" s="66" t="n">
        <f aca="false">ROUND(G4135-G4156-G4166-G4169-G4152,6)</f>
        <v>-0</v>
      </c>
      <c r="H4170" s="2" t="s">
        <v>1234</v>
      </c>
    </row>
    <row r="4171" customFormat="false" ht="15" hidden="false" customHeight="false" outlineLevel="0" collapsed="false">
      <c r="A4171" s="3" t="s">
        <v>1235</v>
      </c>
      <c r="B4171" s="4"/>
      <c r="C4171" s="4"/>
      <c r="D4171" s="4"/>
      <c r="E4171" s="4"/>
      <c r="F4171" s="4"/>
      <c r="G4171" s="4"/>
      <c r="H4171" s="4"/>
    </row>
    <row r="4172" customFormat="false" ht="15" hidden="false" customHeight="false" outlineLevel="1" collapsed="false">
      <c r="A4172" s="7" t="s">
        <v>602</v>
      </c>
      <c r="B4172" s="8" t="s">
        <v>413</v>
      </c>
      <c r="C4172" s="61" t="n">
        <f aca="false">Pressupostos!$C$317</f>
        <v>1</v>
      </c>
      <c r="D4172" s="61" t="n">
        <f aca="false">Pressupostos!$D$317</f>
        <v>1</v>
      </c>
      <c r="E4172" s="61" t="n">
        <f aca="false">Pressupostos!$E$317</f>
        <v>1</v>
      </c>
      <c r="F4172" s="61" t="n">
        <f aca="false">Pressupostos!$F$317</f>
        <v>1</v>
      </c>
      <c r="G4172" s="61" t="n">
        <f aca="false">Pressupostos!$G$317</f>
        <v>1</v>
      </c>
      <c r="H4172" s="2" t="s">
        <v>1236</v>
      </c>
    </row>
    <row r="4173" customFormat="false" ht="15" hidden="false" customHeight="false" outlineLevel="1" collapsed="false">
      <c r="A4173" s="7" t="s">
        <v>603</v>
      </c>
      <c r="B4173" s="8" t="s">
        <v>413</v>
      </c>
      <c r="C4173" s="61" t="n">
        <f aca="false">Pressupostos!$C$323</f>
        <v>1</v>
      </c>
      <c r="D4173" s="61" t="n">
        <f aca="false">Pressupostos!$D$323</f>
        <v>1</v>
      </c>
      <c r="E4173" s="61" t="n">
        <f aca="false">Pressupostos!$E$323</f>
        <v>1</v>
      </c>
      <c r="F4173" s="61" t="n">
        <f aca="false">Pressupostos!$F$323</f>
        <v>1</v>
      </c>
      <c r="G4173" s="61" t="n">
        <f aca="false">Pressupostos!$G$323</f>
        <v>1</v>
      </c>
      <c r="H4173" s="2" t="s">
        <v>1237</v>
      </c>
    </row>
    <row r="4174" customFormat="false" ht="15" hidden="false" customHeight="false" outlineLevel="1" collapsed="false">
      <c r="A4174" s="7" t="s">
        <v>604</v>
      </c>
      <c r="B4174" s="8" t="s">
        <v>413</v>
      </c>
      <c r="C4174" s="61" t="n">
        <f aca="false">Pressupostos!$C$329</f>
        <v>0</v>
      </c>
      <c r="D4174" s="61" t="n">
        <f aca="false">Pressupostos!$D$329</f>
        <v>1</v>
      </c>
      <c r="E4174" s="61" t="n">
        <f aca="false">Pressupostos!$E$329</f>
        <v>1</v>
      </c>
      <c r="F4174" s="61" t="n">
        <f aca="false">Pressupostos!$F$329</f>
        <v>1</v>
      </c>
      <c r="G4174" s="61" t="n">
        <f aca="false">Pressupostos!$G$329</f>
        <v>1</v>
      </c>
      <c r="H4174" s="2" t="s">
        <v>1238</v>
      </c>
    </row>
    <row r="4175" customFormat="false" ht="15" hidden="false" customHeight="false" outlineLevel="1" collapsed="false">
      <c r="A4175" s="7" t="s">
        <v>605</v>
      </c>
      <c r="B4175" s="8" t="s">
        <v>413</v>
      </c>
      <c r="C4175" s="61" t="n">
        <f aca="false">Pressupostos!$C$335</f>
        <v>0.5</v>
      </c>
      <c r="D4175" s="61" t="n">
        <f aca="false">Pressupostos!$D$335</f>
        <v>1</v>
      </c>
      <c r="E4175" s="61" t="n">
        <f aca="false">Pressupostos!$E$335</f>
        <v>1</v>
      </c>
      <c r="F4175" s="61" t="n">
        <f aca="false">Pressupostos!$F$335</f>
        <v>1</v>
      </c>
      <c r="G4175" s="61" t="n">
        <f aca="false">Pressupostos!$G$335</f>
        <v>1</v>
      </c>
      <c r="H4175" s="2" t="s">
        <v>1239</v>
      </c>
    </row>
    <row r="4176" customFormat="false" ht="15" hidden="false" customHeight="false" outlineLevel="1" collapsed="false">
      <c r="A4176" s="7" t="s">
        <v>606</v>
      </c>
      <c r="B4176" s="8" t="s">
        <v>413</v>
      </c>
      <c r="C4176" s="61" t="n">
        <f aca="false">Pressupostos!$C$341</f>
        <v>0.5</v>
      </c>
      <c r="D4176" s="61" t="n">
        <f aca="false">Pressupostos!$D$341</f>
        <v>0.5</v>
      </c>
      <c r="E4176" s="61" t="n">
        <f aca="false">Pressupostos!$E$341</f>
        <v>0.5</v>
      </c>
      <c r="F4176" s="61" t="n">
        <f aca="false">Pressupostos!$F$341</f>
        <v>1</v>
      </c>
      <c r="G4176" s="61" t="n">
        <f aca="false">Pressupostos!$G$341</f>
        <v>1</v>
      </c>
      <c r="H4176" s="2" t="s">
        <v>1240</v>
      </c>
    </row>
    <row r="4177" customFormat="false" ht="15" hidden="false" customHeight="false" outlineLevel="1" collapsed="false">
      <c r="A4177" s="7" t="s">
        <v>607</v>
      </c>
      <c r="B4177" s="8" t="s">
        <v>413</v>
      </c>
      <c r="C4177" s="61" t="n">
        <f aca="false">Pressupostos!$C$347</f>
        <v>1</v>
      </c>
      <c r="D4177" s="61" t="n">
        <f aca="false">Pressupostos!$D$347</f>
        <v>1</v>
      </c>
      <c r="E4177" s="61" t="n">
        <f aca="false">Pressupostos!$E$347</f>
        <v>1</v>
      </c>
      <c r="F4177" s="61" t="n">
        <f aca="false">Pressupostos!$F$347</f>
        <v>1</v>
      </c>
      <c r="G4177" s="61" t="n">
        <f aca="false">Pressupostos!$G$347</f>
        <v>1</v>
      </c>
      <c r="H4177" s="2" t="s">
        <v>1241</v>
      </c>
    </row>
    <row r="4178" customFormat="false" ht="15" hidden="false" customHeight="false" outlineLevel="1" collapsed="false">
      <c r="A4178" s="7" t="s">
        <v>608</v>
      </c>
      <c r="B4178" s="8" t="s">
        <v>413</v>
      </c>
      <c r="C4178" s="61" t="n">
        <f aca="false">Pressupostos!$C$353</f>
        <v>0.5</v>
      </c>
      <c r="D4178" s="61" t="n">
        <f aca="false">Pressupostos!$D$353</f>
        <v>1</v>
      </c>
      <c r="E4178" s="61" t="n">
        <f aca="false">Pressupostos!$E$353</f>
        <v>1</v>
      </c>
      <c r="F4178" s="61" t="n">
        <f aca="false">Pressupostos!$F$353</f>
        <v>1</v>
      </c>
      <c r="G4178" s="61" t="n">
        <f aca="false">Pressupostos!$G$353</f>
        <v>1</v>
      </c>
      <c r="H4178" s="2" t="s">
        <v>1242</v>
      </c>
    </row>
    <row r="4179" customFormat="false" ht="15" hidden="false" customHeight="false" outlineLevel="1" collapsed="false">
      <c r="A4179" s="7" t="s">
        <v>609</v>
      </c>
      <c r="B4179" s="8" t="s">
        <v>413</v>
      </c>
      <c r="C4179" s="61" t="n">
        <f aca="false">Pressupostos!$C$359</f>
        <v>1</v>
      </c>
      <c r="D4179" s="61" t="n">
        <f aca="false">Pressupostos!$D$359</f>
        <v>1</v>
      </c>
      <c r="E4179" s="61" t="n">
        <f aca="false">Pressupostos!$E$359</f>
        <v>1</v>
      </c>
      <c r="F4179" s="61" t="n">
        <f aca="false">Pressupostos!$F$359</f>
        <v>2</v>
      </c>
      <c r="G4179" s="61" t="n">
        <f aca="false">Pressupostos!$G$359</f>
        <v>3</v>
      </c>
      <c r="H4179" s="2" t="s">
        <v>1243</v>
      </c>
    </row>
    <row r="4180" customFormat="false" ht="15" hidden="false" customHeight="false" outlineLevel="1" collapsed="false">
      <c r="A4180" s="7" t="s">
        <v>610</v>
      </c>
      <c r="B4180" s="8" t="s">
        <v>413</v>
      </c>
      <c r="C4180" s="61" t="n">
        <f aca="false">Pressupostos!$C$365</f>
        <v>0</v>
      </c>
      <c r="D4180" s="61" t="n">
        <f aca="false">Pressupostos!$D$365</f>
        <v>0</v>
      </c>
      <c r="E4180" s="61" t="n">
        <f aca="false">Pressupostos!$E$365</f>
        <v>0</v>
      </c>
      <c r="F4180" s="61" t="n">
        <f aca="false">Pressupostos!$F$365</f>
        <v>0</v>
      </c>
      <c r="G4180" s="61" t="n">
        <f aca="false">Pressupostos!$G$365</f>
        <v>0</v>
      </c>
      <c r="H4180" s="2" t="s">
        <v>1244</v>
      </c>
    </row>
    <row r="4181" customFormat="false" ht="15" hidden="false" customHeight="false" outlineLevel="1" collapsed="false">
      <c r="A4181" s="7" t="s">
        <v>611</v>
      </c>
      <c r="B4181" s="8" t="s">
        <v>413</v>
      </c>
      <c r="C4181" s="61" t="n">
        <f aca="false">Pressupostos!$C$371</f>
        <v>0</v>
      </c>
      <c r="D4181" s="61" t="n">
        <f aca="false">Pressupostos!$D$371</f>
        <v>0</v>
      </c>
      <c r="E4181" s="61" t="n">
        <f aca="false">Pressupostos!$E$371</f>
        <v>0</v>
      </c>
      <c r="F4181" s="61" t="n">
        <f aca="false">Pressupostos!$F$371</f>
        <v>0</v>
      </c>
      <c r="G4181" s="61" t="n">
        <f aca="false">Pressupostos!$G$371</f>
        <v>0</v>
      </c>
      <c r="H4181" s="2" t="s">
        <v>1245</v>
      </c>
    </row>
    <row r="4182" customFormat="false" ht="15" hidden="false" customHeight="false" outlineLevel="1" collapsed="false">
      <c r="A4182" s="7" t="s">
        <v>612</v>
      </c>
      <c r="B4182" s="8" t="s">
        <v>413</v>
      </c>
      <c r="C4182" s="61" t="n">
        <f aca="false">Pressupostos!$C$377</f>
        <v>0</v>
      </c>
      <c r="D4182" s="61" t="n">
        <f aca="false">Pressupostos!$D$377</f>
        <v>0</v>
      </c>
      <c r="E4182" s="61" t="n">
        <f aca="false">Pressupostos!$E$377</f>
        <v>0</v>
      </c>
      <c r="F4182" s="61" t="n">
        <f aca="false">Pressupostos!$F$377</f>
        <v>1</v>
      </c>
      <c r="G4182" s="61" t="n">
        <f aca="false">Pressupostos!$G$377</f>
        <v>1</v>
      </c>
      <c r="H4182" s="2" t="s">
        <v>1246</v>
      </c>
    </row>
    <row r="4183" customFormat="false" ht="15" hidden="false" customHeight="false" outlineLevel="1" collapsed="false">
      <c r="A4183" s="7" t="s">
        <v>613</v>
      </c>
      <c r="B4183" s="8" t="s">
        <v>413</v>
      </c>
      <c r="C4183" s="61" t="n">
        <f aca="false">Pressupostos!$C$383</f>
        <v>0</v>
      </c>
      <c r="D4183" s="61" t="n">
        <f aca="false">Pressupostos!$D$383</f>
        <v>0</v>
      </c>
      <c r="E4183" s="61" t="n">
        <f aca="false">Pressupostos!$E$383</f>
        <v>1</v>
      </c>
      <c r="F4183" s="61" t="n">
        <f aca="false">Pressupostos!$F$383</f>
        <v>1</v>
      </c>
      <c r="G4183" s="61" t="n">
        <f aca="false">Pressupostos!$G$383</f>
        <v>1</v>
      </c>
      <c r="H4183" s="2" t="s">
        <v>1247</v>
      </c>
    </row>
    <row r="4184" customFormat="false" ht="15" hidden="false" customHeight="false" outlineLevel="1" collapsed="false">
      <c r="A4184" s="52" t="s">
        <v>614</v>
      </c>
      <c r="B4184" s="53" t="s">
        <v>413</v>
      </c>
      <c r="C4184" s="62" t="n">
        <f aca="false">C4172+C4173+C4174+C4175+C4176+C4177+C4178+C4179+C4180+C4181+C4182+C4183</f>
        <v>5.5</v>
      </c>
      <c r="D4184" s="62" t="n">
        <f aca="false">D4172+D4173+D4174+D4175+D4176+D4177+D4178+D4179+D4180+D4181+D4182+D4183</f>
        <v>7.5</v>
      </c>
      <c r="E4184" s="62" t="n">
        <f aca="false">E4172+E4173+E4174+E4175+E4176+E4177+E4178+E4179+E4180+E4181+E4182+E4183</f>
        <v>8.5</v>
      </c>
      <c r="F4184" s="62" t="n">
        <f aca="false">F4172+F4173+F4174+F4175+F4176+F4177+F4178+F4179+F4180+F4181+F4182+F4183</f>
        <v>11</v>
      </c>
      <c r="G4184" s="62" t="n">
        <f aca="false">G4172+G4173+G4174+G4175+G4176+G4177+G4178+G4179+G4180+G4181+G4182+G4183</f>
        <v>12</v>
      </c>
      <c r="H4184" s="2" t="s">
        <v>1248</v>
      </c>
    </row>
    <row r="4185" customFormat="false" ht="15" hidden="false" customHeight="false" outlineLevel="0" collapsed="false">
      <c r="A4185" s="3" t="s">
        <v>1249</v>
      </c>
      <c r="B4185" s="4"/>
      <c r="C4185" s="4"/>
      <c r="D4185" s="4"/>
      <c r="E4185" s="4"/>
      <c r="F4185" s="4"/>
      <c r="G4185" s="4"/>
      <c r="H4185" s="4"/>
    </row>
    <row r="4186" customFormat="false" ht="15" hidden="false" customHeight="false" outlineLevel="1" collapsed="false">
      <c r="A4186" s="7" t="s">
        <v>602</v>
      </c>
      <c r="B4186" s="8" t="s">
        <v>10</v>
      </c>
      <c r="C4186" s="58" t="n">
        <f aca="false">C4172*Pressupostos!$C$129*(1+Pressupostos!$C$125)^0*(1+Pressupostos!$C$130)*Pressupostos!$C$126</f>
        <v>43998</v>
      </c>
      <c r="D4186" s="58" t="n">
        <f aca="false">D4172*Pressupostos!$C$129*(1+Pressupostos!$C$125)^1*(1+Pressupostos!$C$130)</f>
        <v>61800</v>
      </c>
      <c r="E4186" s="58" t="n">
        <f aca="false">E4172*Pressupostos!$C$129*(1+Pressupostos!$C$125)^2*(1+Pressupostos!$C$130)</f>
        <v>63654</v>
      </c>
      <c r="F4186" s="58" t="n">
        <f aca="false">F4172*Pressupostos!$C$129*(1+Pressupostos!$C$125)^3*(1+Pressupostos!$C$130)</f>
        <v>65563.62</v>
      </c>
      <c r="G4186" s="58" t="n">
        <f aca="false">G4172*Pressupostos!$C$129*(1+Pressupostos!$C$125)^4*(1+Pressupostos!$C$130)</f>
        <v>67530.5286</v>
      </c>
      <c r="H4186" s="2" t="s">
        <v>1250</v>
      </c>
    </row>
    <row r="4187" customFormat="false" ht="15" hidden="false" customHeight="false" outlineLevel="1" collapsed="false">
      <c r="A4187" s="7" t="s">
        <v>603</v>
      </c>
      <c r="B4187" s="8" t="s">
        <v>10</v>
      </c>
      <c r="C4187" s="58" t="n">
        <f aca="false">C4173*Pressupostos!$C$131*(1+Pressupostos!$C$125)^0*(1+Pressupostos!$C$132)*Pressupostos!$C$126</f>
        <v>47664.5</v>
      </c>
      <c r="D4187" s="58" t="n">
        <f aca="false">D4173*Pressupostos!$C$131*(1+Pressupostos!$C$125)^1*(1+Pressupostos!$C$132)</f>
        <v>66950</v>
      </c>
      <c r="E4187" s="58" t="n">
        <f aca="false">E4173*Pressupostos!$C$131*(1+Pressupostos!$C$125)^2*(1+Pressupostos!$C$132)</f>
        <v>68958.5</v>
      </c>
      <c r="F4187" s="58" t="n">
        <f aca="false">F4173*Pressupostos!$C$131*(1+Pressupostos!$C$125)^3*(1+Pressupostos!$C$132)</f>
        <v>71027.255</v>
      </c>
      <c r="G4187" s="58" t="n">
        <f aca="false">G4173*Pressupostos!$C$131*(1+Pressupostos!$C$125)^4*(1+Pressupostos!$C$132)</f>
        <v>73158.07265</v>
      </c>
      <c r="H4187" s="2" t="s">
        <v>1251</v>
      </c>
    </row>
    <row r="4188" customFormat="false" ht="15" hidden="false" customHeight="false" outlineLevel="1" collapsed="false">
      <c r="A4188" s="7" t="s">
        <v>604</v>
      </c>
      <c r="B4188" s="8" t="s">
        <v>10</v>
      </c>
      <c r="C4188" s="58" t="n">
        <f aca="false">C4174*Pressupostos!$C$133*(1+Pressupostos!$C$125)^0*(1+Pressupostos!$C$134)</f>
        <v>0</v>
      </c>
      <c r="D4188" s="58" t="n">
        <f aca="false">D4174*Pressupostos!$C$133*(1+Pressupostos!$C$125)^1*(1+Pressupostos!$C$134)</f>
        <v>46350</v>
      </c>
      <c r="E4188" s="58" t="n">
        <f aca="false">E4174*Pressupostos!$C$133*(1+Pressupostos!$C$125)^2*(1+Pressupostos!$C$134)</f>
        <v>47740.5</v>
      </c>
      <c r="F4188" s="58" t="n">
        <f aca="false">F4174*Pressupostos!$C$133*(1+Pressupostos!$C$125)^3*(1+Pressupostos!$C$134)</f>
        <v>49172.715</v>
      </c>
      <c r="G4188" s="58" t="n">
        <f aca="false">G4174*Pressupostos!$C$133*(1+Pressupostos!$C$125)^4*(1+Pressupostos!$C$134)</f>
        <v>50647.89645</v>
      </c>
      <c r="H4188" s="2" t="s">
        <v>1252</v>
      </c>
    </row>
    <row r="4189" customFormat="false" ht="15" hidden="false" customHeight="false" outlineLevel="1" collapsed="false">
      <c r="A4189" s="7" t="s">
        <v>605</v>
      </c>
      <c r="B4189" s="8" t="s">
        <v>10</v>
      </c>
      <c r="C4189" s="58" t="n">
        <f aca="false">C4175*Pressupostos!$C$135*(1+Pressupostos!$C$125)^0*(1+Pressupostos!$C$136)</f>
        <v>30000</v>
      </c>
      <c r="D4189" s="58" t="n">
        <f aca="false">D4175*Pressupostos!$C$135*(1+Pressupostos!$C$125)^1*(1+Pressupostos!$C$136)</f>
        <v>61800</v>
      </c>
      <c r="E4189" s="58" t="n">
        <f aca="false">E4175*Pressupostos!$C$135*(1+Pressupostos!$C$125)^2*(1+Pressupostos!$C$136)</f>
        <v>63654</v>
      </c>
      <c r="F4189" s="58" t="n">
        <f aca="false">F4175*Pressupostos!$C$135*(1+Pressupostos!$C$125)^3*(1+Pressupostos!$C$136)</f>
        <v>65563.62</v>
      </c>
      <c r="G4189" s="58" t="n">
        <f aca="false">G4175*Pressupostos!$C$135*(1+Pressupostos!$C$125)^4*(1+Pressupostos!$C$136)</f>
        <v>67530.5286</v>
      </c>
      <c r="H4189" s="2" t="s">
        <v>1253</v>
      </c>
    </row>
    <row r="4190" customFormat="false" ht="15" hidden="false" customHeight="false" outlineLevel="1" collapsed="false">
      <c r="A4190" s="7" t="s">
        <v>606</v>
      </c>
      <c r="B4190" s="8" t="s">
        <v>10</v>
      </c>
      <c r="C4190" s="58" t="n">
        <f aca="false">C4176*Pressupostos!$C$137*(1+Pressupostos!$C$125)^0*(1+Pressupostos!$C$138)</f>
        <v>22500</v>
      </c>
      <c r="D4190" s="58" t="n">
        <f aca="false">D4176*Pressupostos!$C$137*(1+Pressupostos!$C$125)^1*(1+Pressupostos!$C$138)</f>
        <v>23175</v>
      </c>
      <c r="E4190" s="58" t="n">
        <f aca="false">E4176*Pressupostos!$C$137*(1+Pressupostos!$C$125)^2*(1+Pressupostos!$C$138)</f>
        <v>23870.25</v>
      </c>
      <c r="F4190" s="58" t="n">
        <f aca="false">F4176*Pressupostos!$C$137*(1+Pressupostos!$C$125)^3*(1+Pressupostos!$C$138)</f>
        <v>49172.715</v>
      </c>
      <c r="G4190" s="58" t="n">
        <f aca="false">G4176*Pressupostos!$C$137*(1+Pressupostos!$C$125)^4*(1+Pressupostos!$C$138)</f>
        <v>50647.89645</v>
      </c>
      <c r="H4190" s="2" t="s">
        <v>1254</v>
      </c>
    </row>
    <row r="4191" customFormat="false" ht="15" hidden="false" customHeight="false" outlineLevel="1" collapsed="false">
      <c r="A4191" s="7" t="s">
        <v>607</v>
      </c>
      <c r="B4191" s="8" t="s">
        <v>10</v>
      </c>
      <c r="C4191" s="58" t="n">
        <f aca="false">C4177*Pressupostos!$C$139*(1+Pressupostos!$C$125)^0*(1+Pressupostos!$C$140)</f>
        <v>38000</v>
      </c>
      <c r="D4191" s="58" t="n">
        <f aca="false">D4177*Pressupostos!$C$139*(1+Pressupostos!$C$125)^1*(1+Pressupostos!$C$140)</f>
        <v>39140</v>
      </c>
      <c r="E4191" s="58" t="n">
        <f aca="false">E4177*Pressupostos!$C$139*(1+Pressupostos!$C$125)^2*(1+Pressupostos!$C$140)</f>
        <v>40314.2</v>
      </c>
      <c r="F4191" s="58" t="n">
        <f aca="false">F4177*Pressupostos!$C$139*(1+Pressupostos!$C$125)^3*(1+Pressupostos!$C$140)</f>
        <v>41523.626</v>
      </c>
      <c r="G4191" s="58" t="n">
        <f aca="false">G4177*Pressupostos!$C$139*(1+Pressupostos!$C$125)^4*(1+Pressupostos!$C$140)</f>
        <v>42769.33478</v>
      </c>
      <c r="H4191" s="2" t="s">
        <v>1255</v>
      </c>
    </row>
    <row r="4192" customFormat="false" ht="15" hidden="false" customHeight="false" outlineLevel="1" collapsed="false">
      <c r="A4192" s="7" t="s">
        <v>608</v>
      </c>
      <c r="B4192" s="8" t="s">
        <v>10</v>
      </c>
      <c r="C4192" s="58" t="n">
        <f aca="false">C4178*Pressupostos!$C$141*(1+Pressupostos!$C$125)^0*(1+Pressupostos!$C$142)</f>
        <v>16000</v>
      </c>
      <c r="D4192" s="58" t="n">
        <f aca="false">D4178*Pressupostos!$C$141*(1+Pressupostos!$C$125)^1*(1+Pressupostos!$C$142)</f>
        <v>32960</v>
      </c>
      <c r="E4192" s="58" t="n">
        <f aca="false">E4178*Pressupostos!$C$141*(1+Pressupostos!$C$125)^2*(1+Pressupostos!$C$142)</f>
        <v>33948.8</v>
      </c>
      <c r="F4192" s="58" t="n">
        <f aca="false">F4178*Pressupostos!$C$141*(1+Pressupostos!$C$125)^3*(1+Pressupostos!$C$142)</f>
        <v>34967.264</v>
      </c>
      <c r="G4192" s="58" t="n">
        <f aca="false">G4178*Pressupostos!$C$141*(1+Pressupostos!$C$125)^4*(1+Pressupostos!$C$142)</f>
        <v>36016.28192</v>
      </c>
      <c r="H4192" s="2" t="s">
        <v>1256</v>
      </c>
    </row>
    <row r="4193" customFormat="false" ht="15" hidden="false" customHeight="false" outlineLevel="1" collapsed="false">
      <c r="A4193" s="7" t="s">
        <v>609</v>
      </c>
      <c r="B4193" s="8" t="s">
        <v>10</v>
      </c>
      <c r="C4193" s="58" t="n">
        <f aca="false">C4179*Pressupostos!$C$143*(1+Pressupostos!$C$125)^0*(1+Pressupostos!$C$144)</f>
        <v>34500</v>
      </c>
      <c r="D4193" s="58" t="n">
        <f aca="false">D4179*Pressupostos!$C$143*(1+Pressupostos!$C$125)^1*(1+Pressupostos!$C$144)</f>
        <v>35535</v>
      </c>
      <c r="E4193" s="58" t="n">
        <f aca="false">E4179*Pressupostos!$C$143*(1+Pressupostos!$C$125)^2*(1+Pressupostos!$C$144)</f>
        <v>36601.05</v>
      </c>
      <c r="F4193" s="58" t="n">
        <f aca="false">F4179*Pressupostos!$C$143*(1+Pressupostos!$C$125)^3*(1+Pressupostos!$C$144)</f>
        <v>75398.163</v>
      </c>
      <c r="G4193" s="58" t="n">
        <f aca="false">G4179*Pressupostos!$C$143*(1+Pressupostos!$C$125)^4*(1+Pressupostos!$C$144)</f>
        <v>116490.161835</v>
      </c>
      <c r="H4193" s="2" t="s">
        <v>1257</v>
      </c>
    </row>
    <row r="4194" customFormat="false" ht="15" hidden="false" customHeight="false" outlineLevel="1" collapsed="false">
      <c r="A4194" s="7" t="s">
        <v>610</v>
      </c>
      <c r="B4194" s="8" t="s">
        <v>10</v>
      </c>
      <c r="C4194" s="58" t="n">
        <f aca="false">C4180*Pressupostos!$C$145*(1+Pressupostos!$C$125)^0*(1+Pressupostos!$C$146)</f>
        <v>0</v>
      </c>
      <c r="D4194" s="58" t="n">
        <f aca="false">D4180*Pressupostos!$C$145*(1+Pressupostos!$C$125)^1*(1+Pressupostos!$C$146)</f>
        <v>0</v>
      </c>
      <c r="E4194" s="58" t="n">
        <f aca="false">E4180*Pressupostos!$C$145*(1+Pressupostos!$C$125)^2*(1+Pressupostos!$C$146)</f>
        <v>0</v>
      </c>
      <c r="F4194" s="58" t="n">
        <f aca="false">F4180*Pressupostos!$C$145*(1+Pressupostos!$C$125)^3*(1+Pressupostos!$C$146)</f>
        <v>0</v>
      </c>
      <c r="G4194" s="58" t="n">
        <f aca="false">G4180*Pressupostos!$C$145*(1+Pressupostos!$C$125)^4*(1+Pressupostos!$C$146)</f>
        <v>0</v>
      </c>
      <c r="H4194" s="2" t="s">
        <v>1258</v>
      </c>
    </row>
    <row r="4195" customFormat="false" ht="15" hidden="false" customHeight="false" outlineLevel="1" collapsed="false">
      <c r="A4195" s="7" t="s">
        <v>611</v>
      </c>
      <c r="B4195" s="8" t="s">
        <v>10</v>
      </c>
      <c r="C4195" s="58" t="n">
        <f aca="false">C4181*Pressupostos!$C$147*(1+Pressupostos!$C$125)^0*(1+Pressupostos!$C$148)</f>
        <v>0</v>
      </c>
      <c r="D4195" s="58" t="n">
        <f aca="false">D4181*Pressupostos!$C$147*(1+Pressupostos!$C$125)^1*(1+Pressupostos!$C$148)</f>
        <v>0</v>
      </c>
      <c r="E4195" s="58" t="n">
        <f aca="false">E4181*Pressupostos!$C$147*(1+Pressupostos!$C$125)^2*(1+Pressupostos!$C$148)</f>
        <v>0</v>
      </c>
      <c r="F4195" s="58" t="n">
        <f aca="false">F4181*Pressupostos!$C$147*(1+Pressupostos!$C$125)^3*(1+Pressupostos!$C$148)</f>
        <v>0</v>
      </c>
      <c r="G4195" s="58" t="n">
        <f aca="false">G4181*Pressupostos!$C$147*(1+Pressupostos!$C$125)^4*(1+Pressupostos!$C$148)</f>
        <v>0</v>
      </c>
      <c r="H4195" s="2" t="s">
        <v>1259</v>
      </c>
    </row>
    <row r="4196" customFormat="false" ht="15" hidden="false" customHeight="false" outlineLevel="1" collapsed="false">
      <c r="A4196" s="7" t="s">
        <v>612</v>
      </c>
      <c r="B4196" s="8" t="s">
        <v>10</v>
      </c>
      <c r="C4196" s="58" t="n">
        <f aca="false">C4182*Pressupostos!$C$149*(1+Pressupostos!$C$125)^0*(1+Pressupostos!$C$150)</f>
        <v>0</v>
      </c>
      <c r="D4196" s="58" t="n">
        <f aca="false">D4182*Pressupostos!$C$149*(1+Pressupostos!$C$125)^1*(1+Pressupostos!$C$150)</f>
        <v>0</v>
      </c>
      <c r="E4196" s="58" t="n">
        <f aca="false">E4182*Pressupostos!$C$149*(1+Pressupostos!$C$125)^2*(1+Pressupostos!$C$150)</f>
        <v>0</v>
      </c>
      <c r="F4196" s="58" t="n">
        <f aca="false">F4182*Pressupostos!$C$149*(1+Pressupostos!$C$125)^3*(1+Pressupostos!$C$150)</f>
        <v>26225.448</v>
      </c>
      <c r="G4196" s="58" t="n">
        <f aca="false">G4182*Pressupostos!$C$149*(1+Pressupostos!$C$125)^4*(1+Pressupostos!$C$150)</f>
        <v>27012.21144</v>
      </c>
      <c r="H4196" s="2" t="s">
        <v>1260</v>
      </c>
    </row>
    <row r="4197" customFormat="false" ht="15" hidden="false" customHeight="false" outlineLevel="1" collapsed="false">
      <c r="A4197" s="7" t="s">
        <v>613</v>
      </c>
      <c r="B4197" s="8" t="s">
        <v>10</v>
      </c>
      <c r="C4197" s="58" t="n">
        <f aca="false">C4183*Pressupostos!$C$151*(1+Pressupostos!$C$125)^0*(1+Pressupostos!$C$152)</f>
        <v>0</v>
      </c>
      <c r="D4197" s="58" t="n">
        <f aca="false">D4183*Pressupostos!$C$151*(1+Pressupostos!$C$125)^1*(1+Pressupostos!$C$152)</f>
        <v>0</v>
      </c>
      <c r="E4197" s="58" t="n">
        <f aca="false">E4183*Pressupostos!$C$151*(1+Pressupostos!$C$125)^2*(1+Pressupostos!$C$152)</f>
        <v>54901.575</v>
      </c>
      <c r="F4197" s="58" t="n">
        <f aca="false">F4183*Pressupostos!$C$151*(1+Pressupostos!$C$125)^3*(1+Pressupostos!$C$152)</f>
        <v>56548.62225</v>
      </c>
      <c r="G4197" s="58" t="n">
        <f aca="false">G4183*Pressupostos!$C$151*(1+Pressupostos!$C$125)^4*(1+Pressupostos!$C$152)</f>
        <v>58245.0809175</v>
      </c>
      <c r="H4197" s="2" t="s">
        <v>1261</v>
      </c>
    </row>
    <row r="4198" customFormat="false" ht="15" hidden="false" customHeight="false" outlineLevel="1" collapsed="false">
      <c r="A4198" s="7" t="s">
        <v>616</v>
      </c>
      <c r="B4198" s="8" t="s">
        <v>10</v>
      </c>
      <c r="C4198" s="58" t="n">
        <f aca="false">C4186+C4187+C4188+C4189+C4190+C4191+C4192+C4193+C4194+C4195+C4196+C4197</f>
        <v>232662.5</v>
      </c>
      <c r="D4198" s="58" t="n">
        <f aca="false">D4186+D4187+D4188+D4189+D4190+D4191+D4192+D4193+D4194+D4195+D4196+D4197</f>
        <v>367710</v>
      </c>
      <c r="E4198" s="58" t="n">
        <f aca="false">E4186+E4187+E4188+E4189+E4190+E4191+E4192+E4193+E4194+E4195+E4196+E4197</f>
        <v>433642.875</v>
      </c>
      <c r="F4198" s="58" t="n">
        <f aca="false">F4186+F4187+F4188+F4189+F4190+F4191+F4192+F4193+F4194+F4195+F4196+F4197</f>
        <v>535163.04825</v>
      </c>
      <c r="G4198" s="58" t="n">
        <f aca="false">G4186+G4187+G4188+G4189+G4190+G4191+G4192+G4193+G4194+G4195+G4196+G4197</f>
        <v>590047.9936425</v>
      </c>
      <c r="H4198" s="2" t="s">
        <v>1262</v>
      </c>
    </row>
    <row r="4199" customFormat="false" ht="15" hidden="false" customHeight="false" outlineLevel="1" collapsed="false">
      <c r="A4199" s="7" t="s">
        <v>617</v>
      </c>
      <c r="B4199" s="8" t="s">
        <v>10</v>
      </c>
      <c r="C4199" s="58" t="n">
        <f aca="false">C4198*(Pressupostos!$C$122+Pressupostos!$C$123)</f>
        <v>59910.59375</v>
      </c>
      <c r="D4199" s="58" t="n">
        <f aca="false">D4198*(Pressupostos!$C$122+Pressupostos!$C$123)</f>
        <v>94685.325</v>
      </c>
      <c r="E4199" s="58" t="n">
        <f aca="false">E4198*(Pressupostos!$C$122+Pressupostos!$C$123)</f>
        <v>111663.0403125</v>
      </c>
      <c r="F4199" s="58" t="n">
        <f aca="false">F4198*(Pressupostos!$C$122+Pressupostos!$C$123)</f>
        <v>137804.484924375</v>
      </c>
      <c r="G4199" s="58" t="n">
        <f aca="false">G4198*(Pressupostos!$C$122+Pressupostos!$C$123)</f>
        <v>151937.358362944</v>
      </c>
      <c r="H4199" s="2" t="s">
        <v>1263</v>
      </c>
    </row>
    <row r="4200" customFormat="false" ht="15" hidden="false" customHeight="false" outlineLevel="1" collapsed="false">
      <c r="A4200" s="7" t="s">
        <v>618</v>
      </c>
      <c r="B4200" s="8" t="s">
        <v>10</v>
      </c>
      <c r="C4200" s="58" t="n">
        <f aca="false">C4184*Pressupostos!$C$124*(1+Pressupostos!$C$125)^0</f>
        <v>11000</v>
      </c>
      <c r="D4200" s="58" t="n">
        <f aca="false">D4184*Pressupostos!$C$124*(1+Pressupostos!$C$125)^1</f>
        <v>15450</v>
      </c>
      <c r="E4200" s="58" t="n">
        <f aca="false">E4184*Pressupostos!$C$124*(1+Pressupostos!$C$125)^2</f>
        <v>18035.3</v>
      </c>
      <c r="F4200" s="58" t="n">
        <f aca="false">F4184*Pressupostos!$C$124*(1+Pressupostos!$C$125)^3</f>
        <v>24039.994</v>
      </c>
      <c r="G4200" s="58" t="n">
        <f aca="false">G4184*Pressupostos!$C$124*(1+Pressupostos!$C$125)^4</f>
        <v>27012.21144</v>
      </c>
      <c r="H4200" s="2" t="s">
        <v>1264</v>
      </c>
    </row>
    <row r="4201" customFormat="false" ht="15" hidden="false" customHeight="false" outlineLevel="1" collapsed="false">
      <c r="A4201" s="52" t="s">
        <v>619</v>
      </c>
      <c r="B4201" s="53" t="s">
        <v>10</v>
      </c>
      <c r="C4201" s="59" t="n">
        <f aca="false">C4198+C4199+C4200</f>
        <v>303573.09375</v>
      </c>
      <c r="D4201" s="59" t="n">
        <f aca="false">D4198+D4199+D4200</f>
        <v>477845.325</v>
      </c>
      <c r="E4201" s="59" t="n">
        <f aca="false">E4198+E4199+E4200</f>
        <v>563341.2153125</v>
      </c>
      <c r="F4201" s="59" t="n">
        <f aca="false">F4198+F4199+F4200</f>
        <v>697007.527174375</v>
      </c>
      <c r="G4201" s="59" t="n">
        <f aca="false">G4198+G4199+G4200</f>
        <v>768997.563445444</v>
      </c>
      <c r="H4201" s="2" t="s">
        <v>1265</v>
      </c>
    </row>
    <row r="4202" customFormat="false" ht="15" hidden="false" customHeight="false" outlineLevel="1" collapsed="false">
      <c r="A4202" s="2" t="s">
        <v>620</v>
      </c>
      <c r="B4202" s="8" t="s">
        <v>10</v>
      </c>
      <c r="C4202" s="58" t="n">
        <f aca="false">IF(C4184&gt;0,C4201/C4184,0)</f>
        <v>55195.1079545455</v>
      </c>
      <c r="D4202" s="58" t="n">
        <f aca="false">IF(D4184&gt;0,D4201/D4184,0)</f>
        <v>63712.71</v>
      </c>
      <c r="E4202" s="58" t="n">
        <f aca="false">IF(E4184&gt;0,E4201/E4184,0)</f>
        <v>66275.4370955882</v>
      </c>
      <c r="F4202" s="58" t="n">
        <f aca="false">IF(F4184&gt;0,F4201/F4184,0)</f>
        <v>63364.3206522159</v>
      </c>
      <c r="G4202" s="58" t="n">
        <f aca="false">IF(G4184&gt;0,G4201/G4184,0)</f>
        <v>64083.1302871203</v>
      </c>
      <c r="H4202" s="2" t="s">
        <v>1266</v>
      </c>
    </row>
    <row r="4203" customFormat="false" ht="15" hidden="false" customHeight="false" outlineLevel="0" collapsed="false">
      <c r="A4203" s="3" t="s">
        <v>1267</v>
      </c>
      <c r="B4203" s="4"/>
      <c r="C4203" s="4"/>
      <c r="D4203" s="4"/>
      <c r="E4203" s="4"/>
      <c r="F4203" s="4"/>
      <c r="G4203" s="4"/>
      <c r="H4203" s="4"/>
    </row>
    <row r="4204" customFormat="false" ht="15" hidden="false" customHeight="false" outlineLevel="1" collapsed="false">
      <c r="A4204" s="7" t="s">
        <v>430</v>
      </c>
      <c r="B4204" s="8" t="s">
        <v>10</v>
      </c>
      <c r="C4204" s="58" t="n">
        <f aca="false">Pressupostos!$C$390*(1+Pressupostos!$C$154)*(1+Pressupostos!$C$155)^0</f>
        <v>94500</v>
      </c>
      <c r="D4204" s="58" t="n">
        <f aca="false">Pressupostos!$D$390*(1+Pressupostos!$C$154)*(1+Pressupostos!$C$155)^1</f>
        <v>53550</v>
      </c>
      <c r="E4204" s="58" t="n">
        <f aca="false">Pressupostos!$E$390*(1+Pressupostos!$C$154)*(1+Pressupostos!$C$155)^2</f>
        <v>49158.9</v>
      </c>
      <c r="F4204" s="58" t="n">
        <f aca="false">Pressupostos!$F$390*(1+Pressupostos!$C$154)*(1+Pressupostos!$C$155)^3</f>
        <v>50142.078</v>
      </c>
      <c r="G4204" s="58" t="n">
        <f aca="false">Pressupostos!$G$390*(1+Pressupostos!$C$154)*(1+Pressupostos!$C$155)^4</f>
        <v>51144.91956</v>
      </c>
      <c r="H4204" s="2" t="s">
        <v>1268</v>
      </c>
    </row>
    <row r="4205" customFormat="false" ht="15" hidden="false" customHeight="false" outlineLevel="1" collapsed="false">
      <c r="A4205" s="7" t="s">
        <v>432</v>
      </c>
      <c r="B4205" s="8" t="s">
        <v>10</v>
      </c>
      <c r="C4205" s="58" t="n">
        <f aca="false">Pressupostos!$C$396*(1+Pressupostos!$C$154)*(1+Pressupostos!$C$155)^0</f>
        <v>10500</v>
      </c>
      <c r="D4205" s="58" t="n">
        <f aca="false">Pressupostos!$D$396*(1+Pressupostos!$C$154)*(1+Pressupostos!$C$155)^1</f>
        <v>10710</v>
      </c>
      <c r="E4205" s="58" t="n">
        <f aca="false">Pressupostos!$E$396*(1+Pressupostos!$C$154)*(1+Pressupostos!$C$155)^2</f>
        <v>10924.2</v>
      </c>
      <c r="F4205" s="58" t="n">
        <f aca="false">Pressupostos!$F$396*(1+Pressupostos!$C$154)*(1+Pressupostos!$C$155)^3</f>
        <v>11142.684</v>
      </c>
      <c r="G4205" s="58" t="n">
        <f aca="false">Pressupostos!$G$396*(1+Pressupostos!$C$154)*(1+Pressupostos!$C$155)^4</f>
        <v>11365.53768</v>
      </c>
      <c r="H4205" s="2" t="s">
        <v>1269</v>
      </c>
    </row>
    <row r="4206" customFormat="false" ht="15" hidden="false" customHeight="false" outlineLevel="1" collapsed="false">
      <c r="A4206" s="7" t="s">
        <v>433</v>
      </c>
      <c r="B4206" s="8" t="s">
        <v>10</v>
      </c>
      <c r="C4206" s="58" t="n">
        <f aca="false">Pressupostos!$C$402*(1+Pressupostos!$C$154)*(1+Pressupostos!$C$155)^0</f>
        <v>12600</v>
      </c>
      <c r="D4206" s="58" t="n">
        <f aca="false">Pressupostos!$D$402*(1+Pressupostos!$C$154)*(1+Pressupostos!$C$155)^1</f>
        <v>12852</v>
      </c>
      <c r="E4206" s="58" t="n">
        <f aca="false">Pressupostos!$E$402*(1+Pressupostos!$C$154)*(1+Pressupostos!$C$155)^2</f>
        <v>13109.04</v>
      </c>
      <c r="F4206" s="58" t="n">
        <f aca="false">Pressupostos!$F$402*(1+Pressupostos!$C$154)*(1+Pressupostos!$C$155)^3</f>
        <v>13371.2208</v>
      </c>
      <c r="G4206" s="58" t="n">
        <f aca="false">Pressupostos!$G$402*(1+Pressupostos!$C$154)*(1+Pressupostos!$C$155)^4</f>
        <v>13638.645216</v>
      </c>
      <c r="H4206" s="2" t="s">
        <v>1270</v>
      </c>
    </row>
    <row r="4207" customFormat="false" ht="15" hidden="false" customHeight="false" outlineLevel="1" collapsed="false">
      <c r="A4207" s="7" t="s">
        <v>435</v>
      </c>
      <c r="B4207" s="8" t="s">
        <v>10</v>
      </c>
      <c r="C4207" s="58" t="n">
        <f aca="false">Pressupostos!$C$408*(1+Pressupostos!$C$154)*(1+Pressupostos!$C$155)^0</f>
        <v>31500</v>
      </c>
      <c r="D4207" s="58" t="n">
        <f aca="false">Pressupostos!$D$408*(1+Pressupostos!$C$154)*(1+Pressupostos!$C$155)^1</f>
        <v>37485</v>
      </c>
      <c r="E4207" s="58" t="n">
        <f aca="false">Pressupostos!$E$408*(1+Pressupostos!$C$154)*(1+Pressupostos!$C$155)^2</f>
        <v>49158.9</v>
      </c>
      <c r="F4207" s="58" t="n">
        <f aca="false">Pressupostos!$F$408*(1+Pressupostos!$C$154)*(1+Pressupostos!$C$155)^3</f>
        <v>55713.42</v>
      </c>
      <c r="G4207" s="58" t="n">
        <f aca="false">Pressupostos!$G$408*(1+Pressupostos!$C$154)*(1+Pressupostos!$C$155)^4</f>
        <v>62510.45724</v>
      </c>
      <c r="H4207" s="2" t="s">
        <v>1271</v>
      </c>
    </row>
    <row r="4208" customFormat="false" ht="15" hidden="false" customHeight="false" outlineLevel="1" collapsed="false">
      <c r="A4208" s="7" t="s">
        <v>437</v>
      </c>
      <c r="B4208" s="8" t="s">
        <v>10</v>
      </c>
      <c r="C4208" s="58" t="n">
        <f aca="false">Pressupostos!$C$414*(1+Pressupostos!$C$154)*(1+Pressupostos!$C$155)^0</f>
        <v>15750</v>
      </c>
      <c r="D4208" s="58" t="n">
        <f aca="false">Pressupostos!$D$414*(1+Pressupostos!$C$154)*(1+Pressupostos!$C$155)^1</f>
        <v>16065</v>
      </c>
      <c r="E4208" s="58" t="n">
        <f aca="false">Pressupostos!$E$414*(1+Pressupostos!$C$154)*(1+Pressupostos!$C$155)^2</f>
        <v>38234.7</v>
      </c>
      <c r="F4208" s="58" t="n">
        <f aca="false">Pressupostos!$F$414*(1+Pressupostos!$C$154)*(1+Pressupostos!$C$155)^3</f>
        <v>22285.368</v>
      </c>
      <c r="G4208" s="58" t="n">
        <f aca="false">Pressupostos!$G$414*(1+Pressupostos!$C$154)*(1+Pressupostos!$C$155)^4</f>
        <v>22731.07536</v>
      </c>
      <c r="H4208" s="2" t="s">
        <v>1272</v>
      </c>
    </row>
    <row r="4209" customFormat="false" ht="15" hidden="false" customHeight="false" outlineLevel="1" collapsed="false">
      <c r="A4209" s="7" t="s">
        <v>439</v>
      </c>
      <c r="B4209" s="8" t="s">
        <v>10</v>
      </c>
      <c r="C4209" s="58" t="n">
        <f aca="false">Pressupostos!$C$420*(1+Pressupostos!$C$154)*(1+Pressupostos!$C$155)^0</f>
        <v>10500</v>
      </c>
      <c r="D4209" s="58" t="n">
        <f aca="false">Pressupostos!$D$420*(1+Pressupostos!$C$154)*(1+Pressupostos!$C$155)^1</f>
        <v>12852</v>
      </c>
      <c r="E4209" s="58" t="n">
        <f aca="false">Pressupostos!$E$420*(1+Pressupostos!$C$154)*(1+Pressupostos!$C$155)^2</f>
        <v>16386.3</v>
      </c>
      <c r="F4209" s="58" t="n">
        <f aca="false">Pressupostos!$F$420*(1+Pressupostos!$C$154)*(1+Pressupostos!$C$155)^3</f>
        <v>20056.8312</v>
      </c>
      <c r="G4209" s="58" t="n">
        <f aca="false">Pressupostos!$G$420*(1+Pressupostos!$C$154)*(1+Pressupostos!$C$155)^4</f>
        <v>22731.07536</v>
      </c>
      <c r="H4209" s="2" t="s">
        <v>1273</v>
      </c>
    </row>
    <row r="4210" customFormat="false" ht="15" hidden="false" customHeight="false" outlineLevel="1" collapsed="false">
      <c r="A4210" s="7" t="s">
        <v>440</v>
      </c>
      <c r="B4210" s="8" t="s">
        <v>10</v>
      </c>
      <c r="C4210" s="58" t="n">
        <f aca="false">Pressupostos!$C$426*(1+Pressupostos!$C$154)*(1+Pressupostos!$C$155)^0</f>
        <v>31500</v>
      </c>
      <c r="D4210" s="58" t="n">
        <f aca="false">Pressupostos!$D$426*(1+Pressupostos!$C$154)*(1+Pressupostos!$C$155)^1</f>
        <v>37485</v>
      </c>
      <c r="E4210" s="58" t="n">
        <f aca="false">Pressupostos!$E$426*(1+Pressupostos!$C$154)*(1+Pressupostos!$C$155)^2</f>
        <v>49158.9</v>
      </c>
      <c r="F4210" s="58" t="n">
        <f aca="false">Pressupostos!$F$426*(1+Pressupostos!$C$154)*(1+Pressupostos!$C$155)^3</f>
        <v>55713.42</v>
      </c>
      <c r="G4210" s="58" t="n">
        <f aca="false">Pressupostos!$G$426*(1+Pressupostos!$C$154)*(1+Pressupostos!$C$155)^4</f>
        <v>62510.45724</v>
      </c>
      <c r="H4210" s="2" t="s">
        <v>1274</v>
      </c>
    </row>
    <row r="4211" customFormat="false" ht="15" hidden="false" customHeight="false" outlineLevel="1" collapsed="false">
      <c r="A4211" s="7" t="s">
        <v>442</v>
      </c>
      <c r="B4211" s="8" t="s">
        <v>10</v>
      </c>
      <c r="C4211" s="58" t="n">
        <f aca="false">Pressupostos!$C$432*(1+Pressupostos!$C$154)*(1+Pressupostos!$C$155)^0</f>
        <v>6300</v>
      </c>
      <c r="D4211" s="58" t="n">
        <f aca="false">Pressupostos!$D$432*(1+Pressupostos!$C$154)*(1+Pressupostos!$C$155)^1</f>
        <v>8568</v>
      </c>
      <c r="E4211" s="58" t="n">
        <f aca="false">Pressupostos!$E$432*(1+Pressupostos!$C$154)*(1+Pressupostos!$C$155)^2</f>
        <v>13109.04</v>
      </c>
      <c r="F4211" s="58" t="n">
        <f aca="false">Pressupostos!$F$432*(1+Pressupostos!$C$154)*(1+Pressupostos!$C$155)^3</f>
        <v>16714.026</v>
      </c>
      <c r="G4211" s="58" t="n">
        <f aca="false">Pressupostos!$G$432*(1+Pressupostos!$C$154)*(1+Pressupostos!$C$155)^4</f>
        <v>20457.967824</v>
      </c>
      <c r="H4211" s="2" t="s">
        <v>1275</v>
      </c>
    </row>
    <row r="4212" customFormat="false" ht="15" hidden="false" customHeight="false" outlineLevel="1" collapsed="false">
      <c r="A4212" s="7" t="s">
        <v>444</v>
      </c>
      <c r="B4212" s="8" t="s">
        <v>10</v>
      </c>
      <c r="C4212" s="58" t="n">
        <f aca="false">Pressupostos!$C$438*(1+Pressupostos!$C$154)*(1+Pressupostos!$C$155)^0</f>
        <v>15750</v>
      </c>
      <c r="D4212" s="58" t="n">
        <f aca="false">Pressupostos!$D$438*(1+Pressupostos!$C$154)*(1+Pressupostos!$C$155)^1</f>
        <v>21420</v>
      </c>
      <c r="E4212" s="58" t="n">
        <f aca="false">Pressupostos!$E$438*(1+Pressupostos!$C$154)*(1+Pressupostos!$C$155)^2</f>
        <v>30587.76</v>
      </c>
      <c r="F4212" s="58" t="n">
        <f aca="false">Pressupostos!$F$438*(1+Pressupostos!$C$154)*(1+Pressupostos!$C$155)^3</f>
        <v>35656.5888</v>
      </c>
      <c r="G4212" s="58" t="n">
        <f aca="false">Pressupostos!$G$438*(1+Pressupostos!$C$154)*(1+Pressupostos!$C$155)^4</f>
        <v>40915.935648</v>
      </c>
      <c r="H4212" s="2" t="s">
        <v>1276</v>
      </c>
    </row>
    <row r="4213" customFormat="false" ht="15" hidden="false" customHeight="false" outlineLevel="1" collapsed="false">
      <c r="A4213" s="7" t="s">
        <v>445</v>
      </c>
      <c r="B4213" s="8" t="s">
        <v>10</v>
      </c>
      <c r="C4213" s="58" t="n">
        <f aca="false">Pressupostos!$C$444*(1+Pressupostos!$C$154)*(1+Pressupostos!$C$155)^0</f>
        <v>4200</v>
      </c>
      <c r="D4213" s="58" t="n">
        <f aca="false">Pressupostos!$D$444*(1+Pressupostos!$C$154)*(1+Pressupostos!$C$155)^1</f>
        <v>6426</v>
      </c>
      <c r="E4213" s="58" t="n">
        <f aca="false">Pressupostos!$E$444*(1+Pressupostos!$C$154)*(1+Pressupostos!$C$155)^2</f>
        <v>8739.36</v>
      </c>
      <c r="F4213" s="58" t="n">
        <f aca="false">Pressupostos!$F$444*(1+Pressupostos!$C$154)*(1+Pressupostos!$C$155)^3</f>
        <v>8914.1472</v>
      </c>
      <c r="G4213" s="58" t="n">
        <f aca="false">Pressupostos!$G$444*(1+Pressupostos!$C$154)*(1+Pressupostos!$C$155)^4</f>
        <v>9092.430144</v>
      </c>
      <c r="H4213" s="2" t="s">
        <v>1277</v>
      </c>
    </row>
    <row r="4214" customFormat="false" ht="15" hidden="false" customHeight="false" outlineLevel="1" collapsed="false">
      <c r="A4214" s="7" t="s">
        <v>661</v>
      </c>
      <c r="B4214" s="8" t="s">
        <v>10</v>
      </c>
      <c r="C4214" s="58" t="n">
        <f aca="false">C4204+C4205+C4206+C4207+C4208+C4209+C4210+C4211+C4212+C4213</f>
        <v>233100</v>
      </c>
      <c r="D4214" s="58" t="n">
        <f aca="false">D4204+D4205+D4206+D4207+D4208+D4209+D4210+D4211+D4212+D4213</f>
        <v>217413</v>
      </c>
      <c r="E4214" s="58" t="n">
        <f aca="false">E4204+E4205+E4206+E4207+E4208+E4209+E4210+E4211+E4212+E4213</f>
        <v>278567.1</v>
      </c>
      <c r="F4214" s="58" t="n">
        <f aca="false">F4204+F4205+F4206+F4207+F4208+F4209+F4210+F4211+F4212+F4213</f>
        <v>289709.784</v>
      </c>
      <c r="G4214" s="58" t="n">
        <f aca="false">G4204+G4205+G4206+G4207+G4208+G4209+G4210+G4211+G4212+G4213</f>
        <v>317098.501272</v>
      </c>
      <c r="H4214" s="2" t="s">
        <v>1278</v>
      </c>
    </row>
    <row r="4215" customFormat="false" ht="15" hidden="false" customHeight="false" outlineLevel="1" collapsed="false">
      <c r="A4215" s="7" t="s">
        <v>662</v>
      </c>
      <c r="B4215" s="8" t="s">
        <v>10</v>
      </c>
      <c r="C4215" s="58" t="n">
        <f aca="false">Pressupostos!$C$112+Pressupostos!$C$113+Pressupostos!$C$114*Pressupostos!$C$291+Pressupostos!$C$449</f>
        <v>65000</v>
      </c>
      <c r="D4215" s="58" t="n">
        <f aca="false">Pressupostos!$C$113+Pressupostos!$C$114*Pressupostos!$D$291+Pressupostos!$D$449</f>
        <v>65000</v>
      </c>
      <c r="E4215" s="58" t="n">
        <f aca="false">Pressupostos!$C$113+Pressupostos!$C$114*Pressupostos!$E$291+Pressupostos!$E$449</f>
        <v>70000</v>
      </c>
      <c r="F4215" s="58" t="n">
        <f aca="false">Pressupostos!$C$113+Pressupostos!$C$114*Pressupostos!$F$291+Pressupostos!$F$449</f>
        <v>75000</v>
      </c>
      <c r="G4215" s="58" t="n">
        <f aca="false">Pressupostos!$C$113+Pressupostos!$C$114*Pressupostos!$G$291+Pressupostos!$G$449</f>
        <v>80000</v>
      </c>
      <c r="H4215" s="2" t="s">
        <v>1279</v>
      </c>
    </row>
    <row r="4216" customFormat="false" ht="15" hidden="false" customHeight="false" outlineLevel="1" collapsed="false">
      <c r="A4216" s="7" t="s">
        <v>663</v>
      </c>
      <c r="B4216" s="8" t="s">
        <v>10</v>
      </c>
      <c r="C4216" s="58" t="n">
        <f aca="false">IF(C4038&lt;Pressupostos!$C$118,0,MAX(Pressupostos!$C$297,Pressupostos!$C$116*(C4126+C4127)+Pressupostos!$C$117*C4128))</f>
        <v>0</v>
      </c>
      <c r="D4216" s="58" t="n">
        <f aca="false">IF(D4038&lt;Pressupostos!$C$118,0,MAX(Pressupostos!$D$297,Pressupostos!$C$116*(D4126+D4127)+Pressupostos!$C$117*D4128))</f>
        <v>10738.7</v>
      </c>
      <c r="E4216" s="58" t="n">
        <f aca="false">IF(E4038&lt;Pressupostos!$C$118,0,MAX(Pressupostos!$E$297,Pressupostos!$C$116*(E4126+E4127)+Pressupostos!$C$117*E4128))</f>
        <v>25385.4</v>
      </c>
      <c r="F4216" s="58" t="n">
        <f aca="false">IF(F4038&lt;Pressupostos!$C$118,0,MAX(Pressupostos!$F$297,Pressupostos!$C$116*(F4126+F4127)+Pressupostos!$C$117*F4128))</f>
        <v>42234.8</v>
      </c>
      <c r="G4216" s="58" t="n">
        <f aca="false">IF(G4038&lt;Pressupostos!$C$118,0,MAX(Pressupostos!$G$297,Pressupostos!$C$116*(G4126+G4127)+Pressupostos!$C$117*G4128))</f>
        <v>61594</v>
      </c>
      <c r="H4216" s="2" t="s">
        <v>1280</v>
      </c>
    </row>
    <row r="4217" customFormat="false" ht="15" hidden="false" customHeight="false" outlineLevel="1" collapsed="false">
      <c r="A4217" s="52" t="s">
        <v>664</v>
      </c>
      <c r="B4217" s="53" t="s">
        <v>10</v>
      </c>
      <c r="C4217" s="59" t="n">
        <f aca="false">C4214+C4215+C4216</f>
        <v>298100</v>
      </c>
      <c r="D4217" s="59" t="n">
        <f aca="false">D4214+D4215+D4216</f>
        <v>293151.7</v>
      </c>
      <c r="E4217" s="59" t="n">
        <f aca="false">E4214+E4215+E4216</f>
        <v>373952.5</v>
      </c>
      <c r="F4217" s="59" t="n">
        <f aca="false">F4214+F4215+F4216</f>
        <v>406944.584</v>
      </c>
      <c r="G4217" s="59" t="n">
        <f aca="false">G4214+G4215+G4216</f>
        <v>458692.501272</v>
      </c>
      <c r="H4217" s="2" t="s">
        <v>1281</v>
      </c>
    </row>
    <row r="4218" customFormat="false" ht="15" hidden="false" customHeight="false" outlineLevel="0" collapsed="false">
      <c r="A4218" s="3" t="s">
        <v>1282</v>
      </c>
      <c r="B4218" s="4"/>
      <c r="C4218" s="4"/>
      <c r="D4218" s="4"/>
      <c r="E4218" s="4"/>
      <c r="F4218" s="4"/>
      <c r="G4218" s="4"/>
      <c r="H4218" s="4"/>
    </row>
    <row r="4219" customFormat="false" ht="15" hidden="false" customHeight="false" outlineLevel="1" collapsed="false">
      <c r="A4219" s="7" t="s">
        <v>666</v>
      </c>
      <c r="B4219" s="8" t="s">
        <v>10</v>
      </c>
      <c r="C4219" s="58" t="n">
        <f aca="false">Pressupostos!$C$163*Pressupostos!$C$304</f>
        <v>18000</v>
      </c>
      <c r="D4219" s="58" t="n">
        <f aca="false">Pressupostos!$C$163*Pressupostos!$D$304</f>
        <v>12000</v>
      </c>
      <c r="E4219" s="58" t="n">
        <f aca="false">Pressupostos!$C$163*Pressupostos!$E$304</f>
        <v>12000</v>
      </c>
      <c r="F4219" s="58" t="n">
        <f aca="false">Pressupostos!$C$163*Pressupostos!$F$304</f>
        <v>12000</v>
      </c>
      <c r="G4219" s="58" t="n">
        <f aca="false">Pressupostos!$C$163*Pressupostos!$G$304</f>
        <v>12000</v>
      </c>
      <c r="H4219" s="2" t="s">
        <v>1283</v>
      </c>
    </row>
    <row r="4220" customFormat="false" ht="15" hidden="false" customHeight="false" outlineLevel="1" collapsed="false">
      <c r="A4220" s="7" t="s">
        <v>667</v>
      </c>
      <c r="B4220" s="8" t="s">
        <v>10</v>
      </c>
      <c r="C4220" s="50" t="n">
        <f aca="false">Pressupostos!$C$310</f>
        <v>60000</v>
      </c>
      <c r="D4220" s="50" t="n">
        <f aca="false">Pressupostos!$D$310</f>
        <v>30000</v>
      </c>
      <c r="E4220" s="50" t="n">
        <f aca="false">Pressupostos!$E$310</f>
        <v>30000</v>
      </c>
      <c r="F4220" s="50" t="n">
        <f aca="false">Pressupostos!$F$310</f>
        <v>20000</v>
      </c>
      <c r="G4220" s="50" t="n">
        <f aca="false">Pressupostos!$G$310</f>
        <v>20000</v>
      </c>
      <c r="H4220" s="2" t="s">
        <v>1284</v>
      </c>
    </row>
    <row r="4221" customFormat="false" ht="15" hidden="false" customHeight="false" outlineLevel="1" collapsed="false">
      <c r="A4221" s="7" t="s">
        <v>668</v>
      </c>
      <c r="B4221" s="8" t="s">
        <v>10</v>
      </c>
      <c r="C4221" s="58" t="n">
        <f aca="false">Pressupostos!$C$164*MAX(0,C4184)</f>
        <v>11000</v>
      </c>
      <c r="D4221" s="58" t="n">
        <f aca="false">Pressupostos!$C$164*MAX(0,D4184-C4184)</f>
        <v>4000</v>
      </c>
      <c r="E4221" s="58" t="n">
        <f aca="false">Pressupostos!$C$164*MAX(0,E4184-D4184)</f>
        <v>2000</v>
      </c>
      <c r="F4221" s="58" t="n">
        <f aca="false">Pressupostos!$C$164*MAX(0,F4184-E4184)</f>
        <v>5000</v>
      </c>
      <c r="G4221" s="58" t="n">
        <f aca="false">Pressupostos!$C$164*MAX(0,G4184-F4184)</f>
        <v>2000</v>
      </c>
      <c r="H4221" s="2" t="s">
        <v>1285</v>
      </c>
    </row>
    <row r="4222" customFormat="false" ht="15" hidden="false" customHeight="false" outlineLevel="1" collapsed="false">
      <c r="A4222" s="7" t="s">
        <v>407</v>
      </c>
      <c r="B4222" s="8" t="s">
        <v>10</v>
      </c>
      <c r="C4222" s="58" t="n">
        <f aca="false">C4219+C4220+C4221</f>
        <v>89000</v>
      </c>
      <c r="D4222" s="58" t="n">
        <f aca="false">D4219+D4220+D4221</f>
        <v>46000</v>
      </c>
      <c r="E4222" s="58" t="n">
        <f aca="false">E4219+E4220+E4221</f>
        <v>44000</v>
      </c>
      <c r="F4222" s="58" t="n">
        <f aca="false">F4219+F4220+F4221</f>
        <v>37000</v>
      </c>
      <c r="G4222" s="58" t="n">
        <f aca="false">G4219+G4220+G4221</f>
        <v>34000</v>
      </c>
      <c r="H4222" s="2" t="s">
        <v>1286</v>
      </c>
    </row>
    <row r="4223" customFormat="false" ht="15" hidden="false" customHeight="false" outlineLevel="1" collapsed="false">
      <c r="A4223" s="7" t="s">
        <v>669</v>
      </c>
      <c r="B4223" s="8" t="s">
        <v>10</v>
      </c>
      <c r="C4223" s="58" t="n">
        <f aca="false">(C4220*((0)&lt;Pressupostos!$C$165))/Pressupostos!$C$165</f>
        <v>20000</v>
      </c>
      <c r="D4223" s="58" t="n">
        <f aca="false">(C4220*((1)&lt;Pressupostos!$C$165)+D4220*((0)&lt;Pressupostos!$C$165))/Pressupostos!$C$165</f>
        <v>30000</v>
      </c>
      <c r="E4223" s="58" t="n">
        <f aca="false">(C4220*((2)&lt;Pressupostos!$C$165)+D4220*((1)&lt;Pressupostos!$C$165)+E4220*((0)&lt;Pressupostos!$C$165))/Pressupostos!$C$165</f>
        <v>40000</v>
      </c>
      <c r="F4223" s="58" t="n">
        <f aca="false">(C4220*((3)&lt;Pressupostos!$C$165)+D4220*((2)&lt;Pressupostos!$C$165)+E4220*((1)&lt;Pressupostos!$C$165)+F4220*((0)&lt;Pressupostos!$C$165))/Pressupostos!$C$165</f>
        <v>26666.6666666667</v>
      </c>
      <c r="G4223" s="58" t="n">
        <f aca="false">(C4220*((4)&lt;Pressupostos!$C$165)+D4220*((3)&lt;Pressupostos!$C$165)+E4220*((2)&lt;Pressupostos!$C$165)+F4220*((1)&lt;Pressupostos!$C$165)+G4220*((0)&lt;Pressupostos!$C$165))/Pressupostos!$C$165</f>
        <v>23333.3333333333</v>
      </c>
      <c r="H4223" s="2" t="s">
        <v>1287</v>
      </c>
    </row>
    <row r="4224" customFormat="false" ht="15" hidden="false" customHeight="false" outlineLevel="1" collapsed="false">
      <c r="A4224" s="7" t="s">
        <v>670</v>
      </c>
      <c r="B4224" s="8" t="s">
        <v>10</v>
      </c>
      <c r="C4224" s="58" t="n">
        <f aca="false">(C4219*((0)&lt;Pressupostos!$C$167))/Pressupostos!$C$167</f>
        <v>3600</v>
      </c>
      <c r="D4224" s="58" t="n">
        <f aca="false">(C4219*((1)&lt;Pressupostos!$C$167)+D4219*((0)&lt;Pressupostos!$C$167))/Pressupostos!$C$167</f>
        <v>6000</v>
      </c>
      <c r="E4224" s="58" t="n">
        <f aca="false">(C4219*((2)&lt;Pressupostos!$C$167)+D4219*((1)&lt;Pressupostos!$C$167)+E4219*((0)&lt;Pressupostos!$C$167))/Pressupostos!$C$167</f>
        <v>8400</v>
      </c>
      <c r="F4224" s="58" t="n">
        <f aca="false">(C4219*((3)&lt;Pressupostos!$C$167)+D4219*((2)&lt;Pressupostos!$C$167)+E4219*((1)&lt;Pressupostos!$C$167)+F4219*((0)&lt;Pressupostos!$C$167))/Pressupostos!$C$167</f>
        <v>10800</v>
      </c>
      <c r="G4224" s="58" t="n">
        <f aca="false">(C4219*((4)&lt;Pressupostos!$C$167)+D4219*((3)&lt;Pressupostos!$C$167)+E4219*((2)&lt;Pressupostos!$C$167)+F4219*((1)&lt;Pressupostos!$C$167)+G4219*((0)&lt;Pressupostos!$C$167))/Pressupostos!$C$167</f>
        <v>13200</v>
      </c>
      <c r="H4224" s="2" t="s">
        <v>1288</v>
      </c>
    </row>
    <row r="4225" customFormat="false" ht="15" hidden="false" customHeight="false" outlineLevel="1" collapsed="false">
      <c r="A4225" s="7" t="s">
        <v>671</v>
      </c>
      <c r="B4225" s="8" t="s">
        <v>10</v>
      </c>
      <c r="C4225" s="58" t="n">
        <f aca="false">(C4221*((0)&lt;Pressupostos!$C$166))/Pressupostos!$C$166</f>
        <v>2750</v>
      </c>
      <c r="D4225" s="58" t="n">
        <f aca="false">(C4221*((1)&lt;Pressupostos!$C$166)+D4221*((0)&lt;Pressupostos!$C$166))/Pressupostos!$C$166</f>
        <v>3750</v>
      </c>
      <c r="E4225" s="58" t="n">
        <f aca="false">(C4221*((2)&lt;Pressupostos!$C$166)+D4221*((1)&lt;Pressupostos!$C$166)+E4221*((0)&lt;Pressupostos!$C$166))/Pressupostos!$C$166</f>
        <v>4250</v>
      </c>
      <c r="F4225" s="58" t="n">
        <f aca="false">(C4221*((3)&lt;Pressupostos!$C$166)+D4221*((2)&lt;Pressupostos!$C$166)+E4221*((1)&lt;Pressupostos!$C$166)+F4221*((0)&lt;Pressupostos!$C$166))/Pressupostos!$C$166</f>
        <v>5500</v>
      </c>
      <c r="G4225" s="58" t="n">
        <f aca="false">(C4221*((4)&lt;Pressupostos!$C$166)+D4221*((3)&lt;Pressupostos!$C$166)+E4221*((2)&lt;Pressupostos!$C$166)+F4221*((1)&lt;Pressupostos!$C$166)+G4221*((0)&lt;Pressupostos!$C$166))/Pressupostos!$C$166</f>
        <v>3250</v>
      </c>
      <c r="H4225" s="2" t="s">
        <v>1289</v>
      </c>
    </row>
    <row r="4226" customFormat="false" ht="15" hidden="false" customHeight="false" outlineLevel="1" collapsed="false">
      <c r="A4226" s="7" t="s">
        <v>672</v>
      </c>
      <c r="B4226" s="8" t="s">
        <v>10</v>
      </c>
      <c r="C4226" s="58" t="n">
        <f aca="false">C4223+C4224+C4225</f>
        <v>26350</v>
      </c>
      <c r="D4226" s="58" t="n">
        <f aca="false">D4223+D4224+D4225</f>
        <v>39750</v>
      </c>
      <c r="E4226" s="58" t="n">
        <f aca="false">E4223+E4224+E4225</f>
        <v>52650</v>
      </c>
      <c r="F4226" s="58" t="n">
        <f aca="false">F4223+F4224+F4225</f>
        <v>42966.6666666667</v>
      </c>
      <c r="G4226" s="58" t="n">
        <f aca="false">G4223+G4224+G4225</f>
        <v>39783.3333333333</v>
      </c>
      <c r="H4226" s="2" t="s">
        <v>1290</v>
      </c>
    </row>
    <row r="4227" customFormat="false" ht="15" hidden="false" customHeight="false" outlineLevel="0" collapsed="false">
      <c r="A4227" s="3" t="s">
        <v>1291</v>
      </c>
      <c r="B4227" s="4"/>
      <c r="C4227" s="4"/>
      <c r="D4227" s="4"/>
      <c r="E4227" s="4"/>
      <c r="F4227" s="4"/>
      <c r="G4227" s="4"/>
      <c r="H4227" s="4"/>
    </row>
    <row r="4228" customFormat="false" ht="15" hidden="false" customHeight="false" outlineLevel="1" collapsed="false">
      <c r="A4228" s="52" t="s">
        <v>676</v>
      </c>
      <c r="B4228" s="53" t="s">
        <v>10</v>
      </c>
      <c r="C4228" s="59" t="n">
        <f aca="false">C4135</f>
        <v>273414.4</v>
      </c>
      <c r="D4228" s="59" t="n">
        <f aca="false">D4135</f>
        <v>3607904</v>
      </c>
      <c r="E4228" s="59" t="n">
        <f aca="false">E4135</f>
        <v>9115794</v>
      </c>
      <c r="F4228" s="59" t="n">
        <f aca="false">F4135</f>
        <v>15351602</v>
      </c>
      <c r="G4228" s="59" t="n">
        <f aca="false">G4135</f>
        <v>22313360</v>
      </c>
      <c r="H4228" s="2" t="s">
        <v>1292</v>
      </c>
    </row>
    <row r="4229" customFormat="false" ht="15" hidden="false" customHeight="false" outlineLevel="1" collapsed="false">
      <c r="A4229" s="7" t="s">
        <v>649</v>
      </c>
      <c r="B4229" s="8" t="s">
        <v>10</v>
      </c>
      <c r="C4229" s="58" t="n">
        <f aca="false">-C4156</f>
        <v>-245040</v>
      </c>
      <c r="D4229" s="58" t="n">
        <f aca="false">-D4156</f>
        <v>-3349300</v>
      </c>
      <c r="E4229" s="58" t="n">
        <f aca="false">-E4156</f>
        <v>-8498250</v>
      </c>
      <c r="F4229" s="58" t="n">
        <f aca="false">-F4156</f>
        <v>-14283850</v>
      </c>
      <c r="G4229" s="58" t="n">
        <f aca="false">-G4156</f>
        <v>-20710500</v>
      </c>
      <c r="H4229" s="2" t="s">
        <v>1293</v>
      </c>
    </row>
    <row r="4230" customFormat="false" ht="15" hidden="false" customHeight="false" outlineLevel="1" collapsed="false">
      <c r="A4230" s="52" t="s">
        <v>677</v>
      </c>
      <c r="B4230" s="53" t="s">
        <v>10</v>
      </c>
      <c r="C4230" s="59" t="n">
        <f aca="false">C4228+C4229</f>
        <v>28374.4</v>
      </c>
      <c r="D4230" s="59" t="n">
        <f aca="false">D4228+D4229</f>
        <v>258604</v>
      </c>
      <c r="E4230" s="59" t="n">
        <f aca="false">E4228+E4229</f>
        <v>617544</v>
      </c>
      <c r="F4230" s="59" t="n">
        <f aca="false">F4228+F4229</f>
        <v>1067752</v>
      </c>
      <c r="G4230" s="59" t="n">
        <f aca="false">G4228+G4229</f>
        <v>1602860</v>
      </c>
      <c r="H4230" s="2" t="s">
        <v>1294</v>
      </c>
    </row>
    <row r="4231" customFormat="false" ht="15" hidden="false" customHeight="false" outlineLevel="1" collapsed="false">
      <c r="A4231" s="2" t="s">
        <v>678</v>
      </c>
      <c r="B4231" s="8" t="s">
        <v>71</v>
      </c>
      <c r="C4231" s="55" t="n">
        <f aca="false">IF(C4228&gt;0,C4230/C4228,0)</f>
        <v>0.103778001451277</v>
      </c>
      <c r="D4231" s="55" t="n">
        <f aca="false">IF(D4228&gt;0,D4230/D4228,0)</f>
        <v>0.0716770734476305</v>
      </c>
      <c r="E4231" s="55" t="n">
        <f aca="false">IF(E4228&gt;0,E4230/E4228,0)</f>
        <v>0.0677444005426187</v>
      </c>
      <c r="F4231" s="55" t="n">
        <f aca="false">IF(F4228&gt;0,F4230/F4228,0)</f>
        <v>0.0695531319793205</v>
      </c>
      <c r="G4231" s="55" t="n">
        <f aca="false">IF(G4228&gt;0,G4230/G4228,0)</f>
        <v>0.0718340940136313</v>
      </c>
      <c r="H4231" s="2" t="s">
        <v>1295</v>
      </c>
    </row>
    <row r="4232" customFormat="false" ht="15" hidden="false" customHeight="false" outlineLevel="1" collapsed="false">
      <c r="A4232" s="7" t="s">
        <v>679</v>
      </c>
      <c r="B4232" s="8" t="s">
        <v>10</v>
      </c>
      <c r="C4232" s="58" t="n">
        <f aca="false">-C4166</f>
        <v>-15479.4626027397</v>
      </c>
      <c r="D4232" s="58" t="n">
        <f aca="false">-D4166</f>
        <v>-137929.039554795</v>
      </c>
      <c r="E4232" s="58" t="n">
        <f aca="false">-E4166</f>
        <v>-320213.26369863</v>
      </c>
      <c r="F4232" s="58" t="n">
        <f aca="false">-F4166</f>
        <v>-538580.179794521</v>
      </c>
      <c r="G4232" s="58" t="n">
        <f aca="false">-G4166</f>
        <v>-787593.886986301</v>
      </c>
      <c r="H4232" s="2" t="s">
        <v>1296</v>
      </c>
    </row>
    <row r="4233" customFormat="false" ht="15" hidden="false" customHeight="false" outlineLevel="1" collapsed="false">
      <c r="A4233" s="7" t="s">
        <v>658</v>
      </c>
      <c r="B4233" s="8" t="s">
        <v>10</v>
      </c>
      <c r="C4233" s="58" t="n">
        <f aca="false">-C4169</f>
        <v>-0</v>
      </c>
      <c r="D4233" s="58" t="n">
        <f aca="false">-D4169</f>
        <v>-38774.2191780822</v>
      </c>
      <c r="E4233" s="58" t="n">
        <f aca="false">-E4169</f>
        <v>-77308.7093321918</v>
      </c>
      <c r="F4233" s="58" t="n">
        <f aca="false">-F4169</f>
        <v>-121350.136130137</v>
      </c>
      <c r="G4233" s="58" t="n">
        <f aca="false">-G4169</f>
        <v>-178001.429794521</v>
      </c>
      <c r="H4233" s="2" t="s">
        <v>1297</v>
      </c>
    </row>
    <row r="4234" customFormat="false" ht="15" hidden="false" customHeight="false" outlineLevel="1" collapsed="false">
      <c r="A4234" s="52" t="s">
        <v>641</v>
      </c>
      <c r="B4234" s="53" t="s">
        <v>10</v>
      </c>
      <c r="C4234" s="59" t="n">
        <f aca="false">C4230+C4232+C4233</f>
        <v>12894.9373972603</v>
      </c>
      <c r="D4234" s="59" t="n">
        <f aca="false">D4230+D4232+D4233</f>
        <v>81900.7412671233</v>
      </c>
      <c r="E4234" s="59" t="n">
        <f aca="false">E4230+E4232+E4233</f>
        <v>220022.026969178</v>
      </c>
      <c r="F4234" s="59" t="n">
        <f aca="false">F4230+F4232+F4233</f>
        <v>407821.684075343</v>
      </c>
      <c r="G4234" s="59" t="n">
        <f aca="false">G4230+G4232+G4233</f>
        <v>637264.683219178</v>
      </c>
      <c r="H4234" s="2" t="s">
        <v>1298</v>
      </c>
    </row>
    <row r="4235" customFormat="false" ht="15" hidden="false" customHeight="false" outlineLevel="1" collapsed="false">
      <c r="A4235" s="7" t="s">
        <v>251</v>
      </c>
      <c r="B4235" s="8" t="s">
        <v>10</v>
      </c>
      <c r="C4235" s="58" t="n">
        <f aca="false">-C4201</f>
        <v>-303573.09375</v>
      </c>
      <c r="D4235" s="58" t="n">
        <f aca="false">-D4201</f>
        <v>-477845.325</v>
      </c>
      <c r="E4235" s="58" t="n">
        <f aca="false">-E4201</f>
        <v>-563341.2153125</v>
      </c>
      <c r="F4235" s="58" t="n">
        <f aca="false">-F4201</f>
        <v>-697007.527174375</v>
      </c>
      <c r="G4235" s="58" t="n">
        <f aca="false">-G4201</f>
        <v>-768997.563445444</v>
      </c>
      <c r="H4235" s="2" t="s">
        <v>1299</v>
      </c>
    </row>
    <row r="4236" customFormat="false" ht="15" hidden="false" customHeight="false" outlineLevel="1" collapsed="false">
      <c r="A4236" s="7" t="s">
        <v>680</v>
      </c>
      <c r="B4236" s="8" t="s">
        <v>10</v>
      </c>
      <c r="C4236" s="58" t="n">
        <f aca="false">-C4217</f>
        <v>-298100</v>
      </c>
      <c r="D4236" s="58" t="n">
        <f aca="false">-D4217</f>
        <v>-293151.7</v>
      </c>
      <c r="E4236" s="58" t="n">
        <f aca="false">-E4217</f>
        <v>-373952.5</v>
      </c>
      <c r="F4236" s="58" t="n">
        <f aca="false">-F4217</f>
        <v>-406944.584</v>
      </c>
      <c r="G4236" s="58" t="n">
        <f aca="false">-G4217</f>
        <v>-458692.501272</v>
      </c>
      <c r="H4236" s="2" t="s">
        <v>1300</v>
      </c>
    </row>
    <row r="4237" customFormat="false" ht="15" hidden="false" customHeight="false" outlineLevel="1" collapsed="false">
      <c r="A4237" s="52" t="s">
        <v>681</v>
      </c>
      <c r="B4237" s="53" t="s">
        <v>10</v>
      </c>
      <c r="C4237" s="59" t="n">
        <f aca="false">C4234+C4235+C4236</f>
        <v>-588778.15635274</v>
      </c>
      <c r="D4237" s="59" t="n">
        <f aca="false">D4234+D4235+D4236</f>
        <v>-689096.283732877</v>
      </c>
      <c r="E4237" s="59" t="n">
        <f aca="false">E4234+E4235+E4236</f>
        <v>-717271.688343322</v>
      </c>
      <c r="F4237" s="59" t="n">
        <f aca="false">F4234+F4235+F4236</f>
        <v>-696130.427099032</v>
      </c>
      <c r="G4237" s="59" t="n">
        <f aca="false">G4234+G4235+G4236</f>
        <v>-590425.381498266</v>
      </c>
      <c r="H4237" s="2" t="s">
        <v>1301</v>
      </c>
    </row>
    <row r="4238" customFormat="false" ht="15" hidden="false" customHeight="false" outlineLevel="1" collapsed="false">
      <c r="A4238" s="2" t="s">
        <v>683</v>
      </c>
      <c r="B4238" s="8" t="s">
        <v>71</v>
      </c>
      <c r="C4238" s="55" t="n">
        <f aca="false">IF(C4228&gt;0,C4237/C4228,0)</f>
        <v>-2.15342775052353</v>
      </c>
      <c r="D4238" s="55" t="n">
        <f aca="false">IF(D4228&gt;0,D4237/D4228,0)</f>
        <v>-0.190996291401566</v>
      </c>
      <c r="E4238" s="55" t="n">
        <f aca="false">IF(E4228&gt;0,E4237/E4228,0)</f>
        <v>-0.0786844994899316</v>
      </c>
      <c r="F4238" s="55" t="n">
        <f aca="false">IF(F4228&gt;0,F4237/F4228,0)</f>
        <v>-0.0453457839187749</v>
      </c>
      <c r="G4238" s="55" t="n">
        <f aca="false">IF(G4228&gt;0,G4237/G4228,0)</f>
        <v>-0.0264606218650291</v>
      </c>
      <c r="H4238" s="2" t="s">
        <v>1302</v>
      </c>
    </row>
    <row r="4239" customFormat="false" ht="15" hidden="false" customHeight="false" outlineLevel="1" collapsed="false">
      <c r="A4239" s="2" t="s">
        <v>684</v>
      </c>
      <c r="B4239" s="8" t="s">
        <v>10</v>
      </c>
      <c r="C4239" s="58" t="n">
        <f aca="false">C4237+C4169</f>
        <v>-588778.15635274</v>
      </c>
      <c r="D4239" s="58" t="n">
        <f aca="false">D4237+D4169</f>
        <v>-650322.064554795</v>
      </c>
      <c r="E4239" s="58" t="n">
        <f aca="false">E4237+E4169</f>
        <v>-639962.97901113</v>
      </c>
      <c r="F4239" s="58" t="n">
        <f aca="false">F4237+F4169</f>
        <v>-574780.290968895</v>
      </c>
      <c r="G4239" s="58" t="n">
        <f aca="false">G4237+G4169</f>
        <v>-412423.951703745</v>
      </c>
      <c r="H4239" s="2" t="s">
        <v>1303</v>
      </c>
    </row>
    <row r="4240" customFormat="false" ht="15" hidden="false" customHeight="false" outlineLevel="1" collapsed="false">
      <c r="A4240" s="7" t="s">
        <v>672</v>
      </c>
      <c r="B4240" s="8" t="s">
        <v>10</v>
      </c>
      <c r="C4240" s="58" t="n">
        <f aca="false">-C4226</f>
        <v>-26350</v>
      </c>
      <c r="D4240" s="58" t="n">
        <f aca="false">-D4226</f>
        <v>-39750</v>
      </c>
      <c r="E4240" s="58" t="n">
        <f aca="false">-E4226</f>
        <v>-52650</v>
      </c>
      <c r="F4240" s="58" t="n">
        <f aca="false">-F4226</f>
        <v>-42966.6666666667</v>
      </c>
      <c r="G4240" s="58" t="n">
        <f aca="false">-G4226</f>
        <v>-39783.3333333333</v>
      </c>
      <c r="H4240" s="2" t="s">
        <v>1304</v>
      </c>
    </row>
    <row r="4241" customFormat="false" ht="15" hidden="false" customHeight="false" outlineLevel="1" collapsed="false">
      <c r="A4241" s="52" t="s">
        <v>685</v>
      </c>
      <c r="B4241" s="53" t="s">
        <v>10</v>
      </c>
      <c r="C4241" s="59" t="n">
        <f aca="false">C4237+C4240</f>
        <v>-615128.15635274</v>
      </c>
      <c r="D4241" s="59" t="n">
        <f aca="false">D4237+D4240</f>
        <v>-728846.283732877</v>
      </c>
      <c r="E4241" s="59" t="n">
        <f aca="false">E4237+E4240</f>
        <v>-769921.688343322</v>
      </c>
      <c r="F4241" s="59" t="n">
        <f aca="false">F4237+F4240</f>
        <v>-739097.093765699</v>
      </c>
      <c r="G4241" s="59" t="n">
        <f aca="false">G4237+G4240</f>
        <v>-630208.714831599</v>
      </c>
      <c r="H4241" s="2" t="s">
        <v>1305</v>
      </c>
    </row>
    <row r="4242" customFormat="false" ht="15" hidden="false" customHeight="false" outlineLevel="0" collapsed="false">
      <c r="A4242" s="3" t="s">
        <v>1306</v>
      </c>
      <c r="B4242" s="4"/>
      <c r="C4242" s="4"/>
      <c r="D4242" s="4"/>
      <c r="E4242" s="4"/>
      <c r="F4242" s="4"/>
      <c r="G4242" s="4"/>
      <c r="H4242" s="4"/>
    </row>
    <row r="4243" customFormat="false" ht="15" hidden="false" customHeight="false" outlineLevel="1" collapsed="false">
      <c r="A4243" s="7" t="s">
        <v>687</v>
      </c>
      <c r="B4243" s="8" t="s">
        <v>10</v>
      </c>
      <c r="C4243" s="58" t="n">
        <f aca="false">C4241</f>
        <v>-615128.15635274</v>
      </c>
      <c r="D4243" s="58" t="n">
        <f aca="false">D4241</f>
        <v>-728846.283732877</v>
      </c>
      <c r="E4243" s="58" t="n">
        <f aca="false">E4241</f>
        <v>-769921.688343322</v>
      </c>
      <c r="F4243" s="58" t="n">
        <f aca="false">F4241</f>
        <v>-739097.093765699</v>
      </c>
      <c r="G4243" s="58" t="n">
        <f aca="false">G4241</f>
        <v>-630208.714831599</v>
      </c>
      <c r="H4243" s="2" t="s">
        <v>1307</v>
      </c>
    </row>
    <row r="4244" customFormat="false" ht="15" hidden="false" customHeight="false" outlineLevel="1" collapsed="false">
      <c r="A4244" s="7" t="s">
        <v>688</v>
      </c>
      <c r="B4244" s="8" t="s">
        <v>10</v>
      </c>
      <c r="C4244" s="58" t="n">
        <f aca="false">0</f>
        <v>0</v>
      </c>
      <c r="D4244" s="58" t="n">
        <f aca="false">C4247</f>
        <v>615128.15635274</v>
      </c>
      <c r="E4244" s="58" t="n">
        <f aca="false">D4247</f>
        <v>1343974.44008562</v>
      </c>
      <c r="F4244" s="58" t="n">
        <f aca="false">E4247</f>
        <v>2113896.12842894</v>
      </c>
      <c r="G4244" s="58" t="n">
        <f aca="false">F4247</f>
        <v>2852993.22219464</v>
      </c>
      <c r="H4244" s="2" t="s">
        <v>1308</v>
      </c>
    </row>
    <row r="4245" customFormat="false" ht="15" hidden="false" customHeight="false" outlineLevel="1" collapsed="false">
      <c r="A4245" s="7" t="s">
        <v>689</v>
      </c>
      <c r="B4245" s="8" t="s">
        <v>10</v>
      </c>
      <c r="C4245" s="58" t="n">
        <f aca="false">MAX(0,-C4243)</f>
        <v>615128.15635274</v>
      </c>
      <c r="D4245" s="58" t="n">
        <f aca="false">MAX(0,-D4243)</f>
        <v>728846.283732877</v>
      </c>
      <c r="E4245" s="58" t="n">
        <f aca="false">MAX(0,-E4243)</f>
        <v>769921.688343322</v>
      </c>
      <c r="F4245" s="58" t="n">
        <f aca="false">MAX(0,-F4243)</f>
        <v>739097.093765699</v>
      </c>
      <c r="G4245" s="58" t="n">
        <f aca="false">MAX(0,-G4243)</f>
        <v>630208.714831599</v>
      </c>
      <c r="H4245" s="2" t="s">
        <v>1309</v>
      </c>
    </row>
    <row r="4246" customFormat="false" ht="15" hidden="false" customHeight="false" outlineLevel="1" collapsed="false">
      <c r="A4246" s="7" t="s">
        <v>690</v>
      </c>
      <c r="B4246" s="8" t="s">
        <v>10</v>
      </c>
      <c r="C4246" s="58" t="n">
        <f aca="false">MIN(C4244,Pressupostos!$C$179*MAX(0,C4243))</f>
        <v>0</v>
      </c>
      <c r="D4246" s="58" t="n">
        <f aca="false">MIN(D4244,Pressupostos!$C$179*MAX(0,D4243))</f>
        <v>0</v>
      </c>
      <c r="E4246" s="58" t="n">
        <f aca="false">MIN(E4244,Pressupostos!$C$179*MAX(0,E4243))</f>
        <v>0</v>
      </c>
      <c r="F4246" s="58" t="n">
        <f aca="false">MIN(F4244,Pressupostos!$C$179*MAX(0,F4243))</f>
        <v>0</v>
      </c>
      <c r="G4246" s="58" t="n">
        <f aca="false">MIN(G4244,Pressupostos!$C$179*MAX(0,G4243))</f>
        <v>0</v>
      </c>
      <c r="H4246" s="2" t="s">
        <v>1310</v>
      </c>
    </row>
    <row r="4247" customFormat="false" ht="15" hidden="false" customHeight="false" outlineLevel="1" collapsed="false">
      <c r="A4247" s="7" t="s">
        <v>691</v>
      </c>
      <c r="B4247" s="8" t="s">
        <v>10</v>
      </c>
      <c r="C4247" s="58" t="n">
        <f aca="false">C4244+C4245-C4246</f>
        <v>615128.15635274</v>
      </c>
      <c r="D4247" s="58" t="n">
        <f aca="false">D4244+D4245-D4246</f>
        <v>1343974.44008562</v>
      </c>
      <c r="E4247" s="58" t="n">
        <f aca="false">E4244+E4245-E4246</f>
        <v>2113896.12842894</v>
      </c>
      <c r="F4247" s="58" t="n">
        <f aca="false">F4244+F4245-F4246</f>
        <v>2852993.22219464</v>
      </c>
      <c r="G4247" s="58" t="n">
        <f aca="false">G4244+G4245-G4246</f>
        <v>3483201.93702624</v>
      </c>
      <c r="H4247" s="2" t="s">
        <v>1311</v>
      </c>
    </row>
    <row r="4248" customFormat="false" ht="15" hidden="false" customHeight="false" outlineLevel="1" collapsed="false">
      <c r="A4248" s="7" t="s">
        <v>692</v>
      </c>
      <c r="B4248" s="8" t="s">
        <v>10</v>
      </c>
      <c r="C4248" s="58" t="n">
        <f aca="false">MAX(0,C4243)-C4246</f>
        <v>0</v>
      </c>
      <c r="D4248" s="58" t="n">
        <f aca="false">MAX(0,D4243)-D4246</f>
        <v>0</v>
      </c>
      <c r="E4248" s="58" t="n">
        <f aca="false">MAX(0,E4243)-E4246</f>
        <v>0</v>
      </c>
      <c r="F4248" s="58" t="n">
        <f aca="false">MAX(0,F4243)-F4246</f>
        <v>0</v>
      </c>
      <c r="G4248" s="58" t="n">
        <f aca="false">MAX(0,G4243)-G4246</f>
        <v>0</v>
      </c>
      <c r="H4248" s="2" t="s">
        <v>1312</v>
      </c>
    </row>
    <row r="4249" customFormat="false" ht="15" hidden="false" customHeight="false" outlineLevel="1" collapsed="false">
      <c r="A4249" s="7" t="s">
        <v>693</v>
      </c>
      <c r="B4249" s="8" t="s">
        <v>10</v>
      </c>
      <c r="C4249" s="58" t="n">
        <f aca="false">Pressupostos!$C$170*MIN(C4248,Pressupostos!$C$171)+Pressupostos!$C$450*MAX(0,C4248-Pressupostos!$C$171)</f>
        <v>0</v>
      </c>
      <c r="D4249" s="58" t="n">
        <f aca="false">Pressupostos!$C$170*MIN(D4248,Pressupostos!$C$171)+Pressupostos!$D$450*MAX(0,D4248-Pressupostos!$C$171)</f>
        <v>0</v>
      </c>
      <c r="E4249" s="58" t="n">
        <f aca="false">Pressupostos!$C$170*MIN(E4248,Pressupostos!$C$171)+Pressupostos!$E$450*MAX(0,E4248-Pressupostos!$C$171)</f>
        <v>0</v>
      </c>
      <c r="F4249" s="58" t="n">
        <f aca="false">Pressupostos!$C$170*MIN(F4248,Pressupostos!$C$171)+Pressupostos!$F$450*MAX(0,F4248-Pressupostos!$C$171)</f>
        <v>0</v>
      </c>
      <c r="G4249" s="58" t="n">
        <f aca="false">Pressupostos!$C$170*MIN(G4248,Pressupostos!$C$171)+Pressupostos!$G$450*MAX(0,G4248-Pressupostos!$C$171)</f>
        <v>0</v>
      </c>
      <c r="H4249" s="2" t="s">
        <v>1313</v>
      </c>
    </row>
    <row r="4250" customFormat="false" ht="15" hidden="false" customHeight="false" outlineLevel="1" collapsed="false">
      <c r="A4250" s="7" t="s">
        <v>694</v>
      </c>
      <c r="B4250" s="8" t="s">
        <v>10</v>
      </c>
      <c r="C4250" s="58" t="n">
        <f aca="false">Pressupostos!$C$172*MAX(0,C4243)</f>
        <v>0</v>
      </c>
      <c r="D4250" s="58" t="n">
        <f aca="false">Pressupostos!$C$172*MAX(0,D4243)</f>
        <v>0</v>
      </c>
      <c r="E4250" s="58" t="n">
        <f aca="false">Pressupostos!$C$172*MAX(0,E4243)</f>
        <v>0</v>
      </c>
      <c r="F4250" s="58" t="n">
        <f aca="false">Pressupostos!$C$172*MAX(0,F4243)</f>
        <v>0</v>
      </c>
      <c r="G4250" s="58" t="n">
        <f aca="false">Pressupostos!$C$172*MAX(0,G4243)</f>
        <v>0</v>
      </c>
      <c r="H4250" s="2" t="s">
        <v>1314</v>
      </c>
    </row>
    <row r="4251" customFormat="false" ht="15" hidden="false" customHeight="false" outlineLevel="1" collapsed="false">
      <c r="A4251" s="7" t="s">
        <v>695</v>
      </c>
      <c r="B4251" s="8" t="s">
        <v>10</v>
      </c>
      <c r="C4251" s="58" t="n">
        <f aca="false">Pressupostos!$C$174*MAX(0,MIN(C4243,Pressupostos!$C$175)-Pressupostos!$C$173)+Pressupostos!$C$176*MAX(0,MIN(C4243,Pressupostos!$C$177)-Pressupostos!$C$175)+Pressupostos!$C$178*MAX(0,C4243-Pressupostos!$C$177)</f>
        <v>0</v>
      </c>
      <c r="D4251" s="58" t="n">
        <f aca="false">Pressupostos!$C$174*MAX(0,MIN(D4243,Pressupostos!$C$175)-Pressupostos!$C$173)+Pressupostos!$C$176*MAX(0,MIN(D4243,Pressupostos!$C$177)-Pressupostos!$C$175)+Pressupostos!$C$178*MAX(0,D4243-Pressupostos!$C$177)</f>
        <v>0</v>
      </c>
      <c r="E4251" s="58" t="n">
        <f aca="false">Pressupostos!$C$174*MAX(0,MIN(E4243,Pressupostos!$C$175)-Pressupostos!$C$173)+Pressupostos!$C$176*MAX(0,MIN(E4243,Pressupostos!$C$177)-Pressupostos!$C$175)+Pressupostos!$C$178*MAX(0,E4243-Pressupostos!$C$177)</f>
        <v>0</v>
      </c>
      <c r="F4251" s="58" t="n">
        <f aca="false">Pressupostos!$C$174*MAX(0,MIN(F4243,Pressupostos!$C$175)-Pressupostos!$C$173)+Pressupostos!$C$176*MAX(0,MIN(F4243,Pressupostos!$C$177)-Pressupostos!$C$175)+Pressupostos!$C$178*MAX(0,F4243-Pressupostos!$C$177)</f>
        <v>0</v>
      </c>
      <c r="G4251" s="58" t="n">
        <f aca="false">Pressupostos!$C$174*MAX(0,MIN(G4243,Pressupostos!$C$175)-Pressupostos!$C$173)+Pressupostos!$C$176*MAX(0,MIN(G4243,Pressupostos!$C$177)-Pressupostos!$C$175)+Pressupostos!$C$178*MAX(0,G4243-Pressupostos!$C$177)</f>
        <v>0</v>
      </c>
      <c r="H4251" s="2" t="s">
        <v>1315</v>
      </c>
    </row>
    <row r="4252" customFormat="false" ht="15" hidden="false" customHeight="false" outlineLevel="1" collapsed="false">
      <c r="A4252" s="7" t="s">
        <v>696</v>
      </c>
      <c r="B4252" s="8" t="s">
        <v>10</v>
      </c>
      <c r="C4252" s="58" t="n">
        <f aca="false">C4249+C4250+C4251</f>
        <v>0</v>
      </c>
      <c r="D4252" s="58" t="n">
        <f aca="false">D4249+D4250+D4251</f>
        <v>0</v>
      </c>
      <c r="E4252" s="58" t="n">
        <f aca="false">E4249+E4250+E4251</f>
        <v>0</v>
      </c>
      <c r="F4252" s="58" t="n">
        <f aca="false">F4249+F4250+F4251</f>
        <v>0</v>
      </c>
      <c r="G4252" s="58" t="n">
        <f aca="false">G4249+G4250+G4251</f>
        <v>0</v>
      </c>
      <c r="H4252" s="2" t="s">
        <v>1316</v>
      </c>
    </row>
    <row r="4253" customFormat="false" ht="15" hidden="false" customHeight="false" outlineLevel="0" collapsed="false">
      <c r="A4253" s="3" t="s">
        <v>1317</v>
      </c>
      <c r="B4253" s="4"/>
      <c r="C4253" s="4"/>
      <c r="D4253" s="4"/>
      <c r="E4253" s="4"/>
      <c r="F4253" s="4"/>
      <c r="G4253" s="4"/>
      <c r="H4253" s="4"/>
    </row>
    <row r="4254" customFormat="false" ht="15" hidden="false" customHeight="false" outlineLevel="1" collapsed="false">
      <c r="A4254" s="7" t="s">
        <v>696</v>
      </c>
      <c r="B4254" s="8" t="s">
        <v>10</v>
      </c>
      <c r="C4254" s="58" t="n">
        <f aca="false">-C4252</f>
        <v>-0</v>
      </c>
      <c r="D4254" s="58" t="n">
        <f aca="false">-D4252</f>
        <v>-0</v>
      </c>
      <c r="E4254" s="58" t="n">
        <f aca="false">-E4252</f>
        <v>-0</v>
      </c>
      <c r="F4254" s="58" t="n">
        <f aca="false">-F4252</f>
        <v>-0</v>
      </c>
      <c r="G4254" s="58" t="n">
        <f aca="false">-G4252</f>
        <v>-0</v>
      </c>
      <c r="H4254" s="2" t="s">
        <v>1318</v>
      </c>
    </row>
    <row r="4255" customFormat="false" ht="15" hidden="false" customHeight="false" outlineLevel="1" collapsed="false">
      <c r="A4255" s="52" t="s">
        <v>698</v>
      </c>
      <c r="B4255" s="53" t="s">
        <v>10</v>
      </c>
      <c r="C4255" s="59" t="n">
        <f aca="false">C4241+C4254</f>
        <v>-615128.15635274</v>
      </c>
      <c r="D4255" s="59" t="n">
        <f aca="false">D4241+D4254</f>
        <v>-728846.283732877</v>
      </c>
      <c r="E4255" s="59" t="n">
        <f aca="false">E4241+E4254</f>
        <v>-769921.688343322</v>
      </c>
      <c r="F4255" s="59" t="n">
        <f aca="false">F4241+F4254</f>
        <v>-739097.093765699</v>
      </c>
      <c r="G4255" s="59" t="n">
        <f aca="false">G4241+G4254</f>
        <v>-630208.714831599</v>
      </c>
      <c r="H4255" s="2" t="s">
        <v>1319</v>
      </c>
    </row>
    <row r="4256" customFormat="false" ht="15" hidden="false" customHeight="false" outlineLevel="0" collapsed="false">
      <c r="A4256" s="3" t="s">
        <v>1320</v>
      </c>
      <c r="B4256" s="4"/>
      <c r="C4256" s="4"/>
      <c r="D4256" s="4"/>
      <c r="E4256" s="4"/>
      <c r="F4256" s="4"/>
      <c r="G4256" s="4"/>
      <c r="H4256" s="4"/>
    </row>
    <row r="4257" customFormat="false" ht="15" hidden="false" customHeight="false" outlineLevel="1" collapsed="false">
      <c r="A4257" s="7" t="s">
        <v>702</v>
      </c>
      <c r="B4257" s="8" t="s">
        <v>10</v>
      </c>
      <c r="C4257" s="58" t="n">
        <f aca="false">C4041*1000*((C4057+C4060)*C4063/365)+C4042*1000*((C4080+C4083)*C4086/365)+C4043*1000*((C4103+C4106)*C4109/365)</f>
        <v>34293.698630137</v>
      </c>
      <c r="D4257" s="58" t="n">
        <f aca="false">D4041*1000*((D4057+D4060)*D4063/365)+D4042*1000*((D4080+D4083)*D4086/365)+D4043*1000*((D4103+D4106)*D4109/365)</f>
        <v>256442.465753425</v>
      </c>
      <c r="E4257" s="58" t="n">
        <f aca="false">E4041*1000*((E4057+E4060)*E4063/365)+E4042*1000*((E4080+E4083)*E4086/365)+E4043*1000*((E4103+E4106)*E4109/365)</f>
        <v>496886.301369863</v>
      </c>
      <c r="F4257" s="58" t="n">
        <f aca="false">F4041*1000*((F4057+F4060)*F4063/365)+F4042*1000*((F4080+F4083)*F4086/365)+F4043*1000*((F4103+F4106)*F4109/365)</f>
        <v>827687.671232877</v>
      </c>
      <c r="G4257" s="58" t="n">
        <f aca="false">G4041*1000*((G4057+G4060)*G4063/365)+G4042*1000*((G4080+G4083)*G4086/365)+G4043*1000*((G4103+G4106)*G4109/365)</f>
        <v>1205424.65753425</v>
      </c>
      <c r="H4257" s="2" t="s">
        <v>1321</v>
      </c>
    </row>
    <row r="4258" customFormat="false" ht="15" hidden="false" customHeight="false" outlineLevel="1" collapsed="false">
      <c r="A4258" s="7" t="s">
        <v>703</v>
      </c>
      <c r="B4258" s="8" t="s">
        <v>10</v>
      </c>
      <c r="C4258" s="58" t="n">
        <f aca="false">C4257+C4052*1000*Pressupostos!$C$90*Pressupostos!$C$93/365</f>
        <v>34293.698630137</v>
      </c>
      <c r="D4258" s="58" t="n">
        <f aca="false">D4257+D4052*1000*Pressupostos!$C$90*Pressupostos!$C$93/365</f>
        <v>256442.465753425</v>
      </c>
      <c r="E4258" s="58" t="n">
        <f aca="false">E4257+E4052*1000*Pressupostos!$C$90*Pressupostos!$C$93/365</f>
        <v>496886.301369863</v>
      </c>
      <c r="F4258" s="58" t="n">
        <f aca="false">F4257+F4052*1000*Pressupostos!$C$90*Pressupostos!$C$93/365</f>
        <v>844947.94520548</v>
      </c>
      <c r="G4258" s="58" t="n">
        <f aca="false">G4257+G4052*1000*Pressupostos!$C$90*Pressupostos!$C$93/365</f>
        <v>1248575.34246575</v>
      </c>
      <c r="H4258" s="2" t="s">
        <v>1322</v>
      </c>
    </row>
    <row r="4259" customFormat="false" ht="15" hidden="false" customHeight="false" outlineLevel="1" collapsed="false">
      <c r="A4259" s="7" t="s">
        <v>704</v>
      </c>
      <c r="B4259" s="8" t="s">
        <v>10</v>
      </c>
      <c r="C4259" s="58" t="n">
        <f aca="false">C4041*1000*(C4059*C4064/365)+C4042*1000*(C4082*C4087/365)+C4043*1000*(C4105*C4110/365)+C4130*Pressupostos!$C$94/365+C4132*Pressupostos!$C$80/365</f>
        <v>38894.6082191781</v>
      </c>
      <c r="D4259" s="58" t="n">
        <f aca="false">D4041*1000*(D4059*D4064/365)+D4042*1000*(D4082*D4087/365)+D4043*1000*(D4105*D4110/365)+D4130*Pressupostos!$C$94/365+D4132*Pressupostos!$C$80/365</f>
        <v>483506.835616438</v>
      </c>
      <c r="E4259" s="58" t="n">
        <f aca="false">E4041*1000*(E4059*E4064/365)+E4042*1000*(E4082*E4087/365)+E4043*1000*(E4105*E4110/365)+E4130*Pressupostos!$C$94/365+E4132*Pressupostos!$C$80/365</f>
        <v>1196044.02739726</v>
      </c>
      <c r="F4259" s="58" t="n">
        <f aca="false">F4041*1000*(F4059*F4064/365)+F4042*1000*(F4082*F4087/365)+F4043*1000*(F4105*F4110/365)+F4130*Pressupostos!$C$94/365+F4132*Pressupostos!$C$80/365</f>
        <v>2001619.34246575</v>
      </c>
      <c r="G4259" s="58" t="n">
        <f aca="false">G4041*1000*(G4059*G4064/365)+G4042*1000*(G4082*G4087/365)+G4043*1000*(G4105*G4110/365)+G4130*Pressupostos!$C$94/365+G4132*Pressupostos!$C$80/365</f>
        <v>2908193.97260274</v>
      </c>
      <c r="H4259" s="2" t="s">
        <v>1323</v>
      </c>
    </row>
    <row r="4260" customFormat="false" ht="15" hidden="false" customHeight="false" outlineLevel="1" collapsed="false">
      <c r="A4260" s="7" t="s">
        <v>705</v>
      </c>
      <c r="B4260" s="8" t="s">
        <v>10</v>
      </c>
      <c r="C4260" s="58" t="n">
        <f aca="false">C4041*1000*((C4057+C4060)*Pressupostos!$C$70/365)+C4042*1000*((C4080+C4083)*Pressupostos!$C$70/365)+C4043*1000*((C4103+C4106)*Pressupostos!$C$70/365)+C4052*1000*Pressupostos!$C$90*Pressupostos!$C$95/365</f>
        <v>20140.2739726027</v>
      </c>
      <c r="D4260" s="58" t="n">
        <f aca="false">D4041*1000*((D4057+D4060)*Pressupostos!$C$70/365)+D4042*1000*((D4080+D4083)*Pressupostos!$C$70/365)+D4043*1000*((D4103+D4106)*Pressupostos!$C$70/365)+D4052*1000*Pressupostos!$C$90*Pressupostos!$C$95/365</f>
        <v>275284.931506849</v>
      </c>
      <c r="E4260" s="58" t="n">
        <f aca="false">E4041*1000*((E4057+E4060)*Pressupostos!$C$70/365)+E4042*1000*((E4080+E4083)*Pressupostos!$C$70/365)+E4043*1000*((E4103+E4106)*Pressupostos!$C$70/365)+E4052*1000*Pressupostos!$C$90*Pressupostos!$C$95/365</f>
        <v>698486.301369863</v>
      </c>
      <c r="F4260" s="58" t="n">
        <f aca="false">F4041*1000*((F4057+F4060)*Pressupostos!$C$70/365)+F4042*1000*((F4080+F4083)*Pressupostos!$C$70/365)+F4043*1000*((F4103+F4106)*Pressupostos!$C$70/365)+F4052*1000*Pressupostos!$C$90*Pressupostos!$C$95/365</f>
        <v>1174015.06849315</v>
      </c>
      <c r="G4260" s="58" t="n">
        <f aca="false">G4041*1000*((G4057+G4060)*Pressupostos!$C$70/365)+G4042*1000*((G4080+G4083)*Pressupostos!$C$70/365)+G4043*1000*((G4103+G4106)*Pressupostos!$C$70/365)+G4052*1000*Pressupostos!$C$90*Pressupostos!$C$95/365</f>
        <v>1702232.87671233</v>
      </c>
      <c r="H4260" s="2" t="s">
        <v>1324</v>
      </c>
    </row>
    <row r="4261" customFormat="false" ht="15" hidden="false" customHeight="false" outlineLevel="1" collapsed="false">
      <c r="A4261" s="52" t="s">
        <v>706</v>
      </c>
      <c r="B4261" s="53" t="s">
        <v>10</v>
      </c>
      <c r="C4261" s="59" t="n">
        <f aca="false">C4258+C4259-C4260</f>
        <v>53048.0328767123</v>
      </c>
      <c r="D4261" s="59" t="n">
        <f aca="false">D4258+D4259-D4260</f>
        <v>464664.369863014</v>
      </c>
      <c r="E4261" s="59" t="n">
        <f aca="false">E4258+E4259-E4260</f>
        <v>994444.02739726</v>
      </c>
      <c r="F4261" s="59" t="n">
        <f aca="false">F4258+F4259-F4260</f>
        <v>1672552.21917808</v>
      </c>
      <c r="G4261" s="59" t="n">
        <f aca="false">G4258+G4259-G4260</f>
        <v>2454536.43835616</v>
      </c>
      <c r="H4261" s="2" t="s">
        <v>1325</v>
      </c>
    </row>
    <row r="4262" customFormat="false" ht="15" hidden="false" customHeight="false" outlineLevel="0" collapsed="false">
      <c r="A4262" s="3" t="s">
        <v>1326</v>
      </c>
      <c r="B4262" s="4"/>
      <c r="C4262" s="4"/>
      <c r="D4262" s="4"/>
      <c r="E4262" s="4"/>
      <c r="F4262" s="4"/>
      <c r="G4262" s="4"/>
      <c r="H4262" s="4"/>
    </row>
    <row r="4263" customFormat="false" ht="15" hidden="false" customHeight="false" outlineLevel="1" collapsed="false">
      <c r="A4263" s="52" t="s">
        <v>708</v>
      </c>
      <c r="B4263" s="53" t="s">
        <v>10</v>
      </c>
      <c r="C4263" s="59" t="n">
        <f aca="false">Pressupostos!$C$279*C4261/Pressupostos!$F$31</f>
        <v>0</v>
      </c>
      <c r="D4263" s="59" t="n">
        <f aca="false">Pressupostos!$D$279*D4261/Pressupostos!$F$31</f>
        <v>522747.41609589</v>
      </c>
      <c r="E4263" s="59" t="n">
        <f aca="false">Pressupostos!$E$279*E4261/Pressupostos!$F$31</f>
        <v>1118749.53082192</v>
      </c>
      <c r="F4263" s="59" t="n">
        <f aca="false">Pressupostos!$F$279*F4261/Pressupostos!$F$31</f>
        <v>1881621.24657534</v>
      </c>
      <c r="G4263" s="59" t="n">
        <f aca="false">Pressupostos!$G$279*G4261/Pressupostos!$F$31</f>
        <v>2761353.49315068</v>
      </c>
      <c r="H4263" s="2" t="s">
        <v>1327</v>
      </c>
    </row>
    <row r="4264" customFormat="false" ht="15" hidden="false" customHeight="false" outlineLevel="1" collapsed="false">
      <c r="A4264" s="7" t="s">
        <v>709</v>
      </c>
      <c r="B4264" s="8" t="s">
        <v>10</v>
      </c>
      <c r="C4264" s="58" t="n">
        <f aca="false">Pressupostos!$C$279*C4261</f>
        <v>0</v>
      </c>
      <c r="D4264" s="58" t="n">
        <f aca="false">Pressupostos!$D$279*D4261</f>
        <v>418197.932876712</v>
      </c>
      <c r="E4264" s="58" t="n">
        <f aca="false">Pressupostos!$E$279*E4261</f>
        <v>894999.624657534</v>
      </c>
      <c r="F4264" s="58" t="n">
        <f aca="false">Pressupostos!$F$279*F4261</f>
        <v>1505296.99726027</v>
      </c>
      <c r="G4264" s="58" t="n">
        <f aca="false">Pressupostos!$G$279*G4261</f>
        <v>2209082.79452055</v>
      </c>
      <c r="H4264" s="2" t="s">
        <v>1328</v>
      </c>
    </row>
    <row r="4265" customFormat="false" ht="15" hidden="false" customHeight="false" outlineLevel="1" collapsed="false">
      <c r="A4265" s="7" t="s">
        <v>710</v>
      </c>
      <c r="B4265" s="8" t="s">
        <v>10</v>
      </c>
      <c r="C4265" s="58" t="n">
        <f aca="false">C4263-C4264</f>
        <v>0</v>
      </c>
      <c r="D4265" s="58" t="n">
        <f aca="false">D4263-D4264</f>
        <v>104549.483219178</v>
      </c>
      <c r="E4265" s="58" t="n">
        <f aca="false">E4263-E4264</f>
        <v>223749.906164383</v>
      </c>
      <c r="F4265" s="58" t="n">
        <f aca="false">F4263-F4264</f>
        <v>376324.249315068</v>
      </c>
      <c r="G4265" s="58" t="n">
        <f aca="false">G4263-G4264</f>
        <v>552270.698630137</v>
      </c>
      <c r="H4265" s="2" t="s">
        <v>1329</v>
      </c>
    </row>
    <row r="4266" customFormat="false" ht="15" hidden="false" customHeight="false" outlineLevel="1" collapsed="false">
      <c r="A4266" s="7" t="s">
        <v>711</v>
      </c>
      <c r="B4266" s="8" t="s">
        <v>10</v>
      </c>
      <c r="C4266" s="58" t="n">
        <f aca="false">C4261-C4264</f>
        <v>53048.0328767123</v>
      </c>
      <c r="D4266" s="58" t="n">
        <f aca="false">D4261-D4264</f>
        <v>46466.4369863013</v>
      </c>
      <c r="E4266" s="58" t="n">
        <f aca="false">E4261-E4264</f>
        <v>99444.402739726</v>
      </c>
      <c r="F4266" s="58" t="n">
        <f aca="false">F4261-F4264</f>
        <v>167255.221917808</v>
      </c>
      <c r="G4266" s="58" t="n">
        <f aca="false">G4261-G4264</f>
        <v>245453.643835616</v>
      </c>
      <c r="H4266" s="2" t="s">
        <v>1330</v>
      </c>
    </row>
    <row r="4267" customFormat="false" ht="15" hidden="false" customHeight="false" outlineLevel="1" collapsed="false">
      <c r="A4267" s="7" t="s">
        <v>712</v>
      </c>
      <c r="B4267" s="8" t="s">
        <v>10</v>
      </c>
      <c r="C4267" s="58" t="n">
        <f aca="false">MAX(0,Pressupostos!$C$106-C4266)</f>
        <v>0</v>
      </c>
      <c r="D4267" s="58" t="n">
        <f aca="false">MAX(0,Pressupostos!$C$106-D4266)</f>
        <v>3533.56301369867</v>
      </c>
      <c r="E4267" s="58" t="n">
        <f aca="false">MAX(0,Pressupostos!$C$106-E4266)</f>
        <v>0</v>
      </c>
      <c r="F4267" s="58" t="n">
        <f aca="false">MAX(0,Pressupostos!$C$106-F4266)</f>
        <v>0</v>
      </c>
      <c r="G4267" s="58" t="n">
        <f aca="false">MAX(0,Pressupostos!$C$106-G4266)</f>
        <v>0</v>
      </c>
      <c r="H4267" s="2" t="s">
        <v>1331</v>
      </c>
    </row>
    <row r="4268" customFormat="false" ht="15" hidden="false" customHeight="false" outlineLevel="1" collapsed="false">
      <c r="A4268" s="7" t="s">
        <v>713</v>
      </c>
      <c r="B4268" s="8" t="s">
        <v>10</v>
      </c>
      <c r="C4268" s="58" t="n">
        <f aca="false">Pressupostos!$C$107*C4263</f>
        <v>0</v>
      </c>
      <c r="D4268" s="58" t="n">
        <f aca="false">Pressupostos!$C$107*D4263</f>
        <v>26137.3708047945</v>
      </c>
      <c r="E4268" s="58" t="n">
        <f aca="false">Pressupostos!$C$107*E4263</f>
        <v>55937.4765410959</v>
      </c>
      <c r="F4268" s="58" t="n">
        <f aca="false">Pressupostos!$C$107*F4263</f>
        <v>94081.0623287671</v>
      </c>
      <c r="G4268" s="58" t="n">
        <f aca="false">Pressupostos!$C$107*G4263</f>
        <v>138067.674657534</v>
      </c>
      <c r="H4268" s="2" t="s">
        <v>1332</v>
      </c>
    </row>
    <row r="4269" customFormat="false" ht="15" hidden="false" customHeight="false" outlineLevel="1" collapsed="false">
      <c r="A4269" s="2" t="s">
        <v>714</v>
      </c>
      <c r="B4269" s="8" t="s">
        <v>115</v>
      </c>
      <c r="C4269" s="58" t="n">
        <f aca="false">C4263/Pressupostos!$C$110</f>
        <v>0</v>
      </c>
      <c r="D4269" s="58" t="n">
        <f aca="false">D4263/Pressupostos!$C$110</f>
        <v>10.4549483219178</v>
      </c>
      <c r="E4269" s="58" t="n">
        <f aca="false">E4263/Pressupostos!$C$110</f>
        <v>22.3749906164384</v>
      </c>
      <c r="F4269" s="58" t="n">
        <f aca="false">F4263/Pressupostos!$C$110</f>
        <v>37.6324249315069</v>
      </c>
      <c r="G4269" s="58" t="n">
        <f aca="false">G4263/Pressupostos!$C$110</f>
        <v>55.2270698630137</v>
      </c>
      <c r="H4269" s="2" t="s">
        <v>1333</v>
      </c>
    </row>
    <row r="4270" customFormat="false" ht="15" hidden="false" customHeight="false" outlineLevel="0" collapsed="false">
      <c r="A4270" s="3" t="s">
        <v>1334</v>
      </c>
      <c r="B4270" s="4"/>
      <c r="C4270" s="4"/>
      <c r="D4270" s="4"/>
      <c r="E4270" s="4"/>
      <c r="F4270" s="4"/>
      <c r="G4270" s="4"/>
      <c r="H4270" s="4"/>
    </row>
    <row r="4271" customFormat="false" ht="15" hidden="false" customHeight="false" outlineLevel="1" collapsed="false">
      <c r="A4271" s="7" t="s">
        <v>681</v>
      </c>
      <c r="B4271" s="8" t="s">
        <v>10</v>
      </c>
      <c r="C4271" s="58" t="n">
        <f aca="false">C4237</f>
        <v>-588778.15635274</v>
      </c>
      <c r="D4271" s="58" t="n">
        <f aca="false">D4237</f>
        <v>-689096.283732877</v>
      </c>
      <c r="E4271" s="58" t="n">
        <f aca="false">E4237</f>
        <v>-717271.688343322</v>
      </c>
      <c r="F4271" s="58" t="n">
        <f aca="false">F4237</f>
        <v>-696130.427099032</v>
      </c>
      <c r="G4271" s="58" t="n">
        <f aca="false">G4237</f>
        <v>-590425.381498266</v>
      </c>
      <c r="H4271" s="2" t="s">
        <v>1335</v>
      </c>
    </row>
    <row r="4272" customFormat="false" ht="15" hidden="false" customHeight="false" outlineLevel="1" collapsed="false">
      <c r="A4272" s="7" t="s">
        <v>716</v>
      </c>
      <c r="B4272" s="8" t="s">
        <v>10</v>
      </c>
      <c r="C4272" s="58" t="n">
        <f aca="false">-C4252</f>
        <v>-0</v>
      </c>
      <c r="D4272" s="58" t="n">
        <f aca="false">-D4252</f>
        <v>-0</v>
      </c>
      <c r="E4272" s="58" t="n">
        <f aca="false">-E4252</f>
        <v>-0</v>
      </c>
      <c r="F4272" s="58" t="n">
        <f aca="false">-F4252</f>
        <v>-0</v>
      </c>
      <c r="G4272" s="58" t="n">
        <f aca="false">-G4252</f>
        <v>-0</v>
      </c>
      <c r="H4272" s="2" t="s">
        <v>1336</v>
      </c>
    </row>
    <row r="4273" customFormat="false" ht="15" hidden="false" customHeight="false" outlineLevel="1" collapsed="false">
      <c r="A4273" s="7" t="s">
        <v>717</v>
      </c>
      <c r="B4273" s="8" t="s">
        <v>10</v>
      </c>
      <c r="C4273" s="58" t="n">
        <f aca="false">-C4261</f>
        <v>-53048.0328767123</v>
      </c>
      <c r="D4273" s="58" t="n">
        <f aca="false">-(D4261-C4261)</f>
        <v>-411616.336986301</v>
      </c>
      <c r="E4273" s="58" t="n">
        <f aca="false">-(E4261-D4261)</f>
        <v>-529779.657534247</v>
      </c>
      <c r="F4273" s="58" t="n">
        <f aca="false">-(F4261-E4261)</f>
        <v>-678108.191780822</v>
      </c>
      <c r="G4273" s="58" t="n">
        <f aca="false">-(G4261-F4261)</f>
        <v>-781984.219178082</v>
      </c>
      <c r="H4273" s="2" t="s">
        <v>1337</v>
      </c>
    </row>
    <row r="4274" customFormat="false" ht="15" hidden="false" customHeight="false" outlineLevel="1" collapsed="false">
      <c r="A4274" s="7" t="s">
        <v>407</v>
      </c>
      <c r="B4274" s="8" t="s">
        <v>10</v>
      </c>
      <c r="C4274" s="58" t="n">
        <f aca="false">-C4222</f>
        <v>-89000</v>
      </c>
      <c r="D4274" s="58" t="n">
        <f aca="false">-D4222</f>
        <v>-46000</v>
      </c>
      <c r="E4274" s="58" t="n">
        <f aca="false">-E4222</f>
        <v>-44000</v>
      </c>
      <c r="F4274" s="58" t="n">
        <f aca="false">-F4222</f>
        <v>-37000</v>
      </c>
      <c r="G4274" s="58" t="n">
        <f aca="false">-G4222</f>
        <v>-34000</v>
      </c>
      <c r="H4274" s="2" t="s">
        <v>1338</v>
      </c>
    </row>
    <row r="4275" customFormat="false" ht="15" hidden="false" customHeight="false" outlineLevel="1" collapsed="false">
      <c r="A4275" s="7" t="s">
        <v>718</v>
      </c>
      <c r="B4275" s="8" t="s">
        <v>10</v>
      </c>
      <c r="C4275" s="58" t="n">
        <f aca="false">C4271+C4272+C4273+C4274</f>
        <v>-730826.189229452</v>
      </c>
      <c r="D4275" s="58" t="n">
        <f aca="false">D4271+D4272+D4273+D4274</f>
        <v>-1146712.62071918</v>
      </c>
      <c r="E4275" s="58" t="n">
        <f aca="false">E4271+E4272+E4273+E4274</f>
        <v>-1291051.34587757</v>
      </c>
      <c r="F4275" s="58" t="n">
        <f aca="false">F4271+F4272+F4273+F4274</f>
        <v>-1411238.61887985</v>
      </c>
      <c r="G4275" s="58" t="n">
        <f aca="false">G4271+G4272+G4273+G4274</f>
        <v>-1406409.60067635</v>
      </c>
      <c r="H4275" s="2" t="s">
        <v>1339</v>
      </c>
    </row>
    <row r="4276" customFormat="false" ht="15" hidden="false" customHeight="false" outlineLevel="1" collapsed="false">
      <c r="A4276" s="7" t="s">
        <v>719</v>
      </c>
      <c r="B4276" s="8" t="s">
        <v>10</v>
      </c>
      <c r="C4276" s="58" t="n">
        <f aca="false">C4263</f>
        <v>0</v>
      </c>
      <c r="D4276" s="58" t="n">
        <f aca="false">D4263-C4263</f>
        <v>522747.41609589</v>
      </c>
      <c r="E4276" s="58" t="n">
        <f aca="false">E4263-D4263</f>
        <v>596002.114726027</v>
      </c>
      <c r="F4276" s="58" t="n">
        <f aca="false">F4263-E4263</f>
        <v>762871.715753425</v>
      </c>
      <c r="G4276" s="58" t="n">
        <f aca="false">G4263-F4263</f>
        <v>879732.246575342</v>
      </c>
      <c r="H4276" s="2" t="s">
        <v>1340</v>
      </c>
    </row>
    <row r="4277" customFormat="false" ht="15" hidden="false" customHeight="false" outlineLevel="1" collapsed="false">
      <c r="A4277" s="7" t="s">
        <v>720</v>
      </c>
      <c r="B4277" s="8" t="s">
        <v>10</v>
      </c>
      <c r="C4277" s="58" t="n">
        <f aca="false">-C4265</f>
        <v>-0</v>
      </c>
      <c r="D4277" s="58" t="n">
        <f aca="false">-(D4265-C4265)</f>
        <v>-104549.483219178</v>
      </c>
      <c r="E4277" s="58" t="n">
        <f aca="false">-(E4265-D4265)</f>
        <v>-119200.422945205</v>
      </c>
      <c r="F4277" s="58" t="n">
        <f aca="false">-(F4265-E4265)</f>
        <v>-152574.343150685</v>
      </c>
      <c r="G4277" s="58" t="n">
        <f aca="false">-(G4265-F4265)</f>
        <v>-175946.449315069</v>
      </c>
      <c r="H4277" s="2" t="s">
        <v>1341</v>
      </c>
    </row>
    <row r="4278" customFormat="false" ht="15" hidden="false" customHeight="false" outlineLevel="1" collapsed="false">
      <c r="A4278" s="7" t="s">
        <v>721</v>
      </c>
      <c r="B4278" s="8" t="s">
        <v>10</v>
      </c>
      <c r="C4278" s="58" t="n">
        <f aca="false">-C4268</f>
        <v>-0</v>
      </c>
      <c r="D4278" s="58" t="n">
        <f aca="false">-(D4268-C4268)</f>
        <v>-26137.3708047945</v>
      </c>
      <c r="E4278" s="58" t="n">
        <f aca="false">-(E4268-D4268)</f>
        <v>-29800.1057363014</v>
      </c>
      <c r="F4278" s="58" t="n">
        <f aca="false">-(F4268-E4268)</f>
        <v>-38143.5857876713</v>
      </c>
      <c r="G4278" s="58" t="n">
        <f aca="false">-(G4268-F4268)</f>
        <v>-43986.6123287671</v>
      </c>
      <c r="H4278" s="2" t="s">
        <v>1342</v>
      </c>
    </row>
    <row r="4279" customFormat="false" ht="15" hidden="false" customHeight="false" outlineLevel="1" collapsed="false">
      <c r="A4279" s="7" t="s">
        <v>722</v>
      </c>
      <c r="B4279" s="8" t="s">
        <v>10</v>
      </c>
      <c r="C4279" s="58" t="n">
        <f aca="false">-(C4267-Pressupostos!$C$106)</f>
        <v>50000</v>
      </c>
      <c r="D4279" s="58" t="n">
        <f aca="false">-(D4267-C4267)</f>
        <v>-3533.56301369867</v>
      </c>
      <c r="E4279" s="58" t="n">
        <f aca="false">-(E4267-D4267)</f>
        <v>3533.56301369867</v>
      </c>
      <c r="F4279" s="58" t="n">
        <f aca="false">-(F4267-E4267)</f>
        <v>-0</v>
      </c>
      <c r="G4279" s="58" t="n">
        <f aca="false">-(G4267-F4267)</f>
        <v>-0</v>
      </c>
      <c r="H4279" s="2" t="s">
        <v>1343</v>
      </c>
    </row>
    <row r="4280" customFormat="false" ht="15" hidden="false" customHeight="false" outlineLevel="1" collapsed="false">
      <c r="A4280" s="52" t="s">
        <v>723</v>
      </c>
      <c r="B4280" s="53" t="s">
        <v>10</v>
      </c>
      <c r="C4280" s="59" t="n">
        <f aca="false">C4275+C4276+C4277+C4278+C4279</f>
        <v>-680826.189229452</v>
      </c>
      <c r="D4280" s="59" t="n">
        <f aca="false">D4275+D4276+D4277+D4278+D4279</f>
        <v>-758185.621660959</v>
      </c>
      <c r="E4280" s="59" t="n">
        <f aca="false">E4275+E4276+E4277+E4278+E4279</f>
        <v>-840516.196819349</v>
      </c>
      <c r="F4280" s="59" t="n">
        <f aca="false">F4275+F4276+F4277+F4278+F4279</f>
        <v>-839084.832064786</v>
      </c>
      <c r="G4280" s="59" t="n">
        <f aca="false">G4275+G4276+G4277+G4278+G4279</f>
        <v>-746610.415744841</v>
      </c>
      <c r="H4280" s="2" t="s">
        <v>1344</v>
      </c>
    </row>
    <row r="4281" customFormat="false" ht="15" hidden="false" customHeight="false" outlineLevel="1" collapsed="false">
      <c r="A4281" s="52" t="s">
        <v>724</v>
      </c>
      <c r="B4281" s="53" t="s">
        <v>10</v>
      </c>
      <c r="C4281" s="59" t="n">
        <f aca="false">C4280</f>
        <v>-680826.189229452</v>
      </c>
      <c r="D4281" s="59" t="n">
        <f aca="false">C4281+D4280</f>
        <v>-1439011.81089041</v>
      </c>
      <c r="E4281" s="59" t="n">
        <f aca="false">D4281+E4280</f>
        <v>-2279528.00770976</v>
      </c>
      <c r="F4281" s="59" t="n">
        <f aca="false">E4281+F4280</f>
        <v>-3118612.83977455</v>
      </c>
      <c r="G4281" s="59" t="n">
        <f aca="false">F4281+G4280</f>
        <v>-3865223.25551939</v>
      </c>
      <c r="H4281" s="2" t="s">
        <v>1345</v>
      </c>
    </row>
    <row r="4282" customFormat="false" ht="15" hidden="false" customHeight="false" outlineLevel="1" collapsed="false">
      <c r="A4282" s="8" t="s">
        <v>725</v>
      </c>
      <c r="B4282" s="8" t="s">
        <v>10</v>
      </c>
      <c r="C4282" s="66" t="n">
        <f aca="false">ROUND(C4237-C4222-C4252-(MAX(C4266,Pressupostos!$C$106)-Pressupostos!$C$106)-(C4268)-C4280,6)</f>
        <v>0</v>
      </c>
      <c r="D4282" s="66" t="n">
        <f aca="false">ROUND(D4237-D4222-D4252-(MAX(D4266,Pressupostos!$C$106)-MAX(C4266,Pressupostos!$C$106))-(D4268-C4268)-D4280,6)</f>
        <v>0</v>
      </c>
      <c r="E4282" s="66" t="n">
        <f aca="false">ROUND(E4237-E4222-E4252-(MAX(E4266,Pressupostos!$C$106)-MAX(D4266,Pressupostos!$C$106))-(E4268-D4268)-E4280,6)</f>
        <v>0</v>
      </c>
      <c r="F4282" s="66" t="n">
        <f aca="false">ROUND(F4237-F4222-F4252-(MAX(F4266,Pressupostos!$C$106)-MAX(E4266,Pressupostos!$C$106))-(F4268-E4268)-F4280,6)</f>
        <v>0</v>
      </c>
      <c r="G4282" s="66" t="n">
        <f aca="false">ROUND(G4237-G4222-G4252-(MAX(G4266,Pressupostos!$C$106)-MAX(F4266,Pressupostos!$C$106))-(G4268-F4268)-G4280,6)</f>
        <v>0</v>
      </c>
      <c r="H4282" s="2" t="s">
        <v>1346</v>
      </c>
    </row>
    <row r="4283" customFormat="false" ht="15" hidden="false" customHeight="false" outlineLevel="0" collapsed="false">
      <c r="A4283" s="3" t="s">
        <v>1347</v>
      </c>
      <c r="B4283" s="4"/>
      <c r="C4283" s="4"/>
      <c r="D4283" s="4"/>
      <c r="E4283" s="4"/>
      <c r="F4283" s="4"/>
      <c r="G4283" s="4"/>
      <c r="H4283" s="4"/>
    </row>
    <row r="4284" customFormat="false" ht="15" hidden="false" customHeight="false" outlineLevel="1" collapsed="false">
      <c r="A4284" s="7" t="s">
        <v>727</v>
      </c>
      <c r="B4284" s="8" t="s">
        <v>10</v>
      </c>
      <c r="C4284" s="58" t="n">
        <f aca="false">0</f>
        <v>0</v>
      </c>
      <c r="D4284" s="58" t="n">
        <f aca="false">C4289</f>
        <v>274173.810770548</v>
      </c>
      <c r="E4284" s="58" t="n">
        <f aca="false">D4289</f>
        <v>150000</v>
      </c>
      <c r="F4284" s="58" t="n">
        <f aca="false">E4289</f>
        <v>150000</v>
      </c>
      <c r="G4284" s="58" t="n">
        <f aca="false">F4289</f>
        <v>150000</v>
      </c>
      <c r="H4284" s="2" t="s">
        <v>1348</v>
      </c>
    </row>
    <row r="4285" customFormat="false" ht="15" hidden="false" customHeight="false" outlineLevel="1" collapsed="false">
      <c r="A4285" s="7" t="s">
        <v>728</v>
      </c>
      <c r="B4285" s="8" t="s">
        <v>10</v>
      </c>
      <c r="C4285" s="58" t="n">
        <f aca="false">-(Pressupostos!$C$157+Pressupostos!$C$158+Pressupostos!$C$159+Pressupostos!$C$160+Pressupostos!$C$161+Pressupostos!$C$106)</f>
        <v>-145000</v>
      </c>
      <c r="D4285" s="58" t="n">
        <f aca="false">0</f>
        <v>0</v>
      </c>
      <c r="E4285" s="58" t="n">
        <f aca="false">0</f>
        <v>0</v>
      </c>
      <c r="F4285" s="58" t="n">
        <f aca="false">0</f>
        <v>0</v>
      </c>
      <c r="G4285" s="58" t="n">
        <f aca="false">0</f>
        <v>0</v>
      </c>
      <c r="H4285" s="2" t="s">
        <v>1349</v>
      </c>
    </row>
    <row r="4286" customFormat="false" ht="15" hidden="false" customHeight="false" outlineLevel="1" collapsed="false">
      <c r="A4286" s="7" t="s">
        <v>729</v>
      </c>
      <c r="B4286" s="8" t="s">
        <v>10</v>
      </c>
      <c r="C4286" s="50" t="n">
        <f aca="false">Pressupostos!$F$32</f>
        <v>1100000</v>
      </c>
      <c r="D4286" s="58" t="n">
        <f aca="false">0</f>
        <v>0</v>
      </c>
      <c r="E4286" s="58" t="n">
        <f aca="false">0</f>
        <v>0</v>
      </c>
      <c r="F4286" s="58" t="n">
        <f aca="false">0</f>
        <v>0</v>
      </c>
      <c r="G4286" s="58" t="n">
        <f aca="false">0</f>
        <v>0</v>
      </c>
      <c r="H4286" s="2" t="s">
        <v>1350</v>
      </c>
    </row>
    <row r="4287" customFormat="false" ht="15" hidden="false" customHeight="false" outlineLevel="1" collapsed="false">
      <c r="A4287" s="7" t="s">
        <v>730</v>
      </c>
      <c r="B4287" s="8" t="s">
        <v>10</v>
      </c>
      <c r="C4287" s="58" t="n">
        <f aca="false">C4284+C4285+C4286+C4280</f>
        <v>274173.810770548</v>
      </c>
      <c r="D4287" s="58" t="n">
        <f aca="false">D4284+D4285+D4286+D4280</f>
        <v>-484011.810890411</v>
      </c>
      <c r="E4287" s="58" t="n">
        <f aca="false">E4284+E4285+E4286+E4280</f>
        <v>-690516.196819349</v>
      </c>
      <c r="F4287" s="58" t="n">
        <f aca="false">F4284+F4285+F4286+F4280</f>
        <v>-689084.832064786</v>
      </c>
      <c r="G4287" s="58" t="n">
        <f aca="false">G4284+G4285+G4286+G4280</f>
        <v>-596610.415744841</v>
      </c>
      <c r="H4287" s="2" t="s">
        <v>1351</v>
      </c>
    </row>
    <row r="4288" customFormat="false" ht="15" hidden="false" customHeight="false" outlineLevel="1" collapsed="false">
      <c r="A4288" s="52" t="s">
        <v>731</v>
      </c>
      <c r="B4288" s="53" t="s">
        <v>10</v>
      </c>
      <c r="C4288" s="59" t="n">
        <f aca="false">MAX(0,Pressupostos!$C$168-C4287)</f>
        <v>0</v>
      </c>
      <c r="D4288" s="59" t="n">
        <f aca="false">MAX(0,Pressupostos!$C$168-D4287)</f>
        <v>634011.810890411</v>
      </c>
      <c r="E4288" s="59" t="n">
        <f aca="false">MAX(0,Pressupostos!$C$168-E4287)</f>
        <v>840516.196819349</v>
      </c>
      <c r="F4288" s="59" t="n">
        <f aca="false">MAX(0,Pressupostos!$C$168-F4287)</f>
        <v>839084.832064786</v>
      </c>
      <c r="G4288" s="59" t="n">
        <f aca="false">MAX(0,Pressupostos!$C$168-G4287)</f>
        <v>746610.415744841</v>
      </c>
      <c r="H4288" s="2" t="s">
        <v>1352</v>
      </c>
    </row>
    <row r="4289" customFormat="false" ht="15" hidden="false" customHeight="false" outlineLevel="1" collapsed="false">
      <c r="A4289" s="52" t="s">
        <v>732</v>
      </c>
      <c r="B4289" s="53" t="s">
        <v>10</v>
      </c>
      <c r="C4289" s="59" t="n">
        <f aca="false">C4287+C4288</f>
        <v>274173.810770548</v>
      </c>
      <c r="D4289" s="59" t="n">
        <f aca="false">D4287+D4288</f>
        <v>150000</v>
      </c>
      <c r="E4289" s="59" t="n">
        <f aca="false">E4287+E4288</f>
        <v>150000</v>
      </c>
      <c r="F4289" s="59" t="n">
        <f aca="false">F4287+F4288</f>
        <v>150000</v>
      </c>
      <c r="G4289" s="59" t="n">
        <f aca="false">G4287+G4288</f>
        <v>150000</v>
      </c>
      <c r="H4289" s="2" t="s">
        <v>1353</v>
      </c>
    </row>
    <row r="4290" customFormat="false" ht="15" hidden="false" customHeight="false" outlineLevel="1" collapsed="false">
      <c r="A4290" s="7" t="s">
        <v>733</v>
      </c>
      <c r="B4290" s="8" t="s">
        <v>10</v>
      </c>
      <c r="C4290" s="58" t="n">
        <f aca="false">C4265+C4268+C4267</f>
        <v>0</v>
      </c>
      <c r="D4290" s="58" t="n">
        <f aca="false">D4265+D4268+D4267</f>
        <v>134220.417037671</v>
      </c>
      <c r="E4290" s="58" t="n">
        <f aca="false">E4265+E4268+E4267</f>
        <v>279687.382705479</v>
      </c>
      <c r="F4290" s="58" t="n">
        <f aca="false">F4265+F4268+F4267</f>
        <v>470405.311643836</v>
      </c>
      <c r="G4290" s="58" t="n">
        <f aca="false">G4265+G4268+G4267</f>
        <v>690338.373287671</v>
      </c>
      <c r="H4290" s="2" t="s">
        <v>1354</v>
      </c>
    </row>
    <row r="4291" customFormat="false" ht="15" hidden="false" customHeight="false" outlineLevel="1" collapsed="false">
      <c r="A4291" s="7" t="s">
        <v>734</v>
      </c>
      <c r="B4291" s="8" t="s">
        <v>10</v>
      </c>
      <c r="C4291" s="58" t="n">
        <f aca="false">C4289+C4290</f>
        <v>274173.810770548</v>
      </c>
      <c r="D4291" s="58" t="n">
        <f aca="false">D4289+D4290</f>
        <v>284220.417037671</v>
      </c>
      <c r="E4291" s="58" t="n">
        <f aca="false">E4289+E4290</f>
        <v>429687.382705479</v>
      </c>
      <c r="F4291" s="58" t="n">
        <f aca="false">F4289+F4290</f>
        <v>620405.311643836</v>
      </c>
      <c r="G4291" s="58" t="n">
        <f aca="false">G4289+G4290</f>
        <v>840338.373287671</v>
      </c>
      <c r="H4291" s="2" t="s">
        <v>1355</v>
      </c>
    </row>
    <row r="4292" customFormat="false" ht="15" hidden="false" customHeight="false" outlineLevel="1" collapsed="false">
      <c r="A4292" s="7" t="s">
        <v>735</v>
      </c>
      <c r="B4292" s="8" t="s">
        <v>10</v>
      </c>
      <c r="C4292" s="58" t="n">
        <f aca="false">C4286+C4288</f>
        <v>1100000</v>
      </c>
      <c r="D4292" s="58" t="n">
        <f aca="false">C4292+D4286+D4288</f>
        <v>1734011.81089041</v>
      </c>
      <c r="E4292" s="58" t="n">
        <f aca="false">D4292+E4286+E4288</f>
        <v>2574528.00770976</v>
      </c>
      <c r="F4292" s="58" t="n">
        <f aca="false">E4292+F4286+F4288</f>
        <v>3413612.83977455</v>
      </c>
      <c r="G4292" s="58" t="n">
        <f aca="false">F4292+G4286+G4288</f>
        <v>4160223.25551939</v>
      </c>
      <c r="H4292" s="2" t="s">
        <v>1356</v>
      </c>
    </row>
    <row r="4293" customFormat="false" ht="15" hidden="false" customHeight="false" outlineLevel="0" collapsed="false">
      <c r="A4293" s="3" t="s">
        <v>1357</v>
      </c>
      <c r="B4293" s="4"/>
      <c r="C4293" s="4"/>
      <c r="D4293" s="4"/>
      <c r="E4293" s="4"/>
      <c r="F4293" s="4"/>
      <c r="G4293" s="4"/>
      <c r="H4293" s="4"/>
    </row>
    <row r="4294" customFormat="false" ht="15" hidden="false" customHeight="false" outlineLevel="1" collapsed="false">
      <c r="A4294" s="7" t="s">
        <v>739</v>
      </c>
      <c r="B4294" s="8" t="s">
        <v>10</v>
      </c>
      <c r="C4294" s="68" t="n">
        <f aca="false">Pressupostos!$C$157+Pressupostos!$C$158+Pressupostos!$C$159+Pressupostos!$C$160+Pressupostos!$C$161</f>
        <v>95000</v>
      </c>
      <c r="H4294" s="2" t="s">
        <v>1358</v>
      </c>
    </row>
    <row r="4295" customFormat="false" ht="15" hidden="false" customHeight="false" outlineLevel="1" collapsed="false">
      <c r="A4295" s="7" t="s">
        <v>740</v>
      </c>
      <c r="B4295" s="8" t="s">
        <v>10</v>
      </c>
      <c r="C4295" s="69" t="n">
        <f aca="false">Pressupostos!$C$106</f>
        <v>50000</v>
      </c>
      <c r="H4295" s="2" t="s">
        <v>1359</v>
      </c>
    </row>
    <row r="4296" customFormat="false" ht="15" hidden="false" customHeight="false" outlineLevel="1" collapsed="false">
      <c r="A4296" s="7" t="s">
        <v>312</v>
      </c>
      <c r="B4296" s="8" t="s">
        <v>10</v>
      </c>
      <c r="C4296" s="69" t="n">
        <f aca="false">Pressupostos!$C$168</f>
        <v>150000</v>
      </c>
      <c r="H4296" s="2" t="s">
        <v>1360</v>
      </c>
    </row>
    <row r="4297" customFormat="false" ht="15" hidden="false" customHeight="false" outlineLevel="1" collapsed="false">
      <c r="A4297" s="7" t="s">
        <v>741</v>
      </c>
      <c r="B4297" s="8" t="s">
        <v>10</v>
      </c>
      <c r="C4297" s="68" t="n">
        <f aca="false">MAX(0,-MIN($C$4281:$G$4281))</f>
        <v>3865223.25551939</v>
      </c>
      <c r="H4297" s="2" t="s">
        <v>1361</v>
      </c>
    </row>
    <row r="4298" customFormat="false" ht="15" hidden="false" customHeight="false" outlineLevel="1" collapsed="false">
      <c r="A4298" s="52" t="s">
        <v>14</v>
      </c>
      <c r="B4298" s="53" t="s">
        <v>10</v>
      </c>
      <c r="C4298" s="70" t="n">
        <f aca="false">C4294+C4295+C4296+C4297</f>
        <v>4160223.25551939</v>
      </c>
      <c r="H4298" s="2" t="s">
        <v>1362</v>
      </c>
    </row>
    <row r="4299" customFormat="false" ht="15" hidden="false" customHeight="false" outlineLevel="1" collapsed="false">
      <c r="A4299" s="7" t="s">
        <v>742</v>
      </c>
      <c r="B4299" s="8" t="s">
        <v>18</v>
      </c>
      <c r="C4299" s="71" t="n">
        <f aca="false">INDEX($C$4038:$G$4038,1,MATCH(MIN($C$4281:$G$4281),$C$4281:$G$4281,0))</f>
        <v>2031</v>
      </c>
      <c r="H4299" s="2" t="s">
        <v>1363</v>
      </c>
    </row>
    <row r="4300" customFormat="false" ht="15" hidden="false" customHeight="false" outlineLevel="1" collapsed="false">
      <c r="A4300" s="7" t="s">
        <v>743</v>
      </c>
      <c r="B4300" s="8"/>
      <c r="C4300" s="72" t="str">
        <f aca="false">IF(G4280&lt;0,"sim","não")</f>
        <v>sim</v>
      </c>
      <c r="H4300" s="2" t="s">
        <v>1364</v>
      </c>
    </row>
    <row r="4301" customFormat="false" ht="15" hidden="false" customHeight="false" outlineLevel="1" collapsed="false">
      <c r="A4301" s="7" t="s">
        <v>744</v>
      </c>
      <c r="B4301" s="8" t="s">
        <v>10</v>
      </c>
      <c r="C4301" s="68" t="n">
        <f aca="false">G4292</f>
        <v>4160223.25551939</v>
      </c>
      <c r="H4301" s="2" t="s">
        <v>1365</v>
      </c>
    </row>
    <row r="4302" customFormat="false" ht="15" hidden="false" customHeight="false" outlineLevel="0" collapsed="false">
      <c r="A4302" s="3" t="s">
        <v>1366</v>
      </c>
      <c r="B4302" s="4"/>
      <c r="C4302" s="4"/>
      <c r="D4302" s="4"/>
      <c r="E4302" s="4"/>
      <c r="F4302" s="4"/>
      <c r="G4302" s="4"/>
      <c r="H4302" s="4"/>
    </row>
    <row r="4303" customFormat="false" ht="15" hidden="false" customHeight="false" outlineLevel="1" collapsed="false">
      <c r="A4303" s="7" t="s">
        <v>746</v>
      </c>
      <c r="B4303" s="8" t="s">
        <v>10</v>
      </c>
      <c r="C4303" s="68" t="n">
        <f aca="false">C4294+C4295</f>
        <v>145000</v>
      </c>
      <c r="H4303" s="2" t="s">
        <v>1367</v>
      </c>
    </row>
    <row r="4304" customFormat="false" ht="15" hidden="false" customHeight="false" outlineLevel="1" collapsed="false">
      <c r="A4304" s="7" t="s">
        <v>747</v>
      </c>
      <c r="B4304" s="8" t="s">
        <v>10</v>
      </c>
      <c r="C4304" s="68" t="n">
        <f aca="false">-SUMPRODUCT(($C$4038:$G$4038&lt;=C4299)*$C$4237:$G$4237)</f>
        <v>3281701.93702624</v>
      </c>
      <c r="H4304" s="2" t="s">
        <v>1368</v>
      </c>
    </row>
    <row r="4305" customFormat="false" ht="15" hidden="false" customHeight="false" outlineLevel="1" collapsed="false">
      <c r="A4305" s="7" t="s">
        <v>407</v>
      </c>
      <c r="B4305" s="8" t="s">
        <v>10</v>
      </c>
      <c r="C4305" s="68" t="n">
        <f aca="false">SUMPRODUCT(($C$4038:$G$4038&lt;=C4299)*$C$4222:$G$4222)</f>
        <v>250000</v>
      </c>
      <c r="H4305" s="2" t="s">
        <v>1369</v>
      </c>
    </row>
    <row r="4306" customFormat="false" ht="15" hidden="false" customHeight="false" outlineLevel="1" collapsed="false">
      <c r="A4306" s="7" t="s">
        <v>748</v>
      </c>
      <c r="B4306" s="8" t="s">
        <v>10</v>
      </c>
      <c r="C4306" s="68" t="n">
        <f aca="false">SUMPRODUCT(($C$4038:$G$4038&lt;=C4299)*$C$4252:$G$4252)</f>
        <v>0</v>
      </c>
      <c r="H4306" s="2" t="s">
        <v>1370</v>
      </c>
    </row>
    <row r="4307" customFormat="false" ht="15" hidden="false" customHeight="false" outlineLevel="1" collapsed="false">
      <c r="A4307" s="7" t="s">
        <v>749</v>
      </c>
      <c r="B4307" s="8" t="s">
        <v>10</v>
      </c>
      <c r="C4307" s="68" t="n">
        <f aca="false">C4297-C4304-C4305-C4306</f>
        <v>333521.318493151</v>
      </c>
      <c r="H4307" s="2" t="s">
        <v>1371</v>
      </c>
    </row>
    <row r="4308" customFormat="false" ht="15" hidden="false" customHeight="false" outlineLevel="1" collapsed="false">
      <c r="A4308" s="7" t="s">
        <v>312</v>
      </c>
      <c r="B4308" s="8" t="s">
        <v>10</v>
      </c>
      <c r="C4308" s="68" t="n">
        <f aca="false">C4296</f>
        <v>150000</v>
      </c>
      <c r="H4308" s="2" t="s">
        <v>1372</v>
      </c>
    </row>
    <row r="4309" customFormat="false" ht="15" hidden="false" customHeight="false" outlineLevel="1" collapsed="false">
      <c r="A4309" s="52" t="s">
        <v>750</v>
      </c>
      <c r="B4309" s="53" t="s">
        <v>10</v>
      </c>
      <c r="C4309" s="70" t="n">
        <f aca="false">C4303+C4304+C4305+C4306+C4307+C4308</f>
        <v>4160223.25551939</v>
      </c>
      <c r="H4309" s="2" t="s">
        <v>1373</v>
      </c>
    </row>
    <row r="4310" customFormat="false" ht="15" hidden="false" customHeight="false" outlineLevel="0" collapsed="false">
      <c r="A4310" s="3" t="s">
        <v>1374</v>
      </c>
      <c r="B4310" s="4"/>
      <c r="C4310" s="4"/>
      <c r="D4310" s="4"/>
      <c r="E4310" s="4"/>
      <c r="F4310" s="4"/>
      <c r="G4310" s="4"/>
      <c r="H4310" s="4"/>
    </row>
    <row r="4311" customFormat="false" ht="15" hidden="false" customHeight="false" outlineLevel="1" collapsed="false">
      <c r="A4311" s="7" t="s">
        <v>729</v>
      </c>
      <c r="B4311" s="8" t="s">
        <v>10</v>
      </c>
      <c r="C4311" s="69" t="n">
        <f aca="false">Pressupostos!$F$32</f>
        <v>1100000</v>
      </c>
      <c r="H4311" s="2" t="s">
        <v>1375</v>
      </c>
    </row>
    <row r="4312" customFormat="false" ht="15" hidden="false" customHeight="false" outlineLevel="1" collapsed="false">
      <c r="A4312" s="7" t="s">
        <v>752</v>
      </c>
      <c r="B4312" s="8" t="s">
        <v>10</v>
      </c>
      <c r="C4312" s="68" t="n">
        <f aca="false">C4294+Pressupostos!$C$106+Pressupostos!$C$128/12*((C4198-C4186-C4187+(C4186+C4187)/Pressupostos!$C$126*Pressupostos!$C$127)*(1+Pressupostos!$C$122+Pressupostos!$C$123)+C4184*Pressupostos!$C$124+C4217)+C4222+MAX(0,Pressupostos!$C$181*1000*(C4057+C4060)+Pressupostos!$C$182*1000*(C4080+C4083)-Pressupostos!$C$106)</f>
        <v>652746.666666667</v>
      </c>
      <c r="H4312" s="2" t="s">
        <v>1376</v>
      </c>
    </row>
    <row r="4313" customFormat="false" ht="15" hidden="false" customHeight="false" outlineLevel="1" collapsed="false">
      <c r="A4313" s="7" t="s">
        <v>754</v>
      </c>
      <c r="B4313" s="8" t="s">
        <v>10</v>
      </c>
      <c r="C4313" s="68" t="n">
        <f aca="false">C4294+Pressupostos!$C$106-C4280</f>
        <v>825826.189229452</v>
      </c>
      <c r="H4313" s="2" t="s">
        <v>1377</v>
      </c>
    </row>
    <row r="4314" customFormat="false" ht="15" hidden="false" customHeight="false" outlineLevel="1" collapsed="false">
      <c r="A4314" s="7" t="s">
        <v>755</v>
      </c>
      <c r="B4314" s="8" t="s">
        <v>10</v>
      </c>
      <c r="C4314" s="58" t="n">
        <f aca="false">Pressupostos!$F$32-C4294-Pressupostos!$C$106+C4281</f>
        <v>274173.810770548</v>
      </c>
      <c r="D4314" s="58" t="n">
        <f aca="false">Pressupostos!$F$32-C4294-Pressupostos!$C$106+D4281</f>
        <v>-484011.810890411</v>
      </c>
      <c r="E4314" s="58" t="n">
        <f aca="false">Pressupostos!$F$32-C4294-Pressupostos!$C$106+E4281</f>
        <v>-1324528.00770976</v>
      </c>
      <c r="F4314" s="58" t="n">
        <f aca="false">Pressupostos!$F$32-C4294-Pressupostos!$C$106+F4281</f>
        <v>-2163612.83977455</v>
      </c>
      <c r="G4314" s="58" t="n">
        <f aca="false">Pressupostos!$F$32-C4294-Pressupostos!$C$106+G4281</f>
        <v>-2910223.25551939</v>
      </c>
      <c r="H4314" s="2" t="s">
        <v>1378</v>
      </c>
    </row>
    <row r="4315" customFormat="false" ht="15" hidden="false" customHeight="false" outlineLevel="1" collapsed="false">
      <c r="A4315" s="7" t="s">
        <v>756</v>
      </c>
      <c r="B4315" s="8" t="s">
        <v>16</v>
      </c>
      <c r="C4315" s="73" t="str">
        <f aca="false">IF(AND(Pressupostos!$F$32-C4294-Pressupostos!$C$106&gt;0,C4314&lt;=0),12*(Pressupostos!$F$32-C4294-Pressupostos!$C$106)/(Pressupostos!$F$32-C4294-Pressupostos!$C$106-C4314),"")</f>
        <v/>
      </c>
      <c r="D4315" s="73" t="n">
        <f aca="false">IF(AND(C4314&gt;0,D4314&lt;=0),12+12*C4314/(C4314-D4314),"")</f>
        <v>16.3394198402747</v>
      </c>
      <c r="E4315" s="73" t="str">
        <f aca="false">IF(AND(D4314&gt;0,E4314&lt;=0),24+12*D4314/(D4314-E4314),"")</f>
        <v/>
      </c>
      <c r="F4315" s="73" t="str">
        <f aca="false">IF(AND(E4314&gt;0,F4314&lt;=0),36+12*E4314/(E4314-F4314),"")</f>
        <v/>
      </c>
      <c r="G4315" s="73" t="str">
        <f aca="false">IF(AND(F4314&gt;0,G4314&lt;=0),48+12*F4314/(F4314-G4314),"")</f>
        <v/>
      </c>
      <c r="H4315" s="2" t="s">
        <v>1379</v>
      </c>
    </row>
    <row r="4316" customFormat="false" ht="15" hidden="false" customHeight="false" outlineLevel="1" collapsed="false">
      <c r="A4316" s="52" t="s">
        <v>757</v>
      </c>
      <c r="B4316" s="53" t="s">
        <v>264</v>
      </c>
      <c r="C4316" s="74" t="n">
        <f aca="false">IF(COUNT($C$4315:$G$4315)=0,"&gt; 60",MIN($C$4315:$G$4315))</f>
        <v>16.3394198402747</v>
      </c>
      <c r="H4316" s="2" t="s">
        <v>1380</v>
      </c>
    </row>
    <row r="4317" customFormat="false" ht="15" hidden="false" customHeight="false" outlineLevel="0" collapsed="false">
      <c r="A4317" s="3" t="s">
        <v>1381</v>
      </c>
      <c r="B4317" s="4"/>
      <c r="C4317" s="4"/>
      <c r="D4317" s="4"/>
      <c r="E4317" s="4"/>
      <c r="F4317" s="4"/>
      <c r="G4317" s="4"/>
      <c r="H4317" s="4"/>
    </row>
    <row r="4318" customFormat="false" ht="15" hidden="false" customHeight="false" outlineLevel="1" collapsed="false">
      <c r="A4318" s="7" t="s">
        <v>759</v>
      </c>
      <c r="B4318" s="8" t="s">
        <v>16</v>
      </c>
      <c r="C4318" s="73" t="str">
        <f aca="false">IF(C4237&gt;=0,1,"")</f>
        <v/>
      </c>
      <c r="D4318" s="73" t="str">
        <f aca="false">IF(AND(C4237&lt;0,D4237&gt;=0),6.5+12*(-C4237)/(D4237-C4237),"")</f>
        <v/>
      </c>
      <c r="E4318" s="73" t="str">
        <f aca="false">IF(AND(D4237&lt;0,E4237&gt;=0),18.5+12*(-D4237)/(E4237-D4237),"")</f>
        <v/>
      </c>
      <c r="F4318" s="73" t="str">
        <f aca="false">IF(AND(E4237&lt;0,F4237&gt;=0),30.5+12*(-E4237)/(F4237-E4237),"")</f>
        <v/>
      </c>
      <c r="G4318" s="73" t="str">
        <f aca="false">IF(AND(F4237&lt;0,G4237&gt;=0),42.5+12*(-F4237)/(G4237-F4237),"")</f>
        <v/>
      </c>
      <c r="H4318" s="2" t="s">
        <v>1382</v>
      </c>
    </row>
    <row r="4319" customFormat="false" ht="15" hidden="false" customHeight="false" outlineLevel="1" collapsed="false">
      <c r="A4319" s="7" t="s">
        <v>760</v>
      </c>
      <c r="B4319" s="8" t="s">
        <v>16</v>
      </c>
      <c r="C4319" s="75" t="str">
        <f aca="false">IF(COUNT($C$4318:$G$4318)=0,"não atinge até 2031",ROUNDUP(MIN($C$4318:$G$4318),0))</f>
        <v>não atinge até 2031</v>
      </c>
      <c r="H4319" s="2" t="s">
        <v>1383</v>
      </c>
    </row>
    <row r="4320" customFormat="false" ht="15" hidden="false" customHeight="false" outlineLevel="1" collapsed="false">
      <c r="A4320" s="52" t="s">
        <v>761</v>
      </c>
      <c r="B4320" s="53" t="s">
        <v>762</v>
      </c>
      <c r="C4320" s="76" t="str">
        <f aca="false">IF(ISNUMBER(C4319),DATE(2027,C4319,1),"não atinge até 2031")</f>
        <v>não atinge até 2031</v>
      </c>
      <c r="H4320" s="2" t="s">
        <v>1384</v>
      </c>
    </row>
    <row r="4321" customFormat="false" ht="15" hidden="false" customHeight="false" outlineLevel="1" collapsed="false">
      <c r="A4321" s="7" t="s">
        <v>763</v>
      </c>
      <c r="B4321" s="8" t="s">
        <v>18</v>
      </c>
      <c r="C4321" s="77" t="str">
        <f aca="false">IF(C4237&gt;=0,C4038,"")</f>
        <v/>
      </c>
      <c r="D4321" s="77" t="str">
        <f aca="false">IF(D4237&gt;=0,D4038,"")</f>
        <v/>
      </c>
      <c r="E4321" s="77" t="str">
        <f aca="false">IF(E4237&gt;=0,E4038,"")</f>
        <v/>
      </c>
      <c r="F4321" s="77" t="str">
        <f aca="false">IF(F4237&gt;=0,F4038,"")</f>
        <v/>
      </c>
      <c r="G4321" s="77" t="str">
        <f aca="false">IF(G4237&gt;=0,G4038,"")</f>
        <v/>
      </c>
      <c r="H4321" s="2" t="s">
        <v>1385</v>
      </c>
    </row>
    <row r="4322" customFormat="false" ht="15" hidden="false" customHeight="false" outlineLevel="1" collapsed="false">
      <c r="A4322" s="7" t="s">
        <v>764</v>
      </c>
      <c r="B4322" s="8" t="s">
        <v>18</v>
      </c>
      <c r="C4322" s="71" t="str">
        <f aca="false">IF(COUNT($C$4321:$G$4321)=0,"não atinge até 2031",MIN($C$4321:$G$4321))</f>
        <v>não atinge até 2031</v>
      </c>
      <c r="H4322" s="2" t="s">
        <v>1386</v>
      </c>
    </row>
    <row r="4323" customFormat="false" ht="15" hidden="false" customHeight="false" outlineLevel="1" collapsed="false">
      <c r="A4323" s="7" t="s">
        <v>765</v>
      </c>
      <c r="B4323" s="8" t="s">
        <v>18</v>
      </c>
      <c r="C4323" s="77" t="str">
        <f aca="false">IF(C4255&gt;=0,C4038,"")</f>
        <v/>
      </c>
      <c r="D4323" s="77" t="str">
        <f aca="false">IF(D4255&gt;=0,D4038,"")</f>
        <v/>
      </c>
      <c r="E4323" s="77" t="str">
        <f aca="false">IF(E4255&gt;=0,E4038,"")</f>
        <v/>
      </c>
      <c r="F4323" s="77" t="str">
        <f aca="false">IF(F4255&gt;=0,F4038,"")</f>
        <v/>
      </c>
      <c r="G4323" s="77" t="str">
        <f aca="false">IF(G4255&gt;=0,G4038,"")</f>
        <v/>
      </c>
      <c r="H4323" s="2" t="s">
        <v>1387</v>
      </c>
    </row>
    <row r="4324" customFormat="false" ht="15" hidden="false" customHeight="false" outlineLevel="1" collapsed="false">
      <c r="A4324" s="7" t="s">
        <v>766</v>
      </c>
      <c r="B4324" s="8" t="s">
        <v>18</v>
      </c>
      <c r="C4324" s="71" t="str">
        <f aca="false">IF(COUNT($C$4323:$G$4323)=0,"não atinge até 2031",MIN($C$4323:$G$4323))</f>
        <v>não atinge até 2031</v>
      </c>
      <c r="H4324" s="2" t="s">
        <v>1388</v>
      </c>
    </row>
    <row r="4325" customFormat="false" ht="15" hidden="false" customHeight="false" outlineLevel="1" collapsed="false">
      <c r="A4325" s="7" t="s">
        <v>767</v>
      </c>
      <c r="B4325" s="8" t="s">
        <v>18</v>
      </c>
      <c r="C4325" s="77" t="str">
        <f aca="false">IF(C4280&gt;=0,C4038,"")</f>
        <v/>
      </c>
      <c r="D4325" s="77" t="str">
        <f aca="false">IF(D4280&gt;=0,D4038,"")</f>
        <v/>
      </c>
      <c r="E4325" s="77" t="str">
        <f aca="false">IF(E4280&gt;=0,E4038,"")</f>
        <v/>
      </c>
      <c r="F4325" s="77" t="str">
        <f aca="false">IF(F4280&gt;=0,F4038,"")</f>
        <v/>
      </c>
      <c r="G4325" s="77" t="str">
        <f aca="false">IF(G4280&gt;=0,G4038,"")</f>
        <v/>
      </c>
      <c r="H4325" s="2" t="s">
        <v>1389</v>
      </c>
    </row>
    <row r="4326" customFormat="false" ht="15" hidden="false" customHeight="false" outlineLevel="1" collapsed="false">
      <c r="A4326" s="7" t="s">
        <v>17</v>
      </c>
      <c r="B4326" s="8" t="s">
        <v>18</v>
      </c>
      <c r="C4326" s="71" t="str">
        <f aca="false">IF(COUNT($C$4325:$G$4325)=0,"não atinge até 2031",MIN($C$4325:$G$4325))</f>
        <v>não atinge até 2031</v>
      </c>
      <c r="H4326" s="2" t="s">
        <v>1390</v>
      </c>
    </row>
    <row r="4327" customFormat="false" ht="15" hidden="false" customHeight="false" outlineLevel="0" collapsed="false">
      <c r="A4327" s="3" t="s">
        <v>1391</v>
      </c>
      <c r="B4327" s="4"/>
      <c r="C4327" s="4"/>
      <c r="D4327" s="4"/>
      <c r="E4327" s="4"/>
      <c r="F4327" s="4"/>
      <c r="G4327" s="4"/>
      <c r="H4327" s="4"/>
    </row>
    <row r="4328" customFormat="false" ht="15" hidden="false" customHeight="false" outlineLevel="1" collapsed="false">
      <c r="A4328" s="7" t="s">
        <v>769</v>
      </c>
      <c r="B4328" s="8" t="s">
        <v>10</v>
      </c>
      <c r="C4328" s="58" t="n">
        <f aca="false">C4263</f>
        <v>0</v>
      </c>
      <c r="D4328" s="58" t="n">
        <f aca="false">D4263</f>
        <v>522747.41609589</v>
      </c>
      <c r="E4328" s="58" t="n">
        <f aca="false">E4263</f>
        <v>1118749.53082192</v>
      </c>
      <c r="F4328" s="58" t="n">
        <f aca="false">F4263</f>
        <v>1881621.24657534</v>
      </c>
      <c r="G4328" s="58" t="n">
        <f aca="false">G4263</f>
        <v>2761353.49315068</v>
      </c>
      <c r="H4328" s="2" t="s">
        <v>1392</v>
      </c>
    </row>
    <row r="4329" customFormat="false" ht="15" hidden="false" customHeight="false" outlineLevel="1" collapsed="false">
      <c r="A4329" s="7" t="s">
        <v>487</v>
      </c>
      <c r="B4329" s="8" t="s">
        <v>71</v>
      </c>
      <c r="C4329" s="78" t="n">
        <f aca="false">Pressupostos!$C$285</f>
        <v>0.08</v>
      </c>
      <c r="D4329" s="78" t="n">
        <f aca="false">Pressupostos!$D$285</f>
        <v>0.08</v>
      </c>
      <c r="E4329" s="78" t="n">
        <f aca="false">Pressupostos!$E$285</f>
        <v>0.075</v>
      </c>
      <c r="F4329" s="78" t="n">
        <f aca="false">Pressupostos!$F$285</f>
        <v>0.07</v>
      </c>
      <c r="G4329" s="78" t="n">
        <f aca="false">Pressupostos!$G$285</f>
        <v>0.07</v>
      </c>
      <c r="H4329" s="2" t="s">
        <v>1393</v>
      </c>
    </row>
    <row r="4330" customFormat="false" ht="15" hidden="false" customHeight="false" outlineLevel="1" collapsed="false">
      <c r="A4330" s="7" t="s">
        <v>770</v>
      </c>
      <c r="B4330" s="8" t="s">
        <v>71</v>
      </c>
      <c r="C4330" s="56" t="n">
        <f aca="false">Pressupostos!$C$285*(1-Pressupostos!$C$109)</f>
        <v>0.0576</v>
      </c>
      <c r="D4330" s="56" t="n">
        <f aca="false">Pressupostos!$D$285*(1-Pressupostos!$C$109)</f>
        <v>0.0576</v>
      </c>
      <c r="E4330" s="56" t="n">
        <f aca="false">Pressupostos!$E$285*(1-Pressupostos!$C$109)</f>
        <v>0.054</v>
      </c>
      <c r="F4330" s="56" t="n">
        <f aca="false">Pressupostos!$F$285*(1-Pressupostos!$C$109)</f>
        <v>0.0504</v>
      </c>
      <c r="G4330" s="56" t="n">
        <f aca="false">Pressupostos!$G$285*(1-Pressupostos!$C$109)</f>
        <v>0.0504</v>
      </c>
      <c r="H4330" s="2" t="s">
        <v>1394</v>
      </c>
    </row>
    <row r="4331" customFormat="false" ht="15" hidden="false" customHeight="false" outlineLevel="1" collapsed="false">
      <c r="A4331" s="7" t="s">
        <v>771</v>
      </c>
      <c r="B4331" s="8" t="s">
        <v>10</v>
      </c>
      <c r="C4331" s="58" t="n">
        <f aca="false">C4169</f>
        <v>0</v>
      </c>
      <c r="D4331" s="58" t="n">
        <f aca="false">D4169</f>
        <v>38774.2191780822</v>
      </c>
      <c r="E4331" s="58" t="n">
        <f aca="false">E4169</f>
        <v>77308.7093321918</v>
      </c>
      <c r="F4331" s="58" t="n">
        <f aca="false">F4169</f>
        <v>121350.136130137</v>
      </c>
      <c r="G4331" s="58" t="n">
        <f aca="false">G4169</f>
        <v>178001.429794521</v>
      </c>
      <c r="H4331" s="2" t="s">
        <v>1395</v>
      </c>
    </row>
    <row r="4332" customFormat="false" ht="15" hidden="false" customHeight="false" outlineLevel="1" collapsed="false">
      <c r="A4332" s="7" t="s">
        <v>772</v>
      </c>
      <c r="B4332" s="8" t="s">
        <v>71</v>
      </c>
      <c r="C4332" s="55" t="n">
        <f aca="false">IF(C4263&gt;0,(C4266+C4268)/C4263,0)</f>
        <v>0</v>
      </c>
      <c r="D4332" s="55" t="n">
        <f aca="false">IF(D4263&gt;0,(D4266+D4268)/D4263,0)</f>
        <v>0.138888888888889</v>
      </c>
      <c r="E4332" s="55" t="n">
        <f aca="false">IF(E4263&gt;0,(E4266+E4268)/E4263,0)</f>
        <v>0.138888888888889</v>
      </c>
      <c r="F4332" s="55" t="n">
        <f aca="false">IF(F4263&gt;0,(F4266+F4268)/F4263,0)</f>
        <v>0.138888888888889</v>
      </c>
      <c r="G4332" s="55" t="n">
        <f aca="false">IF(G4263&gt;0,(G4266+G4268)/G4263,0)</f>
        <v>0.138888888888889</v>
      </c>
      <c r="H4332" s="2" t="s">
        <v>1396</v>
      </c>
    </row>
    <row r="4333" customFormat="false" ht="15" hidden="false" customHeight="false" outlineLevel="1" collapsed="false">
      <c r="A4333" s="7" t="s">
        <v>773</v>
      </c>
      <c r="B4333" s="8" t="s">
        <v>115</v>
      </c>
      <c r="C4333" s="58" t="n">
        <f aca="false">C4269</f>
        <v>0</v>
      </c>
      <c r="D4333" s="58" t="n">
        <f aca="false">D4269</f>
        <v>10.4549483219178</v>
      </c>
      <c r="E4333" s="58" t="n">
        <f aca="false">E4269</f>
        <v>22.3749906164384</v>
      </c>
      <c r="F4333" s="58" t="n">
        <f aca="false">F4269</f>
        <v>37.6324249315069</v>
      </c>
      <c r="G4333" s="58" t="n">
        <f aca="false">G4269</f>
        <v>55.2270698630137</v>
      </c>
      <c r="H4333" s="2" t="s">
        <v>1397</v>
      </c>
    </row>
    <row r="4334" customFormat="false" ht="15" hidden="false" customHeight="false" outlineLevel="0" collapsed="false">
      <c r="A4334" s="3" t="s">
        <v>1398</v>
      </c>
      <c r="B4334" s="4"/>
      <c r="C4334" s="4"/>
      <c r="D4334" s="4"/>
      <c r="E4334" s="4"/>
      <c r="F4334" s="4"/>
      <c r="G4334" s="4"/>
      <c r="H4334" s="4"/>
    </row>
    <row r="4335" customFormat="false" ht="15" hidden="false" customHeight="false" outlineLevel="1" collapsed="false">
      <c r="A4335" s="7" t="s">
        <v>775</v>
      </c>
      <c r="B4335" s="8" t="s">
        <v>10</v>
      </c>
      <c r="C4335" s="58" t="n">
        <f aca="false">MAX(0,-C4237)</f>
        <v>588778.15635274</v>
      </c>
      <c r="D4335" s="58" t="n">
        <f aca="false">MAX(0,-D4237)</f>
        <v>689096.283732877</v>
      </c>
      <c r="E4335" s="58" t="n">
        <f aca="false">MAX(0,-E4237)</f>
        <v>717271.688343322</v>
      </c>
      <c r="F4335" s="58" t="n">
        <f aca="false">MAX(0,-F4237)</f>
        <v>696130.427099032</v>
      </c>
      <c r="G4335" s="58" t="n">
        <f aca="false">MAX(0,-G4237)</f>
        <v>590425.381498266</v>
      </c>
      <c r="H4335" s="2" t="s">
        <v>1399</v>
      </c>
    </row>
    <row r="4336" customFormat="false" ht="15" hidden="false" customHeight="false" outlineLevel="1" collapsed="false">
      <c r="A4336" s="2" t="s">
        <v>776</v>
      </c>
      <c r="B4336" s="8"/>
      <c r="C4336" s="58" t="n">
        <f aca="false">IF(AND(C4038&gt;=Pressupostos!$C$118,Pressupostos!$C$116*(C4126+C4127)+Pressupostos!$C$117*C4128&gt;Pressupostos!$C$297),1,0)</f>
        <v>0</v>
      </c>
      <c r="D4336" s="58" t="n">
        <f aca="false">IF(AND(D4038&gt;=Pressupostos!$C$118,Pressupostos!$C$116*(D4126+D4127)+Pressupostos!$C$117*D4128&gt;Pressupostos!$D$297),1,0)</f>
        <v>1</v>
      </c>
      <c r="E4336" s="58" t="n">
        <f aca="false">IF(AND(E4038&gt;=Pressupostos!$C$118,Pressupostos!$C$116*(E4126+E4127)+Pressupostos!$C$117*E4128&gt;Pressupostos!$E$297),1,0)</f>
        <v>1</v>
      </c>
      <c r="F4336" s="58" t="n">
        <f aca="false">IF(AND(F4038&gt;=Pressupostos!$C$118,Pressupostos!$C$116*(F4126+F4127)+Pressupostos!$C$117*F4128&gt;Pressupostos!$F$297),1,0)</f>
        <v>1</v>
      </c>
      <c r="G4336" s="58" t="n">
        <f aca="false">IF(AND(G4038&gt;=Pressupostos!$C$118,Pressupostos!$C$116*(G4126+G4127)+Pressupostos!$C$117*G4128&gt;Pressupostos!$G$297),1,0)</f>
        <v>1</v>
      </c>
      <c r="H4336" s="2" t="s">
        <v>1400</v>
      </c>
    </row>
    <row r="4337" customFormat="false" ht="15" hidden="false" customHeight="false" outlineLevel="1" collapsed="false">
      <c r="A4337" s="7" t="s">
        <v>777</v>
      </c>
      <c r="B4337" s="8" t="s">
        <v>59</v>
      </c>
      <c r="C4337" s="60" t="n">
        <f aca="false">IF(C4042&gt;0,C4335/(C4042*1000*(1-Pressupostos!$F$22)*(1-Pressupostos!$F$25-C4336*Pressupostos!$C$116)),"n/a")</f>
        <v>11.3567270340394</v>
      </c>
      <c r="D4337" s="60" t="n">
        <f aca="false">IF(D4042&gt;0,D4335/(D4042*1000*(1-Pressupostos!$F$22)*(1-Pressupostos!$F$25-D4336*Pressupostos!$C$116)),"n/a")</f>
        <v>1.91171890210225</v>
      </c>
      <c r="E4337" s="60" t="n">
        <f aca="false">IF(E4042&gt;0,E4335/(E4042*1000*(1-Pressupostos!$F$22)*(1-Pressupostos!$F$25-E4336*Pressupostos!$C$116)),"n/a")</f>
        <v>1.00743094035279</v>
      </c>
      <c r="F4337" s="60" t="n">
        <f aca="false">IF(F4042&gt;0,F4335/(F4042*1000*(1-Pressupostos!$F$22)*(1-Pressupostos!$F$25-F4336*Pressupostos!$C$116)),"n/a")</f>
        <v>0.592593145338615</v>
      </c>
      <c r="G4337" s="60" t="n">
        <f aca="false">IF(G4042&gt;0,G4335/(G4042*1000*(1-Pressupostos!$F$22)*(1-Pressupostos!$F$25-G4336*Pressupostos!$C$116)),"n/a")</f>
        <v>0.332171784332937</v>
      </c>
      <c r="H4337" s="2" t="s">
        <v>1401</v>
      </c>
    </row>
    <row r="4338" customFormat="false" ht="15" hidden="false" customHeight="false" outlineLevel="1" collapsed="false">
      <c r="A4338" s="7" t="s">
        <v>778</v>
      </c>
      <c r="B4338" s="8" t="s">
        <v>59</v>
      </c>
      <c r="C4338" s="60" t="n">
        <f aca="false">IF(C4041&gt;0,Pressupostos!$F$15+C4335/(C4041*1000*(1-(Pressupostos!$C$191))*(1-Pressupostos!$F$18-C4336*Pressupostos!$C$116)),"n/a")</f>
        <v>90.9830917142366</v>
      </c>
      <c r="D4338" s="60" t="n">
        <f aca="false">IF(D4041&gt;0,Pressupostos!$F$15+D4335/(D4041*1000*(1-(Pressupostos!$C$191))*(1-Pressupostos!$F$18-D4336*Pressupostos!$C$116)),"n/a")</f>
        <v>32.6305825827042</v>
      </c>
      <c r="E4338" s="60" t="n">
        <f aca="false">IF(E4041&gt;0,Pressupostos!$F$15+E4335/(E4041*1000*(1-(Pressupostos!$C$191))*(1-Pressupostos!$F$18-E4336*Pressupostos!$C$116)),"n/a")</f>
        <v>16.3947899126606</v>
      </c>
      <c r="F4338" s="60" t="n">
        <f aca="false">IF(F4041&gt;0,Pressupostos!$F$15+F4335/(F4041*1000*(1-(Pressupostos!$C$191))*(1-Pressupostos!$F$18-F4336*Pressupostos!$C$116)),"n/a")</f>
        <v>11.7648046532058</v>
      </c>
      <c r="G4338" s="60" t="n">
        <f aca="false">IF(G4041&gt;0,Pressupostos!$F$15+G4335/(G4041*1000*(1-(Pressupostos!$C$191))*(1-Pressupostos!$F$18-G4336*Pressupostos!$C$116)),"n/a")</f>
        <v>9.42260702577143</v>
      </c>
      <c r="H4338" s="2" t="s">
        <v>1402</v>
      </c>
    </row>
    <row r="4339" customFormat="false" ht="15" hidden="false" customHeight="false" outlineLevel="1" collapsed="false">
      <c r="A4339" s="7" t="s">
        <v>779</v>
      </c>
      <c r="B4339" s="8" t="s">
        <v>59</v>
      </c>
      <c r="C4339" s="60" t="n">
        <f aca="false">C4122-C4336*Pressupostos!$C$117*C4105</f>
        <v>0.058762328767124</v>
      </c>
      <c r="D4339" s="60" t="n">
        <f aca="false">D4122-D4336*Pressupostos!$C$117*D4105</f>
        <v>0.0255719178082197</v>
      </c>
      <c r="E4339" s="60" t="n">
        <f aca="false">E4122-E4336*Pressupostos!$C$117*E4105</f>
        <v>0.0271900684931515</v>
      </c>
      <c r="F4339" s="60" t="n">
        <f aca="false">F4122-F4336*Pressupostos!$C$117*F4105</f>
        <v>0.0288082191780828</v>
      </c>
      <c r="G4339" s="60" t="n">
        <f aca="false">G4122-G4336*Pressupostos!$C$117*G4105</f>
        <v>0.0288082191780828</v>
      </c>
      <c r="H4339" s="2" t="s">
        <v>1403</v>
      </c>
    </row>
    <row r="4340" customFormat="false" ht="15" hidden="false" customHeight="false" outlineLevel="1" collapsed="false">
      <c r="A4340" s="7" t="s">
        <v>780</v>
      </c>
      <c r="B4340" s="8" t="s">
        <v>112</v>
      </c>
      <c r="C4340" s="57" t="n">
        <f aca="false">IF(C4339&gt;0,C4043+C4335/(C4339*1000),"n/a")</f>
        <v>10019.6532150058</v>
      </c>
      <c r="D4340" s="57" t="n">
        <f aca="false">IF(D4339&gt;0,D4043+D4335/(D4339*1000),"n/a")</f>
        <v>27447.3838020618</v>
      </c>
      <c r="E4340" s="57" t="n">
        <f aca="false">IF(E4339&gt;0,E4043+E4335/(E4339*1000),"n/a")</f>
        <v>27879.9147296736</v>
      </c>
      <c r="F4340" s="57" t="n">
        <f aca="false">IF(F4339&gt;0,F4043+F4335/(F4339*1000),"n/a")</f>
        <v>26664.2991812783</v>
      </c>
      <c r="G4340" s="57" t="n">
        <f aca="false">IF(G4339&gt;0,G4043+G4335/(G4339*1000),"n/a")</f>
        <v>23995.0322631348</v>
      </c>
      <c r="H4340" s="2" t="s">
        <v>1404</v>
      </c>
    </row>
    <row r="4341" customFormat="false" ht="15" hidden="false" customHeight="false" outlineLevel="1" collapsed="false">
      <c r="A4341" s="7" t="s">
        <v>781</v>
      </c>
      <c r="B4341" s="8" t="s">
        <v>71</v>
      </c>
      <c r="C4341" s="55" t="n">
        <f aca="false">C4335/(C4201+C4214+C4215)</f>
        <v>0.978568200022223</v>
      </c>
      <c r="D4341" s="55" t="n">
        <f aca="false">D4335/(D4201+D4214+D4215)</f>
        <v>0.906397550770492</v>
      </c>
      <c r="E4341" s="55" t="n">
        <f aca="false">E4335/(E4201+E4214+E4215)</f>
        <v>0.786561188552735</v>
      </c>
      <c r="F4341" s="55" t="n">
        <f aca="false">F4335/(F4201+F4214+F4215)</f>
        <v>0.655664572643199</v>
      </c>
      <c r="G4341" s="55" t="n">
        <f aca="false">G4335/(G4201+G4214+G4215)</f>
        <v>0.506326536348728</v>
      </c>
      <c r="H4341" s="2" t="s">
        <v>1405</v>
      </c>
    </row>
    <row r="4342" customFormat="false" ht="15" hidden="false" customHeight="false" outlineLevel="1" collapsed="false">
      <c r="A4342" s="2" t="s">
        <v>782</v>
      </c>
      <c r="B4342" s="8" t="s">
        <v>71</v>
      </c>
      <c r="C4342" s="56" t="n">
        <f aca="false">Pressupostos!$C$99*Pressupostos!$C$100+Pressupostos!$C$101-Pressupostos!$F$30*Pressupostos!$C$102*Pressupostos!$C$100/(Pressupostos!$C$103*Pressupostos!$C$104)</f>
        <v>0.02</v>
      </c>
      <c r="D4342" s="56" t="n">
        <f aca="false">Pressupostos!$C$99*Pressupostos!$C$100+Pressupostos!$C$101-Pressupostos!$F$30*Pressupostos!$C$102*Pressupostos!$C$100/(Pressupostos!$C$103*Pressupostos!$C$104)</f>
        <v>0.02</v>
      </c>
      <c r="E4342" s="56" t="n">
        <f aca="false">Pressupostos!$C$99*Pressupostos!$C$100+Pressupostos!$C$101-Pressupostos!$F$30*Pressupostos!$C$102*Pressupostos!$C$100/(Pressupostos!$C$103*Pressupostos!$C$104)</f>
        <v>0.02</v>
      </c>
      <c r="F4342" s="56" t="n">
        <f aca="false">Pressupostos!$C$99*Pressupostos!$C$100+Pressupostos!$C$101-Pressupostos!$F$30*Pressupostos!$C$102*Pressupostos!$C$100/(Pressupostos!$C$103*Pressupostos!$C$104)</f>
        <v>0.02</v>
      </c>
      <c r="G4342" s="56" t="n">
        <f aca="false">Pressupostos!$C$99*Pressupostos!$C$100+Pressupostos!$C$101-Pressupostos!$F$30*Pressupostos!$C$102*Pressupostos!$C$100/(Pressupostos!$C$103*Pressupostos!$C$104)</f>
        <v>0.02</v>
      </c>
      <c r="H4342" s="2" t="s">
        <v>1406</v>
      </c>
    </row>
    <row r="4343" customFormat="false" ht="15" hidden="false" customHeight="false" outlineLevel="1" collapsed="false">
      <c r="A4343" s="7" t="s">
        <v>783</v>
      </c>
      <c r="B4343" s="8" t="s">
        <v>10</v>
      </c>
      <c r="C4343" s="58" t="n">
        <f aca="false">IF(C4342&gt;0,C4054+C4335/C4342,"n/a")</f>
        <v>29438907.817637</v>
      </c>
      <c r="D4343" s="58" t="n">
        <f aca="false">IF(D4342&gt;0,D4054+D4335/D4342,"n/a")</f>
        <v>34954814.1866438</v>
      </c>
      <c r="E4343" s="58" t="n">
        <f aca="false">IF(E4342&gt;0,E4054+E4335/E4342,"n/a")</f>
        <v>37363584.4171661</v>
      </c>
      <c r="F4343" s="58" t="n">
        <f aca="false">IF(F4342&gt;0,F4054+F4335/F4342,"n/a")</f>
        <v>37806521.3549516</v>
      </c>
      <c r="G4343" s="58" t="n">
        <f aca="false">IF(G4342&gt;0,G4054+G4335/G4342,"n/a")</f>
        <v>34521269.0749133</v>
      </c>
      <c r="H4343" s="2" t="s">
        <v>1407</v>
      </c>
    </row>
    <row r="4346" customFormat="false" ht="15" hidden="false" customHeight="false" outlineLevel="0" collapsed="false">
      <c r="A4346" s="104" t="s">
        <v>1421</v>
      </c>
      <c r="B4346" s="105"/>
      <c r="C4346" s="105"/>
      <c r="D4346" s="105"/>
      <c r="E4346" s="105"/>
      <c r="F4346" s="105"/>
      <c r="G4346" s="105"/>
      <c r="H4346" s="105"/>
    </row>
    <row r="4347" customFormat="false" ht="15" hidden="false" customHeight="false" outlineLevel="0" collapsed="false">
      <c r="A4347" s="3" t="s">
        <v>1102</v>
      </c>
      <c r="B4347" s="4"/>
      <c r="C4347" s="4"/>
      <c r="D4347" s="4"/>
      <c r="E4347" s="4"/>
      <c r="F4347" s="4"/>
      <c r="G4347" s="4"/>
      <c r="H4347" s="4"/>
    </row>
    <row r="4348" customFormat="false" ht="15" hidden="false" customHeight="false" outlineLevel="1" collapsed="false">
      <c r="A4348" s="7" t="s">
        <v>557</v>
      </c>
      <c r="B4348" s="8"/>
      <c r="C4348" s="49" t="n">
        <v>2027</v>
      </c>
      <c r="D4348" s="49" t="n">
        <v>2028</v>
      </c>
      <c r="E4348" s="49" t="n">
        <v>2029</v>
      </c>
      <c r="F4348" s="49" t="n">
        <v>2030</v>
      </c>
      <c r="G4348" s="49" t="n">
        <v>2031</v>
      </c>
      <c r="H4348" s="2" t="s">
        <v>18</v>
      </c>
    </row>
    <row r="4349" customFormat="false" ht="15" hidden="false" customHeight="false" outlineLevel="0" collapsed="false">
      <c r="A4349" s="3" t="s">
        <v>1103</v>
      </c>
      <c r="B4349" s="4"/>
      <c r="C4349" s="4"/>
      <c r="D4349" s="4"/>
      <c r="E4349" s="4"/>
      <c r="F4349" s="4"/>
      <c r="G4349" s="4"/>
      <c r="H4349" s="4"/>
    </row>
    <row r="4350" customFormat="false" ht="15" hidden="false" customHeight="false" outlineLevel="1" collapsed="false">
      <c r="A4350" s="7" t="s">
        <v>372</v>
      </c>
      <c r="B4350" s="8" t="s">
        <v>115</v>
      </c>
      <c r="C4350" s="58" t="n">
        <f aca="false">(Pressupostos!$C$210*(1+Pressupostos!$C$192))</f>
        <v>28</v>
      </c>
      <c r="D4350" s="58" t="n">
        <f aca="false">(Pressupostos!$D$210*(1+Pressupostos!$C$192))</f>
        <v>105</v>
      </c>
      <c r="E4350" s="58" t="n">
        <f aca="false">(Pressupostos!$E$210*(1+Pressupostos!$C$192))</f>
        <v>280</v>
      </c>
      <c r="F4350" s="58" t="n">
        <f aca="false">(Pressupostos!$F$210*(1+Pressupostos!$C$192))</f>
        <v>490</v>
      </c>
      <c r="G4350" s="58" t="n">
        <f aca="false">(Pressupostos!$G$210*(1+Pressupostos!$C$192))</f>
        <v>700</v>
      </c>
      <c r="H4350" s="2" t="s">
        <v>1104</v>
      </c>
    </row>
    <row r="4351" customFormat="false" ht="15" hidden="false" customHeight="false" outlineLevel="1" collapsed="false">
      <c r="A4351" s="7" t="s">
        <v>559</v>
      </c>
      <c r="B4351" s="8" t="s">
        <v>112</v>
      </c>
      <c r="C4351" s="57" t="n">
        <f aca="false">(Pressupostos!$C$216*(1+Pressupostos!$C$192))</f>
        <v>5.74</v>
      </c>
      <c r="D4351" s="57" t="n">
        <f aca="false">(Pressupostos!$D$216*(1+Pressupostos!$C$192))</f>
        <v>21.525</v>
      </c>
      <c r="E4351" s="57" t="n">
        <f aca="false">(Pressupostos!$E$216*(1+Pressupostos!$C$192))</f>
        <v>57.4</v>
      </c>
      <c r="F4351" s="57" t="n">
        <f aca="false">(Pressupostos!$F$216*(1+Pressupostos!$C$192))</f>
        <v>100.45</v>
      </c>
      <c r="G4351" s="57" t="n">
        <f aca="false">(Pressupostos!$G$216*(1+Pressupostos!$C$192))</f>
        <v>143.5</v>
      </c>
      <c r="H4351" s="2" t="s">
        <v>1105</v>
      </c>
    </row>
    <row r="4352" customFormat="false" ht="15" hidden="false" customHeight="false" outlineLevel="1" collapsed="false">
      <c r="A4352" s="7" t="s">
        <v>560</v>
      </c>
      <c r="B4352" s="8" t="s">
        <v>112</v>
      </c>
      <c r="C4352" s="57" t="n">
        <f aca="false">(Pressupostos!$C$222*(1+Pressupostos!$C$192))</f>
        <v>36.4</v>
      </c>
      <c r="D4352" s="57" t="n">
        <f aca="false">(Pressupostos!$D$222*(1+Pressupostos!$C$192))</f>
        <v>254.1</v>
      </c>
      <c r="E4352" s="57" t="n">
        <f aca="false">(Pressupostos!$E$222*(1+Pressupostos!$C$192))</f>
        <v>501.9</v>
      </c>
      <c r="F4352" s="57" t="n">
        <f aca="false">(Pressupostos!$F$222*(1+Pressupostos!$C$192))</f>
        <v>828.1</v>
      </c>
      <c r="G4352" s="57" t="n">
        <f aca="false">(Pressupostos!$G$222*(1+Pressupostos!$C$192))</f>
        <v>1253</v>
      </c>
      <c r="H4352" s="2" t="s">
        <v>1106</v>
      </c>
    </row>
    <row r="4353" customFormat="false" ht="15" hidden="false" customHeight="false" outlineLevel="1" collapsed="false">
      <c r="A4353" s="7" t="s">
        <v>383</v>
      </c>
      <c r="B4353" s="8" t="s">
        <v>112</v>
      </c>
      <c r="C4353" s="57" t="n">
        <f aca="false">(Pressupostos!$C$228*(1+Pressupostos!$C$192))</f>
        <v>0</v>
      </c>
      <c r="D4353" s="57" t="n">
        <f aca="false">(Pressupostos!$D$228*(1+Pressupostos!$C$192))</f>
        <v>350</v>
      </c>
      <c r="E4353" s="57" t="n">
        <f aca="false">(Pressupostos!$E$228*(1+Pressupostos!$C$192))</f>
        <v>1050</v>
      </c>
      <c r="F4353" s="57" t="n">
        <f aca="false">(Pressupostos!$F$228*(1+Pressupostos!$C$192))</f>
        <v>1750</v>
      </c>
      <c r="G4353" s="57" t="n">
        <f aca="false">(Pressupostos!$G$228*(1+Pressupostos!$C$192))</f>
        <v>2450</v>
      </c>
      <c r="H4353" s="2" t="s">
        <v>1107</v>
      </c>
    </row>
    <row r="4354" customFormat="false" ht="15" hidden="false" customHeight="false" outlineLevel="1" collapsed="false">
      <c r="A4354" s="52" t="s">
        <v>561</v>
      </c>
      <c r="B4354" s="53" t="s">
        <v>112</v>
      </c>
      <c r="C4354" s="54" t="n">
        <f aca="false">C4351+C4352+C4353</f>
        <v>42.14</v>
      </c>
      <c r="D4354" s="54" t="n">
        <f aca="false">D4351+D4352+D4353</f>
        <v>625.625</v>
      </c>
      <c r="E4354" s="54" t="n">
        <f aca="false">E4351+E4352+E4353</f>
        <v>1609.3</v>
      </c>
      <c r="F4354" s="54" t="n">
        <f aca="false">F4351+F4352+F4353</f>
        <v>2678.55</v>
      </c>
      <c r="G4354" s="54" t="n">
        <f aca="false">G4351+G4352+G4353</f>
        <v>3846.5</v>
      </c>
      <c r="H4354" s="2" t="s">
        <v>1108</v>
      </c>
    </row>
    <row r="4355" customFormat="false" ht="15" hidden="false" customHeight="false" outlineLevel="1" collapsed="false">
      <c r="A4355" s="7" t="s">
        <v>562</v>
      </c>
      <c r="B4355" s="8" t="s">
        <v>71</v>
      </c>
      <c r="C4355" s="55" t="n">
        <f aca="false">IF(C4354&gt;0,C4351/C4354,0)</f>
        <v>0.136212624584718</v>
      </c>
      <c r="D4355" s="55" t="n">
        <f aca="false">IF(D4354&gt;0,D4351/D4354,0)</f>
        <v>0.0344055944055944</v>
      </c>
      <c r="E4355" s="55" t="n">
        <f aca="false">IF(E4354&gt;0,E4351/E4354,0)</f>
        <v>0.035667681600696</v>
      </c>
      <c r="F4355" s="55" t="n">
        <f aca="false">IF(F4354&gt;0,F4351/F4354,0)</f>
        <v>0.0375016333464001</v>
      </c>
      <c r="G4355" s="55" t="n">
        <f aca="false">IF(G4354&gt;0,G4351/G4354,0)</f>
        <v>0.0373066424021838</v>
      </c>
      <c r="H4355" s="2" t="s">
        <v>1109</v>
      </c>
    </row>
    <row r="4356" customFormat="false" ht="15" hidden="false" customHeight="false" outlineLevel="1" collapsed="false">
      <c r="A4356" s="7" t="s">
        <v>563</v>
      </c>
      <c r="B4356" s="8" t="s">
        <v>71</v>
      </c>
      <c r="C4356" s="56" t="n">
        <f aca="false">C4354/(Pressupostos!$C$74*1000)</f>
        <v>0.0002408</v>
      </c>
      <c r="D4356" s="56" t="n">
        <f aca="false">D4354/(Pressupostos!$C$74*1000)</f>
        <v>0.003575</v>
      </c>
      <c r="E4356" s="56" t="n">
        <f aca="false">E4354/(Pressupostos!$C$74*1000)</f>
        <v>0.009196</v>
      </c>
      <c r="F4356" s="56" t="n">
        <f aca="false">F4354/(Pressupostos!$C$74*1000)</f>
        <v>0.015306</v>
      </c>
      <c r="G4356" s="56" t="n">
        <f aca="false">G4354/(Pressupostos!$C$74*1000)</f>
        <v>0.02198</v>
      </c>
      <c r="H4356" s="2" t="s">
        <v>1110</v>
      </c>
    </row>
    <row r="4357" customFormat="false" ht="15" hidden="false" customHeight="false" outlineLevel="1" collapsed="false">
      <c r="A4357" s="7" t="s">
        <v>564</v>
      </c>
      <c r="B4357" s="8" t="s">
        <v>115</v>
      </c>
      <c r="C4357" s="57" t="n">
        <f aca="false">C4351/Pressupostos!$C$39+C4352/Pressupostos!$C$46+C4353/Pressupostos!$C$58</f>
        <v>1.50033333333333</v>
      </c>
      <c r="D4357" s="57" t="n">
        <f aca="false">D4351/Pressupostos!$C$39+D4352/Pressupostos!$C$46+D4353/Pressupostos!$C$58</f>
        <v>13.04625</v>
      </c>
      <c r="E4357" s="57" t="n">
        <f aca="false">E4351/Pressupostos!$C$39+E4352/Pressupostos!$C$46+E4353/Pressupostos!$C$58</f>
        <v>30.1</v>
      </c>
      <c r="F4357" s="57" t="n">
        <f aca="false">F4351/Pressupostos!$C$39+F4352/Pressupostos!$C$46+F4353/Pressupostos!$C$58</f>
        <v>50.1258333333333</v>
      </c>
      <c r="G4357" s="57" t="n">
        <f aca="false">G4351/Pressupostos!$C$39+G4352/Pressupostos!$C$46+G4353/Pressupostos!$C$58</f>
        <v>73.4416666666667</v>
      </c>
      <c r="H4357" s="2" t="s">
        <v>1111</v>
      </c>
    </row>
    <row r="4358" customFormat="false" ht="15" hidden="false" customHeight="false" outlineLevel="0" collapsed="false">
      <c r="A4358" s="3" t="s">
        <v>1112</v>
      </c>
      <c r="B4358" s="4"/>
      <c r="C4358" s="4"/>
      <c r="D4358" s="4"/>
      <c r="E4358" s="4"/>
      <c r="F4358" s="4"/>
      <c r="G4358" s="4"/>
      <c r="H4358" s="4"/>
    </row>
    <row r="4359" customFormat="false" ht="15" hidden="false" customHeight="false" outlineLevel="1" collapsed="false">
      <c r="A4359" s="7" t="s">
        <v>566</v>
      </c>
      <c r="B4359" s="8" t="s">
        <v>192</v>
      </c>
      <c r="C4359" s="58" t="n">
        <f aca="false">(Pressupostos!$C$254*(1+Pressupostos!$C$192))</f>
        <v>25.2</v>
      </c>
      <c r="D4359" s="58" t="n">
        <f aca="false">(Pressupostos!$D$254*(1+Pressupostos!$C$192))</f>
        <v>94.5</v>
      </c>
      <c r="E4359" s="58" t="n">
        <f aca="false">(Pressupostos!$E$254*(1+Pressupostos!$C$192))</f>
        <v>252</v>
      </c>
      <c r="F4359" s="58" t="n">
        <f aca="false">(Pressupostos!$F$254*(1+Pressupostos!$C$192))</f>
        <v>441</v>
      </c>
      <c r="G4359" s="58" t="n">
        <f aca="false">(Pressupostos!$G$254*(1+Pressupostos!$C$192))</f>
        <v>630</v>
      </c>
      <c r="H4359" s="2" t="s">
        <v>1113</v>
      </c>
    </row>
    <row r="4360" customFormat="false" ht="15" hidden="false" customHeight="false" outlineLevel="1" collapsed="false">
      <c r="A4360" s="7" t="s">
        <v>566</v>
      </c>
      <c r="B4360" s="8" t="s">
        <v>179</v>
      </c>
      <c r="C4360" s="58" t="n">
        <f aca="false">C4359*Pressupostos!$C$76</f>
        <v>18900</v>
      </c>
      <c r="D4360" s="58" t="n">
        <f aca="false">D4359*Pressupostos!$C$76</f>
        <v>70875</v>
      </c>
      <c r="E4360" s="58" t="n">
        <f aca="false">E4359*Pressupostos!$C$76</f>
        <v>189000</v>
      </c>
      <c r="F4360" s="58" t="n">
        <f aca="false">F4359*Pressupostos!$C$76</f>
        <v>330750</v>
      </c>
      <c r="G4360" s="58" t="n">
        <f aca="false">G4359*Pressupostos!$C$76</f>
        <v>472500</v>
      </c>
      <c r="H4360" s="2" t="s">
        <v>1114</v>
      </c>
    </row>
    <row r="4361" customFormat="false" ht="15" hidden="false" customHeight="false" outlineLevel="0" collapsed="false">
      <c r="A4361" s="3" t="s">
        <v>1115</v>
      </c>
      <c r="B4361" s="4"/>
      <c r="C4361" s="4"/>
      <c r="D4361" s="4"/>
      <c r="E4361" s="4"/>
      <c r="F4361" s="4"/>
      <c r="G4361" s="4"/>
      <c r="H4361" s="4"/>
    </row>
    <row r="4362" customFormat="false" ht="15" hidden="false" customHeight="false" outlineLevel="1" collapsed="false">
      <c r="A4362" s="7" t="s">
        <v>568</v>
      </c>
      <c r="B4362" s="8" t="s">
        <v>112</v>
      </c>
      <c r="C4362" s="57" t="n">
        <f aca="false">IF(C4348&lt;Pressupostos!$F$28,0,(Pressupostos!$C$260*(1+Pressupostos!$C$192)))</f>
        <v>0</v>
      </c>
      <c r="D4362" s="57" t="n">
        <f aca="false">IF(D4348&lt;Pressupostos!$F$28,0,(Pressupostos!$D$260*(1+Pressupostos!$C$192)))</f>
        <v>0</v>
      </c>
      <c r="E4362" s="57" t="n">
        <f aca="false">IF(E4348&lt;Pressupostos!$F$28,0,(Pressupostos!$E$260*(1+Pressupostos!$C$192)))</f>
        <v>0</v>
      </c>
      <c r="F4362" s="57" t="n">
        <f aca="false">IF(F4348&lt;Pressupostos!$F$28,0,(Pressupostos!$F$260*(1+Pressupostos!$C$192)))</f>
        <v>14</v>
      </c>
      <c r="G4362" s="57" t="n">
        <f aca="false">IF(G4348&lt;Pressupostos!$F$28,0,(Pressupostos!$G$260*(1+Pressupostos!$C$192)))</f>
        <v>35</v>
      </c>
      <c r="H4362" s="2" t="s">
        <v>1116</v>
      </c>
    </row>
    <row r="4363" customFormat="false" ht="15" hidden="false" customHeight="false" outlineLevel="0" collapsed="false">
      <c r="A4363" s="3" t="s">
        <v>1117</v>
      </c>
      <c r="B4363" s="4"/>
      <c r="C4363" s="4"/>
      <c r="D4363" s="4"/>
      <c r="E4363" s="4"/>
      <c r="F4363" s="4"/>
      <c r="G4363" s="4"/>
      <c r="H4363" s="4"/>
    </row>
    <row r="4364" customFormat="false" ht="15" hidden="false" customHeight="false" outlineLevel="1" collapsed="false">
      <c r="A4364" s="7" t="s">
        <v>570</v>
      </c>
      <c r="B4364" s="8" t="s">
        <v>10</v>
      </c>
      <c r="C4364" s="50" t="n">
        <f aca="false">Pressupostos!$C$266</f>
        <v>0</v>
      </c>
      <c r="D4364" s="50" t="n">
        <f aca="false">Pressupostos!$D$266</f>
        <v>500000</v>
      </c>
      <c r="E4364" s="50" t="n">
        <f aca="false">Pressupostos!$E$266</f>
        <v>1500000</v>
      </c>
      <c r="F4364" s="50" t="n">
        <f aca="false">Pressupostos!$F$266</f>
        <v>3000000</v>
      </c>
      <c r="G4364" s="50" t="n">
        <f aca="false">Pressupostos!$G$266</f>
        <v>5000000</v>
      </c>
      <c r="H4364" s="2" t="s">
        <v>1118</v>
      </c>
    </row>
    <row r="4365" customFormat="false" ht="15" hidden="false" customHeight="false" outlineLevel="1" collapsed="false">
      <c r="A4365" s="7" t="s">
        <v>571</v>
      </c>
      <c r="B4365" s="8" t="s">
        <v>112</v>
      </c>
      <c r="C4365" s="57" t="n">
        <f aca="false">C4364/(Pressupostos!$C$103*Pressupostos!$C$104)*Pressupostos!$C$100/1000</f>
        <v>0</v>
      </c>
      <c r="D4365" s="57" t="n">
        <f aca="false">D4364/(Pressupostos!$C$103*Pressupostos!$C$104)*Pressupostos!$C$100/1000</f>
        <v>457.142857142857</v>
      </c>
      <c r="E4365" s="57" t="n">
        <f aca="false">E4364/(Pressupostos!$C$103*Pressupostos!$C$104)*Pressupostos!$C$100/1000</f>
        <v>1371.42857142857</v>
      </c>
      <c r="F4365" s="57" t="n">
        <f aca="false">F4364/(Pressupostos!$C$103*Pressupostos!$C$104)*Pressupostos!$C$100/1000</f>
        <v>2742.85714285714</v>
      </c>
      <c r="G4365" s="57" t="n">
        <f aca="false">G4364/(Pressupostos!$C$103*Pressupostos!$C$104)*Pressupostos!$C$100/1000</f>
        <v>4571.42857142857</v>
      </c>
      <c r="H4365" s="2" t="s">
        <v>1119</v>
      </c>
    </row>
    <row r="4366" customFormat="false" ht="15" hidden="false" customHeight="false" outlineLevel="0" collapsed="false">
      <c r="A4366" s="3" t="s">
        <v>1120</v>
      </c>
      <c r="B4366" s="4"/>
      <c r="C4366" s="4"/>
      <c r="D4366" s="4"/>
      <c r="E4366" s="4"/>
      <c r="F4366" s="4"/>
      <c r="G4366" s="4"/>
      <c r="H4366" s="4"/>
    </row>
    <row r="4367" customFormat="false" ht="15" hidden="false" customHeight="false" outlineLevel="1" collapsed="false">
      <c r="A4367" s="7" t="s">
        <v>633</v>
      </c>
      <c r="B4367" s="8" t="s">
        <v>59</v>
      </c>
      <c r="C4367" s="60" t="n">
        <f aca="false">Pressupostos!$F$10+Pressupostos!$F$11</f>
        <v>3.65</v>
      </c>
      <c r="D4367" s="60" t="n">
        <f aca="false">Pressupostos!$F$10+Pressupostos!$F$11</f>
        <v>3.65</v>
      </c>
      <c r="E4367" s="60" t="n">
        <f aca="false">Pressupostos!$F$10+Pressupostos!$F$11</f>
        <v>3.65</v>
      </c>
      <c r="F4367" s="60" t="n">
        <f aca="false">Pressupostos!$F$10+Pressupostos!$F$11</f>
        <v>3.65</v>
      </c>
      <c r="G4367" s="60" t="n">
        <f aca="false">Pressupostos!$F$10+Pressupostos!$F$11</f>
        <v>3.65</v>
      </c>
      <c r="H4367" s="2" t="s">
        <v>1121</v>
      </c>
    </row>
    <row r="4368" customFormat="false" ht="15" hidden="false" customHeight="false" outlineLevel="1" collapsed="false">
      <c r="A4368" s="7" t="s">
        <v>634</v>
      </c>
      <c r="B4368" s="8" t="s">
        <v>59</v>
      </c>
      <c r="C4368" s="63" t="n">
        <f aca="false">Pressupostos!$F$15</f>
        <v>6</v>
      </c>
      <c r="D4368" s="63" t="n">
        <f aca="false">Pressupostos!$F$15</f>
        <v>6</v>
      </c>
      <c r="E4368" s="63" t="n">
        <f aca="false">Pressupostos!$F$15</f>
        <v>6</v>
      </c>
      <c r="F4368" s="63" t="n">
        <f aca="false">Pressupostos!$F$15</f>
        <v>6</v>
      </c>
      <c r="G4368" s="63" t="n">
        <f aca="false">Pressupostos!$F$15</f>
        <v>6</v>
      </c>
      <c r="H4368" s="2" t="s">
        <v>1122</v>
      </c>
    </row>
    <row r="4369" customFormat="false" ht="15" hidden="false" customHeight="false" outlineLevel="1" collapsed="false">
      <c r="A4369" s="52" t="s">
        <v>635</v>
      </c>
      <c r="B4369" s="53" t="s">
        <v>59</v>
      </c>
      <c r="C4369" s="64" t="n">
        <f aca="false">C4368*(1-Pressupostos!$F$16)</f>
        <v>5.4</v>
      </c>
      <c r="D4369" s="64" t="n">
        <f aca="false">D4368*(1-Pressupostos!$F$16)</f>
        <v>5.4</v>
      </c>
      <c r="E4369" s="64" t="n">
        <f aca="false">E4368*(1-Pressupostos!$F$16)</f>
        <v>5.4</v>
      </c>
      <c r="F4369" s="64" t="n">
        <f aca="false">F4368*(1-Pressupostos!$F$16)</f>
        <v>5.4</v>
      </c>
      <c r="G4369" s="64" t="n">
        <f aca="false">G4368*(1-Pressupostos!$F$16)</f>
        <v>5.4</v>
      </c>
      <c r="H4369" s="2" t="s">
        <v>1123</v>
      </c>
    </row>
    <row r="4370" customFormat="false" ht="15" hidden="false" customHeight="false" outlineLevel="1" collapsed="false">
      <c r="A4370" s="7" t="s">
        <v>136</v>
      </c>
      <c r="B4370" s="8" t="s">
        <v>59</v>
      </c>
      <c r="C4370" s="63" t="n">
        <f aca="false">Pressupostos!$C$37</f>
        <v>0.55</v>
      </c>
      <c r="D4370" s="63" t="n">
        <f aca="false">Pressupostos!$C$37</f>
        <v>0.55</v>
      </c>
      <c r="E4370" s="63" t="n">
        <f aca="false">Pressupostos!$C$37</f>
        <v>0.55</v>
      </c>
      <c r="F4370" s="63" t="n">
        <f aca="false">Pressupostos!$C$37</f>
        <v>0.55</v>
      </c>
      <c r="G4370" s="63" t="n">
        <f aca="false">Pressupostos!$C$37</f>
        <v>0.55</v>
      </c>
      <c r="H4370" s="2" t="s">
        <v>1124</v>
      </c>
    </row>
    <row r="4371" customFormat="false" ht="15" hidden="false" customHeight="false" outlineLevel="1" collapsed="false">
      <c r="A4371" s="7" t="s">
        <v>205</v>
      </c>
      <c r="B4371" s="8" t="s">
        <v>59</v>
      </c>
      <c r="C4371" s="63" t="n">
        <f aca="false">Pressupostos!$C$235</f>
        <v>0.3</v>
      </c>
      <c r="D4371" s="63" t="n">
        <f aca="false">Pressupostos!$D$235</f>
        <v>0.3</v>
      </c>
      <c r="E4371" s="63" t="n">
        <f aca="false">Pressupostos!$E$235</f>
        <v>0.28</v>
      </c>
      <c r="F4371" s="63" t="n">
        <f aca="false">Pressupostos!$F$235</f>
        <v>0.27</v>
      </c>
      <c r="G4371" s="63" t="n">
        <f aca="false">Pressupostos!$G$235</f>
        <v>0.27</v>
      </c>
      <c r="H4371" s="2" t="s">
        <v>1125</v>
      </c>
    </row>
    <row r="4372" customFormat="false" ht="15" hidden="false" customHeight="false" outlineLevel="1" collapsed="false">
      <c r="A4372" s="7" t="s">
        <v>109</v>
      </c>
      <c r="B4372" s="8" t="s">
        <v>59</v>
      </c>
      <c r="C4372" s="63" t="n">
        <f aca="false">Pressupostos!$C$38</f>
        <v>0.06</v>
      </c>
      <c r="D4372" s="63" t="n">
        <f aca="false">Pressupostos!$C$38</f>
        <v>0.06</v>
      </c>
      <c r="E4372" s="63" t="n">
        <f aca="false">Pressupostos!$C$38</f>
        <v>0.06</v>
      </c>
      <c r="F4372" s="63" t="n">
        <f aca="false">Pressupostos!$C$38</f>
        <v>0.06</v>
      </c>
      <c r="G4372" s="63" t="n">
        <f aca="false">Pressupostos!$C$38</f>
        <v>0.06</v>
      </c>
      <c r="H4372" s="2" t="s">
        <v>1126</v>
      </c>
    </row>
    <row r="4373" customFormat="false" ht="15" hidden="false" customHeight="false" outlineLevel="1" collapsed="false">
      <c r="A4373" s="7" t="s">
        <v>86</v>
      </c>
      <c r="B4373" s="8" t="s">
        <v>74</v>
      </c>
      <c r="C4373" s="65" t="n">
        <f aca="false">Pressupostos!$C$241</f>
        <v>180</v>
      </c>
      <c r="D4373" s="65" t="n">
        <f aca="false">Pressupostos!$D$241</f>
        <v>180</v>
      </c>
      <c r="E4373" s="65" t="n">
        <f aca="false">Pressupostos!$E$241</f>
        <v>45</v>
      </c>
      <c r="F4373" s="65" t="n">
        <f aca="false">Pressupostos!$F$241</f>
        <v>45</v>
      </c>
      <c r="G4373" s="65" t="n">
        <f aca="false">Pressupostos!$G$241</f>
        <v>45</v>
      </c>
      <c r="H4373" s="2" t="s">
        <v>1127</v>
      </c>
    </row>
    <row r="4374" customFormat="false" ht="15" hidden="false" customHeight="false" outlineLevel="1" collapsed="false">
      <c r="A4374" s="7" t="s">
        <v>73</v>
      </c>
      <c r="B4374" s="8" t="s">
        <v>74</v>
      </c>
      <c r="C4374" s="65" t="n">
        <f aca="false">Pressupostos!$F$17</f>
        <v>35</v>
      </c>
      <c r="D4374" s="65" t="n">
        <f aca="false">Pressupostos!$F$17</f>
        <v>35</v>
      </c>
      <c r="E4374" s="65" t="n">
        <f aca="false">Pressupostos!$F$17</f>
        <v>35</v>
      </c>
      <c r="F4374" s="65" t="n">
        <f aca="false">Pressupostos!$F$17</f>
        <v>35</v>
      </c>
      <c r="G4374" s="65" t="n">
        <f aca="false">Pressupostos!$F$17</f>
        <v>35</v>
      </c>
      <c r="H4374" s="2" t="s">
        <v>1128</v>
      </c>
    </row>
    <row r="4375" customFormat="false" ht="15" hidden="false" customHeight="false" outlineLevel="1" collapsed="false">
      <c r="A4375" s="7" t="s">
        <v>471</v>
      </c>
      <c r="B4375" s="8" t="s">
        <v>59</v>
      </c>
      <c r="C4375" s="60" t="n">
        <f aca="false">Pressupostos!$C$64*C4373/30/1000</f>
        <v>0.024</v>
      </c>
      <c r="D4375" s="60" t="n">
        <f aca="false">Pressupostos!$C$64*D4373/30/1000</f>
        <v>0.024</v>
      </c>
      <c r="E4375" s="60" t="n">
        <f aca="false">Pressupostos!$C$64*E4373/30/1000</f>
        <v>0.006</v>
      </c>
      <c r="F4375" s="60" t="n">
        <f aca="false">Pressupostos!$C$64*F4373/30/1000</f>
        <v>0.006</v>
      </c>
      <c r="G4375" s="60" t="n">
        <f aca="false">Pressupostos!$C$64*G4373/30/1000</f>
        <v>0.006</v>
      </c>
      <c r="H4375" s="2" t="s">
        <v>1129</v>
      </c>
    </row>
    <row r="4376" customFormat="false" ht="15" hidden="false" customHeight="false" outlineLevel="1" collapsed="false">
      <c r="A4376" s="7" t="s">
        <v>154</v>
      </c>
      <c r="B4376" s="8" t="s">
        <v>59</v>
      </c>
      <c r="C4376" s="60" t="n">
        <f aca="false">C4367*Pressupostos!$C$65*C4373/365</f>
        <v>0.0036</v>
      </c>
      <c r="D4376" s="60" t="n">
        <f aca="false">D4367*Pressupostos!$C$65*D4373/365</f>
        <v>0.0036</v>
      </c>
      <c r="E4376" s="60" t="n">
        <f aca="false">E4367*Pressupostos!$C$65*E4373/365</f>
        <v>0.0009</v>
      </c>
      <c r="F4376" s="60" t="n">
        <f aca="false">F4367*Pressupostos!$C$65*F4373/365</f>
        <v>0.0009</v>
      </c>
      <c r="G4376" s="60" t="n">
        <f aca="false">G4367*Pressupostos!$C$65*G4373/365</f>
        <v>0.0009</v>
      </c>
      <c r="H4376" s="2" t="s">
        <v>1130</v>
      </c>
    </row>
    <row r="4377" customFormat="false" ht="15" hidden="false" customHeight="false" outlineLevel="1" collapsed="false">
      <c r="A4377" s="7" t="s">
        <v>636</v>
      </c>
      <c r="B4377" s="8" t="s">
        <v>59</v>
      </c>
      <c r="C4377" s="60" t="n">
        <f aca="false">Pressupostos!$C$40*Pressupostos!$C$66/(Pressupostos!$C$39*1000)</f>
        <v>0.03</v>
      </c>
      <c r="D4377" s="60" t="n">
        <f aca="false">Pressupostos!$C$40*Pressupostos!$C$66/(Pressupostos!$C$39*1000)</f>
        <v>0.03</v>
      </c>
      <c r="E4377" s="60" t="n">
        <f aca="false">Pressupostos!$C$40*Pressupostos!$C$66/(Pressupostos!$C$39*1000)</f>
        <v>0.03</v>
      </c>
      <c r="F4377" s="60" t="n">
        <f aca="false">Pressupostos!$C$40*Pressupostos!$C$66/(Pressupostos!$C$39*1000)</f>
        <v>0.03</v>
      </c>
      <c r="G4377" s="60" t="n">
        <f aca="false">Pressupostos!$C$40*Pressupostos!$C$66/(Pressupostos!$C$39*1000)</f>
        <v>0.03</v>
      </c>
      <c r="H4377" s="2" t="s">
        <v>1131</v>
      </c>
    </row>
    <row r="4378" customFormat="false" ht="15" hidden="false" customHeight="false" outlineLevel="1" collapsed="false">
      <c r="A4378" s="7" t="s">
        <v>473</v>
      </c>
      <c r="B4378" s="8" t="s">
        <v>59</v>
      </c>
      <c r="C4378" s="60" t="n">
        <f aca="false">Pressupostos!$C$67*C4367</f>
        <v>0.01825</v>
      </c>
      <c r="D4378" s="60" t="n">
        <f aca="false">Pressupostos!$C$67*D4367</f>
        <v>0.01825</v>
      </c>
      <c r="E4378" s="60" t="n">
        <f aca="false">Pressupostos!$C$67*E4367</f>
        <v>0.01825</v>
      </c>
      <c r="F4378" s="60" t="n">
        <f aca="false">Pressupostos!$C$67*F4367</f>
        <v>0.01825</v>
      </c>
      <c r="G4378" s="60" t="n">
        <f aca="false">Pressupostos!$C$67*G4367</f>
        <v>0.01825</v>
      </c>
      <c r="H4378" s="2" t="s">
        <v>1132</v>
      </c>
    </row>
    <row r="4379" customFormat="false" ht="15" hidden="false" customHeight="false" outlineLevel="1" collapsed="false">
      <c r="A4379" s="7" t="s">
        <v>474</v>
      </c>
      <c r="B4379" s="8" t="s">
        <v>59</v>
      </c>
      <c r="C4379" s="60" t="n">
        <f aca="false">Pressupostos!$C$68*Pressupostos!$C$69*C4373/90</f>
        <v>0.018</v>
      </c>
      <c r="D4379" s="60" t="n">
        <f aca="false">Pressupostos!$C$68*Pressupostos!$C$69*D4373/90</f>
        <v>0.018</v>
      </c>
      <c r="E4379" s="60" t="n">
        <f aca="false">Pressupostos!$C$68*Pressupostos!$C$69*E4373/90</f>
        <v>0.0045</v>
      </c>
      <c r="F4379" s="60" t="n">
        <f aca="false">Pressupostos!$C$68*Pressupostos!$C$69*F4373/90</f>
        <v>0.0045</v>
      </c>
      <c r="G4379" s="60" t="n">
        <f aca="false">Pressupostos!$C$68*Pressupostos!$C$69*G4373/90</f>
        <v>0.0045</v>
      </c>
      <c r="H4379" s="2" t="s">
        <v>1133</v>
      </c>
    </row>
    <row r="4380" customFormat="false" ht="15" hidden="false" customHeight="false" outlineLevel="1" collapsed="false">
      <c r="A4380" s="7" t="s">
        <v>637</v>
      </c>
      <c r="B4380" s="8" t="s">
        <v>59</v>
      </c>
      <c r="C4380" s="60" t="n">
        <f aca="false">Pressupostos!$C$41/(Pressupostos!$C$39*1000)</f>
        <v>0.1</v>
      </c>
      <c r="D4380" s="60" t="n">
        <f aca="false">Pressupostos!$C$41/(Pressupostos!$C$39*1000)</f>
        <v>0.1</v>
      </c>
      <c r="E4380" s="60" t="n">
        <f aca="false">Pressupostos!$C$41/(Pressupostos!$C$39*1000)</f>
        <v>0.1</v>
      </c>
      <c r="F4380" s="60" t="n">
        <f aca="false">Pressupostos!$C$41/(Pressupostos!$C$39*1000)</f>
        <v>0.1</v>
      </c>
      <c r="G4380" s="60" t="n">
        <f aca="false">Pressupostos!$C$41/(Pressupostos!$C$39*1000)</f>
        <v>0.1</v>
      </c>
      <c r="H4380" s="2" t="s">
        <v>1134</v>
      </c>
    </row>
    <row r="4381" customFormat="false" ht="15" hidden="false" customHeight="false" outlineLevel="1" collapsed="false">
      <c r="A4381" s="7" t="s">
        <v>131</v>
      </c>
      <c r="B4381" s="8" t="s">
        <v>59</v>
      </c>
      <c r="C4381" s="63" t="n">
        <f aca="false">Pressupostos!$C$42</f>
        <v>0.01</v>
      </c>
      <c r="D4381" s="63" t="n">
        <f aca="false">Pressupostos!$C$42</f>
        <v>0.01</v>
      </c>
      <c r="E4381" s="63" t="n">
        <f aca="false">Pressupostos!$C$42</f>
        <v>0.01</v>
      </c>
      <c r="F4381" s="63" t="n">
        <f aca="false">Pressupostos!$C$42</f>
        <v>0.01</v>
      </c>
      <c r="G4381" s="63" t="n">
        <f aca="false">Pressupostos!$C$42</f>
        <v>0.01</v>
      </c>
      <c r="H4381" s="2" t="s">
        <v>1135</v>
      </c>
    </row>
    <row r="4382" customFormat="false" ht="15" hidden="false" customHeight="false" outlineLevel="1" collapsed="false">
      <c r="A4382" s="7" t="s">
        <v>76</v>
      </c>
      <c r="B4382" s="8" t="s">
        <v>59</v>
      </c>
      <c r="C4382" s="60" t="n">
        <f aca="false">Pressupostos!$F$18*C4369</f>
        <v>0.0324</v>
      </c>
      <c r="D4382" s="60" t="n">
        <f aca="false">Pressupostos!$F$18*D4369</f>
        <v>0.0324</v>
      </c>
      <c r="E4382" s="60" t="n">
        <f aca="false">Pressupostos!$F$18*E4369</f>
        <v>0.0324</v>
      </c>
      <c r="F4382" s="60" t="n">
        <f aca="false">Pressupostos!$F$18*F4369</f>
        <v>0.0324</v>
      </c>
      <c r="G4382" s="60" t="n">
        <f aca="false">Pressupostos!$F$18*G4369</f>
        <v>0.0324</v>
      </c>
      <c r="H4382" s="2" t="s">
        <v>1136</v>
      </c>
    </row>
    <row r="4383" customFormat="false" ht="15" hidden="false" customHeight="false" outlineLevel="1" collapsed="false">
      <c r="A4383" s="7" t="s">
        <v>638</v>
      </c>
      <c r="B4383" s="8" t="s">
        <v>59</v>
      </c>
      <c r="C4383" s="60" t="n">
        <f aca="false">Pressupostos!$C$71*C4369</f>
        <v>0</v>
      </c>
      <c r="D4383" s="60" t="n">
        <f aca="false">Pressupostos!$C$71*D4369</f>
        <v>0</v>
      </c>
      <c r="E4383" s="60" t="n">
        <f aca="false">Pressupostos!$C$71*E4369</f>
        <v>0</v>
      </c>
      <c r="F4383" s="60" t="n">
        <f aca="false">Pressupostos!$C$71*F4369</f>
        <v>0</v>
      </c>
      <c r="G4383" s="60" t="n">
        <f aca="false">Pressupostos!$C$71*G4369</f>
        <v>0</v>
      </c>
      <c r="H4383" s="2" t="s">
        <v>1137</v>
      </c>
    </row>
    <row r="4384" customFormat="false" ht="15" hidden="false" customHeight="false" outlineLevel="1" collapsed="false">
      <c r="A4384" s="7" t="s">
        <v>639</v>
      </c>
      <c r="B4384" s="8" t="s">
        <v>59</v>
      </c>
      <c r="C4384" s="60" t="n">
        <f aca="false">Pressupostos!$C$285*(C4367+C4370)*(C4373+C4374-Pressupostos!$C$70)/365*Pressupostos!$C$279/Pressupostos!$F$31</f>
        <v>0</v>
      </c>
      <c r="D4384" s="60" t="n">
        <f aca="false">Pressupostos!$D$285*(D4367+D4370)*(D4373+D4374-Pressupostos!$C$70)/365*Pressupostos!$D$279/Pressupostos!$F$31</f>
        <v>0.19158904109589</v>
      </c>
      <c r="E4384" s="60" t="n">
        <f aca="false">Pressupostos!$E$285*(E4367+E4370)*(E4373+E4374-Pressupostos!$C$70)/365*Pressupostos!$E$279/Pressupostos!$F$31</f>
        <v>0.0485445205479452</v>
      </c>
      <c r="F4384" s="60" t="n">
        <f aca="false">Pressupostos!$F$285*(F4367+F4370)*(F4373+F4374-Pressupostos!$C$70)/365*Pressupostos!$F$279/Pressupostos!$F$31</f>
        <v>0.0453082191780822</v>
      </c>
      <c r="G4384" s="60" t="n">
        <f aca="false">Pressupostos!$G$285*(G4367+G4370)*(G4373+G4374-Pressupostos!$C$70)/365*Pressupostos!$G$279/Pressupostos!$F$31</f>
        <v>0.0453082191780822</v>
      </c>
      <c r="H4384" s="2" t="s">
        <v>1138</v>
      </c>
    </row>
    <row r="4385" customFormat="false" ht="15" hidden="false" customHeight="false" outlineLevel="1" collapsed="false">
      <c r="A4385" s="7" t="s">
        <v>640</v>
      </c>
      <c r="B4385" s="8" t="s">
        <v>59</v>
      </c>
      <c r="C4385" s="60" t="n">
        <f aca="false">C4367+C4370+C4371+C4372+C4375+C4376+C4377+C4378+C4379+C4380+C4381+C4382+C4383+C4384</f>
        <v>4.79625</v>
      </c>
      <c r="D4385" s="60" t="n">
        <f aca="false">D4367+D4370+D4371+D4372+D4375+D4376+D4377+D4378+D4379+D4380+D4381+D4382+D4383+D4384</f>
        <v>4.98783904109589</v>
      </c>
      <c r="E4385" s="60" t="n">
        <f aca="false">E4367+E4370+E4371+E4372+E4375+E4376+E4377+E4378+E4379+E4380+E4381+E4382+E4383+E4384</f>
        <v>4.79059452054795</v>
      </c>
      <c r="F4385" s="60" t="n">
        <f aca="false">F4367+F4370+F4371+F4372+F4375+F4376+F4377+F4378+F4379+F4380+F4381+F4382+F4383+F4384</f>
        <v>4.77735821917808</v>
      </c>
      <c r="G4385" s="60" t="n">
        <f aca="false">G4367+G4370+G4371+G4372+G4375+G4376+G4377+G4378+G4379+G4380+G4381+G4382+G4383+G4384</f>
        <v>4.77735821917808</v>
      </c>
      <c r="H4385" s="2" t="s">
        <v>1139</v>
      </c>
    </row>
    <row r="4386" customFormat="false" ht="15" hidden="false" customHeight="false" outlineLevel="1" collapsed="false">
      <c r="A4386" s="52" t="s">
        <v>641</v>
      </c>
      <c r="B4386" s="53" t="s">
        <v>59</v>
      </c>
      <c r="C4386" s="64" t="n">
        <f aca="false">C4369-C4385</f>
        <v>0.603750000000002</v>
      </c>
      <c r="D4386" s="64" t="n">
        <f aca="false">D4369-D4385</f>
        <v>0.412160958904111</v>
      </c>
      <c r="E4386" s="64" t="n">
        <f aca="false">E4369-E4385</f>
        <v>0.609405479452056</v>
      </c>
      <c r="F4386" s="64" t="n">
        <f aca="false">F4369-F4385</f>
        <v>0.622641780821918</v>
      </c>
      <c r="G4386" s="64" t="n">
        <f aca="false">G4369-G4385</f>
        <v>0.622641780821918</v>
      </c>
      <c r="H4386" s="2" t="s">
        <v>1140</v>
      </c>
    </row>
    <row r="4387" customFormat="false" ht="15" hidden="false" customHeight="false" outlineLevel="1" collapsed="false">
      <c r="A4387" s="7" t="s">
        <v>642</v>
      </c>
      <c r="B4387" s="8" t="s">
        <v>71</v>
      </c>
      <c r="C4387" s="55" t="n">
        <f aca="false">IF(C4369&gt;0,C4386/C4369,0)</f>
        <v>0.111805555555556</v>
      </c>
      <c r="D4387" s="55" t="n">
        <f aca="false">IF(D4369&gt;0,D4386/D4369,0)</f>
        <v>0.0763261035007613</v>
      </c>
      <c r="E4387" s="55" t="n">
        <f aca="false">IF(E4369&gt;0,E4386/E4369,0)</f>
        <v>0.112852866565195</v>
      </c>
      <c r="F4387" s="55" t="n">
        <f aca="false">IF(F4369&gt;0,F4386/F4369,0)</f>
        <v>0.11530403348554</v>
      </c>
      <c r="G4387" s="55" t="n">
        <f aca="false">IF(G4369&gt;0,G4386/G4369,0)</f>
        <v>0.11530403348554</v>
      </c>
      <c r="H4387" s="2" t="s">
        <v>1141</v>
      </c>
    </row>
    <row r="4388" customFormat="false" ht="15" hidden="false" customHeight="false" outlineLevel="1" collapsed="false">
      <c r="A4388" s="7" t="s">
        <v>643</v>
      </c>
      <c r="B4388" s="8" t="s">
        <v>59</v>
      </c>
      <c r="C4388" s="60" t="n">
        <f aca="false">(C4367+C4370)*(C4373-Pressupostos!$C$70)/365+C4369*C4374/365</f>
        <v>2.24383561643836</v>
      </c>
      <c r="D4388" s="60" t="n">
        <f aca="false">(D4367+D4370)*(D4373-Pressupostos!$C$70)/365+D4369*D4374/365</f>
        <v>2.24383561643836</v>
      </c>
      <c r="E4388" s="60" t="n">
        <f aca="false">(E4367+E4370)*(E4373-Pressupostos!$C$70)/365+E4369*E4374/365</f>
        <v>0.69041095890411</v>
      </c>
      <c r="F4388" s="60" t="n">
        <f aca="false">(F4367+F4370)*(F4373-Pressupostos!$C$70)/365+F4369*F4374/365</f>
        <v>0.69041095890411</v>
      </c>
      <c r="G4388" s="60" t="n">
        <f aca="false">(G4367+G4370)*(G4373-Pressupostos!$C$70)/365+G4369*G4374/365</f>
        <v>0.69041095890411</v>
      </c>
      <c r="H4388" s="2" t="s">
        <v>1142</v>
      </c>
    </row>
    <row r="4389" customFormat="false" ht="15" hidden="false" customHeight="false" outlineLevel="0" collapsed="false">
      <c r="A4389" s="3" t="s">
        <v>1143</v>
      </c>
      <c r="B4389" s="4"/>
      <c r="C4389" s="4"/>
      <c r="D4389" s="4"/>
      <c r="E4389" s="4"/>
      <c r="F4389" s="4"/>
      <c r="G4389" s="4"/>
      <c r="H4389" s="4"/>
    </row>
    <row r="4390" customFormat="false" ht="15" hidden="false" customHeight="false" outlineLevel="1" collapsed="false">
      <c r="A4390" s="7" t="s">
        <v>633</v>
      </c>
      <c r="B4390" s="8" t="s">
        <v>59</v>
      </c>
      <c r="C4390" s="60" t="n">
        <f aca="false">Pressupostos!$F$10+Pressupostos!$F$12</f>
        <v>3.6</v>
      </c>
      <c r="D4390" s="60" t="n">
        <f aca="false">Pressupostos!$F$10+Pressupostos!$F$12</f>
        <v>3.6</v>
      </c>
      <c r="E4390" s="60" t="n">
        <f aca="false">Pressupostos!$F$10+Pressupostos!$F$12</f>
        <v>3.6</v>
      </c>
      <c r="F4390" s="60" t="n">
        <f aca="false">Pressupostos!$F$10+Pressupostos!$F$12</f>
        <v>3.6</v>
      </c>
      <c r="G4390" s="60" t="n">
        <f aca="false">Pressupostos!$F$10+Pressupostos!$F$12</f>
        <v>3.6</v>
      </c>
      <c r="H4390" s="2" t="s">
        <v>1144</v>
      </c>
    </row>
    <row r="4391" customFormat="false" ht="15" hidden="false" customHeight="false" outlineLevel="1" collapsed="false">
      <c r="A4391" s="7" t="s">
        <v>634</v>
      </c>
      <c r="B4391" s="8" t="s">
        <v>59</v>
      </c>
      <c r="C4391" s="60" t="n">
        <f aca="false">Pressupostos!$F$20+Pressupostos!$F$21</f>
        <v>4.45</v>
      </c>
      <c r="D4391" s="60" t="n">
        <f aca="false">Pressupostos!$F$20+Pressupostos!$F$21</f>
        <v>4.45</v>
      </c>
      <c r="E4391" s="60" t="n">
        <f aca="false">Pressupostos!$F$20+Pressupostos!$F$21</f>
        <v>4.45</v>
      </c>
      <c r="F4391" s="60" t="n">
        <f aca="false">Pressupostos!$F$20+Pressupostos!$F$21</f>
        <v>4.45</v>
      </c>
      <c r="G4391" s="60" t="n">
        <f aca="false">Pressupostos!$F$20+Pressupostos!$F$21</f>
        <v>4.45</v>
      </c>
      <c r="H4391" s="2" t="s">
        <v>1145</v>
      </c>
    </row>
    <row r="4392" customFormat="false" ht="15" hidden="false" customHeight="false" outlineLevel="1" collapsed="false">
      <c r="A4392" s="52" t="s">
        <v>635</v>
      </c>
      <c r="B4392" s="53" t="s">
        <v>59</v>
      </c>
      <c r="C4392" s="64" t="n">
        <f aca="false">C4391*(1-Pressupostos!$F$22)</f>
        <v>4.45</v>
      </c>
      <c r="D4392" s="64" t="n">
        <f aca="false">D4391*(1-Pressupostos!$F$22)</f>
        <v>4.45</v>
      </c>
      <c r="E4392" s="64" t="n">
        <f aca="false">E4391*(1-Pressupostos!$F$22)</f>
        <v>4.45</v>
      </c>
      <c r="F4392" s="64" t="n">
        <f aca="false">F4391*(1-Pressupostos!$F$22)</f>
        <v>4.45</v>
      </c>
      <c r="G4392" s="64" t="n">
        <f aca="false">G4391*(1-Pressupostos!$F$22)</f>
        <v>4.45</v>
      </c>
      <c r="H4392" s="2" t="s">
        <v>1146</v>
      </c>
    </row>
    <row r="4393" customFormat="false" ht="15" hidden="false" customHeight="false" outlineLevel="1" collapsed="false">
      <c r="A4393" s="7" t="s">
        <v>136</v>
      </c>
      <c r="B4393" s="8" t="s">
        <v>59</v>
      </c>
      <c r="C4393" s="63" t="n">
        <f aca="false">Pressupostos!$C$44</f>
        <v>0.45</v>
      </c>
      <c r="D4393" s="63" t="n">
        <f aca="false">Pressupostos!$C$44</f>
        <v>0.45</v>
      </c>
      <c r="E4393" s="63" t="n">
        <f aca="false">Pressupostos!$C$44</f>
        <v>0.45</v>
      </c>
      <c r="F4393" s="63" t="n">
        <f aca="false">Pressupostos!$C$44</f>
        <v>0.45</v>
      </c>
      <c r="G4393" s="63" t="n">
        <f aca="false">Pressupostos!$C$44</f>
        <v>0.45</v>
      </c>
      <c r="H4393" s="2" t="s">
        <v>1147</v>
      </c>
    </row>
    <row r="4394" customFormat="false" ht="15" hidden="false" customHeight="false" outlineLevel="1" collapsed="false">
      <c r="A4394" s="7" t="s">
        <v>205</v>
      </c>
      <c r="B4394" s="8" t="s">
        <v>59</v>
      </c>
      <c r="C4394" s="63" t="n">
        <f aca="false">Pressupostos!$C$247</f>
        <v>0.1</v>
      </c>
      <c r="D4394" s="63" t="n">
        <f aca="false">Pressupostos!$D$247</f>
        <v>0.1</v>
      </c>
      <c r="E4394" s="63" t="n">
        <f aca="false">Pressupostos!$E$247</f>
        <v>0.09</v>
      </c>
      <c r="F4394" s="63" t="n">
        <f aca="false">Pressupostos!$F$247</f>
        <v>0.09</v>
      </c>
      <c r="G4394" s="63" t="n">
        <f aca="false">Pressupostos!$G$247</f>
        <v>0.09</v>
      </c>
      <c r="H4394" s="2" t="s">
        <v>1148</v>
      </c>
    </row>
    <row r="4395" customFormat="false" ht="15" hidden="false" customHeight="false" outlineLevel="1" collapsed="false">
      <c r="A4395" s="7" t="s">
        <v>109</v>
      </c>
      <c r="B4395" s="8" t="s">
        <v>59</v>
      </c>
      <c r="C4395" s="63" t="n">
        <f aca="false">Pressupostos!$C$45</f>
        <v>0</v>
      </c>
      <c r="D4395" s="63" t="n">
        <f aca="false">Pressupostos!$C$45</f>
        <v>0</v>
      </c>
      <c r="E4395" s="63" t="n">
        <f aca="false">Pressupostos!$C$45</f>
        <v>0</v>
      </c>
      <c r="F4395" s="63" t="n">
        <f aca="false">Pressupostos!$C$45</f>
        <v>0</v>
      </c>
      <c r="G4395" s="63" t="n">
        <f aca="false">Pressupostos!$C$45</f>
        <v>0</v>
      </c>
      <c r="H4395" s="2" t="s">
        <v>1149</v>
      </c>
    </row>
    <row r="4396" customFormat="false" ht="15" hidden="false" customHeight="false" outlineLevel="1" collapsed="false">
      <c r="A4396" s="7" t="s">
        <v>86</v>
      </c>
      <c r="B4396" s="8" t="s">
        <v>74</v>
      </c>
      <c r="C4396" s="65" t="n">
        <f aca="false">Pressupostos!$F$23</f>
        <v>30</v>
      </c>
      <c r="D4396" s="65" t="n">
        <f aca="false">Pressupostos!$F$23</f>
        <v>30</v>
      </c>
      <c r="E4396" s="65" t="n">
        <f aca="false">Pressupostos!$F$23</f>
        <v>30</v>
      </c>
      <c r="F4396" s="65" t="n">
        <f aca="false">Pressupostos!$F$23</f>
        <v>30</v>
      </c>
      <c r="G4396" s="65" t="n">
        <f aca="false">Pressupostos!$F$23</f>
        <v>30</v>
      </c>
      <c r="H4396" s="2" t="s">
        <v>1150</v>
      </c>
    </row>
    <row r="4397" customFormat="false" ht="15" hidden="false" customHeight="false" outlineLevel="1" collapsed="false">
      <c r="A4397" s="7" t="s">
        <v>73</v>
      </c>
      <c r="B4397" s="8" t="s">
        <v>74</v>
      </c>
      <c r="C4397" s="65" t="n">
        <f aca="false">Pressupostos!$F$24</f>
        <v>55</v>
      </c>
      <c r="D4397" s="65" t="n">
        <f aca="false">Pressupostos!$F$24</f>
        <v>55</v>
      </c>
      <c r="E4397" s="65" t="n">
        <f aca="false">Pressupostos!$F$24</f>
        <v>55</v>
      </c>
      <c r="F4397" s="65" t="n">
        <f aca="false">Pressupostos!$F$24</f>
        <v>55</v>
      </c>
      <c r="G4397" s="65" t="n">
        <f aca="false">Pressupostos!$F$24</f>
        <v>55</v>
      </c>
      <c r="H4397" s="2" t="s">
        <v>1151</v>
      </c>
    </row>
    <row r="4398" customFormat="false" ht="15" hidden="false" customHeight="false" outlineLevel="1" collapsed="false">
      <c r="A4398" s="7" t="s">
        <v>471</v>
      </c>
      <c r="B4398" s="8" t="s">
        <v>59</v>
      </c>
      <c r="C4398" s="60" t="n">
        <f aca="false">Pressupostos!$C$64*C4396/30/1000</f>
        <v>0.004</v>
      </c>
      <c r="D4398" s="60" t="n">
        <f aca="false">Pressupostos!$C$64*D4396/30/1000</f>
        <v>0.004</v>
      </c>
      <c r="E4398" s="60" t="n">
        <f aca="false">Pressupostos!$C$64*E4396/30/1000</f>
        <v>0.004</v>
      </c>
      <c r="F4398" s="60" t="n">
        <f aca="false">Pressupostos!$C$64*F4396/30/1000</f>
        <v>0.004</v>
      </c>
      <c r="G4398" s="60" t="n">
        <f aca="false">Pressupostos!$C$64*G4396/30/1000</f>
        <v>0.004</v>
      </c>
      <c r="H4398" s="2" t="s">
        <v>1152</v>
      </c>
    </row>
    <row r="4399" customFormat="false" ht="15" hidden="false" customHeight="false" outlineLevel="1" collapsed="false">
      <c r="A4399" s="7" t="s">
        <v>154</v>
      </c>
      <c r="B4399" s="8" t="s">
        <v>59</v>
      </c>
      <c r="C4399" s="60" t="n">
        <f aca="false">C4390*Pressupostos!$C$65*C4396/365</f>
        <v>0.000591780821917808</v>
      </c>
      <c r="D4399" s="60" t="n">
        <f aca="false">D4390*Pressupostos!$C$65*D4396/365</f>
        <v>0.000591780821917808</v>
      </c>
      <c r="E4399" s="60" t="n">
        <f aca="false">E4390*Pressupostos!$C$65*E4396/365</f>
        <v>0.000591780821917808</v>
      </c>
      <c r="F4399" s="60" t="n">
        <f aca="false">F4390*Pressupostos!$C$65*F4396/365</f>
        <v>0.000591780821917808</v>
      </c>
      <c r="G4399" s="60" t="n">
        <f aca="false">G4390*Pressupostos!$C$65*G4396/365</f>
        <v>0.000591780821917808</v>
      </c>
      <c r="H4399" s="2" t="s">
        <v>1153</v>
      </c>
    </row>
    <row r="4400" customFormat="false" ht="15" hidden="false" customHeight="false" outlineLevel="1" collapsed="false">
      <c r="A4400" s="7" t="s">
        <v>636</v>
      </c>
      <c r="B4400" s="8" t="s">
        <v>59</v>
      </c>
      <c r="C4400" s="60" t="n">
        <f aca="false">Pressupostos!$C$47*Pressupostos!$C$66/(Pressupostos!$C$46*1000)</f>
        <v>0.02</v>
      </c>
      <c r="D4400" s="60" t="n">
        <f aca="false">Pressupostos!$C$47*Pressupostos!$C$66/(Pressupostos!$C$46*1000)</f>
        <v>0.02</v>
      </c>
      <c r="E4400" s="60" t="n">
        <f aca="false">Pressupostos!$C$47*Pressupostos!$C$66/(Pressupostos!$C$46*1000)</f>
        <v>0.02</v>
      </c>
      <c r="F4400" s="60" t="n">
        <f aca="false">Pressupostos!$C$47*Pressupostos!$C$66/(Pressupostos!$C$46*1000)</f>
        <v>0.02</v>
      </c>
      <c r="G4400" s="60" t="n">
        <f aca="false">Pressupostos!$C$47*Pressupostos!$C$66/(Pressupostos!$C$46*1000)</f>
        <v>0.02</v>
      </c>
      <c r="H4400" s="2" t="s">
        <v>1154</v>
      </c>
    </row>
    <row r="4401" customFormat="false" ht="15" hidden="false" customHeight="false" outlineLevel="1" collapsed="false">
      <c r="A4401" s="7" t="s">
        <v>473</v>
      </c>
      <c r="B4401" s="8" t="s">
        <v>59</v>
      </c>
      <c r="C4401" s="60" t="n">
        <f aca="false">Pressupostos!$C$67*C4390</f>
        <v>0.018</v>
      </c>
      <c r="D4401" s="60" t="n">
        <f aca="false">Pressupostos!$C$67*D4390</f>
        <v>0.018</v>
      </c>
      <c r="E4401" s="60" t="n">
        <f aca="false">Pressupostos!$C$67*E4390</f>
        <v>0.018</v>
      </c>
      <c r="F4401" s="60" t="n">
        <f aca="false">Pressupostos!$C$67*F4390</f>
        <v>0.018</v>
      </c>
      <c r="G4401" s="60" t="n">
        <f aca="false">Pressupostos!$C$67*G4390</f>
        <v>0.018</v>
      </c>
      <c r="H4401" s="2" t="s">
        <v>1155</v>
      </c>
    </row>
    <row r="4402" customFormat="false" ht="15" hidden="false" customHeight="false" outlineLevel="1" collapsed="false">
      <c r="A4402" s="7" t="s">
        <v>474</v>
      </c>
      <c r="B4402" s="8" t="s">
        <v>59</v>
      </c>
      <c r="C4402" s="60" t="n">
        <f aca="false">Pressupostos!$C$68*Pressupostos!$C$69*C4396/90</f>
        <v>0.003</v>
      </c>
      <c r="D4402" s="60" t="n">
        <f aca="false">Pressupostos!$C$68*Pressupostos!$C$69*D4396/90</f>
        <v>0.003</v>
      </c>
      <c r="E4402" s="60" t="n">
        <f aca="false">Pressupostos!$C$68*Pressupostos!$C$69*E4396/90</f>
        <v>0.003</v>
      </c>
      <c r="F4402" s="60" t="n">
        <f aca="false">Pressupostos!$C$68*Pressupostos!$C$69*F4396/90</f>
        <v>0.003</v>
      </c>
      <c r="G4402" s="60" t="n">
        <f aca="false">Pressupostos!$C$68*Pressupostos!$C$69*G4396/90</f>
        <v>0.003</v>
      </c>
      <c r="H4402" s="2" t="s">
        <v>1156</v>
      </c>
    </row>
    <row r="4403" customFormat="false" ht="15" hidden="false" customHeight="false" outlineLevel="1" collapsed="false">
      <c r="A4403" s="7" t="s">
        <v>637</v>
      </c>
      <c r="B4403" s="8" t="s">
        <v>59</v>
      </c>
      <c r="C4403" s="60" t="n">
        <f aca="false">Pressupostos!$C$48/(Pressupostos!$C$46*1000)</f>
        <v>0.04</v>
      </c>
      <c r="D4403" s="60" t="n">
        <f aca="false">Pressupostos!$C$48/(Pressupostos!$C$46*1000)</f>
        <v>0.04</v>
      </c>
      <c r="E4403" s="60" t="n">
        <f aca="false">Pressupostos!$C$48/(Pressupostos!$C$46*1000)</f>
        <v>0.04</v>
      </c>
      <c r="F4403" s="60" t="n">
        <f aca="false">Pressupostos!$C$48/(Pressupostos!$C$46*1000)</f>
        <v>0.04</v>
      </c>
      <c r="G4403" s="60" t="n">
        <f aca="false">Pressupostos!$C$48/(Pressupostos!$C$46*1000)</f>
        <v>0.04</v>
      </c>
      <c r="H4403" s="2" t="s">
        <v>1157</v>
      </c>
    </row>
    <row r="4404" customFormat="false" ht="15" hidden="false" customHeight="false" outlineLevel="1" collapsed="false">
      <c r="A4404" s="7" t="s">
        <v>131</v>
      </c>
      <c r="B4404" s="8" t="s">
        <v>59</v>
      </c>
      <c r="C4404" s="63" t="n">
        <f aca="false">Pressupostos!$C$49</f>
        <v>0.005</v>
      </c>
      <c r="D4404" s="63" t="n">
        <f aca="false">Pressupostos!$C$49</f>
        <v>0.005</v>
      </c>
      <c r="E4404" s="63" t="n">
        <f aca="false">Pressupostos!$C$49</f>
        <v>0.005</v>
      </c>
      <c r="F4404" s="63" t="n">
        <f aca="false">Pressupostos!$C$49</f>
        <v>0.005</v>
      </c>
      <c r="G4404" s="63" t="n">
        <f aca="false">Pressupostos!$C$49</f>
        <v>0.005</v>
      </c>
      <c r="H4404" s="2" t="s">
        <v>1158</v>
      </c>
    </row>
    <row r="4405" customFormat="false" ht="15" hidden="false" customHeight="false" outlineLevel="1" collapsed="false">
      <c r="A4405" s="7" t="s">
        <v>76</v>
      </c>
      <c r="B4405" s="8" t="s">
        <v>59</v>
      </c>
      <c r="C4405" s="60" t="n">
        <f aca="false">Pressupostos!$F$25*C4392</f>
        <v>0.01335</v>
      </c>
      <c r="D4405" s="60" t="n">
        <f aca="false">Pressupostos!$F$25*D4392</f>
        <v>0.01335</v>
      </c>
      <c r="E4405" s="60" t="n">
        <f aca="false">Pressupostos!$F$25*E4392</f>
        <v>0.01335</v>
      </c>
      <c r="F4405" s="60" t="n">
        <f aca="false">Pressupostos!$F$25*F4392</f>
        <v>0.01335</v>
      </c>
      <c r="G4405" s="60" t="n">
        <f aca="false">Pressupostos!$F$25*G4392</f>
        <v>0.01335</v>
      </c>
      <c r="H4405" s="2" t="s">
        <v>1159</v>
      </c>
    </row>
    <row r="4406" customFormat="false" ht="15" hidden="false" customHeight="false" outlineLevel="1" collapsed="false">
      <c r="A4406" s="7" t="s">
        <v>638</v>
      </c>
      <c r="B4406" s="8" t="s">
        <v>59</v>
      </c>
      <c r="C4406" s="60" t="n">
        <f aca="false">Pressupostos!$C$71*C4392</f>
        <v>0</v>
      </c>
      <c r="D4406" s="60" t="n">
        <f aca="false">Pressupostos!$C$71*D4392</f>
        <v>0</v>
      </c>
      <c r="E4406" s="60" t="n">
        <f aca="false">Pressupostos!$C$71*E4392</f>
        <v>0</v>
      </c>
      <c r="F4406" s="60" t="n">
        <f aca="false">Pressupostos!$C$71*F4392</f>
        <v>0</v>
      </c>
      <c r="G4406" s="60" t="n">
        <f aca="false">Pressupostos!$C$71*G4392</f>
        <v>0</v>
      </c>
      <c r="H4406" s="2" t="s">
        <v>1160</v>
      </c>
    </row>
    <row r="4407" customFormat="false" ht="15" hidden="false" customHeight="false" outlineLevel="1" collapsed="false">
      <c r="A4407" s="7" t="s">
        <v>639</v>
      </c>
      <c r="B4407" s="8" t="s">
        <v>59</v>
      </c>
      <c r="C4407" s="60" t="n">
        <f aca="false">Pressupostos!$C$285*(C4390+C4393)*(C4396+C4397-Pressupostos!$C$70)/365*Pressupostos!$C$279/Pressupostos!$F$31</f>
        <v>0</v>
      </c>
      <c r="D4407" s="60" t="n">
        <f aca="false">Pressupostos!$D$285*(D4390+D4393)*(D4396+D4397-Pressupostos!$C$70)/365*Pressupostos!$D$279/Pressupostos!$F$31</f>
        <v>0.0549246575342466</v>
      </c>
      <c r="E4407" s="60" t="n">
        <f aca="false">Pressupostos!$E$285*(E4390+E4393)*(E4396+E4397-Pressupostos!$C$70)/365*Pressupostos!$E$279/Pressupostos!$F$31</f>
        <v>0.0514918664383562</v>
      </c>
      <c r="F4407" s="60" t="n">
        <f aca="false">Pressupostos!$F$285*(F4390+F4393)*(F4396+F4397-Pressupostos!$C$70)/365*Pressupostos!$F$279/Pressupostos!$F$31</f>
        <v>0.0480590753424658</v>
      </c>
      <c r="G4407" s="60" t="n">
        <f aca="false">Pressupostos!$G$285*(G4390+G4393)*(G4396+G4397-Pressupostos!$C$70)/365*Pressupostos!$G$279/Pressupostos!$F$31</f>
        <v>0.0480590753424658</v>
      </c>
      <c r="H4407" s="2" t="s">
        <v>1161</v>
      </c>
    </row>
    <row r="4408" customFormat="false" ht="15" hidden="false" customHeight="false" outlineLevel="1" collapsed="false">
      <c r="A4408" s="7" t="s">
        <v>640</v>
      </c>
      <c r="B4408" s="8" t="s">
        <v>59</v>
      </c>
      <c r="C4408" s="60" t="n">
        <f aca="false">C4390+C4393+C4394+C4395+C4398+C4399+C4400+C4401+C4402+C4403+C4404+C4405+C4406+C4407</f>
        <v>4.25394178082192</v>
      </c>
      <c r="D4408" s="60" t="n">
        <f aca="false">D4390+D4393+D4394+D4395+D4398+D4399+D4400+D4401+D4402+D4403+D4404+D4405+D4406+D4407</f>
        <v>4.30886643835616</v>
      </c>
      <c r="E4408" s="60" t="n">
        <f aca="false">E4390+E4393+E4394+E4395+E4398+E4399+E4400+E4401+E4402+E4403+E4404+E4405+E4406+E4407</f>
        <v>4.29543364726027</v>
      </c>
      <c r="F4408" s="60" t="n">
        <f aca="false">F4390+F4393+F4394+F4395+F4398+F4399+F4400+F4401+F4402+F4403+F4404+F4405+F4406+F4407</f>
        <v>4.29200085616438</v>
      </c>
      <c r="G4408" s="60" t="n">
        <f aca="false">G4390+G4393+G4394+G4395+G4398+G4399+G4400+G4401+G4402+G4403+G4404+G4405+G4406+G4407</f>
        <v>4.29200085616438</v>
      </c>
      <c r="H4408" s="2" t="s">
        <v>1162</v>
      </c>
    </row>
    <row r="4409" customFormat="false" ht="15" hidden="false" customHeight="false" outlineLevel="1" collapsed="false">
      <c r="A4409" s="52" t="s">
        <v>641</v>
      </c>
      <c r="B4409" s="53" t="s">
        <v>59</v>
      </c>
      <c r="C4409" s="64" t="n">
        <f aca="false">C4392-C4408</f>
        <v>0.196058219178083</v>
      </c>
      <c r="D4409" s="64" t="n">
        <f aca="false">D4392-D4408</f>
        <v>0.141133561643836</v>
      </c>
      <c r="E4409" s="64" t="n">
        <f aca="false">E4392-E4408</f>
        <v>0.154566352739726</v>
      </c>
      <c r="F4409" s="64" t="n">
        <f aca="false">F4392-F4408</f>
        <v>0.157999143835617</v>
      </c>
      <c r="G4409" s="64" t="n">
        <f aca="false">G4392-G4408</f>
        <v>0.157999143835617</v>
      </c>
      <c r="H4409" s="2" t="s">
        <v>1163</v>
      </c>
    </row>
    <row r="4410" customFormat="false" ht="15" hidden="false" customHeight="false" outlineLevel="1" collapsed="false">
      <c r="A4410" s="7" t="s">
        <v>642</v>
      </c>
      <c r="B4410" s="8" t="s">
        <v>71</v>
      </c>
      <c r="C4410" s="55" t="n">
        <f aca="false">IF(C4392&gt;0,C4409/C4392,0)</f>
        <v>0.0440580267815916</v>
      </c>
      <c r="D4410" s="55" t="n">
        <f aca="false">IF(D4392&gt;0,D4409/D4392,0)</f>
        <v>0.0317154071109745</v>
      </c>
      <c r="E4410" s="55" t="n">
        <f aca="false">IF(E4392&gt;0,E4409/E4392,0)</f>
        <v>0.0347340118516239</v>
      </c>
      <c r="F4410" s="55" t="n">
        <f aca="false">IF(F4392&gt;0,F4409/F4392,0)</f>
        <v>0.0355054255810374</v>
      </c>
      <c r="G4410" s="55" t="n">
        <f aca="false">IF(G4392&gt;0,G4409/G4392,0)</f>
        <v>0.0355054255810374</v>
      </c>
      <c r="H4410" s="2" t="s">
        <v>1164</v>
      </c>
    </row>
    <row r="4411" customFormat="false" ht="15" hidden="false" customHeight="false" outlineLevel="1" collapsed="false">
      <c r="A4411" s="7" t="s">
        <v>643</v>
      </c>
      <c r="B4411" s="8" t="s">
        <v>59</v>
      </c>
      <c r="C4411" s="60" t="n">
        <f aca="false">(C4390+C4393)*(C4396-Pressupostos!$C$70)/365+C4392*C4397/365</f>
        <v>0.670547945205479</v>
      </c>
      <c r="D4411" s="60" t="n">
        <f aca="false">(D4390+D4393)*(D4396-Pressupostos!$C$70)/365+D4392*D4397/365</f>
        <v>0.670547945205479</v>
      </c>
      <c r="E4411" s="60" t="n">
        <f aca="false">(E4390+E4393)*(E4396-Pressupostos!$C$70)/365+E4392*E4397/365</f>
        <v>0.670547945205479</v>
      </c>
      <c r="F4411" s="60" t="n">
        <f aca="false">(F4390+F4393)*(F4396-Pressupostos!$C$70)/365+F4392*F4397/365</f>
        <v>0.670547945205479</v>
      </c>
      <c r="G4411" s="60" t="n">
        <f aca="false">(G4390+G4393)*(G4396-Pressupostos!$C$70)/365+G4392*G4397/365</f>
        <v>0.670547945205479</v>
      </c>
      <c r="H4411" s="2" t="s">
        <v>1165</v>
      </c>
    </row>
    <row r="4412" customFormat="false" ht="15" hidden="false" customHeight="false" outlineLevel="0" collapsed="false">
      <c r="A4412" s="3" t="s">
        <v>1166</v>
      </c>
      <c r="B4412" s="4"/>
      <c r="C4412" s="4"/>
      <c r="D4412" s="4"/>
      <c r="E4412" s="4"/>
      <c r="F4412" s="4"/>
      <c r="G4412" s="4"/>
      <c r="H4412" s="4"/>
    </row>
    <row r="4413" customFormat="false" ht="15" hidden="false" customHeight="false" outlineLevel="1" collapsed="false">
      <c r="A4413" s="7" t="s">
        <v>633</v>
      </c>
      <c r="B4413" s="8" t="s">
        <v>59</v>
      </c>
      <c r="C4413" s="60" t="n">
        <f aca="false">Pressupostos!$F$10+Pressupostos!$F$13</f>
        <v>3.5</v>
      </c>
      <c r="D4413" s="60" t="n">
        <f aca="false">Pressupostos!$F$10+Pressupostos!$F$13</f>
        <v>3.5</v>
      </c>
      <c r="E4413" s="60" t="n">
        <f aca="false">Pressupostos!$F$10+Pressupostos!$F$13</f>
        <v>3.5</v>
      </c>
      <c r="F4413" s="60" t="n">
        <f aca="false">Pressupostos!$F$10+Pressupostos!$F$13</f>
        <v>3.5</v>
      </c>
      <c r="G4413" s="60" t="n">
        <f aca="false">Pressupostos!$F$10+Pressupostos!$F$13</f>
        <v>3.5</v>
      </c>
      <c r="H4413" s="2" t="s">
        <v>1167</v>
      </c>
    </row>
    <row r="4414" customFormat="false" ht="15" hidden="false" customHeight="false" outlineLevel="1" collapsed="false">
      <c r="A4414" s="7" t="s">
        <v>634</v>
      </c>
      <c r="B4414" s="8" t="s">
        <v>59</v>
      </c>
      <c r="C4414" s="60" t="n">
        <f aca="false">Pressupostos!$F$10+Pressupostos!$C$51</f>
        <v>3.65</v>
      </c>
      <c r="D4414" s="60" t="n">
        <f aca="false">Pressupostos!$F$10+Pressupostos!$C$51</f>
        <v>3.65</v>
      </c>
      <c r="E4414" s="60" t="n">
        <f aca="false">Pressupostos!$F$10+Pressupostos!$C$51</f>
        <v>3.65</v>
      </c>
      <c r="F4414" s="60" t="n">
        <f aca="false">Pressupostos!$F$10+Pressupostos!$C$51</f>
        <v>3.65</v>
      </c>
      <c r="G4414" s="60" t="n">
        <f aca="false">Pressupostos!$F$10+Pressupostos!$C$51</f>
        <v>3.65</v>
      </c>
      <c r="H4414" s="2" t="s">
        <v>1168</v>
      </c>
    </row>
    <row r="4415" customFormat="false" ht="15" hidden="false" customHeight="false" outlineLevel="1" collapsed="false">
      <c r="A4415" s="52" t="s">
        <v>635</v>
      </c>
      <c r="B4415" s="53" t="s">
        <v>59</v>
      </c>
      <c r="C4415" s="64" t="n">
        <f aca="false">C4414*(1-Pressupostos!$C$52)</f>
        <v>3.65</v>
      </c>
      <c r="D4415" s="64" t="n">
        <f aca="false">D4414*(1-Pressupostos!$C$52)</f>
        <v>3.65</v>
      </c>
      <c r="E4415" s="64" t="n">
        <f aca="false">E4414*(1-Pressupostos!$C$52)</f>
        <v>3.65</v>
      </c>
      <c r="F4415" s="64" t="n">
        <f aca="false">F4414*(1-Pressupostos!$C$52)</f>
        <v>3.65</v>
      </c>
      <c r="G4415" s="64" t="n">
        <f aca="false">G4414*(1-Pressupostos!$C$52)</f>
        <v>3.65</v>
      </c>
      <c r="H4415" s="2" t="s">
        <v>1169</v>
      </c>
    </row>
    <row r="4416" customFormat="false" ht="15" hidden="false" customHeight="false" outlineLevel="1" collapsed="false">
      <c r="A4416" s="7" t="s">
        <v>136</v>
      </c>
      <c r="B4416" s="8" t="s">
        <v>59</v>
      </c>
      <c r="C4416" s="63" t="n">
        <f aca="false">Pressupostos!$C$53</f>
        <v>0</v>
      </c>
      <c r="D4416" s="63" t="n">
        <f aca="false">Pressupostos!$C$53</f>
        <v>0</v>
      </c>
      <c r="E4416" s="63" t="n">
        <f aca="false">Pressupostos!$C$53</f>
        <v>0</v>
      </c>
      <c r="F4416" s="63" t="n">
        <f aca="false">Pressupostos!$C$53</f>
        <v>0</v>
      </c>
      <c r="G4416" s="63" t="n">
        <f aca="false">Pressupostos!$C$53</f>
        <v>0</v>
      </c>
      <c r="H4416" s="2" t="s">
        <v>1170</v>
      </c>
    </row>
    <row r="4417" customFormat="false" ht="15" hidden="false" customHeight="false" outlineLevel="1" collapsed="false">
      <c r="A4417" s="7" t="s">
        <v>205</v>
      </c>
      <c r="B4417" s="8" t="s">
        <v>59</v>
      </c>
      <c r="C4417" s="63" t="n">
        <f aca="false">Pressupostos!$C$54</f>
        <v>0.04</v>
      </c>
      <c r="D4417" s="63" t="n">
        <f aca="false">Pressupostos!$C$54</f>
        <v>0.04</v>
      </c>
      <c r="E4417" s="63" t="n">
        <f aca="false">Pressupostos!$C$54</f>
        <v>0.04</v>
      </c>
      <c r="F4417" s="63" t="n">
        <f aca="false">Pressupostos!$C$54</f>
        <v>0.04</v>
      </c>
      <c r="G4417" s="63" t="n">
        <f aca="false">Pressupostos!$C$54</f>
        <v>0.04</v>
      </c>
      <c r="H4417" s="2" t="s">
        <v>1171</v>
      </c>
    </row>
    <row r="4418" customFormat="false" ht="15" hidden="false" customHeight="false" outlineLevel="1" collapsed="false">
      <c r="A4418" s="7" t="s">
        <v>109</v>
      </c>
      <c r="B4418" s="8" t="s">
        <v>59</v>
      </c>
      <c r="C4418" s="63" t="n">
        <f aca="false">Pressupostos!$C$55</f>
        <v>0</v>
      </c>
      <c r="D4418" s="63" t="n">
        <f aca="false">Pressupostos!$C$55</f>
        <v>0</v>
      </c>
      <c r="E4418" s="63" t="n">
        <f aca="false">Pressupostos!$C$55</f>
        <v>0</v>
      </c>
      <c r="F4418" s="63" t="n">
        <f aca="false">Pressupostos!$C$55</f>
        <v>0</v>
      </c>
      <c r="G4418" s="63" t="n">
        <f aca="false">Pressupostos!$C$55</f>
        <v>0</v>
      </c>
      <c r="H4418" s="2" t="s">
        <v>1172</v>
      </c>
    </row>
    <row r="4419" customFormat="false" ht="15" hidden="false" customHeight="false" outlineLevel="1" collapsed="false">
      <c r="A4419" s="7" t="s">
        <v>86</v>
      </c>
      <c r="B4419" s="8" t="s">
        <v>74</v>
      </c>
      <c r="C4419" s="65" t="n">
        <f aca="false">Pressupostos!$C$56</f>
        <v>15</v>
      </c>
      <c r="D4419" s="65" t="n">
        <f aca="false">Pressupostos!$C$56</f>
        <v>15</v>
      </c>
      <c r="E4419" s="65" t="n">
        <f aca="false">Pressupostos!$C$56</f>
        <v>15</v>
      </c>
      <c r="F4419" s="65" t="n">
        <f aca="false">Pressupostos!$C$56</f>
        <v>15</v>
      </c>
      <c r="G4419" s="65" t="n">
        <f aca="false">Pressupostos!$C$56</f>
        <v>15</v>
      </c>
      <c r="H4419" s="2" t="s">
        <v>1173</v>
      </c>
    </row>
    <row r="4420" customFormat="false" ht="15" hidden="false" customHeight="false" outlineLevel="1" collapsed="false">
      <c r="A4420" s="7" t="s">
        <v>73</v>
      </c>
      <c r="B4420" s="8" t="s">
        <v>74</v>
      </c>
      <c r="C4420" s="65" t="n">
        <f aca="false">Pressupostos!$C$57</f>
        <v>45</v>
      </c>
      <c r="D4420" s="65" t="n">
        <f aca="false">Pressupostos!$C$57</f>
        <v>45</v>
      </c>
      <c r="E4420" s="65" t="n">
        <f aca="false">Pressupostos!$C$57</f>
        <v>45</v>
      </c>
      <c r="F4420" s="65" t="n">
        <f aca="false">Pressupostos!$C$57</f>
        <v>45</v>
      </c>
      <c r="G4420" s="65" t="n">
        <f aca="false">Pressupostos!$C$57</f>
        <v>45</v>
      </c>
      <c r="H4420" s="2" t="s">
        <v>1174</v>
      </c>
    </row>
    <row r="4421" customFormat="false" ht="15" hidden="false" customHeight="false" outlineLevel="1" collapsed="false">
      <c r="A4421" s="7" t="s">
        <v>471</v>
      </c>
      <c r="B4421" s="8" t="s">
        <v>59</v>
      </c>
      <c r="C4421" s="60" t="n">
        <f aca="false">Pressupostos!$C$64*C4419/30/1000</f>
        <v>0.002</v>
      </c>
      <c r="D4421" s="60" t="n">
        <f aca="false">Pressupostos!$C$64*D4419/30/1000</f>
        <v>0.002</v>
      </c>
      <c r="E4421" s="60" t="n">
        <f aca="false">Pressupostos!$C$64*E4419/30/1000</f>
        <v>0.002</v>
      </c>
      <c r="F4421" s="60" t="n">
        <f aca="false">Pressupostos!$C$64*F4419/30/1000</f>
        <v>0.002</v>
      </c>
      <c r="G4421" s="60" t="n">
        <f aca="false">Pressupostos!$C$64*G4419/30/1000</f>
        <v>0.002</v>
      </c>
      <c r="H4421" s="2" t="s">
        <v>1175</v>
      </c>
    </row>
    <row r="4422" customFormat="false" ht="15" hidden="false" customHeight="false" outlineLevel="1" collapsed="false">
      <c r="A4422" s="7" t="s">
        <v>154</v>
      </c>
      <c r="B4422" s="8" t="s">
        <v>59</v>
      </c>
      <c r="C4422" s="60" t="n">
        <f aca="false">C4413*Pressupostos!$C$65*C4419/365</f>
        <v>0.000287671232876712</v>
      </c>
      <c r="D4422" s="60" t="n">
        <f aca="false">D4413*Pressupostos!$C$65*D4419/365</f>
        <v>0.000287671232876712</v>
      </c>
      <c r="E4422" s="60" t="n">
        <f aca="false">E4413*Pressupostos!$C$65*E4419/365</f>
        <v>0.000287671232876712</v>
      </c>
      <c r="F4422" s="60" t="n">
        <f aca="false">F4413*Pressupostos!$C$65*F4419/365</f>
        <v>0.000287671232876712</v>
      </c>
      <c r="G4422" s="60" t="n">
        <f aca="false">G4413*Pressupostos!$C$65*G4419/365</f>
        <v>0.000287671232876712</v>
      </c>
      <c r="H4422" s="2" t="s">
        <v>1176</v>
      </c>
    </row>
    <row r="4423" customFormat="false" ht="15" hidden="false" customHeight="false" outlineLevel="1" collapsed="false">
      <c r="A4423" s="7" t="s">
        <v>636</v>
      </c>
      <c r="B4423" s="8" t="s">
        <v>59</v>
      </c>
      <c r="C4423" s="60" t="n">
        <f aca="false">Pressupostos!$C$59*Pressupostos!$C$66/(Pressupostos!$C$58*1000)</f>
        <v>0.006</v>
      </c>
      <c r="D4423" s="60" t="n">
        <f aca="false">Pressupostos!$C$59*Pressupostos!$C$66/(Pressupostos!$C$58*1000)</f>
        <v>0.006</v>
      </c>
      <c r="E4423" s="60" t="n">
        <f aca="false">Pressupostos!$C$59*Pressupostos!$C$66/(Pressupostos!$C$58*1000)</f>
        <v>0.006</v>
      </c>
      <c r="F4423" s="60" t="n">
        <f aca="false">Pressupostos!$C$59*Pressupostos!$C$66/(Pressupostos!$C$58*1000)</f>
        <v>0.006</v>
      </c>
      <c r="G4423" s="60" t="n">
        <f aca="false">Pressupostos!$C$59*Pressupostos!$C$66/(Pressupostos!$C$58*1000)</f>
        <v>0.006</v>
      </c>
      <c r="H4423" s="2" t="s">
        <v>1177</v>
      </c>
    </row>
    <row r="4424" customFormat="false" ht="15" hidden="false" customHeight="false" outlineLevel="1" collapsed="false">
      <c r="A4424" s="7" t="s">
        <v>473</v>
      </c>
      <c r="B4424" s="8" t="s">
        <v>59</v>
      </c>
      <c r="C4424" s="60" t="n">
        <f aca="false">Pressupostos!$C$67*C4413</f>
        <v>0.0175</v>
      </c>
      <c r="D4424" s="60" t="n">
        <f aca="false">Pressupostos!$C$67*D4413</f>
        <v>0.0175</v>
      </c>
      <c r="E4424" s="60" t="n">
        <f aca="false">Pressupostos!$C$67*E4413</f>
        <v>0.0175</v>
      </c>
      <c r="F4424" s="60" t="n">
        <f aca="false">Pressupostos!$C$67*F4413</f>
        <v>0.0175</v>
      </c>
      <c r="G4424" s="60" t="n">
        <f aca="false">Pressupostos!$C$67*G4413</f>
        <v>0.0175</v>
      </c>
      <c r="H4424" s="2" t="s">
        <v>1178</v>
      </c>
    </row>
    <row r="4425" customFormat="false" ht="15" hidden="false" customHeight="false" outlineLevel="1" collapsed="false">
      <c r="A4425" s="7" t="s">
        <v>474</v>
      </c>
      <c r="B4425" s="8" t="s">
        <v>59</v>
      </c>
      <c r="C4425" s="60" t="n">
        <f aca="false">Pressupostos!$C$68*Pressupostos!$C$69*C4419/90</f>
        <v>0.0015</v>
      </c>
      <c r="D4425" s="60" t="n">
        <f aca="false">Pressupostos!$C$68*Pressupostos!$C$69*D4419/90</f>
        <v>0.0015</v>
      </c>
      <c r="E4425" s="60" t="n">
        <f aca="false">Pressupostos!$C$68*Pressupostos!$C$69*E4419/90</f>
        <v>0.0015</v>
      </c>
      <c r="F4425" s="60" t="n">
        <f aca="false">Pressupostos!$C$68*Pressupostos!$C$69*F4419/90</f>
        <v>0.0015</v>
      </c>
      <c r="G4425" s="60" t="n">
        <f aca="false">Pressupostos!$C$68*Pressupostos!$C$69*G4419/90</f>
        <v>0.0015</v>
      </c>
      <c r="H4425" s="2" t="s">
        <v>1179</v>
      </c>
    </row>
    <row r="4426" customFormat="false" ht="15" hidden="false" customHeight="false" outlineLevel="1" collapsed="false">
      <c r="A4426" s="7" t="s">
        <v>637</v>
      </c>
      <c r="B4426" s="8" t="s">
        <v>59</v>
      </c>
      <c r="C4426" s="60" t="n">
        <f aca="false">Pressupostos!$C$60/(Pressupostos!$C$58*1000)</f>
        <v>0.012</v>
      </c>
      <c r="D4426" s="60" t="n">
        <f aca="false">Pressupostos!$C$60/(Pressupostos!$C$58*1000)</f>
        <v>0.012</v>
      </c>
      <c r="E4426" s="60" t="n">
        <f aca="false">Pressupostos!$C$60/(Pressupostos!$C$58*1000)</f>
        <v>0.012</v>
      </c>
      <c r="F4426" s="60" t="n">
        <f aca="false">Pressupostos!$C$60/(Pressupostos!$C$58*1000)</f>
        <v>0.012</v>
      </c>
      <c r="G4426" s="60" t="n">
        <f aca="false">Pressupostos!$C$60/(Pressupostos!$C$58*1000)</f>
        <v>0.012</v>
      </c>
      <c r="H4426" s="2" t="s">
        <v>1180</v>
      </c>
    </row>
    <row r="4427" customFormat="false" ht="15" hidden="false" customHeight="false" outlineLevel="1" collapsed="false">
      <c r="A4427" s="7" t="s">
        <v>131</v>
      </c>
      <c r="B4427" s="8" t="s">
        <v>59</v>
      </c>
      <c r="C4427" s="63" t="n">
        <f aca="false">Pressupostos!$C$61</f>
        <v>0.001</v>
      </c>
      <c r="D4427" s="63" t="n">
        <f aca="false">Pressupostos!$C$61</f>
        <v>0.001</v>
      </c>
      <c r="E4427" s="63" t="n">
        <f aca="false">Pressupostos!$C$61</f>
        <v>0.001</v>
      </c>
      <c r="F4427" s="63" t="n">
        <f aca="false">Pressupostos!$C$61</f>
        <v>0.001</v>
      </c>
      <c r="G4427" s="63" t="n">
        <f aca="false">Pressupostos!$C$61</f>
        <v>0.001</v>
      </c>
      <c r="H4427" s="2" t="s">
        <v>1181</v>
      </c>
    </row>
    <row r="4428" customFormat="false" ht="15" hidden="false" customHeight="false" outlineLevel="1" collapsed="false">
      <c r="A4428" s="7" t="s">
        <v>76</v>
      </c>
      <c r="B4428" s="8" t="s">
        <v>59</v>
      </c>
      <c r="C4428" s="60" t="n">
        <f aca="false">Pressupostos!$C$62*C4415</f>
        <v>0.01095</v>
      </c>
      <c r="D4428" s="60" t="n">
        <f aca="false">Pressupostos!$C$62*D4415</f>
        <v>0.01095</v>
      </c>
      <c r="E4428" s="60" t="n">
        <f aca="false">Pressupostos!$C$62*E4415</f>
        <v>0.01095</v>
      </c>
      <c r="F4428" s="60" t="n">
        <f aca="false">Pressupostos!$C$62*F4415</f>
        <v>0.01095</v>
      </c>
      <c r="G4428" s="60" t="n">
        <f aca="false">Pressupostos!$C$62*G4415</f>
        <v>0.01095</v>
      </c>
      <c r="H4428" s="2" t="s">
        <v>1182</v>
      </c>
    </row>
    <row r="4429" customFormat="false" ht="15" hidden="false" customHeight="false" outlineLevel="1" collapsed="false">
      <c r="A4429" s="7" t="s">
        <v>638</v>
      </c>
      <c r="B4429" s="8" t="s">
        <v>59</v>
      </c>
      <c r="C4429" s="60" t="n">
        <f aca="false">Pressupostos!$C$71*C4415</f>
        <v>0</v>
      </c>
      <c r="D4429" s="60" t="n">
        <f aca="false">Pressupostos!$C$71*D4415</f>
        <v>0</v>
      </c>
      <c r="E4429" s="60" t="n">
        <f aca="false">Pressupostos!$C$71*E4415</f>
        <v>0</v>
      </c>
      <c r="F4429" s="60" t="n">
        <f aca="false">Pressupostos!$C$71*F4415</f>
        <v>0</v>
      </c>
      <c r="G4429" s="60" t="n">
        <f aca="false">Pressupostos!$C$71*G4415</f>
        <v>0</v>
      </c>
      <c r="H4429" s="2" t="s">
        <v>1183</v>
      </c>
    </row>
    <row r="4430" customFormat="false" ht="15" hidden="false" customHeight="false" outlineLevel="1" collapsed="false">
      <c r="A4430" s="7" t="s">
        <v>639</v>
      </c>
      <c r="B4430" s="8" t="s">
        <v>59</v>
      </c>
      <c r="C4430" s="60" t="n">
        <f aca="false">Pressupostos!$C$285*(C4413+C4416)*(C4419+C4420-Pressupostos!$C$70)/365*Pressupostos!$C$279/Pressupostos!$F$31</f>
        <v>0</v>
      </c>
      <c r="D4430" s="60" t="n">
        <f aca="false">Pressupostos!$D$285*(D4413+D4416)*(D4419+D4420-Pressupostos!$C$70)/365*Pressupostos!$D$279/Pressupostos!$F$31</f>
        <v>0.0258904109589041</v>
      </c>
      <c r="E4430" s="60" t="n">
        <f aca="false">Pressupostos!$E$285*(E4413+E4416)*(E4419+E4420-Pressupostos!$C$70)/365*Pressupostos!$E$279/Pressupostos!$F$31</f>
        <v>0.0242722602739726</v>
      </c>
      <c r="F4430" s="60" t="n">
        <f aca="false">Pressupostos!$F$285*(F4413+F4416)*(F4419+F4420-Pressupostos!$C$70)/365*Pressupostos!$F$279/Pressupostos!$F$31</f>
        <v>0.0226541095890411</v>
      </c>
      <c r="G4430" s="60" t="n">
        <f aca="false">Pressupostos!$G$285*(G4413+G4416)*(G4419+G4420-Pressupostos!$C$70)/365*Pressupostos!$G$279/Pressupostos!$F$31</f>
        <v>0.0226541095890411</v>
      </c>
      <c r="H4430" s="2" t="s">
        <v>1184</v>
      </c>
    </row>
    <row r="4431" customFormat="false" ht="15" hidden="false" customHeight="false" outlineLevel="1" collapsed="false">
      <c r="A4431" s="7" t="s">
        <v>640</v>
      </c>
      <c r="B4431" s="8" t="s">
        <v>59</v>
      </c>
      <c r="C4431" s="60" t="n">
        <f aca="false">C4413+C4416+C4417+C4418+C4421+C4422+C4423+C4424+C4425+C4426+C4427+C4428+C4429+C4430</f>
        <v>3.59123767123288</v>
      </c>
      <c r="D4431" s="60" t="n">
        <f aca="false">D4413+D4416+D4417+D4418+D4421+D4422+D4423+D4424+D4425+D4426+D4427+D4428+D4429+D4430</f>
        <v>3.61712808219178</v>
      </c>
      <c r="E4431" s="60" t="n">
        <f aca="false">E4413+E4416+E4417+E4418+E4421+E4422+E4423+E4424+E4425+E4426+E4427+E4428+E4429+E4430</f>
        <v>3.61550993150685</v>
      </c>
      <c r="F4431" s="60" t="n">
        <f aca="false">F4413+F4416+F4417+F4418+F4421+F4422+F4423+F4424+F4425+F4426+F4427+F4428+F4429+F4430</f>
        <v>3.61389178082192</v>
      </c>
      <c r="G4431" s="60" t="n">
        <f aca="false">G4413+G4416+G4417+G4418+G4421+G4422+G4423+G4424+G4425+G4426+G4427+G4428+G4429+G4430</f>
        <v>3.61389178082192</v>
      </c>
      <c r="H4431" s="2" t="s">
        <v>1185</v>
      </c>
    </row>
    <row r="4432" customFormat="false" ht="15" hidden="false" customHeight="false" outlineLevel="1" collapsed="false">
      <c r="A4432" s="52" t="s">
        <v>641</v>
      </c>
      <c r="B4432" s="53" t="s">
        <v>59</v>
      </c>
      <c r="C4432" s="64" t="n">
        <f aca="false">C4415-C4431</f>
        <v>0.058762328767124</v>
      </c>
      <c r="D4432" s="64" t="n">
        <f aca="false">D4415-D4431</f>
        <v>0.0328719178082197</v>
      </c>
      <c r="E4432" s="64" t="n">
        <f aca="false">E4415-E4431</f>
        <v>0.0344900684931515</v>
      </c>
      <c r="F4432" s="64" t="n">
        <f aca="false">F4415-F4431</f>
        <v>0.0361082191780828</v>
      </c>
      <c r="G4432" s="64" t="n">
        <f aca="false">G4415-G4431</f>
        <v>0.0361082191780828</v>
      </c>
      <c r="H4432" s="2" t="s">
        <v>1186</v>
      </c>
    </row>
    <row r="4433" customFormat="false" ht="15" hidden="false" customHeight="false" outlineLevel="1" collapsed="false">
      <c r="A4433" s="7" t="s">
        <v>642</v>
      </c>
      <c r="B4433" s="8" t="s">
        <v>71</v>
      </c>
      <c r="C4433" s="55" t="n">
        <f aca="false">IF(C4415&gt;0,C4432/C4415,0)</f>
        <v>0.0160992681553764</v>
      </c>
      <c r="D4433" s="55" t="n">
        <f aca="false">IF(D4415&gt;0,D4432/D4415,0)</f>
        <v>0.00900600487896431</v>
      </c>
      <c r="E4433" s="55" t="n">
        <f aca="false">IF(E4415&gt;0,E4432/E4415,0)</f>
        <v>0.00944933383374014</v>
      </c>
      <c r="F4433" s="55" t="n">
        <f aca="false">IF(F4415&gt;0,F4432/F4415,0)</f>
        <v>0.00989266278851584</v>
      </c>
      <c r="G4433" s="55" t="n">
        <f aca="false">IF(G4415&gt;0,G4432/G4415,0)</f>
        <v>0.00989266278851584</v>
      </c>
      <c r="H4433" s="2" t="s">
        <v>1187</v>
      </c>
    </row>
    <row r="4434" customFormat="false" ht="15" hidden="false" customHeight="false" outlineLevel="1" collapsed="false">
      <c r="A4434" s="7" t="s">
        <v>643</v>
      </c>
      <c r="B4434" s="8" t="s">
        <v>59</v>
      </c>
      <c r="C4434" s="60" t="n">
        <f aca="false">(C4413+C4416)*(C4419-Pressupostos!$C$70)/365+C4415*C4420/365</f>
        <v>0.306164383561644</v>
      </c>
      <c r="D4434" s="60" t="n">
        <f aca="false">(D4413+D4416)*(D4419-Pressupostos!$C$70)/365+D4415*D4420/365</f>
        <v>0.306164383561644</v>
      </c>
      <c r="E4434" s="60" t="n">
        <f aca="false">(E4413+E4416)*(E4419-Pressupostos!$C$70)/365+E4415*E4420/365</f>
        <v>0.306164383561644</v>
      </c>
      <c r="F4434" s="60" t="n">
        <f aca="false">(F4413+F4416)*(F4419-Pressupostos!$C$70)/365+F4415*F4420/365</f>
        <v>0.306164383561644</v>
      </c>
      <c r="G4434" s="60" t="n">
        <f aca="false">(G4413+G4416)*(G4419-Pressupostos!$C$70)/365+G4415*G4420/365</f>
        <v>0.306164383561644</v>
      </c>
      <c r="H4434" s="2" t="s">
        <v>1188</v>
      </c>
    </row>
    <row r="4435" customFormat="false" ht="15" hidden="false" customHeight="false" outlineLevel="0" collapsed="false">
      <c r="A4435" s="3" t="s">
        <v>1189</v>
      </c>
      <c r="B4435" s="4"/>
      <c r="C4435" s="4"/>
      <c r="D4435" s="4"/>
      <c r="E4435" s="4"/>
      <c r="F4435" s="4"/>
      <c r="G4435" s="4"/>
      <c r="H4435" s="4"/>
    </row>
    <row r="4436" customFormat="false" ht="15" hidden="false" customHeight="false" outlineLevel="1" collapsed="false">
      <c r="A4436" s="7" t="s">
        <v>575</v>
      </c>
      <c r="B4436" s="8" t="s">
        <v>10</v>
      </c>
      <c r="C4436" s="58" t="n">
        <f aca="false">C4351*1000*C4369</f>
        <v>30996</v>
      </c>
      <c r="D4436" s="58" t="n">
        <f aca="false">D4351*1000*D4369</f>
        <v>116235</v>
      </c>
      <c r="E4436" s="58" t="n">
        <f aca="false">E4351*1000*E4369</f>
        <v>309960</v>
      </c>
      <c r="F4436" s="58" t="n">
        <f aca="false">F4351*1000*F4369</f>
        <v>542430</v>
      </c>
      <c r="G4436" s="58" t="n">
        <f aca="false">G4351*1000*G4369</f>
        <v>774900</v>
      </c>
      <c r="H4436" s="2" t="s">
        <v>1190</v>
      </c>
    </row>
    <row r="4437" customFormat="false" ht="15" hidden="false" customHeight="false" outlineLevel="1" collapsed="false">
      <c r="A4437" s="7" t="s">
        <v>576</v>
      </c>
      <c r="B4437" s="8" t="s">
        <v>10</v>
      </c>
      <c r="C4437" s="58" t="n">
        <f aca="false">C4352*1000*C4392</f>
        <v>161980</v>
      </c>
      <c r="D4437" s="58" t="n">
        <f aca="false">D4352*1000*D4392</f>
        <v>1130745</v>
      </c>
      <c r="E4437" s="58" t="n">
        <f aca="false">E4352*1000*E4392</f>
        <v>2233455</v>
      </c>
      <c r="F4437" s="58" t="n">
        <f aca="false">F4352*1000*F4392</f>
        <v>3685045</v>
      </c>
      <c r="G4437" s="58" t="n">
        <f aca="false">G4352*1000*G4392</f>
        <v>5575850</v>
      </c>
      <c r="H4437" s="2" t="s">
        <v>1191</v>
      </c>
    </row>
    <row r="4438" customFormat="false" ht="15" hidden="false" customHeight="false" outlineLevel="1" collapsed="false">
      <c r="A4438" s="7" t="s">
        <v>577</v>
      </c>
      <c r="B4438" s="8" t="s">
        <v>10</v>
      </c>
      <c r="C4438" s="58" t="n">
        <f aca="false">C4353*1000*C4415</f>
        <v>0</v>
      </c>
      <c r="D4438" s="58" t="n">
        <f aca="false">D4353*1000*D4415</f>
        <v>1277500</v>
      </c>
      <c r="E4438" s="58" t="n">
        <f aca="false">E4353*1000*E4415</f>
        <v>3832500</v>
      </c>
      <c r="F4438" s="58" t="n">
        <f aca="false">F4353*1000*F4415</f>
        <v>6387500</v>
      </c>
      <c r="G4438" s="58" t="n">
        <f aca="false">G4353*1000*G4415</f>
        <v>8942500</v>
      </c>
      <c r="H4438" s="2" t="s">
        <v>1192</v>
      </c>
    </row>
    <row r="4439" customFormat="false" ht="15" hidden="false" customHeight="false" outlineLevel="1" collapsed="false">
      <c r="A4439" s="7" t="s">
        <v>578</v>
      </c>
      <c r="B4439" s="8" t="s">
        <v>10</v>
      </c>
      <c r="C4439" s="58" t="n">
        <f aca="false">C4436+C4437+C4438</f>
        <v>192976</v>
      </c>
      <c r="D4439" s="58" t="n">
        <f aca="false">D4436+D4437+D4438</f>
        <v>2524480</v>
      </c>
      <c r="E4439" s="58" t="n">
        <f aca="false">E4436+E4437+E4438</f>
        <v>6375915</v>
      </c>
      <c r="F4439" s="58" t="n">
        <f aca="false">F4436+F4437+F4438</f>
        <v>10614975</v>
      </c>
      <c r="G4439" s="58" t="n">
        <f aca="false">G4436+G4437+G4438</f>
        <v>15293250</v>
      </c>
      <c r="H4439" s="2" t="s">
        <v>1193</v>
      </c>
    </row>
    <row r="4440" customFormat="false" ht="15" hidden="false" customHeight="false" outlineLevel="1" collapsed="false">
      <c r="A4440" s="7" t="s">
        <v>579</v>
      </c>
      <c r="B4440" s="8" t="s">
        <v>10</v>
      </c>
      <c r="C4440" s="58" t="n">
        <f aca="false">C4362*1000*Pressupostos!$C$91</f>
        <v>0</v>
      </c>
      <c r="D4440" s="58" t="n">
        <f aca="false">D4362*1000*Pressupostos!$C$91</f>
        <v>0</v>
      </c>
      <c r="E4440" s="58" t="n">
        <f aca="false">E4362*1000*Pressupostos!$C$91</f>
        <v>0</v>
      </c>
      <c r="F4440" s="58" t="n">
        <f aca="false">F4362*1000*Pressupostos!$C$91</f>
        <v>109900</v>
      </c>
      <c r="G4440" s="58" t="n">
        <f aca="false">G4362*1000*Pressupostos!$C$91</f>
        <v>274750</v>
      </c>
      <c r="H4440" s="2" t="s">
        <v>1194</v>
      </c>
    </row>
    <row r="4441" customFormat="false" ht="15" hidden="false" customHeight="false" outlineLevel="1" collapsed="false">
      <c r="A4441" s="2" t="s">
        <v>580</v>
      </c>
      <c r="B4441" s="8" t="s">
        <v>10</v>
      </c>
      <c r="C4441" s="58" t="n">
        <f aca="false">C4360*Pressupostos!$C$78*(1-Pressupostos!$C$79)</f>
        <v>6804</v>
      </c>
      <c r="D4441" s="58" t="n">
        <f aca="false">D4360*Pressupostos!$C$78*(1-Pressupostos!$C$79)</f>
        <v>25515</v>
      </c>
      <c r="E4441" s="58" t="n">
        <f aca="false">E4360*Pressupostos!$C$78*(1-Pressupostos!$C$79)</f>
        <v>68040</v>
      </c>
      <c r="F4441" s="58" t="n">
        <f aca="false">F4360*Pressupostos!$C$78*(1-Pressupostos!$C$79)</f>
        <v>119070</v>
      </c>
      <c r="G4441" s="58" t="n">
        <f aca="false">G4360*Pressupostos!$C$78*(1-Pressupostos!$C$79)</f>
        <v>170100</v>
      </c>
      <c r="H4441" s="2" t="s">
        <v>1195</v>
      </c>
    </row>
    <row r="4442" customFormat="false" ht="15" hidden="false" customHeight="false" outlineLevel="1" collapsed="false">
      <c r="A4442" s="7" t="s">
        <v>581</v>
      </c>
      <c r="B4442" s="8" t="s">
        <v>10</v>
      </c>
      <c r="C4442" s="58" t="n">
        <f aca="false">C4441*Pressupostos!$F$27</f>
        <v>136.08</v>
      </c>
      <c r="D4442" s="58" t="n">
        <f aca="false">D4441*Pressupostos!$F$27</f>
        <v>510.3</v>
      </c>
      <c r="E4442" s="58" t="n">
        <f aca="false">E4441*Pressupostos!$F$27</f>
        <v>1360.8</v>
      </c>
      <c r="F4442" s="58" t="n">
        <f aca="false">F4441*Pressupostos!$F$27</f>
        <v>2381.4</v>
      </c>
      <c r="G4442" s="58" t="n">
        <f aca="false">G4441*Pressupostos!$F$27</f>
        <v>3402</v>
      </c>
      <c r="H4442" s="2" t="s">
        <v>1196</v>
      </c>
    </row>
    <row r="4443" customFormat="false" ht="15" hidden="false" customHeight="false" outlineLevel="1" collapsed="false">
      <c r="A4443" s="7" t="s">
        <v>582</v>
      </c>
      <c r="B4443" s="8" t="s">
        <v>10</v>
      </c>
      <c r="C4443" s="58" t="n">
        <f aca="false">C4364*(Pressupostos!$C$99*Pressupostos!$C$100+Pressupostos!$C$101)</f>
        <v>0</v>
      </c>
      <c r="D4443" s="58" t="n">
        <f aca="false">D4364*(Pressupostos!$C$99*Pressupostos!$C$100+Pressupostos!$C$101)</f>
        <v>10000</v>
      </c>
      <c r="E4443" s="58" t="n">
        <f aca="false">E4364*(Pressupostos!$C$99*Pressupostos!$C$100+Pressupostos!$C$101)</f>
        <v>30000</v>
      </c>
      <c r="F4443" s="58" t="n">
        <f aca="false">F4364*(Pressupostos!$C$99*Pressupostos!$C$100+Pressupostos!$C$101)</f>
        <v>60000</v>
      </c>
      <c r="G4443" s="58" t="n">
        <f aca="false">G4364*(Pressupostos!$C$99*Pressupostos!$C$100+Pressupostos!$C$101)</f>
        <v>100000</v>
      </c>
      <c r="H4443" s="2" t="s">
        <v>1197</v>
      </c>
    </row>
    <row r="4444" customFormat="false" ht="15" hidden="false" customHeight="false" outlineLevel="1" collapsed="false">
      <c r="A4444" s="7" t="s">
        <v>583</v>
      </c>
      <c r="B4444" s="8" t="s">
        <v>10</v>
      </c>
      <c r="C4444" s="50" t="n">
        <f aca="false">Pressupostos!$C$272</f>
        <v>0</v>
      </c>
      <c r="D4444" s="50" t="n">
        <f aca="false">Pressupostos!$D$272</f>
        <v>0</v>
      </c>
      <c r="E4444" s="50" t="n">
        <f aca="false">Pressupostos!$E$272</f>
        <v>0</v>
      </c>
      <c r="F4444" s="50" t="n">
        <f aca="false">Pressupostos!$F$272</f>
        <v>10000</v>
      </c>
      <c r="G4444" s="50" t="n">
        <f aca="false">Pressupostos!$G$272</f>
        <v>30000</v>
      </c>
      <c r="H4444" s="2" t="s">
        <v>1198</v>
      </c>
    </row>
    <row r="4445" customFormat="false" ht="15" hidden="false" customHeight="false" outlineLevel="1" collapsed="false">
      <c r="A4445" s="52" t="s">
        <v>584</v>
      </c>
      <c r="B4445" s="53" t="s">
        <v>10</v>
      </c>
      <c r="C4445" s="59" t="n">
        <f aca="false">C4439+C4440+C4442+C4443+C4444</f>
        <v>193112.08</v>
      </c>
      <c r="D4445" s="59" t="n">
        <f aca="false">D4439+D4440+D4442+D4443+D4444</f>
        <v>2534990.3</v>
      </c>
      <c r="E4445" s="59" t="n">
        <f aca="false">E4439+E4440+E4442+E4443+E4444</f>
        <v>6407275.8</v>
      </c>
      <c r="F4445" s="59" t="n">
        <f aca="false">F4439+F4440+F4442+F4443+F4444</f>
        <v>10797256.4</v>
      </c>
      <c r="G4445" s="59" t="n">
        <f aca="false">G4439+G4440+G4442+G4443+G4444</f>
        <v>15701402</v>
      </c>
      <c r="H4445" s="2" t="s">
        <v>1199</v>
      </c>
    </row>
    <row r="4446" customFormat="false" ht="15" hidden="false" customHeight="false" outlineLevel="0" collapsed="false">
      <c r="A4446" s="3" t="s">
        <v>1200</v>
      </c>
      <c r="B4446" s="4"/>
      <c r="C4446" s="4"/>
      <c r="D4446" s="4"/>
      <c r="E4446" s="4"/>
      <c r="F4446" s="4"/>
      <c r="G4446" s="4"/>
      <c r="H4446" s="4"/>
    </row>
    <row r="4447" customFormat="false" ht="15" hidden="false" customHeight="false" outlineLevel="1" collapsed="false">
      <c r="A4447" s="52" t="s">
        <v>586</v>
      </c>
      <c r="B4447" s="53" t="s">
        <v>10</v>
      </c>
      <c r="C4447" s="59" t="n">
        <f aca="false">C4439+C4440+C4441</f>
        <v>199780</v>
      </c>
      <c r="D4447" s="59" t="n">
        <f aca="false">D4439+D4440+D4441</f>
        <v>2549995</v>
      </c>
      <c r="E4447" s="59" t="n">
        <f aca="false">E4439+E4440+E4441</f>
        <v>6443955</v>
      </c>
      <c r="F4447" s="59" t="n">
        <f aca="false">F4439+F4440+F4441</f>
        <v>10843945</v>
      </c>
      <c r="G4447" s="59" t="n">
        <f aca="false">G4439+G4440+G4441</f>
        <v>15738100</v>
      </c>
      <c r="H4447" s="2" t="s">
        <v>1201</v>
      </c>
    </row>
    <row r="4448" customFormat="false" ht="15" hidden="false" customHeight="false" outlineLevel="1" collapsed="false">
      <c r="A4448" s="7" t="s">
        <v>587</v>
      </c>
      <c r="B4448" s="8" t="s">
        <v>10</v>
      </c>
      <c r="C4448" s="58" t="n">
        <f aca="false">C4351*1000*(C4367+C4370)+C4352*1000*(C4390+C4393)+C4353*1000*(C4413+C4416)+C4362*1000*Pressupostos!$C$90</f>
        <v>171528</v>
      </c>
      <c r="D4448" s="58" t="n">
        <f aca="false">D4351*1000*(D4367+D4370)+D4352*1000*(D4390+D4393)+D4353*1000*(D4413+D4416)+D4362*1000*Pressupostos!$C$90</f>
        <v>2344510</v>
      </c>
      <c r="E4448" s="58" t="n">
        <f aca="false">E4351*1000*(E4367+E4370)+E4352*1000*(E4390+E4393)+E4353*1000*(E4413+E4416)+E4362*1000*Pressupostos!$C$90</f>
        <v>5948775</v>
      </c>
      <c r="F4448" s="58" t="n">
        <f aca="false">F4351*1000*(F4367+F4370)+F4352*1000*(F4390+F4393)+F4353*1000*(F4413+F4416)+F4362*1000*Pressupostos!$C$90</f>
        <v>9998695</v>
      </c>
      <c r="G4448" s="58" t="n">
        <f aca="false">G4351*1000*(G4367+G4370)+G4352*1000*(G4390+G4393)+G4353*1000*(G4413+G4416)+G4362*1000*Pressupostos!$C$90</f>
        <v>14497350</v>
      </c>
      <c r="H4448" s="2" t="s">
        <v>1202</v>
      </c>
    </row>
    <row r="4449" customFormat="false" ht="15" hidden="false" customHeight="false" outlineLevel="1" collapsed="false">
      <c r="A4449" s="7" t="s">
        <v>588</v>
      </c>
      <c r="B4449" s="8" t="s">
        <v>10</v>
      </c>
      <c r="C4449" s="58" t="n">
        <f aca="false">C4448*Pressupostos!$C$279</f>
        <v>0</v>
      </c>
      <c r="D4449" s="58" t="n">
        <f aca="false">D4448*Pressupostos!$D$279</f>
        <v>2110059</v>
      </c>
      <c r="E4449" s="58" t="n">
        <f aca="false">E4448*Pressupostos!$E$279</f>
        <v>5353897.5</v>
      </c>
      <c r="F4449" s="58" t="n">
        <f aca="false">F4448*Pressupostos!$F$279</f>
        <v>8998825.5</v>
      </c>
      <c r="G4449" s="58" t="n">
        <f aca="false">G4448*Pressupostos!$G$279</f>
        <v>13047615</v>
      </c>
      <c r="H4449" s="2" t="s">
        <v>1203</v>
      </c>
    </row>
    <row r="4450" customFormat="false" ht="15" hidden="false" customHeight="false" outlineLevel="0" collapsed="false">
      <c r="A4450" s="3" t="s">
        <v>1204</v>
      </c>
      <c r="B4450" s="4"/>
      <c r="C4450" s="4"/>
      <c r="D4450" s="4"/>
      <c r="E4450" s="4"/>
      <c r="F4450" s="4"/>
      <c r="G4450" s="4"/>
      <c r="H4450" s="4"/>
    </row>
    <row r="4451" customFormat="false" ht="15" hidden="false" customHeight="false" outlineLevel="1" collapsed="false">
      <c r="A4451" s="7" t="s">
        <v>590</v>
      </c>
      <c r="B4451" s="8" t="s">
        <v>10</v>
      </c>
      <c r="C4451" s="58" t="n">
        <f aca="false">C4351*1000*C4386</f>
        <v>3465.52500000001</v>
      </c>
      <c r="D4451" s="58" t="n">
        <f aca="false">D4351*1000*D4386</f>
        <v>8871.76464041099</v>
      </c>
      <c r="E4451" s="58" t="n">
        <f aca="false">E4351*1000*E4386</f>
        <v>34979.874520548</v>
      </c>
      <c r="F4451" s="58" t="n">
        <f aca="false">F4351*1000*F4386</f>
        <v>62544.3668835617</v>
      </c>
      <c r="G4451" s="58" t="n">
        <f aca="false">G4351*1000*G4386</f>
        <v>89349.0955479452</v>
      </c>
      <c r="H4451" s="2" t="s">
        <v>1205</v>
      </c>
    </row>
    <row r="4452" customFormat="false" ht="15" hidden="false" customHeight="false" outlineLevel="1" collapsed="false">
      <c r="A4452" s="7" t="s">
        <v>591</v>
      </c>
      <c r="B4452" s="8" t="s">
        <v>10</v>
      </c>
      <c r="C4452" s="58" t="n">
        <f aca="false">C4352*1000*C4409</f>
        <v>7136.51917808221</v>
      </c>
      <c r="D4452" s="58" t="n">
        <f aca="false">D4352*1000*D4409</f>
        <v>35862.0380136988</v>
      </c>
      <c r="E4452" s="58" t="n">
        <f aca="false">E4352*1000*E4409</f>
        <v>77576.8524400686</v>
      </c>
      <c r="F4452" s="58" t="n">
        <f aca="false">F4352*1000*F4409</f>
        <v>130839.091010274</v>
      </c>
      <c r="G4452" s="58" t="n">
        <f aca="false">G4352*1000*G4409</f>
        <v>197972.927226028</v>
      </c>
      <c r="H4452" s="2" t="s">
        <v>1206</v>
      </c>
    </row>
    <row r="4453" customFormat="false" ht="15" hidden="false" customHeight="false" outlineLevel="1" collapsed="false">
      <c r="A4453" s="7" t="s">
        <v>592</v>
      </c>
      <c r="B4453" s="8" t="s">
        <v>10</v>
      </c>
      <c r="C4453" s="58" t="n">
        <f aca="false">C4353*1000*C4432</f>
        <v>0</v>
      </c>
      <c r="D4453" s="58" t="n">
        <f aca="false">D4353*1000*D4432</f>
        <v>11505.1712328769</v>
      </c>
      <c r="E4453" s="58" t="n">
        <f aca="false">E4353*1000*E4432</f>
        <v>36214.5719178091</v>
      </c>
      <c r="F4453" s="58" t="n">
        <f aca="false">F4353*1000*F4432</f>
        <v>63189.3835616449</v>
      </c>
      <c r="G4453" s="58" t="n">
        <f aca="false">G4353*1000*G4432</f>
        <v>88465.1369863029</v>
      </c>
      <c r="H4453" s="2" t="s">
        <v>1207</v>
      </c>
    </row>
    <row r="4454" customFormat="false" ht="15" hidden="false" customHeight="false" outlineLevel="1" collapsed="false">
      <c r="A4454" s="7" t="s">
        <v>593</v>
      </c>
      <c r="B4454" s="8" t="s">
        <v>10</v>
      </c>
      <c r="C4454" s="58" t="n">
        <f aca="false">C4451+C4452+C4453</f>
        <v>10602.0441780822</v>
      </c>
      <c r="D4454" s="58" t="n">
        <f aca="false">D4451+D4452+D4453</f>
        <v>56238.9738869867</v>
      </c>
      <c r="E4454" s="58" t="n">
        <f aca="false">E4451+E4452+E4453</f>
        <v>148771.298878426</v>
      </c>
      <c r="F4454" s="58" t="n">
        <f aca="false">F4451+F4452+F4453</f>
        <v>256572.841455481</v>
      </c>
      <c r="G4454" s="58" t="n">
        <f aca="false">G4451+G4452+G4453</f>
        <v>375787.159760276</v>
      </c>
      <c r="H4454" s="2" t="s">
        <v>1208</v>
      </c>
    </row>
    <row r="4455" customFormat="false" ht="15" hidden="false" customHeight="false" outlineLevel="1" collapsed="false">
      <c r="A4455" s="7" t="s">
        <v>594</v>
      </c>
      <c r="B4455" s="8" t="s">
        <v>59</v>
      </c>
      <c r="C4455" s="60" t="n">
        <f aca="false">IF(C4354&gt;0,C4454/(C4354*1000),0)</f>
        <v>0.251590986665454</v>
      </c>
      <c r="D4455" s="60" t="n">
        <f aca="false">IF(D4354&gt;0,D4454/(D4354*1000),0)</f>
        <v>0.0898924657534253</v>
      </c>
      <c r="E4455" s="60" t="n">
        <f aca="false">IF(E4354&gt;0,E4454/(E4354*1000),0)</f>
        <v>0.0924447268243495</v>
      </c>
      <c r="F4455" s="60" t="n">
        <f aca="false">IF(F4354&gt;0,F4454/(F4354*1000),0)</f>
        <v>0.095787960447063</v>
      </c>
      <c r="G4455" s="60" t="n">
        <f aca="false">IF(G4354&gt;0,G4454/(G4354*1000),0)</f>
        <v>0.0976958689094698</v>
      </c>
      <c r="H4455" s="2" t="s">
        <v>1209</v>
      </c>
    </row>
    <row r="4456" customFormat="false" ht="15" hidden="false" customHeight="false" outlineLevel="1" collapsed="false">
      <c r="A4456" s="7" t="s">
        <v>595</v>
      </c>
      <c r="B4456" s="8" t="s">
        <v>71</v>
      </c>
      <c r="C4456" s="55" t="n">
        <f aca="false">IF(C4439&gt;0,C4454/C4439,0)</f>
        <v>0.0549397032692263</v>
      </c>
      <c r="D4456" s="55" t="n">
        <f aca="false">IF(D4439&gt;0,D4454/D4439,0)</f>
        <v>0.0222774487763764</v>
      </c>
      <c r="E4456" s="55" t="n">
        <f aca="false">IF(E4439&gt;0,E4454/E4439,0)</f>
        <v>0.0233333253154137</v>
      </c>
      <c r="F4456" s="55" t="n">
        <f aca="false">IF(F4439&gt;0,F4454/F4439,0)</f>
        <v>0.0241708380335781</v>
      </c>
      <c r="G4456" s="55" t="n">
        <f aca="false">IF(G4439&gt;0,G4454/G4439,0)</f>
        <v>0.0245720929011345</v>
      </c>
      <c r="H4456" s="2" t="s">
        <v>1210</v>
      </c>
    </row>
    <row r="4457" customFormat="false" ht="15" hidden="false" customHeight="false" outlineLevel="1" collapsed="false">
      <c r="A4457" s="2" t="s">
        <v>596</v>
      </c>
      <c r="B4457" s="8" t="s">
        <v>59</v>
      </c>
      <c r="C4457" s="60" t="n">
        <f aca="false">Pressupostos!$C$285*Pressupostos!$C$90*(Pressupostos!$C$93+Pressupostos!$C$94-Pressupostos!$C$95)/365*Pressupostos!$C$279/Pressupostos!$F$31</f>
        <v>0</v>
      </c>
      <c r="D4457" s="60" t="n">
        <f aca="false">Pressupostos!$D$285*Pressupostos!$C$90*(Pressupostos!$C$93+Pressupostos!$C$94-Pressupostos!$C$95)/365*Pressupostos!$D$279/Pressupostos!$F$31</f>
        <v>0.0776712328767123</v>
      </c>
      <c r="E4457" s="60" t="n">
        <f aca="false">Pressupostos!$E$285*Pressupostos!$C$90*(Pressupostos!$C$93+Pressupostos!$C$94-Pressupostos!$C$95)/365*Pressupostos!$E$279/Pressupostos!$F$31</f>
        <v>0.0728167808219178</v>
      </c>
      <c r="F4457" s="60" t="n">
        <f aca="false">Pressupostos!$F$285*Pressupostos!$C$90*(Pressupostos!$C$93+Pressupostos!$C$94-Pressupostos!$C$95)/365*Pressupostos!$F$279/Pressupostos!$F$31</f>
        <v>0.0679623287671233</v>
      </c>
      <c r="G4457" s="60" t="n">
        <f aca="false">Pressupostos!$G$285*Pressupostos!$C$90*(Pressupostos!$C$93+Pressupostos!$C$94-Pressupostos!$C$95)/365*Pressupostos!$G$279/Pressupostos!$F$31</f>
        <v>0.0679623287671233</v>
      </c>
      <c r="H4457" s="2" t="s">
        <v>1211</v>
      </c>
    </row>
    <row r="4458" customFormat="false" ht="15" hidden="false" customHeight="false" outlineLevel="1" collapsed="false">
      <c r="A4458" s="7" t="s">
        <v>567</v>
      </c>
      <c r="B4458" s="8" t="s">
        <v>10</v>
      </c>
      <c r="C4458" s="58" t="n">
        <f aca="false">C4362*1000*(Pressupostos!$C$91-Pressupostos!$C$90-Pressupostos!$C$92-C4457-Pressupostos!$C$96*Pressupostos!$C$91-Pressupostos!$C$97-Pressupostos!$F$29*Pressupostos!$C$90)</f>
        <v>0</v>
      </c>
      <c r="D4458" s="58" t="n">
        <f aca="false">D4362*1000*(Pressupostos!$C$91-Pressupostos!$C$90-Pressupostos!$C$92-D4457-Pressupostos!$C$96*Pressupostos!$C$91-Pressupostos!$C$97-Pressupostos!$F$29*Pressupostos!$C$90)</f>
        <v>0</v>
      </c>
      <c r="E4458" s="58" t="n">
        <f aca="false">E4362*1000*(Pressupostos!$C$91-Pressupostos!$C$90-Pressupostos!$C$92-E4457-Pressupostos!$C$96*Pressupostos!$C$91-Pressupostos!$C$97-Pressupostos!$F$29*Pressupostos!$C$90)</f>
        <v>0</v>
      </c>
      <c r="F4458" s="58" t="n">
        <f aca="false">F4362*1000*(Pressupostos!$C$91-Pressupostos!$C$90-Pressupostos!$C$92-F4457-Pressupostos!$C$96*Pressupostos!$C$91-Pressupostos!$C$97-Pressupostos!$F$29*Pressupostos!$C$90)</f>
        <v>7475.12739726027</v>
      </c>
      <c r="G4458" s="58" t="n">
        <f aca="false">G4362*1000*(Pressupostos!$C$91-Pressupostos!$C$90-Pressupostos!$C$92-G4457-Pressupostos!$C$96*Pressupostos!$C$91-Pressupostos!$C$97-Pressupostos!$F$29*Pressupostos!$C$90)</f>
        <v>18687.8184931507</v>
      </c>
      <c r="H4458" s="2" t="s">
        <v>1212</v>
      </c>
    </row>
    <row r="4459" customFormat="false" ht="15" hidden="false" customHeight="false" outlineLevel="1" collapsed="false">
      <c r="A4459" s="7" t="s">
        <v>597</v>
      </c>
      <c r="B4459" s="8" t="s">
        <v>10</v>
      </c>
      <c r="C4459" s="58" t="n">
        <f aca="false">C4442</f>
        <v>136.08</v>
      </c>
      <c r="D4459" s="58" t="n">
        <f aca="false">D4442</f>
        <v>510.3</v>
      </c>
      <c r="E4459" s="58" t="n">
        <f aca="false">E4442</f>
        <v>1360.8</v>
      </c>
      <c r="F4459" s="58" t="n">
        <f aca="false">F4442</f>
        <v>2381.4</v>
      </c>
      <c r="G4459" s="58" t="n">
        <f aca="false">G4442</f>
        <v>3402</v>
      </c>
      <c r="H4459" s="2" t="s">
        <v>1213</v>
      </c>
    </row>
    <row r="4460" customFormat="false" ht="15" hidden="false" customHeight="false" outlineLevel="1" collapsed="false">
      <c r="A4460" s="7" t="s">
        <v>598</v>
      </c>
      <c r="B4460" s="8" t="s">
        <v>10</v>
      </c>
      <c r="C4460" s="58" t="n">
        <f aca="false">C4443-C4475</f>
        <v>0</v>
      </c>
      <c r="D4460" s="58" t="n">
        <f aca="false">D4443-D4475</f>
        <v>10000</v>
      </c>
      <c r="E4460" s="58" t="n">
        <f aca="false">E4443-E4475</f>
        <v>30000</v>
      </c>
      <c r="F4460" s="58" t="n">
        <f aca="false">F4443-F4475</f>
        <v>60000</v>
      </c>
      <c r="G4460" s="58" t="n">
        <f aca="false">G4443-G4475</f>
        <v>100000</v>
      </c>
      <c r="H4460" s="2" t="s">
        <v>1214</v>
      </c>
    </row>
    <row r="4461" customFormat="false" ht="15" hidden="false" customHeight="false" outlineLevel="1" collapsed="false">
      <c r="A4461" s="7" t="s">
        <v>583</v>
      </c>
      <c r="B4461" s="8" t="s">
        <v>10</v>
      </c>
      <c r="C4461" s="58" t="n">
        <f aca="false">C4444</f>
        <v>0</v>
      </c>
      <c r="D4461" s="58" t="n">
        <f aca="false">D4444</f>
        <v>0</v>
      </c>
      <c r="E4461" s="58" t="n">
        <f aca="false">E4444</f>
        <v>0</v>
      </c>
      <c r="F4461" s="58" t="n">
        <f aca="false">F4444</f>
        <v>10000</v>
      </c>
      <c r="G4461" s="58" t="n">
        <f aca="false">G4444</f>
        <v>30000</v>
      </c>
      <c r="H4461" s="2" t="s">
        <v>1215</v>
      </c>
    </row>
    <row r="4462" customFormat="false" ht="15" hidden="false" customHeight="false" outlineLevel="1" collapsed="false">
      <c r="A4462" s="52" t="s">
        <v>599</v>
      </c>
      <c r="B4462" s="53" t="s">
        <v>10</v>
      </c>
      <c r="C4462" s="59" t="n">
        <f aca="false">C4454+C4458+C4459+C4460+C4461</f>
        <v>10738.1241780822</v>
      </c>
      <c r="D4462" s="59" t="n">
        <f aca="false">D4454+D4458+D4459+D4460+D4461</f>
        <v>66749.2738869867</v>
      </c>
      <c r="E4462" s="59" t="n">
        <f aca="false">E4454+E4458+E4459+E4460+E4461</f>
        <v>180132.098878426</v>
      </c>
      <c r="F4462" s="59" t="n">
        <f aca="false">F4454+F4458+F4459+F4460+F4461</f>
        <v>336429.368852741</v>
      </c>
      <c r="G4462" s="59" t="n">
        <f aca="false">G4454+G4458+G4459+G4460+G4461</f>
        <v>527876.978253426</v>
      </c>
      <c r="H4462" s="2" t="s">
        <v>1216</v>
      </c>
    </row>
    <row r="4463" customFormat="false" ht="15" hidden="false" customHeight="false" outlineLevel="0" collapsed="false">
      <c r="A4463" s="3" t="s">
        <v>1217</v>
      </c>
      <c r="B4463" s="4"/>
      <c r="C4463" s="4"/>
      <c r="D4463" s="4"/>
      <c r="E4463" s="4"/>
      <c r="F4463" s="4"/>
      <c r="G4463" s="4"/>
      <c r="H4463" s="4"/>
    </row>
    <row r="4464" customFormat="false" ht="15" hidden="false" customHeight="false" outlineLevel="1" collapsed="false">
      <c r="A4464" s="7" t="s">
        <v>647</v>
      </c>
      <c r="B4464" s="8" t="s">
        <v>10</v>
      </c>
      <c r="C4464" s="58" t="n">
        <f aca="false">C4351*1000*(C4367+C4370)+C4352*1000*(C4390+C4393)+C4353*1000*(C4413+C4416)</f>
        <v>171528</v>
      </c>
      <c r="D4464" s="58" t="n">
        <f aca="false">D4351*1000*(D4367+D4370)+D4352*1000*(D4390+D4393)+D4353*1000*(D4413+D4416)</f>
        <v>2344510</v>
      </c>
      <c r="E4464" s="58" t="n">
        <f aca="false">E4351*1000*(E4367+E4370)+E4352*1000*(E4390+E4393)+E4353*1000*(E4413+E4416)</f>
        <v>5948775</v>
      </c>
      <c r="F4464" s="58" t="n">
        <f aca="false">F4351*1000*(F4367+F4370)+F4352*1000*(F4390+F4393)+F4353*1000*(F4413+F4416)</f>
        <v>9900695</v>
      </c>
      <c r="G4464" s="58" t="n">
        <f aca="false">G4351*1000*(G4367+G4370)+G4352*1000*(G4390+G4393)+G4353*1000*(G4413+G4416)</f>
        <v>14252350</v>
      </c>
      <c r="H4464" s="2" t="s">
        <v>1218</v>
      </c>
    </row>
    <row r="4465" customFormat="false" ht="15" hidden="false" customHeight="false" outlineLevel="1" collapsed="false">
      <c r="A4465" s="7" t="s">
        <v>648</v>
      </c>
      <c r="B4465" s="8" t="s">
        <v>10</v>
      </c>
      <c r="C4465" s="58" t="n">
        <f aca="false">C4362*1000*Pressupostos!$C$90</f>
        <v>0</v>
      </c>
      <c r="D4465" s="58" t="n">
        <f aca="false">D4362*1000*Pressupostos!$C$90</f>
        <v>0</v>
      </c>
      <c r="E4465" s="58" t="n">
        <f aca="false">E4362*1000*Pressupostos!$C$90</f>
        <v>0</v>
      </c>
      <c r="F4465" s="58" t="n">
        <f aca="false">F4362*1000*Pressupostos!$C$90</f>
        <v>98000</v>
      </c>
      <c r="G4465" s="58" t="n">
        <f aca="false">G4362*1000*Pressupostos!$C$90</f>
        <v>245000</v>
      </c>
      <c r="H4465" s="2" t="s">
        <v>1219</v>
      </c>
    </row>
    <row r="4466" customFormat="false" ht="15" hidden="false" customHeight="false" outlineLevel="1" collapsed="false">
      <c r="A4466" s="7" t="s">
        <v>649</v>
      </c>
      <c r="B4466" s="8" t="s">
        <v>10</v>
      </c>
      <c r="C4466" s="58" t="n">
        <f aca="false">C4464+C4465</f>
        <v>171528</v>
      </c>
      <c r="D4466" s="58" t="n">
        <f aca="false">D4464+D4465</f>
        <v>2344510</v>
      </c>
      <c r="E4466" s="58" t="n">
        <f aca="false">E4464+E4465</f>
        <v>5948775</v>
      </c>
      <c r="F4466" s="58" t="n">
        <f aca="false">F4464+F4465</f>
        <v>9998695</v>
      </c>
      <c r="G4466" s="58" t="n">
        <f aca="false">G4464+G4465</f>
        <v>14497350</v>
      </c>
      <c r="H4466" s="2" t="s">
        <v>1220</v>
      </c>
    </row>
    <row r="4467" customFormat="false" ht="15" hidden="false" customHeight="false" outlineLevel="1" collapsed="false">
      <c r="A4467" s="7" t="s">
        <v>205</v>
      </c>
      <c r="B4467" s="8" t="s">
        <v>10</v>
      </c>
      <c r="C4467" s="58" t="n">
        <f aca="false">C4351*1000*(C4371)+C4352*1000*(C4394)+C4353*1000*(C4417)+C4362*1000*Pressupostos!$C$92</f>
        <v>5362</v>
      </c>
      <c r="D4467" s="58" t="n">
        <f aca="false">D4351*1000*(D4371)+D4352*1000*(D4394)+D4353*1000*(D4417)+D4362*1000*Pressupostos!$C$92</f>
        <v>45867.5</v>
      </c>
      <c r="E4467" s="58" t="n">
        <f aca="false">E4351*1000*(E4371)+E4352*1000*(E4394)+E4353*1000*(E4417)+E4362*1000*Pressupostos!$C$92</f>
        <v>103243</v>
      </c>
      <c r="F4467" s="58" t="n">
        <f aca="false">F4351*1000*(F4371)+F4352*1000*(F4394)+F4353*1000*(F4417)+F4362*1000*Pressupostos!$C$92</f>
        <v>173750.5</v>
      </c>
      <c r="G4467" s="58" t="n">
        <f aca="false">G4351*1000*(G4371)+G4352*1000*(G4394)+G4353*1000*(G4417)+G4362*1000*Pressupostos!$C$92</f>
        <v>254765</v>
      </c>
      <c r="H4467" s="2" t="s">
        <v>1221</v>
      </c>
    </row>
    <row r="4468" customFormat="false" ht="15" hidden="false" customHeight="false" outlineLevel="1" collapsed="false">
      <c r="A4468" s="7" t="s">
        <v>109</v>
      </c>
      <c r="B4468" s="8" t="s">
        <v>10</v>
      </c>
      <c r="C4468" s="58" t="n">
        <f aca="false">C4351*1000*(C4372)+C4352*1000*(C4395)+C4353*1000*(C4418)</f>
        <v>344.4</v>
      </c>
      <c r="D4468" s="58" t="n">
        <f aca="false">D4351*1000*(D4372)+D4352*1000*(D4395)+D4353*1000*(D4418)</f>
        <v>1291.5</v>
      </c>
      <c r="E4468" s="58" t="n">
        <f aca="false">E4351*1000*(E4372)+E4352*1000*(E4395)+E4353*1000*(E4418)</f>
        <v>3444</v>
      </c>
      <c r="F4468" s="58" t="n">
        <f aca="false">F4351*1000*(F4372)+F4352*1000*(F4395)+F4353*1000*(F4418)</f>
        <v>6027</v>
      </c>
      <c r="G4468" s="58" t="n">
        <f aca="false">G4351*1000*(G4372)+G4352*1000*(G4395)+G4353*1000*(G4418)</f>
        <v>8610</v>
      </c>
      <c r="H4468" s="2" t="s">
        <v>1222</v>
      </c>
    </row>
    <row r="4469" customFormat="false" ht="15" hidden="false" customHeight="false" outlineLevel="1" collapsed="false">
      <c r="A4469" s="7" t="s">
        <v>650</v>
      </c>
      <c r="B4469" s="8" t="s">
        <v>10</v>
      </c>
      <c r="C4469" s="58" t="n">
        <f aca="false">C4351*1000*(C4375+C4376)+C4352*1000*(C4398+C4399)+C4353*1000*(C4421+C4422)</f>
        <v>325.564821917808</v>
      </c>
      <c r="D4469" s="58" t="n">
        <f aca="false">D4351*1000*(D4375+D4376)+D4352*1000*(D4398+D4399)+D4353*1000*(D4421+D4422)</f>
        <v>2561.54643835616</v>
      </c>
      <c r="E4469" s="58" t="n">
        <f aca="false">E4351*1000*(E4375+E4376)+E4352*1000*(E4398+E4399)+E4353*1000*(E4421+E4422)</f>
        <v>5102.7295890411</v>
      </c>
      <c r="F4469" s="58" t="n">
        <f aca="false">F4351*1000*(F4375+F4376)+F4352*1000*(F4398+F4399)+F4353*1000*(F4421+F4422)</f>
        <v>8498.98335616438</v>
      </c>
      <c r="G4469" s="58" t="n">
        <f aca="false">G4351*1000*(G4375+G4376)+G4352*1000*(G4398+G4399)+G4353*1000*(G4421+G4422)</f>
        <v>12348.445890411</v>
      </c>
      <c r="H4469" s="2" t="s">
        <v>1223</v>
      </c>
    </row>
    <row r="4470" customFormat="false" ht="15" hidden="false" customHeight="false" outlineLevel="1" collapsed="false">
      <c r="A4470" s="7" t="s">
        <v>651</v>
      </c>
      <c r="B4470" s="8" t="s">
        <v>10</v>
      </c>
      <c r="C4470" s="58" t="n">
        <f aca="false">C4351*1000*(C4377+C4378+C4379)+C4352*1000*(C4400+C4401+C4402)+C4353*1000*(C4423+C4424+C4425)</f>
        <v>1872.675</v>
      </c>
      <c r="D4470" s="58" t="n">
        <f aca="false">D4351*1000*(D4377+D4378+D4379)+D4352*1000*(D4400+D4401+D4402)+D4353*1000*(D4423+D4424+D4425)</f>
        <v>20594.13125</v>
      </c>
      <c r="E4470" s="58" t="n">
        <f aca="false">E4351*1000*(E4377+E4378+E4379)+E4352*1000*(E4400+E4401+E4402)+E4353*1000*(E4423+E4424+E4425)</f>
        <v>49855.75</v>
      </c>
      <c r="F4470" s="58" t="n">
        <f aca="false">F4351*1000*(F4377+F4378+F4379)+F4352*1000*(F4400+F4401+F4402)+F4353*1000*(F4423+F4424+F4425)</f>
        <v>83000.8375</v>
      </c>
      <c r="G4470" s="58" t="n">
        <f aca="false">G4351*1000*(G4377+G4378+G4379)+G4352*1000*(G4400+G4401+G4402)+G4353*1000*(G4423+G4424+G4425)</f>
        <v>120192.625</v>
      </c>
      <c r="H4470" s="2" t="s">
        <v>1224</v>
      </c>
    </row>
    <row r="4471" customFormat="false" ht="15" hidden="false" customHeight="false" outlineLevel="1" collapsed="false">
      <c r="A4471" s="7" t="s">
        <v>637</v>
      </c>
      <c r="B4471" s="8" t="s">
        <v>10</v>
      </c>
      <c r="C4471" s="58" t="n">
        <f aca="false">C4351*1000*(C4380)+C4352*1000*(C4403)+C4353*1000*(C4426)</f>
        <v>2030</v>
      </c>
      <c r="D4471" s="58" t="n">
        <f aca="false">D4351*1000*(D4380)+D4352*1000*(D4403)+D4353*1000*(D4426)</f>
        <v>16516.5</v>
      </c>
      <c r="E4471" s="58" t="n">
        <f aca="false">E4351*1000*(E4380)+E4352*1000*(E4403)+E4353*1000*(E4426)</f>
        <v>38416</v>
      </c>
      <c r="F4471" s="58" t="n">
        <f aca="false">F4351*1000*(F4380)+F4352*1000*(F4403)+F4353*1000*(F4426)</f>
        <v>64169</v>
      </c>
      <c r="G4471" s="58" t="n">
        <f aca="false">G4351*1000*(G4380)+G4352*1000*(G4403)+G4353*1000*(G4426)</f>
        <v>93870</v>
      </c>
      <c r="H4471" s="2" t="s">
        <v>1225</v>
      </c>
    </row>
    <row r="4472" customFormat="false" ht="15" hidden="false" customHeight="false" outlineLevel="1" collapsed="false">
      <c r="A4472" s="7" t="s">
        <v>652</v>
      </c>
      <c r="B4472" s="8" t="s">
        <v>10</v>
      </c>
      <c r="C4472" s="58" t="n">
        <f aca="false">C4351*1000*(C4381)+C4352*1000*(C4404)+C4353*1000*(C4427)+C4362*1000*Pressupostos!$C$97</f>
        <v>239.4</v>
      </c>
      <c r="D4472" s="58" t="n">
        <f aca="false">D4351*1000*(D4381)+D4352*1000*(D4404)+D4353*1000*(D4427)+D4362*1000*Pressupostos!$C$97</f>
        <v>1835.75</v>
      </c>
      <c r="E4472" s="58" t="n">
        <f aca="false">E4351*1000*(E4381)+E4352*1000*(E4404)+E4353*1000*(E4427)+E4362*1000*Pressupostos!$C$97</f>
        <v>4133.5</v>
      </c>
      <c r="F4472" s="58" t="n">
        <f aca="false">F4351*1000*(F4381)+F4352*1000*(F4404)+F4353*1000*(F4427)+F4362*1000*Pressupostos!$C$97</f>
        <v>7315</v>
      </c>
      <c r="G4472" s="58" t="n">
        <f aca="false">G4351*1000*(G4381)+G4352*1000*(G4404)+G4353*1000*(G4427)+G4362*1000*Pressupostos!$C$97</f>
        <v>11200</v>
      </c>
      <c r="H4472" s="2" t="s">
        <v>1226</v>
      </c>
    </row>
    <row r="4473" customFormat="false" ht="15" hidden="false" customHeight="false" outlineLevel="1" collapsed="false">
      <c r="A4473" s="7" t="s">
        <v>76</v>
      </c>
      <c r="B4473" s="8" t="s">
        <v>10</v>
      </c>
      <c r="C4473" s="58" t="n">
        <f aca="false">C4351*1000*(C4382)+C4352*1000*(C4405)+C4353*1000*(C4428)+C4362*1000*Pressupostos!$C$96*Pressupostos!$C$91</f>
        <v>671.916</v>
      </c>
      <c r="D4473" s="58" t="n">
        <f aca="false">D4351*1000*(D4382)+D4352*1000*(D4405)+D4353*1000*(D4428)+D4362*1000*Pressupostos!$C$96*Pressupostos!$C$91</f>
        <v>7922.145</v>
      </c>
      <c r="E4473" s="58" t="n">
        <f aca="false">E4351*1000*(E4382)+E4352*1000*(E4405)+E4353*1000*(E4428)+E4362*1000*Pressupostos!$C$96*Pressupostos!$C$91</f>
        <v>20057.625</v>
      </c>
      <c r="F4473" s="58" t="n">
        <f aca="false">F4351*1000*(F4382)+F4352*1000*(F4405)+F4353*1000*(F4428)+F4362*1000*Pressupostos!$C$96*Pressupostos!$C$91</f>
        <v>34131.615</v>
      </c>
      <c r="G4473" s="58" t="n">
        <f aca="false">G4351*1000*(G4382)+G4352*1000*(G4405)+G4353*1000*(G4428)+G4362*1000*Pressupostos!$C$96*Pressupostos!$C$91</f>
        <v>49852.95</v>
      </c>
      <c r="H4473" s="2" t="s">
        <v>1227</v>
      </c>
    </row>
    <row r="4474" customFormat="false" ht="15" hidden="false" customHeight="false" outlineLevel="1" collapsed="false">
      <c r="A4474" s="7" t="s">
        <v>653</v>
      </c>
      <c r="B4474" s="8" t="s">
        <v>10</v>
      </c>
      <c r="C4474" s="58" t="n">
        <f aca="false">C4351*1000*(C4383)+C4352*1000*(C4406)+C4353*1000*(C4429)+C4362*1000*Pressupostos!$F$29*Pressupostos!$C$90</f>
        <v>0</v>
      </c>
      <c r="D4474" s="58" t="n">
        <f aca="false">D4351*1000*(D4383)+D4352*1000*(D4406)+D4353*1000*(D4429)+D4362*1000*Pressupostos!$F$29*Pressupostos!$C$90</f>
        <v>0</v>
      </c>
      <c r="E4474" s="58" t="n">
        <f aca="false">E4351*1000*(E4383)+E4352*1000*(E4406)+E4353*1000*(E4429)+E4362*1000*Pressupostos!$F$29*Pressupostos!$C$90</f>
        <v>0</v>
      </c>
      <c r="F4474" s="58" t="n">
        <f aca="false">F4351*1000*(F4383)+F4352*1000*(F4406)+F4353*1000*(F4429)+F4362*1000*Pressupostos!$F$29*Pressupostos!$C$90</f>
        <v>294</v>
      </c>
      <c r="G4474" s="58" t="n">
        <f aca="false">G4351*1000*(G4383)+G4352*1000*(G4406)+G4353*1000*(G4429)+G4362*1000*Pressupostos!$F$29*Pressupostos!$C$90</f>
        <v>735</v>
      </c>
      <c r="H4474" s="2" t="s">
        <v>1228</v>
      </c>
    </row>
    <row r="4475" customFormat="false" ht="15" hidden="false" customHeight="false" outlineLevel="1" collapsed="false">
      <c r="A4475" s="7" t="s">
        <v>654</v>
      </c>
      <c r="B4475" s="8" t="s">
        <v>10</v>
      </c>
      <c r="C4475" s="58" t="n">
        <f aca="false">C4365*1000*Pressupostos!$C$102*Pressupostos!$F$30</f>
        <v>0</v>
      </c>
      <c r="D4475" s="58" t="n">
        <f aca="false">D4365*1000*Pressupostos!$C$102*Pressupostos!$F$30</f>
        <v>0</v>
      </c>
      <c r="E4475" s="58" t="n">
        <f aca="false">E4365*1000*Pressupostos!$C$102*Pressupostos!$F$30</f>
        <v>0</v>
      </c>
      <c r="F4475" s="58" t="n">
        <f aca="false">F4365*1000*Pressupostos!$C$102*Pressupostos!$F$30</f>
        <v>0</v>
      </c>
      <c r="G4475" s="58" t="n">
        <f aca="false">G4365*1000*Pressupostos!$C$102*Pressupostos!$F$30</f>
        <v>0</v>
      </c>
      <c r="H4475" s="2" t="s">
        <v>1229</v>
      </c>
    </row>
    <row r="4476" customFormat="false" ht="15" hidden="false" customHeight="false" outlineLevel="1" collapsed="false">
      <c r="A4476" s="7" t="s">
        <v>655</v>
      </c>
      <c r="B4476" s="8" t="s">
        <v>10</v>
      </c>
      <c r="C4476" s="58" t="n">
        <f aca="false">C4467+C4468+C4469+C4470+C4471+C4472+C4473+C4474+C4475</f>
        <v>10845.9558219178</v>
      </c>
      <c r="D4476" s="58" t="n">
        <f aca="false">D4467+D4468+D4469+D4470+D4471+D4472+D4473+D4474+D4475</f>
        <v>96589.0726883562</v>
      </c>
      <c r="E4476" s="58" t="n">
        <f aca="false">E4467+E4468+E4469+E4470+E4471+E4472+E4473+E4474+E4475</f>
        <v>224252.604589041</v>
      </c>
      <c r="F4476" s="58" t="n">
        <f aca="false">F4467+F4468+F4469+F4470+F4471+F4472+F4473+F4474+F4475</f>
        <v>377186.935856164</v>
      </c>
      <c r="G4476" s="58" t="n">
        <f aca="false">G4467+G4468+G4469+G4470+G4471+G4472+G4473+G4474+G4475</f>
        <v>551574.020890411</v>
      </c>
      <c r="H4476" s="2" t="s">
        <v>1230</v>
      </c>
    </row>
    <row r="4477" customFormat="false" ht="15" hidden="false" customHeight="false" outlineLevel="1" collapsed="false">
      <c r="A4477" s="7" t="s">
        <v>656</v>
      </c>
      <c r="B4477" s="8" t="s">
        <v>10</v>
      </c>
      <c r="C4477" s="58" t="n">
        <f aca="false">C4351*1000*(C4384)+C4352*1000*(C4407)+C4353*1000*(C4430)</f>
        <v>0</v>
      </c>
      <c r="D4477" s="58" t="n">
        <f aca="false">D4351*1000*(D4384)+D4352*1000*(D4407)+D4353*1000*(D4430)</f>
        <v>27141.9534246575</v>
      </c>
      <c r="E4477" s="58" t="n">
        <f aca="false">E4351*1000*(E4384)+E4352*1000*(E4407)+E4353*1000*(E4430)</f>
        <v>54116.0965325342</v>
      </c>
      <c r="F4477" s="58" t="n">
        <f aca="false">F4351*1000*(F4384)+F4352*1000*(F4407)+F4353*1000*(F4430)</f>
        <v>83993.6226883562</v>
      </c>
      <c r="G4477" s="58" t="n">
        <f aca="false">G4351*1000*(G4384)+G4352*1000*(G4407)+G4353*1000*(G4430)</f>
        <v>122222.319349315</v>
      </c>
      <c r="H4477" s="2" t="s">
        <v>1231</v>
      </c>
    </row>
    <row r="4478" customFormat="false" ht="15" hidden="false" customHeight="false" outlineLevel="1" collapsed="false">
      <c r="A4478" s="7" t="s">
        <v>657</v>
      </c>
      <c r="B4478" s="8" t="s">
        <v>10</v>
      </c>
      <c r="C4478" s="58" t="n">
        <f aca="false">C4362*1000*C4457</f>
        <v>0</v>
      </c>
      <c r="D4478" s="58" t="n">
        <f aca="false">D4362*1000*D4457</f>
        <v>0</v>
      </c>
      <c r="E4478" s="58" t="n">
        <f aca="false">E4362*1000*E4457</f>
        <v>0</v>
      </c>
      <c r="F4478" s="58" t="n">
        <f aca="false">F4362*1000*F4457</f>
        <v>951.472602739726</v>
      </c>
      <c r="G4478" s="58" t="n">
        <f aca="false">G4362*1000*G4457</f>
        <v>2378.68150684932</v>
      </c>
      <c r="H4478" s="2" t="s">
        <v>1232</v>
      </c>
    </row>
    <row r="4479" customFormat="false" ht="15" hidden="false" customHeight="false" outlineLevel="1" collapsed="false">
      <c r="A4479" s="7" t="s">
        <v>658</v>
      </c>
      <c r="B4479" s="8" t="s">
        <v>10</v>
      </c>
      <c r="C4479" s="58" t="n">
        <f aca="false">C4477+C4478</f>
        <v>0</v>
      </c>
      <c r="D4479" s="58" t="n">
        <f aca="false">D4477+D4478</f>
        <v>27141.9534246575</v>
      </c>
      <c r="E4479" s="58" t="n">
        <f aca="false">E4477+E4478</f>
        <v>54116.0965325342</v>
      </c>
      <c r="F4479" s="58" t="n">
        <f aca="false">F4477+F4478</f>
        <v>84945.0952910959</v>
      </c>
      <c r="G4479" s="58" t="n">
        <f aca="false">G4477+G4478</f>
        <v>124601.000856164</v>
      </c>
      <c r="H4479" s="2" t="s">
        <v>1233</v>
      </c>
    </row>
    <row r="4480" customFormat="false" ht="15" hidden="false" customHeight="false" outlineLevel="1" collapsed="false">
      <c r="A4480" s="8" t="s">
        <v>659</v>
      </c>
      <c r="B4480" s="8" t="s">
        <v>10</v>
      </c>
      <c r="C4480" s="66" t="n">
        <f aca="false">ROUND(C4445-C4466-C4476-C4479-C4462,6)</f>
        <v>-0</v>
      </c>
      <c r="D4480" s="66" t="n">
        <f aca="false">ROUND(D4445-D4466-D4476-D4479-D4462,6)</f>
        <v>-0</v>
      </c>
      <c r="E4480" s="66" t="n">
        <f aca="false">ROUND(E4445-E4466-E4476-E4479-E4462,6)</f>
        <v>-0</v>
      </c>
      <c r="F4480" s="66" t="n">
        <f aca="false">ROUND(F4445-F4466-F4476-F4479-F4462,6)</f>
        <v>0</v>
      </c>
      <c r="G4480" s="66" t="n">
        <f aca="false">ROUND(G4445-G4466-G4476-G4479-G4462,6)</f>
        <v>0</v>
      </c>
      <c r="H4480" s="2" t="s">
        <v>1234</v>
      </c>
    </row>
    <row r="4481" customFormat="false" ht="15" hidden="false" customHeight="false" outlineLevel="0" collapsed="false">
      <c r="A4481" s="3" t="s">
        <v>1235</v>
      </c>
      <c r="B4481" s="4"/>
      <c r="C4481" s="4"/>
      <c r="D4481" s="4"/>
      <c r="E4481" s="4"/>
      <c r="F4481" s="4"/>
      <c r="G4481" s="4"/>
      <c r="H4481" s="4"/>
    </row>
    <row r="4482" customFormat="false" ht="15" hidden="false" customHeight="false" outlineLevel="1" collapsed="false">
      <c r="A4482" s="7" t="s">
        <v>602</v>
      </c>
      <c r="B4482" s="8" t="s">
        <v>413</v>
      </c>
      <c r="C4482" s="61" t="n">
        <f aca="false">Pressupostos!$C$317</f>
        <v>1</v>
      </c>
      <c r="D4482" s="61" t="n">
        <f aca="false">Pressupostos!$D$317</f>
        <v>1</v>
      </c>
      <c r="E4482" s="61" t="n">
        <f aca="false">Pressupostos!$E$317</f>
        <v>1</v>
      </c>
      <c r="F4482" s="61" t="n">
        <f aca="false">Pressupostos!$F$317</f>
        <v>1</v>
      </c>
      <c r="G4482" s="61" t="n">
        <f aca="false">Pressupostos!$G$317</f>
        <v>1</v>
      </c>
      <c r="H4482" s="2" t="s">
        <v>1236</v>
      </c>
    </row>
    <row r="4483" customFormat="false" ht="15" hidden="false" customHeight="false" outlineLevel="1" collapsed="false">
      <c r="A4483" s="7" t="s">
        <v>603</v>
      </c>
      <c r="B4483" s="8" t="s">
        <v>413</v>
      </c>
      <c r="C4483" s="61" t="n">
        <f aca="false">Pressupostos!$C$323</f>
        <v>1</v>
      </c>
      <c r="D4483" s="61" t="n">
        <f aca="false">Pressupostos!$D$323</f>
        <v>1</v>
      </c>
      <c r="E4483" s="61" t="n">
        <f aca="false">Pressupostos!$E$323</f>
        <v>1</v>
      </c>
      <c r="F4483" s="61" t="n">
        <f aca="false">Pressupostos!$F$323</f>
        <v>1</v>
      </c>
      <c r="G4483" s="61" t="n">
        <f aca="false">Pressupostos!$G$323</f>
        <v>1</v>
      </c>
      <c r="H4483" s="2" t="s">
        <v>1237</v>
      </c>
    </row>
    <row r="4484" customFormat="false" ht="15" hidden="false" customHeight="false" outlineLevel="1" collapsed="false">
      <c r="A4484" s="7" t="s">
        <v>604</v>
      </c>
      <c r="B4484" s="8" t="s">
        <v>413</v>
      </c>
      <c r="C4484" s="61" t="n">
        <f aca="false">Pressupostos!$C$329</f>
        <v>0</v>
      </c>
      <c r="D4484" s="61" t="n">
        <f aca="false">Pressupostos!$D$329</f>
        <v>1</v>
      </c>
      <c r="E4484" s="61" t="n">
        <f aca="false">Pressupostos!$E$329</f>
        <v>1</v>
      </c>
      <c r="F4484" s="61" t="n">
        <f aca="false">Pressupostos!$F$329</f>
        <v>1</v>
      </c>
      <c r="G4484" s="61" t="n">
        <f aca="false">Pressupostos!$G$329</f>
        <v>1</v>
      </c>
      <c r="H4484" s="2" t="s">
        <v>1238</v>
      </c>
    </row>
    <row r="4485" customFormat="false" ht="15" hidden="false" customHeight="false" outlineLevel="1" collapsed="false">
      <c r="A4485" s="7" t="s">
        <v>605</v>
      </c>
      <c r="B4485" s="8" t="s">
        <v>413</v>
      </c>
      <c r="C4485" s="61" t="n">
        <f aca="false">Pressupostos!$C$335</f>
        <v>0.5</v>
      </c>
      <c r="D4485" s="61" t="n">
        <f aca="false">Pressupostos!$D$335</f>
        <v>1</v>
      </c>
      <c r="E4485" s="61" t="n">
        <f aca="false">Pressupostos!$E$335</f>
        <v>1</v>
      </c>
      <c r="F4485" s="61" t="n">
        <f aca="false">Pressupostos!$F$335</f>
        <v>1</v>
      </c>
      <c r="G4485" s="61" t="n">
        <f aca="false">Pressupostos!$G$335</f>
        <v>1</v>
      </c>
      <c r="H4485" s="2" t="s">
        <v>1239</v>
      </c>
    </row>
    <row r="4486" customFormat="false" ht="15" hidden="false" customHeight="false" outlineLevel="1" collapsed="false">
      <c r="A4486" s="7" t="s">
        <v>606</v>
      </c>
      <c r="B4486" s="8" t="s">
        <v>413</v>
      </c>
      <c r="C4486" s="61" t="n">
        <f aca="false">Pressupostos!$C$341</f>
        <v>0.5</v>
      </c>
      <c r="D4486" s="61" t="n">
        <f aca="false">Pressupostos!$D$341</f>
        <v>0.5</v>
      </c>
      <c r="E4486" s="61" t="n">
        <f aca="false">Pressupostos!$E$341</f>
        <v>0.5</v>
      </c>
      <c r="F4486" s="61" t="n">
        <f aca="false">Pressupostos!$F$341</f>
        <v>1</v>
      </c>
      <c r="G4486" s="61" t="n">
        <f aca="false">Pressupostos!$G$341</f>
        <v>1</v>
      </c>
      <c r="H4486" s="2" t="s">
        <v>1240</v>
      </c>
    </row>
    <row r="4487" customFormat="false" ht="15" hidden="false" customHeight="false" outlineLevel="1" collapsed="false">
      <c r="A4487" s="7" t="s">
        <v>607</v>
      </c>
      <c r="B4487" s="8" t="s">
        <v>413</v>
      </c>
      <c r="C4487" s="61" t="n">
        <f aca="false">Pressupostos!$C$347</f>
        <v>1</v>
      </c>
      <c r="D4487" s="61" t="n">
        <f aca="false">Pressupostos!$D$347</f>
        <v>1</v>
      </c>
      <c r="E4487" s="61" t="n">
        <f aca="false">Pressupostos!$E$347</f>
        <v>1</v>
      </c>
      <c r="F4487" s="61" t="n">
        <f aca="false">Pressupostos!$F$347</f>
        <v>1</v>
      </c>
      <c r="G4487" s="61" t="n">
        <f aca="false">Pressupostos!$G$347</f>
        <v>1</v>
      </c>
      <c r="H4487" s="2" t="s">
        <v>1241</v>
      </c>
    </row>
    <row r="4488" customFormat="false" ht="15" hidden="false" customHeight="false" outlineLevel="1" collapsed="false">
      <c r="A4488" s="7" t="s">
        <v>608</v>
      </c>
      <c r="B4488" s="8" t="s">
        <v>413</v>
      </c>
      <c r="C4488" s="61" t="n">
        <f aca="false">Pressupostos!$C$353</f>
        <v>0.5</v>
      </c>
      <c r="D4488" s="61" t="n">
        <f aca="false">Pressupostos!$D$353</f>
        <v>1</v>
      </c>
      <c r="E4488" s="61" t="n">
        <f aca="false">Pressupostos!$E$353</f>
        <v>1</v>
      </c>
      <c r="F4488" s="61" t="n">
        <f aca="false">Pressupostos!$F$353</f>
        <v>1</v>
      </c>
      <c r="G4488" s="61" t="n">
        <f aca="false">Pressupostos!$G$353</f>
        <v>1</v>
      </c>
      <c r="H4488" s="2" t="s">
        <v>1242</v>
      </c>
    </row>
    <row r="4489" customFormat="false" ht="15" hidden="false" customHeight="false" outlineLevel="1" collapsed="false">
      <c r="A4489" s="7" t="s">
        <v>609</v>
      </c>
      <c r="B4489" s="8" t="s">
        <v>413</v>
      </c>
      <c r="C4489" s="61" t="n">
        <f aca="false">Pressupostos!$C$359</f>
        <v>1</v>
      </c>
      <c r="D4489" s="61" t="n">
        <f aca="false">Pressupostos!$D$359</f>
        <v>1</v>
      </c>
      <c r="E4489" s="61" t="n">
        <f aca="false">Pressupostos!$E$359</f>
        <v>1</v>
      </c>
      <c r="F4489" s="61" t="n">
        <f aca="false">Pressupostos!$F$359</f>
        <v>2</v>
      </c>
      <c r="G4489" s="61" t="n">
        <f aca="false">Pressupostos!$G$359</f>
        <v>3</v>
      </c>
      <c r="H4489" s="2" t="s">
        <v>1243</v>
      </c>
    </row>
    <row r="4490" customFormat="false" ht="15" hidden="false" customHeight="false" outlineLevel="1" collapsed="false">
      <c r="A4490" s="7" t="s">
        <v>610</v>
      </c>
      <c r="B4490" s="8" t="s">
        <v>413</v>
      </c>
      <c r="C4490" s="61" t="n">
        <f aca="false">Pressupostos!$C$365</f>
        <v>0</v>
      </c>
      <c r="D4490" s="61" t="n">
        <f aca="false">Pressupostos!$D$365</f>
        <v>0</v>
      </c>
      <c r="E4490" s="61" t="n">
        <f aca="false">Pressupostos!$E$365</f>
        <v>0</v>
      </c>
      <c r="F4490" s="61" t="n">
        <f aca="false">Pressupostos!$F$365</f>
        <v>0</v>
      </c>
      <c r="G4490" s="61" t="n">
        <f aca="false">Pressupostos!$G$365</f>
        <v>0</v>
      </c>
      <c r="H4490" s="2" t="s">
        <v>1244</v>
      </c>
    </row>
    <row r="4491" customFormat="false" ht="15" hidden="false" customHeight="false" outlineLevel="1" collapsed="false">
      <c r="A4491" s="7" t="s">
        <v>611</v>
      </c>
      <c r="B4491" s="8" t="s">
        <v>413</v>
      </c>
      <c r="C4491" s="61" t="n">
        <f aca="false">Pressupostos!$C$371</f>
        <v>0</v>
      </c>
      <c r="D4491" s="61" t="n">
        <f aca="false">Pressupostos!$D$371</f>
        <v>0</v>
      </c>
      <c r="E4491" s="61" t="n">
        <f aca="false">Pressupostos!$E$371</f>
        <v>0</v>
      </c>
      <c r="F4491" s="61" t="n">
        <f aca="false">Pressupostos!$F$371</f>
        <v>0</v>
      </c>
      <c r="G4491" s="61" t="n">
        <f aca="false">Pressupostos!$G$371</f>
        <v>0</v>
      </c>
      <c r="H4491" s="2" t="s">
        <v>1245</v>
      </c>
    </row>
    <row r="4492" customFormat="false" ht="15" hidden="false" customHeight="false" outlineLevel="1" collapsed="false">
      <c r="A4492" s="7" t="s">
        <v>612</v>
      </c>
      <c r="B4492" s="8" t="s">
        <v>413</v>
      </c>
      <c r="C4492" s="61" t="n">
        <f aca="false">Pressupostos!$C$377</f>
        <v>0</v>
      </c>
      <c r="D4492" s="61" t="n">
        <f aca="false">Pressupostos!$D$377</f>
        <v>0</v>
      </c>
      <c r="E4492" s="61" t="n">
        <f aca="false">Pressupostos!$E$377</f>
        <v>0</v>
      </c>
      <c r="F4492" s="61" t="n">
        <f aca="false">Pressupostos!$F$377</f>
        <v>1</v>
      </c>
      <c r="G4492" s="61" t="n">
        <f aca="false">Pressupostos!$G$377</f>
        <v>1</v>
      </c>
      <c r="H4492" s="2" t="s">
        <v>1246</v>
      </c>
    </row>
    <row r="4493" customFormat="false" ht="15" hidden="false" customHeight="false" outlineLevel="1" collapsed="false">
      <c r="A4493" s="7" t="s">
        <v>613</v>
      </c>
      <c r="B4493" s="8" t="s">
        <v>413</v>
      </c>
      <c r="C4493" s="61" t="n">
        <f aca="false">Pressupostos!$C$383</f>
        <v>0</v>
      </c>
      <c r="D4493" s="61" t="n">
        <f aca="false">Pressupostos!$D$383</f>
        <v>0</v>
      </c>
      <c r="E4493" s="61" t="n">
        <f aca="false">Pressupostos!$E$383</f>
        <v>1</v>
      </c>
      <c r="F4493" s="61" t="n">
        <f aca="false">Pressupostos!$F$383</f>
        <v>1</v>
      </c>
      <c r="G4493" s="61" t="n">
        <f aca="false">Pressupostos!$G$383</f>
        <v>1</v>
      </c>
      <c r="H4493" s="2" t="s">
        <v>1247</v>
      </c>
    </row>
    <row r="4494" customFormat="false" ht="15" hidden="false" customHeight="false" outlineLevel="1" collapsed="false">
      <c r="A4494" s="52" t="s">
        <v>614</v>
      </c>
      <c r="B4494" s="53" t="s">
        <v>413</v>
      </c>
      <c r="C4494" s="62" t="n">
        <f aca="false">C4482+C4483+C4484+C4485+C4486+C4487+C4488+C4489+C4490+C4491+C4492+C4493</f>
        <v>5.5</v>
      </c>
      <c r="D4494" s="62" t="n">
        <f aca="false">D4482+D4483+D4484+D4485+D4486+D4487+D4488+D4489+D4490+D4491+D4492+D4493</f>
        <v>7.5</v>
      </c>
      <c r="E4494" s="62" t="n">
        <f aca="false">E4482+E4483+E4484+E4485+E4486+E4487+E4488+E4489+E4490+E4491+E4492+E4493</f>
        <v>8.5</v>
      </c>
      <c r="F4494" s="62" t="n">
        <f aca="false">F4482+F4483+F4484+F4485+F4486+F4487+F4488+F4489+F4490+F4491+F4492+F4493</f>
        <v>11</v>
      </c>
      <c r="G4494" s="62" t="n">
        <f aca="false">G4482+G4483+G4484+G4485+G4486+G4487+G4488+G4489+G4490+G4491+G4492+G4493</f>
        <v>12</v>
      </c>
      <c r="H4494" s="2" t="s">
        <v>1248</v>
      </c>
    </row>
    <row r="4495" customFormat="false" ht="15" hidden="false" customHeight="false" outlineLevel="0" collapsed="false">
      <c r="A4495" s="3" t="s">
        <v>1249</v>
      </c>
      <c r="B4495" s="4"/>
      <c r="C4495" s="4"/>
      <c r="D4495" s="4"/>
      <c r="E4495" s="4"/>
      <c r="F4495" s="4"/>
      <c r="G4495" s="4"/>
      <c r="H4495" s="4"/>
    </row>
    <row r="4496" customFormat="false" ht="15" hidden="false" customHeight="false" outlineLevel="1" collapsed="false">
      <c r="A4496" s="7" t="s">
        <v>602</v>
      </c>
      <c r="B4496" s="8" t="s">
        <v>10</v>
      </c>
      <c r="C4496" s="58" t="n">
        <f aca="false">C4482*Pressupostos!$C$129*(1+Pressupostos!$C$125)^0*(1+Pressupostos!$C$130)*Pressupostos!$C$126</f>
        <v>43998</v>
      </c>
      <c r="D4496" s="58" t="n">
        <f aca="false">D4482*Pressupostos!$C$129*(1+Pressupostos!$C$125)^1*(1+Pressupostos!$C$130)</f>
        <v>61800</v>
      </c>
      <c r="E4496" s="58" t="n">
        <f aca="false">E4482*Pressupostos!$C$129*(1+Pressupostos!$C$125)^2*(1+Pressupostos!$C$130)</f>
        <v>63654</v>
      </c>
      <c r="F4496" s="58" t="n">
        <f aca="false">F4482*Pressupostos!$C$129*(1+Pressupostos!$C$125)^3*(1+Pressupostos!$C$130)</f>
        <v>65563.62</v>
      </c>
      <c r="G4496" s="58" t="n">
        <f aca="false">G4482*Pressupostos!$C$129*(1+Pressupostos!$C$125)^4*(1+Pressupostos!$C$130)</f>
        <v>67530.5286</v>
      </c>
      <c r="H4496" s="2" t="s">
        <v>1250</v>
      </c>
    </row>
    <row r="4497" customFormat="false" ht="15" hidden="false" customHeight="false" outlineLevel="1" collapsed="false">
      <c r="A4497" s="7" t="s">
        <v>603</v>
      </c>
      <c r="B4497" s="8" t="s">
        <v>10</v>
      </c>
      <c r="C4497" s="58" t="n">
        <f aca="false">C4483*Pressupostos!$C$131*(1+Pressupostos!$C$125)^0*(1+Pressupostos!$C$132)*Pressupostos!$C$126</f>
        <v>47664.5</v>
      </c>
      <c r="D4497" s="58" t="n">
        <f aca="false">D4483*Pressupostos!$C$131*(1+Pressupostos!$C$125)^1*(1+Pressupostos!$C$132)</f>
        <v>66950</v>
      </c>
      <c r="E4497" s="58" t="n">
        <f aca="false">E4483*Pressupostos!$C$131*(1+Pressupostos!$C$125)^2*(1+Pressupostos!$C$132)</f>
        <v>68958.5</v>
      </c>
      <c r="F4497" s="58" t="n">
        <f aca="false">F4483*Pressupostos!$C$131*(1+Pressupostos!$C$125)^3*(1+Pressupostos!$C$132)</f>
        <v>71027.255</v>
      </c>
      <c r="G4497" s="58" t="n">
        <f aca="false">G4483*Pressupostos!$C$131*(1+Pressupostos!$C$125)^4*(1+Pressupostos!$C$132)</f>
        <v>73158.07265</v>
      </c>
      <c r="H4497" s="2" t="s">
        <v>1251</v>
      </c>
    </row>
    <row r="4498" customFormat="false" ht="15" hidden="false" customHeight="false" outlineLevel="1" collapsed="false">
      <c r="A4498" s="7" t="s">
        <v>604</v>
      </c>
      <c r="B4498" s="8" t="s">
        <v>10</v>
      </c>
      <c r="C4498" s="58" t="n">
        <f aca="false">C4484*Pressupostos!$C$133*(1+Pressupostos!$C$125)^0*(1+Pressupostos!$C$134)</f>
        <v>0</v>
      </c>
      <c r="D4498" s="58" t="n">
        <f aca="false">D4484*Pressupostos!$C$133*(1+Pressupostos!$C$125)^1*(1+Pressupostos!$C$134)</f>
        <v>46350</v>
      </c>
      <c r="E4498" s="58" t="n">
        <f aca="false">E4484*Pressupostos!$C$133*(1+Pressupostos!$C$125)^2*(1+Pressupostos!$C$134)</f>
        <v>47740.5</v>
      </c>
      <c r="F4498" s="58" t="n">
        <f aca="false">F4484*Pressupostos!$C$133*(1+Pressupostos!$C$125)^3*(1+Pressupostos!$C$134)</f>
        <v>49172.715</v>
      </c>
      <c r="G4498" s="58" t="n">
        <f aca="false">G4484*Pressupostos!$C$133*(1+Pressupostos!$C$125)^4*(1+Pressupostos!$C$134)</f>
        <v>50647.89645</v>
      </c>
      <c r="H4498" s="2" t="s">
        <v>1252</v>
      </c>
    </row>
    <row r="4499" customFormat="false" ht="15" hidden="false" customHeight="false" outlineLevel="1" collapsed="false">
      <c r="A4499" s="7" t="s">
        <v>605</v>
      </c>
      <c r="B4499" s="8" t="s">
        <v>10</v>
      </c>
      <c r="C4499" s="58" t="n">
        <f aca="false">C4485*Pressupostos!$C$135*(1+Pressupostos!$C$125)^0*(1+Pressupostos!$C$136)</f>
        <v>30000</v>
      </c>
      <c r="D4499" s="58" t="n">
        <f aca="false">D4485*Pressupostos!$C$135*(1+Pressupostos!$C$125)^1*(1+Pressupostos!$C$136)</f>
        <v>61800</v>
      </c>
      <c r="E4499" s="58" t="n">
        <f aca="false">E4485*Pressupostos!$C$135*(1+Pressupostos!$C$125)^2*(1+Pressupostos!$C$136)</f>
        <v>63654</v>
      </c>
      <c r="F4499" s="58" t="n">
        <f aca="false">F4485*Pressupostos!$C$135*(1+Pressupostos!$C$125)^3*(1+Pressupostos!$C$136)</f>
        <v>65563.62</v>
      </c>
      <c r="G4499" s="58" t="n">
        <f aca="false">G4485*Pressupostos!$C$135*(1+Pressupostos!$C$125)^4*(1+Pressupostos!$C$136)</f>
        <v>67530.5286</v>
      </c>
      <c r="H4499" s="2" t="s">
        <v>1253</v>
      </c>
    </row>
    <row r="4500" customFormat="false" ht="15" hidden="false" customHeight="false" outlineLevel="1" collapsed="false">
      <c r="A4500" s="7" t="s">
        <v>606</v>
      </c>
      <c r="B4500" s="8" t="s">
        <v>10</v>
      </c>
      <c r="C4500" s="58" t="n">
        <f aca="false">C4486*Pressupostos!$C$137*(1+Pressupostos!$C$125)^0*(1+Pressupostos!$C$138)</f>
        <v>22500</v>
      </c>
      <c r="D4500" s="58" t="n">
        <f aca="false">D4486*Pressupostos!$C$137*(1+Pressupostos!$C$125)^1*(1+Pressupostos!$C$138)</f>
        <v>23175</v>
      </c>
      <c r="E4500" s="58" t="n">
        <f aca="false">E4486*Pressupostos!$C$137*(1+Pressupostos!$C$125)^2*(1+Pressupostos!$C$138)</f>
        <v>23870.25</v>
      </c>
      <c r="F4500" s="58" t="n">
        <f aca="false">F4486*Pressupostos!$C$137*(1+Pressupostos!$C$125)^3*(1+Pressupostos!$C$138)</f>
        <v>49172.715</v>
      </c>
      <c r="G4500" s="58" t="n">
        <f aca="false">G4486*Pressupostos!$C$137*(1+Pressupostos!$C$125)^4*(1+Pressupostos!$C$138)</f>
        <v>50647.89645</v>
      </c>
      <c r="H4500" s="2" t="s">
        <v>1254</v>
      </c>
    </row>
    <row r="4501" customFormat="false" ht="15" hidden="false" customHeight="false" outlineLevel="1" collapsed="false">
      <c r="A4501" s="7" t="s">
        <v>607</v>
      </c>
      <c r="B4501" s="8" t="s">
        <v>10</v>
      </c>
      <c r="C4501" s="58" t="n">
        <f aca="false">C4487*Pressupostos!$C$139*(1+Pressupostos!$C$125)^0*(1+Pressupostos!$C$140)</f>
        <v>38000</v>
      </c>
      <c r="D4501" s="58" t="n">
        <f aca="false">D4487*Pressupostos!$C$139*(1+Pressupostos!$C$125)^1*(1+Pressupostos!$C$140)</f>
        <v>39140</v>
      </c>
      <c r="E4501" s="58" t="n">
        <f aca="false">E4487*Pressupostos!$C$139*(1+Pressupostos!$C$125)^2*(1+Pressupostos!$C$140)</f>
        <v>40314.2</v>
      </c>
      <c r="F4501" s="58" t="n">
        <f aca="false">F4487*Pressupostos!$C$139*(1+Pressupostos!$C$125)^3*(1+Pressupostos!$C$140)</f>
        <v>41523.626</v>
      </c>
      <c r="G4501" s="58" t="n">
        <f aca="false">G4487*Pressupostos!$C$139*(1+Pressupostos!$C$125)^4*(1+Pressupostos!$C$140)</f>
        <v>42769.33478</v>
      </c>
      <c r="H4501" s="2" t="s">
        <v>1255</v>
      </c>
    </row>
    <row r="4502" customFormat="false" ht="15" hidden="false" customHeight="false" outlineLevel="1" collapsed="false">
      <c r="A4502" s="7" t="s">
        <v>608</v>
      </c>
      <c r="B4502" s="8" t="s">
        <v>10</v>
      </c>
      <c r="C4502" s="58" t="n">
        <f aca="false">C4488*Pressupostos!$C$141*(1+Pressupostos!$C$125)^0*(1+Pressupostos!$C$142)</f>
        <v>16000</v>
      </c>
      <c r="D4502" s="58" t="n">
        <f aca="false">D4488*Pressupostos!$C$141*(1+Pressupostos!$C$125)^1*(1+Pressupostos!$C$142)</f>
        <v>32960</v>
      </c>
      <c r="E4502" s="58" t="n">
        <f aca="false">E4488*Pressupostos!$C$141*(1+Pressupostos!$C$125)^2*(1+Pressupostos!$C$142)</f>
        <v>33948.8</v>
      </c>
      <c r="F4502" s="58" t="n">
        <f aca="false">F4488*Pressupostos!$C$141*(1+Pressupostos!$C$125)^3*(1+Pressupostos!$C$142)</f>
        <v>34967.264</v>
      </c>
      <c r="G4502" s="58" t="n">
        <f aca="false">G4488*Pressupostos!$C$141*(1+Pressupostos!$C$125)^4*(1+Pressupostos!$C$142)</f>
        <v>36016.28192</v>
      </c>
      <c r="H4502" s="2" t="s">
        <v>1256</v>
      </c>
    </row>
    <row r="4503" customFormat="false" ht="15" hidden="false" customHeight="false" outlineLevel="1" collapsed="false">
      <c r="A4503" s="7" t="s">
        <v>609</v>
      </c>
      <c r="B4503" s="8" t="s">
        <v>10</v>
      </c>
      <c r="C4503" s="58" t="n">
        <f aca="false">C4489*Pressupostos!$C$143*(1+Pressupostos!$C$125)^0*(1+Pressupostos!$C$144)</f>
        <v>34500</v>
      </c>
      <c r="D4503" s="58" t="n">
        <f aca="false">D4489*Pressupostos!$C$143*(1+Pressupostos!$C$125)^1*(1+Pressupostos!$C$144)</f>
        <v>35535</v>
      </c>
      <c r="E4503" s="58" t="n">
        <f aca="false">E4489*Pressupostos!$C$143*(1+Pressupostos!$C$125)^2*(1+Pressupostos!$C$144)</f>
        <v>36601.05</v>
      </c>
      <c r="F4503" s="58" t="n">
        <f aca="false">F4489*Pressupostos!$C$143*(1+Pressupostos!$C$125)^3*(1+Pressupostos!$C$144)</f>
        <v>75398.163</v>
      </c>
      <c r="G4503" s="58" t="n">
        <f aca="false">G4489*Pressupostos!$C$143*(1+Pressupostos!$C$125)^4*(1+Pressupostos!$C$144)</f>
        <v>116490.161835</v>
      </c>
      <c r="H4503" s="2" t="s">
        <v>1257</v>
      </c>
    </row>
    <row r="4504" customFormat="false" ht="15" hidden="false" customHeight="false" outlineLevel="1" collapsed="false">
      <c r="A4504" s="7" t="s">
        <v>610</v>
      </c>
      <c r="B4504" s="8" t="s">
        <v>10</v>
      </c>
      <c r="C4504" s="58" t="n">
        <f aca="false">C4490*Pressupostos!$C$145*(1+Pressupostos!$C$125)^0*(1+Pressupostos!$C$146)</f>
        <v>0</v>
      </c>
      <c r="D4504" s="58" t="n">
        <f aca="false">D4490*Pressupostos!$C$145*(1+Pressupostos!$C$125)^1*(1+Pressupostos!$C$146)</f>
        <v>0</v>
      </c>
      <c r="E4504" s="58" t="n">
        <f aca="false">E4490*Pressupostos!$C$145*(1+Pressupostos!$C$125)^2*(1+Pressupostos!$C$146)</f>
        <v>0</v>
      </c>
      <c r="F4504" s="58" t="n">
        <f aca="false">F4490*Pressupostos!$C$145*(1+Pressupostos!$C$125)^3*(1+Pressupostos!$C$146)</f>
        <v>0</v>
      </c>
      <c r="G4504" s="58" t="n">
        <f aca="false">G4490*Pressupostos!$C$145*(1+Pressupostos!$C$125)^4*(1+Pressupostos!$C$146)</f>
        <v>0</v>
      </c>
      <c r="H4504" s="2" t="s">
        <v>1258</v>
      </c>
    </row>
    <row r="4505" customFormat="false" ht="15" hidden="false" customHeight="false" outlineLevel="1" collapsed="false">
      <c r="A4505" s="7" t="s">
        <v>611</v>
      </c>
      <c r="B4505" s="8" t="s">
        <v>10</v>
      </c>
      <c r="C4505" s="58" t="n">
        <f aca="false">C4491*Pressupostos!$C$147*(1+Pressupostos!$C$125)^0*(1+Pressupostos!$C$148)</f>
        <v>0</v>
      </c>
      <c r="D4505" s="58" t="n">
        <f aca="false">D4491*Pressupostos!$C$147*(1+Pressupostos!$C$125)^1*(1+Pressupostos!$C$148)</f>
        <v>0</v>
      </c>
      <c r="E4505" s="58" t="n">
        <f aca="false">E4491*Pressupostos!$C$147*(1+Pressupostos!$C$125)^2*(1+Pressupostos!$C$148)</f>
        <v>0</v>
      </c>
      <c r="F4505" s="58" t="n">
        <f aca="false">F4491*Pressupostos!$C$147*(1+Pressupostos!$C$125)^3*(1+Pressupostos!$C$148)</f>
        <v>0</v>
      </c>
      <c r="G4505" s="58" t="n">
        <f aca="false">G4491*Pressupostos!$C$147*(1+Pressupostos!$C$125)^4*(1+Pressupostos!$C$148)</f>
        <v>0</v>
      </c>
      <c r="H4505" s="2" t="s">
        <v>1259</v>
      </c>
    </row>
    <row r="4506" customFormat="false" ht="15" hidden="false" customHeight="false" outlineLevel="1" collapsed="false">
      <c r="A4506" s="7" t="s">
        <v>612</v>
      </c>
      <c r="B4506" s="8" t="s">
        <v>10</v>
      </c>
      <c r="C4506" s="58" t="n">
        <f aca="false">C4492*Pressupostos!$C$149*(1+Pressupostos!$C$125)^0*(1+Pressupostos!$C$150)</f>
        <v>0</v>
      </c>
      <c r="D4506" s="58" t="n">
        <f aca="false">D4492*Pressupostos!$C$149*(1+Pressupostos!$C$125)^1*(1+Pressupostos!$C$150)</f>
        <v>0</v>
      </c>
      <c r="E4506" s="58" t="n">
        <f aca="false">E4492*Pressupostos!$C$149*(1+Pressupostos!$C$125)^2*(1+Pressupostos!$C$150)</f>
        <v>0</v>
      </c>
      <c r="F4506" s="58" t="n">
        <f aca="false">F4492*Pressupostos!$C$149*(1+Pressupostos!$C$125)^3*(1+Pressupostos!$C$150)</f>
        <v>26225.448</v>
      </c>
      <c r="G4506" s="58" t="n">
        <f aca="false">G4492*Pressupostos!$C$149*(1+Pressupostos!$C$125)^4*(1+Pressupostos!$C$150)</f>
        <v>27012.21144</v>
      </c>
      <c r="H4506" s="2" t="s">
        <v>1260</v>
      </c>
    </row>
    <row r="4507" customFormat="false" ht="15" hidden="false" customHeight="false" outlineLevel="1" collapsed="false">
      <c r="A4507" s="7" t="s">
        <v>613</v>
      </c>
      <c r="B4507" s="8" t="s">
        <v>10</v>
      </c>
      <c r="C4507" s="58" t="n">
        <f aca="false">C4493*Pressupostos!$C$151*(1+Pressupostos!$C$125)^0*(1+Pressupostos!$C$152)</f>
        <v>0</v>
      </c>
      <c r="D4507" s="58" t="n">
        <f aca="false">D4493*Pressupostos!$C$151*(1+Pressupostos!$C$125)^1*(1+Pressupostos!$C$152)</f>
        <v>0</v>
      </c>
      <c r="E4507" s="58" t="n">
        <f aca="false">E4493*Pressupostos!$C$151*(1+Pressupostos!$C$125)^2*(1+Pressupostos!$C$152)</f>
        <v>54901.575</v>
      </c>
      <c r="F4507" s="58" t="n">
        <f aca="false">F4493*Pressupostos!$C$151*(1+Pressupostos!$C$125)^3*(1+Pressupostos!$C$152)</f>
        <v>56548.62225</v>
      </c>
      <c r="G4507" s="58" t="n">
        <f aca="false">G4493*Pressupostos!$C$151*(1+Pressupostos!$C$125)^4*(1+Pressupostos!$C$152)</f>
        <v>58245.0809175</v>
      </c>
      <c r="H4507" s="2" t="s">
        <v>1261</v>
      </c>
    </row>
    <row r="4508" customFormat="false" ht="15" hidden="false" customHeight="false" outlineLevel="1" collapsed="false">
      <c r="A4508" s="7" t="s">
        <v>616</v>
      </c>
      <c r="B4508" s="8" t="s">
        <v>10</v>
      </c>
      <c r="C4508" s="58" t="n">
        <f aca="false">C4496+C4497+C4498+C4499+C4500+C4501+C4502+C4503+C4504+C4505+C4506+C4507</f>
        <v>232662.5</v>
      </c>
      <c r="D4508" s="58" t="n">
        <f aca="false">D4496+D4497+D4498+D4499+D4500+D4501+D4502+D4503+D4504+D4505+D4506+D4507</f>
        <v>367710</v>
      </c>
      <c r="E4508" s="58" t="n">
        <f aca="false">E4496+E4497+E4498+E4499+E4500+E4501+E4502+E4503+E4504+E4505+E4506+E4507</f>
        <v>433642.875</v>
      </c>
      <c r="F4508" s="58" t="n">
        <f aca="false">F4496+F4497+F4498+F4499+F4500+F4501+F4502+F4503+F4504+F4505+F4506+F4507</f>
        <v>535163.04825</v>
      </c>
      <c r="G4508" s="58" t="n">
        <f aca="false">G4496+G4497+G4498+G4499+G4500+G4501+G4502+G4503+G4504+G4505+G4506+G4507</f>
        <v>590047.9936425</v>
      </c>
      <c r="H4508" s="2" t="s">
        <v>1262</v>
      </c>
    </row>
    <row r="4509" customFormat="false" ht="15" hidden="false" customHeight="false" outlineLevel="1" collapsed="false">
      <c r="A4509" s="7" t="s">
        <v>617</v>
      </c>
      <c r="B4509" s="8" t="s">
        <v>10</v>
      </c>
      <c r="C4509" s="58" t="n">
        <f aca="false">C4508*(Pressupostos!$C$122+Pressupostos!$C$123)</f>
        <v>59910.59375</v>
      </c>
      <c r="D4509" s="58" t="n">
        <f aca="false">D4508*(Pressupostos!$C$122+Pressupostos!$C$123)</f>
        <v>94685.325</v>
      </c>
      <c r="E4509" s="58" t="n">
        <f aca="false">E4508*(Pressupostos!$C$122+Pressupostos!$C$123)</f>
        <v>111663.0403125</v>
      </c>
      <c r="F4509" s="58" t="n">
        <f aca="false">F4508*(Pressupostos!$C$122+Pressupostos!$C$123)</f>
        <v>137804.484924375</v>
      </c>
      <c r="G4509" s="58" t="n">
        <f aca="false">G4508*(Pressupostos!$C$122+Pressupostos!$C$123)</f>
        <v>151937.358362944</v>
      </c>
      <c r="H4509" s="2" t="s">
        <v>1263</v>
      </c>
    </row>
    <row r="4510" customFormat="false" ht="15" hidden="false" customHeight="false" outlineLevel="1" collapsed="false">
      <c r="A4510" s="7" t="s">
        <v>618</v>
      </c>
      <c r="B4510" s="8" t="s">
        <v>10</v>
      </c>
      <c r="C4510" s="58" t="n">
        <f aca="false">C4494*Pressupostos!$C$124*(1+Pressupostos!$C$125)^0</f>
        <v>11000</v>
      </c>
      <c r="D4510" s="58" t="n">
        <f aca="false">D4494*Pressupostos!$C$124*(1+Pressupostos!$C$125)^1</f>
        <v>15450</v>
      </c>
      <c r="E4510" s="58" t="n">
        <f aca="false">E4494*Pressupostos!$C$124*(1+Pressupostos!$C$125)^2</f>
        <v>18035.3</v>
      </c>
      <c r="F4510" s="58" t="n">
        <f aca="false">F4494*Pressupostos!$C$124*(1+Pressupostos!$C$125)^3</f>
        <v>24039.994</v>
      </c>
      <c r="G4510" s="58" t="n">
        <f aca="false">G4494*Pressupostos!$C$124*(1+Pressupostos!$C$125)^4</f>
        <v>27012.21144</v>
      </c>
      <c r="H4510" s="2" t="s">
        <v>1264</v>
      </c>
    </row>
    <row r="4511" customFormat="false" ht="15" hidden="false" customHeight="false" outlineLevel="1" collapsed="false">
      <c r="A4511" s="52" t="s">
        <v>619</v>
      </c>
      <c r="B4511" s="53" t="s">
        <v>10</v>
      </c>
      <c r="C4511" s="59" t="n">
        <f aca="false">C4508+C4509+C4510</f>
        <v>303573.09375</v>
      </c>
      <c r="D4511" s="59" t="n">
        <f aca="false">D4508+D4509+D4510</f>
        <v>477845.325</v>
      </c>
      <c r="E4511" s="59" t="n">
        <f aca="false">E4508+E4509+E4510</f>
        <v>563341.2153125</v>
      </c>
      <c r="F4511" s="59" t="n">
        <f aca="false">F4508+F4509+F4510</f>
        <v>697007.527174375</v>
      </c>
      <c r="G4511" s="59" t="n">
        <f aca="false">G4508+G4509+G4510</f>
        <v>768997.563445444</v>
      </c>
      <c r="H4511" s="2" t="s">
        <v>1265</v>
      </c>
    </row>
    <row r="4512" customFormat="false" ht="15" hidden="false" customHeight="false" outlineLevel="1" collapsed="false">
      <c r="A4512" s="2" t="s">
        <v>620</v>
      </c>
      <c r="B4512" s="8" t="s">
        <v>10</v>
      </c>
      <c r="C4512" s="58" t="n">
        <f aca="false">IF(C4494&gt;0,C4511/C4494,0)</f>
        <v>55195.1079545455</v>
      </c>
      <c r="D4512" s="58" t="n">
        <f aca="false">IF(D4494&gt;0,D4511/D4494,0)</f>
        <v>63712.71</v>
      </c>
      <c r="E4512" s="58" t="n">
        <f aca="false">IF(E4494&gt;0,E4511/E4494,0)</f>
        <v>66275.4370955882</v>
      </c>
      <c r="F4512" s="58" t="n">
        <f aca="false">IF(F4494&gt;0,F4511/F4494,0)</f>
        <v>63364.3206522159</v>
      </c>
      <c r="G4512" s="58" t="n">
        <f aca="false">IF(G4494&gt;0,G4511/G4494,0)</f>
        <v>64083.1302871203</v>
      </c>
      <c r="H4512" s="2" t="s">
        <v>1266</v>
      </c>
    </row>
    <row r="4513" customFormat="false" ht="15" hidden="false" customHeight="false" outlineLevel="0" collapsed="false">
      <c r="A4513" s="3" t="s">
        <v>1267</v>
      </c>
      <c r="B4513" s="4"/>
      <c r="C4513" s="4"/>
      <c r="D4513" s="4"/>
      <c r="E4513" s="4"/>
      <c r="F4513" s="4"/>
      <c r="G4513" s="4"/>
      <c r="H4513" s="4"/>
    </row>
    <row r="4514" customFormat="false" ht="15" hidden="false" customHeight="false" outlineLevel="1" collapsed="false">
      <c r="A4514" s="7" t="s">
        <v>430</v>
      </c>
      <c r="B4514" s="8" t="s">
        <v>10</v>
      </c>
      <c r="C4514" s="58" t="n">
        <f aca="false">Pressupostos!$C$390*(1+Pressupostos!$C$154)*(1+Pressupostos!$C$155)^0</f>
        <v>94500</v>
      </c>
      <c r="D4514" s="58" t="n">
        <f aca="false">Pressupostos!$D$390*(1+Pressupostos!$C$154)*(1+Pressupostos!$C$155)^1</f>
        <v>53550</v>
      </c>
      <c r="E4514" s="58" t="n">
        <f aca="false">Pressupostos!$E$390*(1+Pressupostos!$C$154)*(1+Pressupostos!$C$155)^2</f>
        <v>49158.9</v>
      </c>
      <c r="F4514" s="58" t="n">
        <f aca="false">Pressupostos!$F$390*(1+Pressupostos!$C$154)*(1+Pressupostos!$C$155)^3</f>
        <v>50142.078</v>
      </c>
      <c r="G4514" s="58" t="n">
        <f aca="false">Pressupostos!$G$390*(1+Pressupostos!$C$154)*(1+Pressupostos!$C$155)^4</f>
        <v>51144.91956</v>
      </c>
      <c r="H4514" s="2" t="s">
        <v>1268</v>
      </c>
    </row>
    <row r="4515" customFormat="false" ht="15" hidden="false" customHeight="false" outlineLevel="1" collapsed="false">
      <c r="A4515" s="7" t="s">
        <v>432</v>
      </c>
      <c r="B4515" s="8" t="s">
        <v>10</v>
      </c>
      <c r="C4515" s="58" t="n">
        <f aca="false">Pressupostos!$C$396*(1+Pressupostos!$C$154)*(1+Pressupostos!$C$155)^0</f>
        <v>10500</v>
      </c>
      <c r="D4515" s="58" t="n">
        <f aca="false">Pressupostos!$D$396*(1+Pressupostos!$C$154)*(1+Pressupostos!$C$155)^1</f>
        <v>10710</v>
      </c>
      <c r="E4515" s="58" t="n">
        <f aca="false">Pressupostos!$E$396*(1+Pressupostos!$C$154)*(1+Pressupostos!$C$155)^2</f>
        <v>10924.2</v>
      </c>
      <c r="F4515" s="58" t="n">
        <f aca="false">Pressupostos!$F$396*(1+Pressupostos!$C$154)*(1+Pressupostos!$C$155)^3</f>
        <v>11142.684</v>
      </c>
      <c r="G4515" s="58" t="n">
        <f aca="false">Pressupostos!$G$396*(1+Pressupostos!$C$154)*(1+Pressupostos!$C$155)^4</f>
        <v>11365.53768</v>
      </c>
      <c r="H4515" s="2" t="s">
        <v>1269</v>
      </c>
    </row>
    <row r="4516" customFormat="false" ht="15" hidden="false" customHeight="false" outlineLevel="1" collapsed="false">
      <c r="A4516" s="7" t="s">
        <v>433</v>
      </c>
      <c r="B4516" s="8" t="s">
        <v>10</v>
      </c>
      <c r="C4516" s="58" t="n">
        <f aca="false">Pressupostos!$C$402*(1+Pressupostos!$C$154)*(1+Pressupostos!$C$155)^0</f>
        <v>12600</v>
      </c>
      <c r="D4516" s="58" t="n">
        <f aca="false">Pressupostos!$D$402*(1+Pressupostos!$C$154)*(1+Pressupostos!$C$155)^1</f>
        <v>12852</v>
      </c>
      <c r="E4516" s="58" t="n">
        <f aca="false">Pressupostos!$E$402*(1+Pressupostos!$C$154)*(1+Pressupostos!$C$155)^2</f>
        <v>13109.04</v>
      </c>
      <c r="F4516" s="58" t="n">
        <f aca="false">Pressupostos!$F$402*(1+Pressupostos!$C$154)*(1+Pressupostos!$C$155)^3</f>
        <v>13371.2208</v>
      </c>
      <c r="G4516" s="58" t="n">
        <f aca="false">Pressupostos!$G$402*(1+Pressupostos!$C$154)*(1+Pressupostos!$C$155)^4</f>
        <v>13638.645216</v>
      </c>
      <c r="H4516" s="2" t="s">
        <v>1270</v>
      </c>
    </row>
    <row r="4517" customFormat="false" ht="15" hidden="false" customHeight="false" outlineLevel="1" collapsed="false">
      <c r="A4517" s="7" t="s">
        <v>435</v>
      </c>
      <c r="B4517" s="8" t="s">
        <v>10</v>
      </c>
      <c r="C4517" s="58" t="n">
        <f aca="false">Pressupostos!$C$408*(1+Pressupostos!$C$154)*(1+Pressupostos!$C$155)^0</f>
        <v>31500</v>
      </c>
      <c r="D4517" s="58" t="n">
        <f aca="false">Pressupostos!$D$408*(1+Pressupostos!$C$154)*(1+Pressupostos!$C$155)^1</f>
        <v>37485</v>
      </c>
      <c r="E4517" s="58" t="n">
        <f aca="false">Pressupostos!$E$408*(1+Pressupostos!$C$154)*(1+Pressupostos!$C$155)^2</f>
        <v>49158.9</v>
      </c>
      <c r="F4517" s="58" t="n">
        <f aca="false">Pressupostos!$F$408*(1+Pressupostos!$C$154)*(1+Pressupostos!$C$155)^3</f>
        <v>55713.42</v>
      </c>
      <c r="G4517" s="58" t="n">
        <f aca="false">Pressupostos!$G$408*(1+Pressupostos!$C$154)*(1+Pressupostos!$C$155)^4</f>
        <v>62510.45724</v>
      </c>
      <c r="H4517" s="2" t="s">
        <v>1271</v>
      </c>
    </row>
    <row r="4518" customFormat="false" ht="15" hidden="false" customHeight="false" outlineLevel="1" collapsed="false">
      <c r="A4518" s="7" t="s">
        <v>437</v>
      </c>
      <c r="B4518" s="8" t="s">
        <v>10</v>
      </c>
      <c r="C4518" s="58" t="n">
        <f aca="false">Pressupostos!$C$414*(1+Pressupostos!$C$154)*(1+Pressupostos!$C$155)^0</f>
        <v>15750</v>
      </c>
      <c r="D4518" s="58" t="n">
        <f aca="false">Pressupostos!$D$414*(1+Pressupostos!$C$154)*(1+Pressupostos!$C$155)^1</f>
        <v>16065</v>
      </c>
      <c r="E4518" s="58" t="n">
        <f aca="false">Pressupostos!$E$414*(1+Pressupostos!$C$154)*(1+Pressupostos!$C$155)^2</f>
        <v>38234.7</v>
      </c>
      <c r="F4518" s="58" t="n">
        <f aca="false">Pressupostos!$F$414*(1+Pressupostos!$C$154)*(1+Pressupostos!$C$155)^3</f>
        <v>22285.368</v>
      </c>
      <c r="G4518" s="58" t="n">
        <f aca="false">Pressupostos!$G$414*(1+Pressupostos!$C$154)*(1+Pressupostos!$C$155)^4</f>
        <v>22731.07536</v>
      </c>
      <c r="H4518" s="2" t="s">
        <v>1272</v>
      </c>
    </row>
    <row r="4519" customFormat="false" ht="15" hidden="false" customHeight="false" outlineLevel="1" collapsed="false">
      <c r="A4519" s="7" t="s">
        <v>439</v>
      </c>
      <c r="B4519" s="8" t="s">
        <v>10</v>
      </c>
      <c r="C4519" s="58" t="n">
        <f aca="false">Pressupostos!$C$420*(1+Pressupostos!$C$154)*(1+Pressupostos!$C$155)^0</f>
        <v>10500</v>
      </c>
      <c r="D4519" s="58" t="n">
        <f aca="false">Pressupostos!$D$420*(1+Pressupostos!$C$154)*(1+Pressupostos!$C$155)^1</f>
        <v>12852</v>
      </c>
      <c r="E4519" s="58" t="n">
        <f aca="false">Pressupostos!$E$420*(1+Pressupostos!$C$154)*(1+Pressupostos!$C$155)^2</f>
        <v>16386.3</v>
      </c>
      <c r="F4519" s="58" t="n">
        <f aca="false">Pressupostos!$F$420*(1+Pressupostos!$C$154)*(1+Pressupostos!$C$155)^3</f>
        <v>20056.8312</v>
      </c>
      <c r="G4519" s="58" t="n">
        <f aca="false">Pressupostos!$G$420*(1+Pressupostos!$C$154)*(1+Pressupostos!$C$155)^4</f>
        <v>22731.07536</v>
      </c>
      <c r="H4519" s="2" t="s">
        <v>1273</v>
      </c>
    </row>
    <row r="4520" customFormat="false" ht="15" hidden="false" customHeight="false" outlineLevel="1" collapsed="false">
      <c r="A4520" s="7" t="s">
        <v>440</v>
      </c>
      <c r="B4520" s="8" t="s">
        <v>10</v>
      </c>
      <c r="C4520" s="58" t="n">
        <f aca="false">Pressupostos!$C$426*(1+Pressupostos!$C$154)*(1+Pressupostos!$C$155)^0</f>
        <v>31500</v>
      </c>
      <c r="D4520" s="58" t="n">
        <f aca="false">Pressupostos!$D$426*(1+Pressupostos!$C$154)*(1+Pressupostos!$C$155)^1</f>
        <v>37485</v>
      </c>
      <c r="E4520" s="58" t="n">
        <f aca="false">Pressupostos!$E$426*(1+Pressupostos!$C$154)*(1+Pressupostos!$C$155)^2</f>
        <v>49158.9</v>
      </c>
      <c r="F4520" s="58" t="n">
        <f aca="false">Pressupostos!$F$426*(1+Pressupostos!$C$154)*(1+Pressupostos!$C$155)^3</f>
        <v>55713.42</v>
      </c>
      <c r="G4520" s="58" t="n">
        <f aca="false">Pressupostos!$G$426*(1+Pressupostos!$C$154)*(1+Pressupostos!$C$155)^4</f>
        <v>62510.45724</v>
      </c>
      <c r="H4520" s="2" t="s">
        <v>1274</v>
      </c>
    </row>
    <row r="4521" customFormat="false" ht="15" hidden="false" customHeight="false" outlineLevel="1" collapsed="false">
      <c r="A4521" s="7" t="s">
        <v>442</v>
      </c>
      <c r="B4521" s="8" t="s">
        <v>10</v>
      </c>
      <c r="C4521" s="58" t="n">
        <f aca="false">Pressupostos!$C$432*(1+Pressupostos!$C$154)*(1+Pressupostos!$C$155)^0</f>
        <v>6300</v>
      </c>
      <c r="D4521" s="58" t="n">
        <f aca="false">Pressupostos!$D$432*(1+Pressupostos!$C$154)*(1+Pressupostos!$C$155)^1</f>
        <v>8568</v>
      </c>
      <c r="E4521" s="58" t="n">
        <f aca="false">Pressupostos!$E$432*(1+Pressupostos!$C$154)*(1+Pressupostos!$C$155)^2</f>
        <v>13109.04</v>
      </c>
      <c r="F4521" s="58" t="n">
        <f aca="false">Pressupostos!$F$432*(1+Pressupostos!$C$154)*(1+Pressupostos!$C$155)^3</f>
        <v>16714.026</v>
      </c>
      <c r="G4521" s="58" t="n">
        <f aca="false">Pressupostos!$G$432*(1+Pressupostos!$C$154)*(1+Pressupostos!$C$155)^4</f>
        <v>20457.967824</v>
      </c>
      <c r="H4521" s="2" t="s">
        <v>1275</v>
      </c>
    </row>
    <row r="4522" customFormat="false" ht="15" hidden="false" customHeight="false" outlineLevel="1" collapsed="false">
      <c r="A4522" s="7" t="s">
        <v>444</v>
      </c>
      <c r="B4522" s="8" t="s">
        <v>10</v>
      </c>
      <c r="C4522" s="58" t="n">
        <f aca="false">Pressupostos!$C$438*(1+Pressupostos!$C$154)*(1+Pressupostos!$C$155)^0</f>
        <v>15750</v>
      </c>
      <c r="D4522" s="58" t="n">
        <f aca="false">Pressupostos!$D$438*(1+Pressupostos!$C$154)*(1+Pressupostos!$C$155)^1</f>
        <v>21420</v>
      </c>
      <c r="E4522" s="58" t="n">
        <f aca="false">Pressupostos!$E$438*(1+Pressupostos!$C$154)*(1+Pressupostos!$C$155)^2</f>
        <v>30587.76</v>
      </c>
      <c r="F4522" s="58" t="n">
        <f aca="false">Pressupostos!$F$438*(1+Pressupostos!$C$154)*(1+Pressupostos!$C$155)^3</f>
        <v>35656.5888</v>
      </c>
      <c r="G4522" s="58" t="n">
        <f aca="false">Pressupostos!$G$438*(1+Pressupostos!$C$154)*(1+Pressupostos!$C$155)^4</f>
        <v>40915.935648</v>
      </c>
      <c r="H4522" s="2" t="s">
        <v>1276</v>
      </c>
    </row>
    <row r="4523" customFormat="false" ht="15" hidden="false" customHeight="false" outlineLevel="1" collapsed="false">
      <c r="A4523" s="7" t="s">
        <v>445</v>
      </c>
      <c r="B4523" s="8" t="s">
        <v>10</v>
      </c>
      <c r="C4523" s="58" t="n">
        <f aca="false">Pressupostos!$C$444*(1+Pressupostos!$C$154)*(1+Pressupostos!$C$155)^0</f>
        <v>4200</v>
      </c>
      <c r="D4523" s="58" t="n">
        <f aca="false">Pressupostos!$D$444*(1+Pressupostos!$C$154)*(1+Pressupostos!$C$155)^1</f>
        <v>6426</v>
      </c>
      <c r="E4523" s="58" t="n">
        <f aca="false">Pressupostos!$E$444*(1+Pressupostos!$C$154)*(1+Pressupostos!$C$155)^2</f>
        <v>8739.36</v>
      </c>
      <c r="F4523" s="58" t="n">
        <f aca="false">Pressupostos!$F$444*(1+Pressupostos!$C$154)*(1+Pressupostos!$C$155)^3</f>
        <v>8914.1472</v>
      </c>
      <c r="G4523" s="58" t="n">
        <f aca="false">Pressupostos!$G$444*(1+Pressupostos!$C$154)*(1+Pressupostos!$C$155)^4</f>
        <v>9092.430144</v>
      </c>
      <c r="H4523" s="2" t="s">
        <v>1277</v>
      </c>
    </row>
    <row r="4524" customFormat="false" ht="15" hidden="false" customHeight="false" outlineLevel="1" collapsed="false">
      <c r="A4524" s="7" t="s">
        <v>661</v>
      </c>
      <c r="B4524" s="8" t="s">
        <v>10</v>
      </c>
      <c r="C4524" s="58" t="n">
        <f aca="false">C4514+C4515+C4516+C4517+C4518+C4519+C4520+C4521+C4522+C4523</f>
        <v>233100</v>
      </c>
      <c r="D4524" s="58" t="n">
        <f aca="false">D4514+D4515+D4516+D4517+D4518+D4519+D4520+D4521+D4522+D4523</f>
        <v>217413</v>
      </c>
      <c r="E4524" s="58" t="n">
        <f aca="false">E4514+E4515+E4516+E4517+E4518+E4519+E4520+E4521+E4522+E4523</f>
        <v>278567.1</v>
      </c>
      <c r="F4524" s="58" t="n">
        <f aca="false">F4514+F4515+F4516+F4517+F4518+F4519+F4520+F4521+F4522+F4523</f>
        <v>289709.784</v>
      </c>
      <c r="G4524" s="58" t="n">
        <f aca="false">G4514+G4515+G4516+G4517+G4518+G4519+G4520+G4521+G4522+G4523</f>
        <v>317098.501272</v>
      </c>
      <c r="H4524" s="2" t="s">
        <v>1278</v>
      </c>
    </row>
    <row r="4525" customFormat="false" ht="15" hidden="false" customHeight="false" outlineLevel="1" collapsed="false">
      <c r="A4525" s="7" t="s">
        <v>662</v>
      </c>
      <c r="B4525" s="8" t="s">
        <v>10</v>
      </c>
      <c r="C4525" s="58" t="n">
        <f aca="false">Pressupostos!$C$112+Pressupostos!$C$113+Pressupostos!$C$114*Pressupostos!$C$291+Pressupostos!$C$449</f>
        <v>65000</v>
      </c>
      <c r="D4525" s="58" t="n">
        <f aca="false">Pressupostos!$C$113+Pressupostos!$C$114*Pressupostos!$D$291+Pressupostos!$D$449</f>
        <v>65000</v>
      </c>
      <c r="E4525" s="58" t="n">
        <f aca="false">Pressupostos!$C$113+Pressupostos!$C$114*Pressupostos!$E$291+Pressupostos!$E$449</f>
        <v>70000</v>
      </c>
      <c r="F4525" s="58" t="n">
        <f aca="false">Pressupostos!$C$113+Pressupostos!$C$114*Pressupostos!$F$291+Pressupostos!$F$449</f>
        <v>75000</v>
      </c>
      <c r="G4525" s="58" t="n">
        <f aca="false">Pressupostos!$C$113+Pressupostos!$C$114*Pressupostos!$G$291+Pressupostos!$G$449</f>
        <v>80000</v>
      </c>
      <c r="H4525" s="2" t="s">
        <v>1279</v>
      </c>
    </row>
    <row r="4526" customFormat="false" ht="15" hidden="false" customHeight="false" outlineLevel="1" collapsed="false">
      <c r="A4526" s="7" t="s">
        <v>663</v>
      </c>
      <c r="B4526" s="8" t="s">
        <v>10</v>
      </c>
      <c r="C4526" s="58" t="n">
        <f aca="false">IF(C4348&lt;Pressupostos!$C$118,0,MAX(Pressupostos!$C$297,Pressupostos!$C$116*(C4436+C4437)+Pressupostos!$C$117*C4438))</f>
        <v>0</v>
      </c>
      <c r="D4526" s="58" t="n">
        <f aca="false">IF(D4348&lt;Pressupostos!$C$118,0,MAX(Pressupostos!$D$297,Pressupostos!$C$116*(D4436+D4437)+Pressupostos!$C$117*D4438))</f>
        <v>7542.92</v>
      </c>
      <c r="E4526" s="58" t="n">
        <f aca="false">IF(E4348&lt;Pressupostos!$C$118,0,MAX(Pressupostos!$E$297,Pressupostos!$C$116*(E4436+E4437)+Pressupostos!$C$117*E4438))</f>
        <v>17838.66</v>
      </c>
      <c r="F4526" s="58" t="n">
        <f aca="false">IF(F4348&lt;Pressupostos!$C$118,0,MAX(Pressupostos!$F$297,Pressupostos!$C$116*(F4436+F4437)+Pressupostos!$C$117*F4438))</f>
        <v>29684.9</v>
      </c>
      <c r="G4526" s="58" t="n">
        <f aca="false">IF(G4348&lt;Pressupostos!$C$118,0,MAX(Pressupostos!$G$297,Pressupostos!$C$116*(G4436+G4437)+Pressupostos!$C$117*G4438))</f>
        <v>43288</v>
      </c>
      <c r="H4526" s="2" t="s">
        <v>1280</v>
      </c>
    </row>
    <row r="4527" customFormat="false" ht="15" hidden="false" customHeight="false" outlineLevel="1" collapsed="false">
      <c r="A4527" s="52" t="s">
        <v>664</v>
      </c>
      <c r="B4527" s="53" t="s">
        <v>10</v>
      </c>
      <c r="C4527" s="59" t="n">
        <f aca="false">C4524+C4525+C4526</f>
        <v>298100</v>
      </c>
      <c r="D4527" s="59" t="n">
        <f aca="false">D4524+D4525+D4526</f>
        <v>289955.92</v>
      </c>
      <c r="E4527" s="59" t="n">
        <f aca="false">E4524+E4525+E4526</f>
        <v>366405.76</v>
      </c>
      <c r="F4527" s="59" t="n">
        <f aca="false">F4524+F4525+F4526</f>
        <v>394394.684</v>
      </c>
      <c r="G4527" s="59" t="n">
        <f aca="false">G4524+G4525+G4526</f>
        <v>440386.501272</v>
      </c>
      <c r="H4527" s="2" t="s">
        <v>1281</v>
      </c>
    </row>
    <row r="4528" customFormat="false" ht="15" hidden="false" customHeight="false" outlineLevel="0" collapsed="false">
      <c r="A4528" s="3" t="s">
        <v>1282</v>
      </c>
      <c r="B4528" s="4"/>
      <c r="C4528" s="4"/>
      <c r="D4528" s="4"/>
      <c r="E4528" s="4"/>
      <c r="F4528" s="4"/>
      <c r="G4528" s="4"/>
      <c r="H4528" s="4"/>
    </row>
    <row r="4529" customFormat="false" ht="15" hidden="false" customHeight="false" outlineLevel="1" collapsed="false">
      <c r="A4529" s="7" t="s">
        <v>666</v>
      </c>
      <c r="B4529" s="8" t="s">
        <v>10</v>
      </c>
      <c r="C4529" s="58" t="n">
        <f aca="false">Pressupostos!$C$163*Pressupostos!$C$304</f>
        <v>18000</v>
      </c>
      <c r="D4529" s="58" t="n">
        <f aca="false">Pressupostos!$C$163*Pressupostos!$D$304</f>
        <v>12000</v>
      </c>
      <c r="E4529" s="58" t="n">
        <f aca="false">Pressupostos!$C$163*Pressupostos!$E$304</f>
        <v>12000</v>
      </c>
      <c r="F4529" s="58" t="n">
        <f aca="false">Pressupostos!$C$163*Pressupostos!$F$304</f>
        <v>12000</v>
      </c>
      <c r="G4529" s="58" t="n">
        <f aca="false">Pressupostos!$C$163*Pressupostos!$G$304</f>
        <v>12000</v>
      </c>
      <c r="H4529" s="2" t="s">
        <v>1283</v>
      </c>
    </row>
    <row r="4530" customFormat="false" ht="15" hidden="false" customHeight="false" outlineLevel="1" collapsed="false">
      <c r="A4530" s="7" t="s">
        <v>667</v>
      </c>
      <c r="B4530" s="8" t="s">
        <v>10</v>
      </c>
      <c r="C4530" s="50" t="n">
        <f aca="false">Pressupostos!$C$310</f>
        <v>60000</v>
      </c>
      <c r="D4530" s="50" t="n">
        <f aca="false">Pressupostos!$D$310</f>
        <v>30000</v>
      </c>
      <c r="E4530" s="50" t="n">
        <f aca="false">Pressupostos!$E$310</f>
        <v>30000</v>
      </c>
      <c r="F4530" s="50" t="n">
        <f aca="false">Pressupostos!$F$310</f>
        <v>20000</v>
      </c>
      <c r="G4530" s="50" t="n">
        <f aca="false">Pressupostos!$G$310</f>
        <v>20000</v>
      </c>
      <c r="H4530" s="2" t="s">
        <v>1284</v>
      </c>
    </row>
    <row r="4531" customFormat="false" ht="15" hidden="false" customHeight="false" outlineLevel="1" collapsed="false">
      <c r="A4531" s="7" t="s">
        <v>668</v>
      </c>
      <c r="B4531" s="8" t="s">
        <v>10</v>
      </c>
      <c r="C4531" s="58" t="n">
        <f aca="false">Pressupostos!$C$164*MAX(0,C4494)</f>
        <v>11000</v>
      </c>
      <c r="D4531" s="58" t="n">
        <f aca="false">Pressupostos!$C$164*MAX(0,D4494-C4494)</f>
        <v>4000</v>
      </c>
      <c r="E4531" s="58" t="n">
        <f aca="false">Pressupostos!$C$164*MAX(0,E4494-D4494)</f>
        <v>2000</v>
      </c>
      <c r="F4531" s="58" t="n">
        <f aca="false">Pressupostos!$C$164*MAX(0,F4494-E4494)</f>
        <v>5000</v>
      </c>
      <c r="G4531" s="58" t="n">
        <f aca="false">Pressupostos!$C$164*MAX(0,G4494-F4494)</f>
        <v>2000</v>
      </c>
      <c r="H4531" s="2" t="s">
        <v>1285</v>
      </c>
    </row>
    <row r="4532" customFormat="false" ht="15" hidden="false" customHeight="false" outlineLevel="1" collapsed="false">
      <c r="A4532" s="7" t="s">
        <v>407</v>
      </c>
      <c r="B4532" s="8" t="s">
        <v>10</v>
      </c>
      <c r="C4532" s="58" t="n">
        <f aca="false">C4529+C4530+C4531</f>
        <v>89000</v>
      </c>
      <c r="D4532" s="58" t="n">
        <f aca="false">D4529+D4530+D4531</f>
        <v>46000</v>
      </c>
      <c r="E4532" s="58" t="n">
        <f aca="false">E4529+E4530+E4531</f>
        <v>44000</v>
      </c>
      <c r="F4532" s="58" t="n">
        <f aca="false">F4529+F4530+F4531</f>
        <v>37000</v>
      </c>
      <c r="G4532" s="58" t="n">
        <f aca="false">G4529+G4530+G4531</f>
        <v>34000</v>
      </c>
      <c r="H4532" s="2" t="s">
        <v>1286</v>
      </c>
    </row>
    <row r="4533" customFormat="false" ht="15" hidden="false" customHeight="false" outlineLevel="1" collapsed="false">
      <c r="A4533" s="7" t="s">
        <v>669</v>
      </c>
      <c r="B4533" s="8" t="s">
        <v>10</v>
      </c>
      <c r="C4533" s="58" t="n">
        <f aca="false">(C4530*((0)&lt;Pressupostos!$C$165))/Pressupostos!$C$165</f>
        <v>20000</v>
      </c>
      <c r="D4533" s="58" t="n">
        <f aca="false">(C4530*((1)&lt;Pressupostos!$C$165)+D4530*((0)&lt;Pressupostos!$C$165))/Pressupostos!$C$165</f>
        <v>30000</v>
      </c>
      <c r="E4533" s="58" t="n">
        <f aca="false">(C4530*((2)&lt;Pressupostos!$C$165)+D4530*((1)&lt;Pressupostos!$C$165)+E4530*((0)&lt;Pressupostos!$C$165))/Pressupostos!$C$165</f>
        <v>40000</v>
      </c>
      <c r="F4533" s="58" t="n">
        <f aca="false">(C4530*((3)&lt;Pressupostos!$C$165)+D4530*((2)&lt;Pressupostos!$C$165)+E4530*((1)&lt;Pressupostos!$C$165)+F4530*((0)&lt;Pressupostos!$C$165))/Pressupostos!$C$165</f>
        <v>26666.6666666667</v>
      </c>
      <c r="G4533" s="58" t="n">
        <f aca="false">(C4530*((4)&lt;Pressupostos!$C$165)+D4530*((3)&lt;Pressupostos!$C$165)+E4530*((2)&lt;Pressupostos!$C$165)+F4530*((1)&lt;Pressupostos!$C$165)+G4530*((0)&lt;Pressupostos!$C$165))/Pressupostos!$C$165</f>
        <v>23333.3333333333</v>
      </c>
      <c r="H4533" s="2" t="s">
        <v>1287</v>
      </c>
    </row>
    <row r="4534" customFormat="false" ht="15" hidden="false" customHeight="false" outlineLevel="1" collapsed="false">
      <c r="A4534" s="7" t="s">
        <v>670</v>
      </c>
      <c r="B4534" s="8" t="s">
        <v>10</v>
      </c>
      <c r="C4534" s="58" t="n">
        <f aca="false">(C4529*((0)&lt;Pressupostos!$C$167))/Pressupostos!$C$167</f>
        <v>3600</v>
      </c>
      <c r="D4534" s="58" t="n">
        <f aca="false">(C4529*((1)&lt;Pressupostos!$C$167)+D4529*((0)&lt;Pressupostos!$C$167))/Pressupostos!$C$167</f>
        <v>6000</v>
      </c>
      <c r="E4534" s="58" t="n">
        <f aca="false">(C4529*((2)&lt;Pressupostos!$C$167)+D4529*((1)&lt;Pressupostos!$C$167)+E4529*((0)&lt;Pressupostos!$C$167))/Pressupostos!$C$167</f>
        <v>8400</v>
      </c>
      <c r="F4534" s="58" t="n">
        <f aca="false">(C4529*((3)&lt;Pressupostos!$C$167)+D4529*((2)&lt;Pressupostos!$C$167)+E4529*((1)&lt;Pressupostos!$C$167)+F4529*((0)&lt;Pressupostos!$C$167))/Pressupostos!$C$167</f>
        <v>10800</v>
      </c>
      <c r="G4534" s="58" t="n">
        <f aca="false">(C4529*((4)&lt;Pressupostos!$C$167)+D4529*((3)&lt;Pressupostos!$C$167)+E4529*((2)&lt;Pressupostos!$C$167)+F4529*((1)&lt;Pressupostos!$C$167)+G4529*((0)&lt;Pressupostos!$C$167))/Pressupostos!$C$167</f>
        <v>13200</v>
      </c>
      <c r="H4534" s="2" t="s">
        <v>1288</v>
      </c>
    </row>
    <row r="4535" customFormat="false" ht="15" hidden="false" customHeight="false" outlineLevel="1" collapsed="false">
      <c r="A4535" s="7" t="s">
        <v>671</v>
      </c>
      <c r="B4535" s="8" t="s">
        <v>10</v>
      </c>
      <c r="C4535" s="58" t="n">
        <f aca="false">(C4531*((0)&lt;Pressupostos!$C$166))/Pressupostos!$C$166</f>
        <v>2750</v>
      </c>
      <c r="D4535" s="58" t="n">
        <f aca="false">(C4531*((1)&lt;Pressupostos!$C$166)+D4531*((0)&lt;Pressupostos!$C$166))/Pressupostos!$C$166</f>
        <v>3750</v>
      </c>
      <c r="E4535" s="58" t="n">
        <f aca="false">(C4531*((2)&lt;Pressupostos!$C$166)+D4531*((1)&lt;Pressupostos!$C$166)+E4531*((0)&lt;Pressupostos!$C$166))/Pressupostos!$C$166</f>
        <v>4250</v>
      </c>
      <c r="F4535" s="58" t="n">
        <f aca="false">(C4531*((3)&lt;Pressupostos!$C$166)+D4531*((2)&lt;Pressupostos!$C$166)+E4531*((1)&lt;Pressupostos!$C$166)+F4531*((0)&lt;Pressupostos!$C$166))/Pressupostos!$C$166</f>
        <v>5500</v>
      </c>
      <c r="G4535" s="58" t="n">
        <f aca="false">(C4531*((4)&lt;Pressupostos!$C$166)+D4531*((3)&lt;Pressupostos!$C$166)+E4531*((2)&lt;Pressupostos!$C$166)+F4531*((1)&lt;Pressupostos!$C$166)+G4531*((0)&lt;Pressupostos!$C$166))/Pressupostos!$C$166</f>
        <v>3250</v>
      </c>
      <c r="H4535" s="2" t="s">
        <v>1289</v>
      </c>
    </row>
    <row r="4536" customFormat="false" ht="15" hidden="false" customHeight="false" outlineLevel="1" collapsed="false">
      <c r="A4536" s="7" t="s">
        <v>672</v>
      </c>
      <c r="B4536" s="8" t="s">
        <v>10</v>
      </c>
      <c r="C4536" s="58" t="n">
        <f aca="false">C4533+C4534+C4535</f>
        <v>26350</v>
      </c>
      <c r="D4536" s="58" t="n">
        <f aca="false">D4533+D4534+D4535</f>
        <v>39750</v>
      </c>
      <c r="E4536" s="58" t="n">
        <f aca="false">E4533+E4534+E4535</f>
        <v>52650</v>
      </c>
      <c r="F4536" s="58" t="n">
        <f aca="false">F4533+F4534+F4535</f>
        <v>42966.6666666667</v>
      </c>
      <c r="G4536" s="58" t="n">
        <f aca="false">G4533+G4534+G4535</f>
        <v>39783.3333333333</v>
      </c>
      <c r="H4536" s="2" t="s">
        <v>1290</v>
      </c>
    </row>
    <row r="4537" customFormat="false" ht="15" hidden="false" customHeight="false" outlineLevel="0" collapsed="false">
      <c r="A4537" s="3" t="s">
        <v>1291</v>
      </c>
      <c r="B4537" s="4"/>
      <c r="C4537" s="4"/>
      <c r="D4537" s="4"/>
      <c r="E4537" s="4"/>
      <c r="F4537" s="4"/>
      <c r="G4537" s="4"/>
      <c r="H4537" s="4"/>
    </row>
    <row r="4538" customFormat="false" ht="15" hidden="false" customHeight="false" outlineLevel="1" collapsed="false">
      <c r="A4538" s="52" t="s">
        <v>676</v>
      </c>
      <c r="B4538" s="53" t="s">
        <v>10</v>
      </c>
      <c r="C4538" s="59" t="n">
        <f aca="false">C4445</f>
        <v>193112.08</v>
      </c>
      <c r="D4538" s="59" t="n">
        <f aca="false">D4445</f>
        <v>2534990.3</v>
      </c>
      <c r="E4538" s="59" t="n">
        <f aca="false">E4445</f>
        <v>6407275.8</v>
      </c>
      <c r="F4538" s="59" t="n">
        <f aca="false">F4445</f>
        <v>10797256.4</v>
      </c>
      <c r="G4538" s="59" t="n">
        <f aca="false">G4445</f>
        <v>15701402</v>
      </c>
      <c r="H4538" s="2" t="s">
        <v>1292</v>
      </c>
    </row>
    <row r="4539" customFormat="false" ht="15" hidden="false" customHeight="false" outlineLevel="1" collapsed="false">
      <c r="A4539" s="7" t="s">
        <v>649</v>
      </c>
      <c r="B4539" s="8" t="s">
        <v>10</v>
      </c>
      <c r="C4539" s="58" t="n">
        <f aca="false">-C4466</f>
        <v>-171528</v>
      </c>
      <c r="D4539" s="58" t="n">
        <f aca="false">-D4466</f>
        <v>-2344510</v>
      </c>
      <c r="E4539" s="58" t="n">
        <f aca="false">-E4466</f>
        <v>-5948775</v>
      </c>
      <c r="F4539" s="58" t="n">
        <f aca="false">-F4466</f>
        <v>-9998695</v>
      </c>
      <c r="G4539" s="58" t="n">
        <f aca="false">-G4466</f>
        <v>-14497350</v>
      </c>
      <c r="H4539" s="2" t="s">
        <v>1293</v>
      </c>
    </row>
    <row r="4540" customFormat="false" ht="15" hidden="false" customHeight="false" outlineLevel="1" collapsed="false">
      <c r="A4540" s="52" t="s">
        <v>677</v>
      </c>
      <c r="B4540" s="53" t="s">
        <v>10</v>
      </c>
      <c r="C4540" s="59" t="n">
        <f aca="false">C4538+C4539</f>
        <v>21584.08</v>
      </c>
      <c r="D4540" s="59" t="n">
        <f aca="false">D4538+D4539</f>
        <v>190480.3</v>
      </c>
      <c r="E4540" s="59" t="n">
        <f aca="false">E4538+E4539</f>
        <v>458500.8</v>
      </c>
      <c r="F4540" s="59" t="n">
        <f aca="false">F4538+F4539</f>
        <v>798561.4</v>
      </c>
      <c r="G4540" s="59" t="n">
        <f aca="false">G4538+G4539</f>
        <v>1204052</v>
      </c>
      <c r="H4540" s="2" t="s">
        <v>1294</v>
      </c>
    </row>
    <row r="4541" customFormat="false" ht="15" hidden="false" customHeight="false" outlineLevel="1" collapsed="false">
      <c r="A4541" s="2" t="s">
        <v>678</v>
      </c>
      <c r="B4541" s="8" t="s">
        <v>71</v>
      </c>
      <c r="C4541" s="55" t="n">
        <f aca="false">IF(C4538&gt;0,C4540/C4538,0)</f>
        <v>0.111769703894236</v>
      </c>
      <c r="D4541" s="55" t="n">
        <f aca="false">IF(D4538&gt;0,D4540/D4538,0)</f>
        <v>0.0751404453105796</v>
      </c>
      <c r="E4541" s="55" t="n">
        <f aca="false">IF(E4538&gt;0,E4540/E4538,0)</f>
        <v>0.0715593981454645</v>
      </c>
      <c r="F4541" s="55" t="n">
        <f aca="false">IF(F4538&gt;0,F4540/F4538,0)</f>
        <v>0.0739596588629682</v>
      </c>
      <c r="G4541" s="55" t="n">
        <f aca="false">IF(G4538&gt;0,G4540/G4538,0)</f>
        <v>0.0766843623263706</v>
      </c>
      <c r="H4541" s="2" t="s">
        <v>1295</v>
      </c>
    </row>
    <row r="4542" customFormat="false" ht="15" hidden="false" customHeight="false" outlineLevel="1" collapsed="false">
      <c r="A4542" s="7" t="s">
        <v>679</v>
      </c>
      <c r="B4542" s="8" t="s">
        <v>10</v>
      </c>
      <c r="C4542" s="58" t="n">
        <f aca="false">-C4476</f>
        <v>-10845.9558219178</v>
      </c>
      <c r="D4542" s="58" t="n">
        <f aca="false">-D4476</f>
        <v>-96589.0726883562</v>
      </c>
      <c r="E4542" s="58" t="n">
        <f aca="false">-E4476</f>
        <v>-224252.604589041</v>
      </c>
      <c r="F4542" s="58" t="n">
        <f aca="false">-F4476</f>
        <v>-377186.935856164</v>
      </c>
      <c r="G4542" s="58" t="n">
        <f aca="false">-G4476</f>
        <v>-551574.020890411</v>
      </c>
      <c r="H4542" s="2" t="s">
        <v>1296</v>
      </c>
    </row>
    <row r="4543" customFormat="false" ht="15" hidden="false" customHeight="false" outlineLevel="1" collapsed="false">
      <c r="A4543" s="7" t="s">
        <v>658</v>
      </c>
      <c r="B4543" s="8" t="s">
        <v>10</v>
      </c>
      <c r="C4543" s="58" t="n">
        <f aca="false">-C4479</f>
        <v>-0</v>
      </c>
      <c r="D4543" s="58" t="n">
        <f aca="false">-D4479</f>
        <v>-27141.9534246575</v>
      </c>
      <c r="E4543" s="58" t="n">
        <f aca="false">-E4479</f>
        <v>-54116.0965325342</v>
      </c>
      <c r="F4543" s="58" t="n">
        <f aca="false">-F4479</f>
        <v>-84945.0952910959</v>
      </c>
      <c r="G4543" s="58" t="n">
        <f aca="false">-G4479</f>
        <v>-124601.000856164</v>
      </c>
      <c r="H4543" s="2" t="s">
        <v>1297</v>
      </c>
    </row>
    <row r="4544" customFormat="false" ht="15" hidden="false" customHeight="false" outlineLevel="1" collapsed="false">
      <c r="A4544" s="52" t="s">
        <v>641</v>
      </c>
      <c r="B4544" s="53" t="s">
        <v>10</v>
      </c>
      <c r="C4544" s="59" t="n">
        <f aca="false">C4540+C4542+C4543</f>
        <v>10738.1241780822</v>
      </c>
      <c r="D4544" s="59" t="n">
        <f aca="false">D4540+D4542+D4543</f>
        <v>66749.2738869861</v>
      </c>
      <c r="E4544" s="59" t="n">
        <f aca="false">E4540+E4542+E4543</f>
        <v>180132.098878425</v>
      </c>
      <c r="F4544" s="59" t="n">
        <f aca="false">F4540+F4542+F4543</f>
        <v>336429.36885274</v>
      </c>
      <c r="G4544" s="59" t="n">
        <f aca="false">G4540+G4542+G4543</f>
        <v>527876.978253425</v>
      </c>
      <c r="H4544" s="2" t="s">
        <v>1298</v>
      </c>
    </row>
    <row r="4545" customFormat="false" ht="15" hidden="false" customHeight="false" outlineLevel="1" collapsed="false">
      <c r="A4545" s="7" t="s">
        <v>251</v>
      </c>
      <c r="B4545" s="8" t="s">
        <v>10</v>
      </c>
      <c r="C4545" s="58" t="n">
        <f aca="false">-C4511</f>
        <v>-303573.09375</v>
      </c>
      <c r="D4545" s="58" t="n">
        <f aca="false">-D4511</f>
        <v>-477845.325</v>
      </c>
      <c r="E4545" s="58" t="n">
        <f aca="false">-E4511</f>
        <v>-563341.2153125</v>
      </c>
      <c r="F4545" s="58" t="n">
        <f aca="false">-F4511</f>
        <v>-697007.527174375</v>
      </c>
      <c r="G4545" s="58" t="n">
        <f aca="false">-G4511</f>
        <v>-768997.563445444</v>
      </c>
      <c r="H4545" s="2" t="s">
        <v>1299</v>
      </c>
    </row>
    <row r="4546" customFormat="false" ht="15" hidden="false" customHeight="false" outlineLevel="1" collapsed="false">
      <c r="A4546" s="7" t="s">
        <v>680</v>
      </c>
      <c r="B4546" s="8" t="s">
        <v>10</v>
      </c>
      <c r="C4546" s="58" t="n">
        <f aca="false">-C4527</f>
        <v>-298100</v>
      </c>
      <c r="D4546" s="58" t="n">
        <f aca="false">-D4527</f>
        <v>-289955.92</v>
      </c>
      <c r="E4546" s="58" t="n">
        <f aca="false">-E4527</f>
        <v>-366405.76</v>
      </c>
      <c r="F4546" s="58" t="n">
        <f aca="false">-F4527</f>
        <v>-394394.684</v>
      </c>
      <c r="G4546" s="58" t="n">
        <f aca="false">-G4527</f>
        <v>-440386.501272</v>
      </c>
      <c r="H4546" s="2" t="s">
        <v>1300</v>
      </c>
    </row>
    <row r="4547" customFormat="false" ht="15" hidden="false" customHeight="false" outlineLevel="1" collapsed="false">
      <c r="A4547" s="52" t="s">
        <v>681</v>
      </c>
      <c r="B4547" s="53" t="s">
        <v>10</v>
      </c>
      <c r="C4547" s="59" t="n">
        <f aca="false">C4544+C4545+C4546</f>
        <v>-590934.969571918</v>
      </c>
      <c r="D4547" s="59" t="n">
        <f aca="false">D4544+D4545+D4546</f>
        <v>-701051.971113014</v>
      </c>
      <c r="E4547" s="59" t="n">
        <f aca="false">E4544+E4545+E4546</f>
        <v>-749614.876434075</v>
      </c>
      <c r="F4547" s="59" t="n">
        <f aca="false">F4544+F4545+F4546</f>
        <v>-754972.842321635</v>
      </c>
      <c r="G4547" s="59" t="n">
        <f aca="false">G4544+G4545+G4546</f>
        <v>-681507.086464019</v>
      </c>
      <c r="H4547" s="2" t="s">
        <v>1301</v>
      </c>
    </row>
    <row r="4548" customFormat="false" ht="15" hidden="false" customHeight="false" outlineLevel="1" collapsed="false">
      <c r="A4548" s="2" t="s">
        <v>683</v>
      </c>
      <c r="B4548" s="8" t="s">
        <v>71</v>
      </c>
      <c r="C4548" s="55" t="n">
        <f aca="false">IF(C4538&gt;0,C4547/C4538,0)</f>
        <v>-3.06006216479009</v>
      </c>
      <c r="D4548" s="55" t="n">
        <f aca="false">IF(D4538&gt;0,D4547/D4538,0)</f>
        <v>-0.276550159230595</v>
      </c>
      <c r="E4548" s="55" t="n">
        <f aca="false">IF(E4538&gt;0,E4547/E4538,0)</f>
        <v>-0.116994320181141</v>
      </c>
      <c r="F4548" s="55" t="n">
        <f aca="false">IF(F4538&gt;0,F4547/F4538,0)</f>
        <v>-0.0699226557518477</v>
      </c>
      <c r="G4548" s="55" t="n">
        <f aca="false">IF(G4538&gt;0,G4547/G4538,0)</f>
        <v>-0.0434042187101521</v>
      </c>
      <c r="H4548" s="2" t="s">
        <v>1302</v>
      </c>
    </row>
    <row r="4549" customFormat="false" ht="15" hidden="false" customHeight="false" outlineLevel="1" collapsed="false">
      <c r="A4549" s="2" t="s">
        <v>684</v>
      </c>
      <c r="B4549" s="8" t="s">
        <v>10</v>
      </c>
      <c r="C4549" s="58" t="n">
        <f aca="false">C4547+C4479</f>
        <v>-590934.969571918</v>
      </c>
      <c r="D4549" s="58" t="n">
        <f aca="false">D4547+D4479</f>
        <v>-673910.017688356</v>
      </c>
      <c r="E4549" s="58" t="n">
        <f aca="false">E4547+E4479</f>
        <v>-695498.779901541</v>
      </c>
      <c r="F4549" s="58" t="n">
        <f aca="false">F4547+F4479</f>
        <v>-670027.747030539</v>
      </c>
      <c r="G4549" s="58" t="n">
        <f aca="false">G4547+G4479</f>
        <v>-556906.085607855</v>
      </c>
      <c r="H4549" s="2" t="s">
        <v>1303</v>
      </c>
    </row>
    <row r="4550" customFormat="false" ht="15" hidden="false" customHeight="false" outlineLevel="1" collapsed="false">
      <c r="A4550" s="7" t="s">
        <v>672</v>
      </c>
      <c r="B4550" s="8" t="s">
        <v>10</v>
      </c>
      <c r="C4550" s="58" t="n">
        <f aca="false">-C4536</f>
        <v>-26350</v>
      </c>
      <c r="D4550" s="58" t="n">
        <f aca="false">-D4536</f>
        <v>-39750</v>
      </c>
      <c r="E4550" s="58" t="n">
        <f aca="false">-E4536</f>
        <v>-52650</v>
      </c>
      <c r="F4550" s="58" t="n">
        <f aca="false">-F4536</f>
        <v>-42966.6666666667</v>
      </c>
      <c r="G4550" s="58" t="n">
        <f aca="false">-G4536</f>
        <v>-39783.3333333333</v>
      </c>
      <c r="H4550" s="2" t="s">
        <v>1304</v>
      </c>
    </row>
    <row r="4551" customFormat="false" ht="15" hidden="false" customHeight="false" outlineLevel="1" collapsed="false">
      <c r="A4551" s="52" t="s">
        <v>685</v>
      </c>
      <c r="B4551" s="53" t="s">
        <v>10</v>
      </c>
      <c r="C4551" s="59" t="n">
        <f aca="false">C4547+C4550</f>
        <v>-617284.969571918</v>
      </c>
      <c r="D4551" s="59" t="n">
        <f aca="false">D4547+D4550</f>
        <v>-740801.971113014</v>
      </c>
      <c r="E4551" s="59" t="n">
        <f aca="false">E4547+E4550</f>
        <v>-802264.876434075</v>
      </c>
      <c r="F4551" s="59" t="n">
        <f aca="false">F4547+F4550</f>
        <v>-797939.508988302</v>
      </c>
      <c r="G4551" s="59" t="n">
        <f aca="false">G4547+G4550</f>
        <v>-721290.419797352</v>
      </c>
      <c r="H4551" s="2" t="s">
        <v>1305</v>
      </c>
    </row>
    <row r="4552" customFormat="false" ht="15" hidden="false" customHeight="false" outlineLevel="0" collapsed="false">
      <c r="A4552" s="3" t="s">
        <v>1306</v>
      </c>
      <c r="B4552" s="4"/>
      <c r="C4552" s="4"/>
      <c r="D4552" s="4"/>
      <c r="E4552" s="4"/>
      <c r="F4552" s="4"/>
      <c r="G4552" s="4"/>
      <c r="H4552" s="4"/>
    </row>
    <row r="4553" customFormat="false" ht="15" hidden="false" customHeight="false" outlineLevel="1" collapsed="false">
      <c r="A4553" s="7" t="s">
        <v>687</v>
      </c>
      <c r="B4553" s="8" t="s">
        <v>10</v>
      </c>
      <c r="C4553" s="58" t="n">
        <f aca="false">C4551</f>
        <v>-617284.969571918</v>
      </c>
      <c r="D4553" s="58" t="n">
        <f aca="false">D4551</f>
        <v>-740801.971113014</v>
      </c>
      <c r="E4553" s="58" t="n">
        <f aca="false">E4551</f>
        <v>-802264.876434075</v>
      </c>
      <c r="F4553" s="58" t="n">
        <f aca="false">F4551</f>
        <v>-797939.508988302</v>
      </c>
      <c r="G4553" s="58" t="n">
        <f aca="false">G4551</f>
        <v>-721290.419797352</v>
      </c>
      <c r="H4553" s="2" t="s">
        <v>1307</v>
      </c>
    </row>
    <row r="4554" customFormat="false" ht="15" hidden="false" customHeight="false" outlineLevel="1" collapsed="false">
      <c r="A4554" s="7" t="s">
        <v>688</v>
      </c>
      <c r="B4554" s="8" t="s">
        <v>10</v>
      </c>
      <c r="C4554" s="58" t="n">
        <f aca="false">0</f>
        <v>0</v>
      </c>
      <c r="D4554" s="58" t="n">
        <f aca="false">C4557</f>
        <v>617284.969571918</v>
      </c>
      <c r="E4554" s="58" t="n">
        <f aca="false">D4557</f>
        <v>1358086.94068493</v>
      </c>
      <c r="F4554" s="58" t="n">
        <f aca="false">E4557</f>
        <v>2160351.81711901</v>
      </c>
      <c r="G4554" s="58" t="n">
        <f aca="false">F4557</f>
        <v>2958291.32610731</v>
      </c>
      <c r="H4554" s="2" t="s">
        <v>1308</v>
      </c>
    </row>
    <row r="4555" customFormat="false" ht="15" hidden="false" customHeight="false" outlineLevel="1" collapsed="false">
      <c r="A4555" s="7" t="s">
        <v>689</v>
      </c>
      <c r="B4555" s="8" t="s">
        <v>10</v>
      </c>
      <c r="C4555" s="58" t="n">
        <f aca="false">MAX(0,-C4553)</f>
        <v>617284.969571918</v>
      </c>
      <c r="D4555" s="58" t="n">
        <f aca="false">MAX(0,-D4553)</f>
        <v>740801.971113014</v>
      </c>
      <c r="E4555" s="58" t="n">
        <f aca="false">MAX(0,-E4553)</f>
        <v>802264.876434075</v>
      </c>
      <c r="F4555" s="58" t="n">
        <f aca="false">MAX(0,-F4553)</f>
        <v>797939.508988302</v>
      </c>
      <c r="G4555" s="58" t="n">
        <f aca="false">MAX(0,-G4553)</f>
        <v>721290.419797352</v>
      </c>
      <c r="H4555" s="2" t="s">
        <v>1309</v>
      </c>
    </row>
    <row r="4556" customFormat="false" ht="15" hidden="false" customHeight="false" outlineLevel="1" collapsed="false">
      <c r="A4556" s="7" t="s">
        <v>690</v>
      </c>
      <c r="B4556" s="8" t="s">
        <v>10</v>
      </c>
      <c r="C4556" s="58" t="n">
        <f aca="false">MIN(C4554,Pressupostos!$C$179*MAX(0,C4553))</f>
        <v>0</v>
      </c>
      <c r="D4556" s="58" t="n">
        <f aca="false">MIN(D4554,Pressupostos!$C$179*MAX(0,D4553))</f>
        <v>0</v>
      </c>
      <c r="E4556" s="58" t="n">
        <f aca="false">MIN(E4554,Pressupostos!$C$179*MAX(0,E4553))</f>
        <v>0</v>
      </c>
      <c r="F4556" s="58" t="n">
        <f aca="false">MIN(F4554,Pressupostos!$C$179*MAX(0,F4553))</f>
        <v>0</v>
      </c>
      <c r="G4556" s="58" t="n">
        <f aca="false">MIN(G4554,Pressupostos!$C$179*MAX(0,G4553))</f>
        <v>0</v>
      </c>
      <c r="H4556" s="2" t="s">
        <v>1310</v>
      </c>
    </row>
    <row r="4557" customFormat="false" ht="15" hidden="false" customHeight="false" outlineLevel="1" collapsed="false">
      <c r="A4557" s="7" t="s">
        <v>691</v>
      </c>
      <c r="B4557" s="8" t="s">
        <v>10</v>
      </c>
      <c r="C4557" s="58" t="n">
        <f aca="false">C4554+C4555-C4556</f>
        <v>617284.969571918</v>
      </c>
      <c r="D4557" s="58" t="n">
        <f aca="false">D4554+D4555-D4556</f>
        <v>1358086.94068493</v>
      </c>
      <c r="E4557" s="58" t="n">
        <f aca="false">E4554+E4555-E4556</f>
        <v>2160351.81711901</v>
      </c>
      <c r="F4557" s="58" t="n">
        <f aca="false">F4554+F4555-F4556</f>
        <v>2958291.32610731</v>
      </c>
      <c r="G4557" s="58" t="n">
        <f aca="false">G4554+G4555-G4556</f>
        <v>3679581.74590466</v>
      </c>
      <c r="H4557" s="2" t="s">
        <v>1311</v>
      </c>
    </row>
    <row r="4558" customFormat="false" ht="15" hidden="false" customHeight="false" outlineLevel="1" collapsed="false">
      <c r="A4558" s="7" t="s">
        <v>692</v>
      </c>
      <c r="B4558" s="8" t="s">
        <v>10</v>
      </c>
      <c r="C4558" s="58" t="n">
        <f aca="false">MAX(0,C4553)-C4556</f>
        <v>0</v>
      </c>
      <c r="D4558" s="58" t="n">
        <f aca="false">MAX(0,D4553)-D4556</f>
        <v>0</v>
      </c>
      <c r="E4558" s="58" t="n">
        <f aca="false">MAX(0,E4553)-E4556</f>
        <v>0</v>
      </c>
      <c r="F4558" s="58" t="n">
        <f aca="false">MAX(0,F4553)-F4556</f>
        <v>0</v>
      </c>
      <c r="G4558" s="58" t="n">
        <f aca="false">MAX(0,G4553)-G4556</f>
        <v>0</v>
      </c>
      <c r="H4558" s="2" t="s">
        <v>1312</v>
      </c>
    </row>
    <row r="4559" customFormat="false" ht="15" hidden="false" customHeight="false" outlineLevel="1" collapsed="false">
      <c r="A4559" s="7" t="s">
        <v>693</v>
      </c>
      <c r="B4559" s="8" t="s">
        <v>10</v>
      </c>
      <c r="C4559" s="58" t="n">
        <f aca="false">Pressupostos!$C$170*MIN(C4558,Pressupostos!$C$171)+Pressupostos!$C$450*MAX(0,C4558-Pressupostos!$C$171)</f>
        <v>0</v>
      </c>
      <c r="D4559" s="58" t="n">
        <f aca="false">Pressupostos!$C$170*MIN(D4558,Pressupostos!$C$171)+Pressupostos!$D$450*MAX(0,D4558-Pressupostos!$C$171)</f>
        <v>0</v>
      </c>
      <c r="E4559" s="58" t="n">
        <f aca="false">Pressupostos!$C$170*MIN(E4558,Pressupostos!$C$171)+Pressupostos!$E$450*MAX(0,E4558-Pressupostos!$C$171)</f>
        <v>0</v>
      </c>
      <c r="F4559" s="58" t="n">
        <f aca="false">Pressupostos!$C$170*MIN(F4558,Pressupostos!$C$171)+Pressupostos!$F$450*MAX(0,F4558-Pressupostos!$C$171)</f>
        <v>0</v>
      </c>
      <c r="G4559" s="58" t="n">
        <f aca="false">Pressupostos!$C$170*MIN(G4558,Pressupostos!$C$171)+Pressupostos!$G$450*MAX(0,G4558-Pressupostos!$C$171)</f>
        <v>0</v>
      </c>
      <c r="H4559" s="2" t="s">
        <v>1313</v>
      </c>
    </row>
    <row r="4560" customFormat="false" ht="15" hidden="false" customHeight="false" outlineLevel="1" collapsed="false">
      <c r="A4560" s="7" t="s">
        <v>694</v>
      </c>
      <c r="B4560" s="8" t="s">
        <v>10</v>
      </c>
      <c r="C4560" s="58" t="n">
        <f aca="false">Pressupostos!$C$172*MAX(0,C4553)</f>
        <v>0</v>
      </c>
      <c r="D4560" s="58" t="n">
        <f aca="false">Pressupostos!$C$172*MAX(0,D4553)</f>
        <v>0</v>
      </c>
      <c r="E4560" s="58" t="n">
        <f aca="false">Pressupostos!$C$172*MAX(0,E4553)</f>
        <v>0</v>
      </c>
      <c r="F4560" s="58" t="n">
        <f aca="false">Pressupostos!$C$172*MAX(0,F4553)</f>
        <v>0</v>
      </c>
      <c r="G4560" s="58" t="n">
        <f aca="false">Pressupostos!$C$172*MAX(0,G4553)</f>
        <v>0</v>
      </c>
      <c r="H4560" s="2" t="s">
        <v>1314</v>
      </c>
    </row>
    <row r="4561" customFormat="false" ht="15" hidden="false" customHeight="false" outlineLevel="1" collapsed="false">
      <c r="A4561" s="7" t="s">
        <v>695</v>
      </c>
      <c r="B4561" s="8" t="s">
        <v>10</v>
      </c>
      <c r="C4561" s="58" t="n">
        <f aca="false">Pressupostos!$C$174*MAX(0,MIN(C4553,Pressupostos!$C$175)-Pressupostos!$C$173)+Pressupostos!$C$176*MAX(0,MIN(C4553,Pressupostos!$C$177)-Pressupostos!$C$175)+Pressupostos!$C$178*MAX(0,C4553-Pressupostos!$C$177)</f>
        <v>0</v>
      </c>
      <c r="D4561" s="58" t="n">
        <f aca="false">Pressupostos!$C$174*MAX(0,MIN(D4553,Pressupostos!$C$175)-Pressupostos!$C$173)+Pressupostos!$C$176*MAX(0,MIN(D4553,Pressupostos!$C$177)-Pressupostos!$C$175)+Pressupostos!$C$178*MAX(0,D4553-Pressupostos!$C$177)</f>
        <v>0</v>
      </c>
      <c r="E4561" s="58" t="n">
        <f aca="false">Pressupostos!$C$174*MAX(0,MIN(E4553,Pressupostos!$C$175)-Pressupostos!$C$173)+Pressupostos!$C$176*MAX(0,MIN(E4553,Pressupostos!$C$177)-Pressupostos!$C$175)+Pressupostos!$C$178*MAX(0,E4553-Pressupostos!$C$177)</f>
        <v>0</v>
      </c>
      <c r="F4561" s="58" t="n">
        <f aca="false">Pressupostos!$C$174*MAX(0,MIN(F4553,Pressupostos!$C$175)-Pressupostos!$C$173)+Pressupostos!$C$176*MAX(0,MIN(F4553,Pressupostos!$C$177)-Pressupostos!$C$175)+Pressupostos!$C$178*MAX(0,F4553-Pressupostos!$C$177)</f>
        <v>0</v>
      </c>
      <c r="G4561" s="58" t="n">
        <f aca="false">Pressupostos!$C$174*MAX(0,MIN(G4553,Pressupostos!$C$175)-Pressupostos!$C$173)+Pressupostos!$C$176*MAX(0,MIN(G4553,Pressupostos!$C$177)-Pressupostos!$C$175)+Pressupostos!$C$178*MAX(0,G4553-Pressupostos!$C$177)</f>
        <v>0</v>
      </c>
      <c r="H4561" s="2" t="s">
        <v>1315</v>
      </c>
    </row>
    <row r="4562" customFormat="false" ht="15" hidden="false" customHeight="false" outlineLevel="1" collapsed="false">
      <c r="A4562" s="7" t="s">
        <v>696</v>
      </c>
      <c r="B4562" s="8" t="s">
        <v>10</v>
      </c>
      <c r="C4562" s="58" t="n">
        <f aca="false">C4559+C4560+C4561</f>
        <v>0</v>
      </c>
      <c r="D4562" s="58" t="n">
        <f aca="false">D4559+D4560+D4561</f>
        <v>0</v>
      </c>
      <c r="E4562" s="58" t="n">
        <f aca="false">E4559+E4560+E4561</f>
        <v>0</v>
      </c>
      <c r="F4562" s="58" t="n">
        <f aca="false">F4559+F4560+F4561</f>
        <v>0</v>
      </c>
      <c r="G4562" s="58" t="n">
        <f aca="false">G4559+G4560+G4561</f>
        <v>0</v>
      </c>
      <c r="H4562" s="2" t="s">
        <v>1316</v>
      </c>
    </row>
    <row r="4563" customFormat="false" ht="15" hidden="false" customHeight="false" outlineLevel="0" collapsed="false">
      <c r="A4563" s="3" t="s">
        <v>1317</v>
      </c>
      <c r="B4563" s="4"/>
      <c r="C4563" s="4"/>
      <c r="D4563" s="4"/>
      <c r="E4563" s="4"/>
      <c r="F4563" s="4"/>
      <c r="G4563" s="4"/>
      <c r="H4563" s="4"/>
    </row>
    <row r="4564" customFormat="false" ht="15" hidden="false" customHeight="false" outlineLevel="1" collapsed="false">
      <c r="A4564" s="7" t="s">
        <v>696</v>
      </c>
      <c r="B4564" s="8" t="s">
        <v>10</v>
      </c>
      <c r="C4564" s="58" t="n">
        <f aca="false">-C4562</f>
        <v>-0</v>
      </c>
      <c r="D4564" s="58" t="n">
        <f aca="false">-D4562</f>
        <v>-0</v>
      </c>
      <c r="E4564" s="58" t="n">
        <f aca="false">-E4562</f>
        <v>-0</v>
      </c>
      <c r="F4564" s="58" t="n">
        <f aca="false">-F4562</f>
        <v>-0</v>
      </c>
      <c r="G4564" s="58" t="n">
        <f aca="false">-G4562</f>
        <v>-0</v>
      </c>
      <c r="H4564" s="2" t="s">
        <v>1318</v>
      </c>
    </row>
    <row r="4565" customFormat="false" ht="15" hidden="false" customHeight="false" outlineLevel="1" collapsed="false">
      <c r="A4565" s="52" t="s">
        <v>698</v>
      </c>
      <c r="B4565" s="53" t="s">
        <v>10</v>
      </c>
      <c r="C4565" s="59" t="n">
        <f aca="false">C4551+C4564</f>
        <v>-617284.969571918</v>
      </c>
      <c r="D4565" s="59" t="n">
        <f aca="false">D4551+D4564</f>
        <v>-740801.971113014</v>
      </c>
      <c r="E4565" s="59" t="n">
        <f aca="false">E4551+E4564</f>
        <v>-802264.876434075</v>
      </c>
      <c r="F4565" s="59" t="n">
        <f aca="false">F4551+F4564</f>
        <v>-797939.508988302</v>
      </c>
      <c r="G4565" s="59" t="n">
        <f aca="false">G4551+G4564</f>
        <v>-721290.419797352</v>
      </c>
      <c r="H4565" s="2" t="s">
        <v>1319</v>
      </c>
    </row>
    <row r="4566" customFormat="false" ht="15" hidden="false" customHeight="false" outlineLevel="0" collapsed="false">
      <c r="A4566" s="3" t="s">
        <v>1320</v>
      </c>
      <c r="B4566" s="4"/>
      <c r="C4566" s="4"/>
      <c r="D4566" s="4"/>
      <c r="E4566" s="4"/>
      <c r="F4566" s="4"/>
      <c r="G4566" s="4"/>
      <c r="H4566" s="4"/>
    </row>
    <row r="4567" customFormat="false" ht="15" hidden="false" customHeight="false" outlineLevel="1" collapsed="false">
      <c r="A4567" s="7" t="s">
        <v>702</v>
      </c>
      <c r="B4567" s="8" t="s">
        <v>10</v>
      </c>
      <c r="C4567" s="58" t="n">
        <f aca="false">C4351*1000*((C4367+C4370)*C4373/365)+C4352*1000*((C4390+C4393)*C4396/365)+C4353*1000*((C4413+C4416)*C4419/365)</f>
        <v>24005.5890410959</v>
      </c>
      <c r="D4567" s="58" t="n">
        <f aca="false">D4351*1000*((D4367+D4370)*D4373/365)+D4352*1000*((D4390+D4393)*D4396/365)+D4353*1000*((D4413+D4416)*D4419/365)</f>
        <v>179509.726027397</v>
      </c>
      <c r="E4567" s="58" t="n">
        <f aca="false">E4351*1000*((E4367+E4370)*E4373/365)+E4352*1000*((E4390+E4393)*E4396/365)+E4353*1000*((E4413+E4416)*E4419/365)</f>
        <v>347820.410958904</v>
      </c>
      <c r="F4567" s="58" t="n">
        <f aca="false">F4351*1000*((F4367+F4370)*F4373/365)+F4352*1000*((F4390+F4393)*F4396/365)+F4353*1000*((F4413+F4416)*F4419/365)</f>
        <v>579381.369863014</v>
      </c>
      <c r="G4567" s="58" t="n">
        <f aca="false">G4351*1000*((G4367+G4370)*G4373/365)+G4352*1000*((G4390+G4393)*G4396/365)+G4353*1000*((G4413+G4416)*G4419/365)</f>
        <v>843797.260273973</v>
      </c>
      <c r="H4567" s="2" t="s">
        <v>1321</v>
      </c>
    </row>
    <row r="4568" customFormat="false" ht="15" hidden="false" customHeight="false" outlineLevel="1" collapsed="false">
      <c r="A4568" s="7" t="s">
        <v>703</v>
      </c>
      <c r="B4568" s="8" t="s">
        <v>10</v>
      </c>
      <c r="C4568" s="58" t="n">
        <f aca="false">C4567+C4362*1000*Pressupostos!$C$90*Pressupostos!$C$93/365</f>
        <v>24005.5890410959</v>
      </c>
      <c r="D4568" s="58" t="n">
        <f aca="false">D4567+D4362*1000*Pressupostos!$C$90*Pressupostos!$C$93/365</f>
        <v>179509.726027397</v>
      </c>
      <c r="E4568" s="58" t="n">
        <f aca="false">E4567+E4362*1000*Pressupostos!$C$90*Pressupostos!$C$93/365</f>
        <v>347820.410958904</v>
      </c>
      <c r="F4568" s="58" t="n">
        <f aca="false">F4567+F4362*1000*Pressupostos!$C$90*Pressupostos!$C$93/365</f>
        <v>591463.561643836</v>
      </c>
      <c r="G4568" s="58" t="n">
        <f aca="false">G4567+G4362*1000*Pressupostos!$C$90*Pressupostos!$C$93/365</f>
        <v>874002.739726027</v>
      </c>
      <c r="H4568" s="2" t="s">
        <v>1322</v>
      </c>
    </row>
    <row r="4569" customFormat="false" ht="15" hidden="false" customHeight="false" outlineLevel="1" collapsed="false">
      <c r="A4569" s="7" t="s">
        <v>704</v>
      </c>
      <c r="B4569" s="8" t="s">
        <v>10</v>
      </c>
      <c r="C4569" s="58" t="n">
        <f aca="false">C4351*1000*(C4369*C4374/365)+C4352*1000*(C4392*C4397/365)+C4353*1000*(C4415*C4420/365)+C4440*Pressupostos!$C$94/365+C4442*Pressupostos!$C$80/365</f>
        <v>27391.3490410959</v>
      </c>
      <c r="D4569" s="58" t="n">
        <f aca="false">D4351*1000*(D4369*D4374/365)+D4352*1000*(D4392*D4397/365)+D4353*1000*(D4415*D4420/365)+D4440*Pressupostos!$C$94/365+D4442*Pressupostos!$C$80/365</f>
        <v>339073.997260274</v>
      </c>
      <c r="E4569" s="58" t="n">
        <f aca="false">E4351*1000*(E4369*E4374/365)+E4352*1000*(E4392*E4397/365)+E4353*1000*(E4415*E4420/365)+E4440*Pressupostos!$C$94/365+E4442*Pressupostos!$C$80/365</f>
        <v>838882.052054795</v>
      </c>
      <c r="F4569" s="58" t="n">
        <f aca="false">F4351*1000*(F4369*F4374/365)+F4352*1000*(F4392*F4397/365)+F4353*1000*(F4415*F4420/365)+F4440*Pressupostos!$C$94/365+F4442*Pressupostos!$C$80/365</f>
        <v>1404023.19726027</v>
      </c>
      <c r="G4569" s="58" t="n">
        <f aca="false">G4351*1000*(G4369*G4374/365)+G4352*1000*(G4392*G4397/365)+G4353*1000*(G4415*G4420/365)+G4440*Pressupostos!$C$94/365+G4442*Pressupostos!$C$80/365</f>
        <v>2039863.8630137</v>
      </c>
      <c r="H4569" s="2" t="s">
        <v>1323</v>
      </c>
    </row>
    <row r="4570" customFormat="false" ht="15" hidden="false" customHeight="false" outlineLevel="1" collapsed="false">
      <c r="A4570" s="7" t="s">
        <v>705</v>
      </c>
      <c r="B4570" s="8" t="s">
        <v>10</v>
      </c>
      <c r="C4570" s="58" t="n">
        <f aca="false">C4351*1000*((C4367+C4370)*Pressupostos!$C$70/365)+C4352*1000*((C4390+C4393)*Pressupostos!$C$70/365)+C4353*1000*((C4413+C4416)*Pressupostos!$C$70/365)+C4362*1000*Pressupostos!$C$90*Pressupostos!$C$95/365</f>
        <v>14098.1917808219</v>
      </c>
      <c r="D4570" s="58" t="n">
        <f aca="false">D4351*1000*((D4367+D4370)*Pressupostos!$C$70/365)+D4352*1000*((D4390+D4393)*Pressupostos!$C$70/365)+D4353*1000*((D4413+D4416)*Pressupostos!$C$70/365)+D4362*1000*Pressupostos!$C$90*Pressupostos!$C$95/365</f>
        <v>192699.452054795</v>
      </c>
      <c r="E4570" s="58" t="n">
        <f aca="false">E4351*1000*((E4367+E4370)*Pressupostos!$C$70/365)+E4352*1000*((E4390+E4393)*Pressupostos!$C$70/365)+E4353*1000*((E4413+E4416)*Pressupostos!$C$70/365)+E4362*1000*Pressupostos!$C$90*Pressupostos!$C$95/365</f>
        <v>488940.410958904</v>
      </c>
      <c r="F4570" s="58" t="n">
        <f aca="false">F4351*1000*((F4367+F4370)*Pressupostos!$C$70/365)+F4352*1000*((F4390+F4393)*Pressupostos!$C$70/365)+F4353*1000*((F4413+F4416)*Pressupostos!$C$70/365)+F4362*1000*Pressupostos!$C$90*Pressupostos!$C$95/365</f>
        <v>821810.547945206</v>
      </c>
      <c r="G4570" s="58" t="n">
        <f aca="false">G4351*1000*((G4367+G4370)*Pressupostos!$C$70/365)+G4352*1000*((G4390+G4393)*Pressupostos!$C$70/365)+G4353*1000*((G4413+G4416)*Pressupostos!$C$70/365)+G4362*1000*Pressupostos!$C$90*Pressupostos!$C$95/365</f>
        <v>1191563.01369863</v>
      </c>
      <c r="H4570" s="2" t="s">
        <v>1324</v>
      </c>
    </row>
    <row r="4571" customFormat="false" ht="15" hidden="false" customHeight="false" outlineLevel="1" collapsed="false">
      <c r="A4571" s="52" t="s">
        <v>706</v>
      </c>
      <c r="B4571" s="53" t="s">
        <v>10</v>
      </c>
      <c r="C4571" s="59" t="n">
        <f aca="false">C4568+C4569-C4570</f>
        <v>37298.7463013699</v>
      </c>
      <c r="D4571" s="59" t="n">
        <f aca="false">D4568+D4569-D4570</f>
        <v>325884.271232877</v>
      </c>
      <c r="E4571" s="59" t="n">
        <f aca="false">E4568+E4569-E4570</f>
        <v>697762.052054795</v>
      </c>
      <c r="F4571" s="59" t="n">
        <f aca="false">F4568+F4569-F4570</f>
        <v>1173676.2109589</v>
      </c>
      <c r="G4571" s="59" t="n">
        <f aca="false">G4568+G4569-G4570</f>
        <v>1722303.5890411</v>
      </c>
      <c r="H4571" s="2" t="s">
        <v>1325</v>
      </c>
    </row>
    <row r="4572" customFormat="false" ht="15" hidden="false" customHeight="false" outlineLevel="0" collapsed="false">
      <c r="A4572" s="3" t="s">
        <v>1326</v>
      </c>
      <c r="B4572" s="4"/>
      <c r="C4572" s="4"/>
      <c r="D4572" s="4"/>
      <c r="E4572" s="4"/>
      <c r="F4572" s="4"/>
      <c r="G4572" s="4"/>
      <c r="H4572" s="4"/>
    </row>
    <row r="4573" customFormat="false" ht="15" hidden="false" customHeight="false" outlineLevel="1" collapsed="false">
      <c r="A4573" s="52" t="s">
        <v>708</v>
      </c>
      <c r="B4573" s="53" t="s">
        <v>10</v>
      </c>
      <c r="C4573" s="59" t="n">
        <f aca="false">Pressupostos!$C$279*C4571/Pressupostos!$F$31</f>
        <v>0</v>
      </c>
      <c r="D4573" s="59" t="n">
        <f aca="false">Pressupostos!$D$279*D4571/Pressupostos!$F$31</f>
        <v>366619.805136986</v>
      </c>
      <c r="E4573" s="59" t="n">
        <f aca="false">Pressupostos!$E$279*E4571/Pressupostos!$F$31</f>
        <v>784982.308561644</v>
      </c>
      <c r="F4573" s="59" t="n">
        <f aca="false">Pressupostos!$F$279*F4571/Pressupostos!$F$31</f>
        <v>1320385.73732877</v>
      </c>
      <c r="G4573" s="59" t="n">
        <f aca="false">Pressupostos!$G$279*G4571/Pressupostos!$F$31</f>
        <v>1937591.53767123</v>
      </c>
      <c r="H4573" s="2" t="s">
        <v>1327</v>
      </c>
    </row>
    <row r="4574" customFormat="false" ht="15" hidden="false" customHeight="false" outlineLevel="1" collapsed="false">
      <c r="A4574" s="7" t="s">
        <v>709</v>
      </c>
      <c r="B4574" s="8" t="s">
        <v>10</v>
      </c>
      <c r="C4574" s="58" t="n">
        <f aca="false">Pressupostos!$C$279*C4571</f>
        <v>0</v>
      </c>
      <c r="D4574" s="58" t="n">
        <f aca="false">Pressupostos!$D$279*D4571</f>
        <v>293295.844109589</v>
      </c>
      <c r="E4574" s="58" t="n">
        <f aca="false">Pressupostos!$E$279*E4571</f>
        <v>627985.846849315</v>
      </c>
      <c r="F4574" s="58" t="n">
        <f aca="false">Pressupostos!$F$279*F4571</f>
        <v>1056308.58986301</v>
      </c>
      <c r="G4574" s="58" t="n">
        <f aca="false">Pressupostos!$G$279*G4571</f>
        <v>1550073.23013699</v>
      </c>
      <c r="H4574" s="2" t="s">
        <v>1328</v>
      </c>
    </row>
    <row r="4575" customFormat="false" ht="15" hidden="false" customHeight="false" outlineLevel="1" collapsed="false">
      <c r="A4575" s="7" t="s">
        <v>710</v>
      </c>
      <c r="B4575" s="8" t="s">
        <v>10</v>
      </c>
      <c r="C4575" s="58" t="n">
        <f aca="false">C4573-C4574</f>
        <v>0</v>
      </c>
      <c r="D4575" s="58" t="n">
        <f aca="false">D4573-D4574</f>
        <v>73323.9610273973</v>
      </c>
      <c r="E4575" s="58" t="n">
        <f aca="false">E4573-E4574</f>
        <v>156996.461712329</v>
      </c>
      <c r="F4575" s="58" t="n">
        <f aca="false">F4573-F4574</f>
        <v>264077.147465753</v>
      </c>
      <c r="G4575" s="58" t="n">
        <f aca="false">G4573-G4574</f>
        <v>387518.307534247</v>
      </c>
      <c r="H4575" s="2" t="s">
        <v>1329</v>
      </c>
    </row>
    <row r="4576" customFormat="false" ht="15" hidden="false" customHeight="false" outlineLevel="1" collapsed="false">
      <c r="A4576" s="7" t="s">
        <v>711</v>
      </c>
      <c r="B4576" s="8" t="s">
        <v>10</v>
      </c>
      <c r="C4576" s="58" t="n">
        <f aca="false">C4571-C4574</f>
        <v>37298.7463013699</v>
      </c>
      <c r="D4576" s="58" t="n">
        <f aca="false">D4571-D4574</f>
        <v>32588.4271232876</v>
      </c>
      <c r="E4576" s="58" t="n">
        <f aca="false">E4571-E4574</f>
        <v>69776.2052054794</v>
      </c>
      <c r="F4576" s="58" t="n">
        <f aca="false">F4571-F4574</f>
        <v>117367.62109589</v>
      </c>
      <c r="G4576" s="58" t="n">
        <f aca="false">G4571-G4574</f>
        <v>172230.35890411</v>
      </c>
      <c r="H4576" s="2" t="s">
        <v>1330</v>
      </c>
    </row>
    <row r="4577" customFormat="false" ht="15" hidden="false" customHeight="false" outlineLevel="1" collapsed="false">
      <c r="A4577" s="7" t="s">
        <v>712</v>
      </c>
      <c r="B4577" s="8" t="s">
        <v>10</v>
      </c>
      <c r="C4577" s="58" t="n">
        <f aca="false">MAX(0,Pressupostos!$C$106-C4576)</f>
        <v>12701.2536986301</v>
      </c>
      <c r="D4577" s="58" t="n">
        <f aca="false">MAX(0,Pressupostos!$C$106-D4576)</f>
        <v>17411.5728767124</v>
      </c>
      <c r="E4577" s="58" t="n">
        <f aca="false">MAX(0,Pressupostos!$C$106-E4576)</f>
        <v>0</v>
      </c>
      <c r="F4577" s="58" t="n">
        <f aca="false">MAX(0,Pressupostos!$C$106-F4576)</f>
        <v>0</v>
      </c>
      <c r="G4577" s="58" t="n">
        <f aca="false">MAX(0,Pressupostos!$C$106-G4576)</f>
        <v>0</v>
      </c>
      <c r="H4577" s="2" t="s">
        <v>1331</v>
      </c>
    </row>
    <row r="4578" customFormat="false" ht="15" hidden="false" customHeight="false" outlineLevel="1" collapsed="false">
      <c r="A4578" s="7" t="s">
        <v>713</v>
      </c>
      <c r="B4578" s="8" t="s">
        <v>10</v>
      </c>
      <c r="C4578" s="58" t="n">
        <f aca="false">Pressupostos!$C$107*C4573</f>
        <v>0</v>
      </c>
      <c r="D4578" s="58" t="n">
        <f aca="false">Pressupostos!$C$107*D4573</f>
        <v>18330.9902568493</v>
      </c>
      <c r="E4578" s="58" t="n">
        <f aca="false">Pressupostos!$C$107*E4573</f>
        <v>39249.1154280822</v>
      </c>
      <c r="F4578" s="58" t="n">
        <f aca="false">Pressupostos!$C$107*F4573</f>
        <v>66019.2868664384</v>
      </c>
      <c r="G4578" s="58" t="n">
        <f aca="false">Pressupostos!$C$107*G4573</f>
        <v>96879.5768835617</v>
      </c>
      <c r="H4578" s="2" t="s">
        <v>1332</v>
      </c>
    </row>
    <row r="4579" customFormat="false" ht="15" hidden="false" customHeight="false" outlineLevel="1" collapsed="false">
      <c r="A4579" s="2" t="s">
        <v>714</v>
      </c>
      <c r="B4579" s="8" t="s">
        <v>115</v>
      </c>
      <c r="C4579" s="58" t="n">
        <f aca="false">C4573/Pressupostos!$C$110</f>
        <v>0</v>
      </c>
      <c r="D4579" s="58" t="n">
        <f aca="false">D4573/Pressupostos!$C$110</f>
        <v>7.33239610273973</v>
      </c>
      <c r="E4579" s="58" t="n">
        <f aca="false">E4573/Pressupostos!$C$110</f>
        <v>15.6996461712329</v>
      </c>
      <c r="F4579" s="58" t="n">
        <f aca="false">F4573/Pressupostos!$C$110</f>
        <v>26.4077147465753</v>
      </c>
      <c r="G4579" s="58" t="n">
        <f aca="false">G4573/Pressupostos!$C$110</f>
        <v>38.7518307534247</v>
      </c>
      <c r="H4579" s="2" t="s">
        <v>1333</v>
      </c>
    </row>
    <row r="4580" customFormat="false" ht="15" hidden="false" customHeight="false" outlineLevel="0" collapsed="false">
      <c r="A4580" s="3" t="s">
        <v>1334</v>
      </c>
      <c r="B4580" s="4"/>
      <c r="C4580" s="4"/>
      <c r="D4580" s="4"/>
      <c r="E4580" s="4"/>
      <c r="F4580" s="4"/>
      <c r="G4580" s="4"/>
      <c r="H4580" s="4"/>
    </row>
    <row r="4581" customFormat="false" ht="15" hidden="false" customHeight="false" outlineLevel="1" collapsed="false">
      <c r="A4581" s="7" t="s">
        <v>681</v>
      </c>
      <c r="B4581" s="8" t="s">
        <v>10</v>
      </c>
      <c r="C4581" s="58" t="n">
        <f aca="false">C4547</f>
        <v>-590934.969571918</v>
      </c>
      <c r="D4581" s="58" t="n">
        <f aca="false">D4547</f>
        <v>-701051.971113014</v>
      </c>
      <c r="E4581" s="58" t="n">
        <f aca="false">E4547</f>
        <v>-749614.876434075</v>
      </c>
      <c r="F4581" s="58" t="n">
        <f aca="false">F4547</f>
        <v>-754972.842321635</v>
      </c>
      <c r="G4581" s="58" t="n">
        <f aca="false">G4547</f>
        <v>-681507.086464019</v>
      </c>
      <c r="H4581" s="2" t="s">
        <v>1335</v>
      </c>
    </row>
    <row r="4582" customFormat="false" ht="15" hidden="false" customHeight="false" outlineLevel="1" collapsed="false">
      <c r="A4582" s="7" t="s">
        <v>716</v>
      </c>
      <c r="B4582" s="8" t="s">
        <v>10</v>
      </c>
      <c r="C4582" s="58" t="n">
        <f aca="false">-C4562</f>
        <v>-0</v>
      </c>
      <c r="D4582" s="58" t="n">
        <f aca="false">-D4562</f>
        <v>-0</v>
      </c>
      <c r="E4582" s="58" t="n">
        <f aca="false">-E4562</f>
        <v>-0</v>
      </c>
      <c r="F4582" s="58" t="n">
        <f aca="false">-F4562</f>
        <v>-0</v>
      </c>
      <c r="G4582" s="58" t="n">
        <f aca="false">-G4562</f>
        <v>-0</v>
      </c>
      <c r="H4582" s="2" t="s">
        <v>1336</v>
      </c>
    </row>
    <row r="4583" customFormat="false" ht="15" hidden="false" customHeight="false" outlineLevel="1" collapsed="false">
      <c r="A4583" s="7" t="s">
        <v>717</v>
      </c>
      <c r="B4583" s="8" t="s">
        <v>10</v>
      </c>
      <c r="C4583" s="58" t="n">
        <f aca="false">-C4571</f>
        <v>-37298.7463013699</v>
      </c>
      <c r="D4583" s="58" t="n">
        <f aca="false">-(D4571-C4571)</f>
        <v>-288585.524931507</v>
      </c>
      <c r="E4583" s="58" t="n">
        <f aca="false">-(E4571-D4571)</f>
        <v>-371877.780821918</v>
      </c>
      <c r="F4583" s="58" t="n">
        <f aca="false">-(F4571-E4571)</f>
        <v>-475914.15890411</v>
      </c>
      <c r="G4583" s="58" t="n">
        <f aca="false">-(G4571-F4571)</f>
        <v>-548627.378082192</v>
      </c>
      <c r="H4583" s="2" t="s">
        <v>1337</v>
      </c>
    </row>
    <row r="4584" customFormat="false" ht="15" hidden="false" customHeight="false" outlineLevel="1" collapsed="false">
      <c r="A4584" s="7" t="s">
        <v>407</v>
      </c>
      <c r="B4584" s="8" t="s">
        <v>10</v>
      </c>
      <c r="C4584" s="58" t="n">
        <f aca="false">-C4532</f>
        <v>-89000</v>
      </c>
      <c r="D4584" s="58" t="n">
        <f aca="false">-D4532</f>
        <v>-46000</v>
      </c>
      <c r="E4584" s="58" t="n">
        <f aca="false">-E4532</f>
        <v>-44000</v>
      </c>
      <c r="F4584" s="58" t="n">
        <f aca="false">-F4532</f>
        <v>-37000</v>
      </c>
      <c r="G4584" s="58" t="n">
        <f aca="false">-G4532</f>
        <v>-34000</v>
      </c>
      <c r="H4584" s="2" t="s">
        <v>1338</v>
      </c>
    </row>
    <row r="4585" customFormat="false" ht="15" hidden="false" customHeight="false" outlineLevel="1" collapsed="false">
      <c r="A4585" s="7" t="s">
        <v>718</v>
      </c>
      <c r="B4585" s="8" t="s">
        <v>10</v>
      </c>
      <c r="C4585" s="58" t="n">
        <f aca="false">C4581+C4582+C4583+C4584</f>
        <v>-717233.715873288</v>
      </c>
      <c r="D4585" s="58" t="n">
        <f aca="false">D4581+D4582+D4583+D4584</f>
        <v>-1035637.49604452</v>
      </c>
      <c r="E4585" s="58" t="n">
        <f aca="false">E4581+E4582+E4583+E4584</f>
        <v>-1165492.65725599</v>
      </c>
      <c r="F4585" s="58" t="n">
        <f aca="false">F4581+F4582+F4583+F4584</f>
        <v>-1267887.00122574</v>
      </c>
      <c r="G4585" s="58" t="n">
        <f aca="false">G4581+G4582+G4583+G4584</f>
        <v>-1264134.46454621</v>
      </c>
      <c r="H4585" s="2" t="s">
        <v>1339</v>
      </c>
    </row>
    <row r="4586" customFormat="false" ht="15" hidden="false" customHeight="false" outlineLevel="1" collapsed="false">
      <c r="A4586" s="7" t="s">
        <v>719</v>
      </c>
      <c r="B4586" s="8" t="s">
        <v>10</v>
      </c>
      <c r="C4586" s="58" t="n">
        <f aca="false">C4573</f>
        <v>0</v>
      </c>
      <c r="D4586" s="58" t="n">
        <f aca="false">D4573-C4573</f>
        <v>366619.805136986</v>
      </c>
      <c r="E4586" s="58" t="n">
        <f aca="false">E4573-D4573</f>
        <v>418362.503424658</v>
      </c>
      <c r="F4586" s="58" t="n">
        <f aca="false">F4573-E4573</f>
        <v>535403.428767123</v>
      </c>
      <c r="G4586" s="58" t="n">
        <f aca="false">G4573-F4573</f>
        <v>617205.800342466</v>
      </c>
      <c r="H4586" s="2" t="s">
        <v>1340</v>
      </c>
    </row>
    <row r="4587" customFormat="false" ht="15" hidden="false" customHeight="false" outlineLevel="1" collapsed="false">
      <c r="A4587" s="7" t="s">
        <v>720</v>
      </c>
      <c r="B4587" s="8" t="s">
        <v>10</v>
      </c>
      <c r="C4587" s="58" t="n">
        <f aca="false">-C4575</f>
        <v>-0</v>
      </c>
      <c r="D4587" s="58" t="n">
        <f aca="false">-(D4575-C4575)</f>
        <v>-73323.9610273973</v>
      </c>
      <c r="E4587" s="58" t="n">
        <f aca="false">-(E4575-D4575)</f>
        <v>-83672.5006849315</v>
      </c>
      <c r="F4587" s="58" t="n">
        <f aca="false">-(F4575-E4575)</f>
        <v>-107080.685753425</v>
      </c>
      <c r="G4587" s="58" t="n">
        <f aca="false">-(G4575-F4575)</f>
        <v>-123441.160068493</v>
      </c>
      <c r="H4587" s="2" t="s">
        <v>1341</v>
      </c>
    </row>
    <row r="4588" customFormat="false" ht="15" hidden="false" customHeight="false" outlineLevel="1" collapsed="false">
      <c r="A4588" s="7" t="s">
        <v>721</v>
      </c>
      <c r="B4588" s="8" t="s">
        <v>10</v>
      </c>
      <c r="C4588" s="58" t="n">
        <f aca="false">-C4578</f>
        <v>-0</v>
      </c>
      <c r="D4588" s="58" t="n">
        <f aca="false">-(D4578-C4578)</f>
        <v>-18330.9902568493</v>
      </c>
      <c r="E4588" s="58" t="n">
        <f aca="false">-(E4578-D4578)</f>
        <v>-20918.1251712329</v>
      </c>
      <c r="F4588" s="58" t="n">
        <f aca="false">-(F4578-E4578)</f>
        <v>-26770.1714383562</v>
      </c>
      <c r="G4588" s="58" t="n">
        <f aca="false">-(G4578-F4578)</f>
        <v>-30860.2900171233</v>
      </c>
      <c r="H4588" s="2" t="s">
        <v>1342</v>
      </c>
    </row>
    <row r="4589" customFormat="false" ht="15" hidden="false" customHeight="false" outlineLevel="1" collapsed="false">
      <c r="A4589" s="7" t="s">
        <v>722</v>
      </c>
      <c r="B4589" s="8" t="s">
        <v>10</v>
      </c>
      <c r="C4589" s="58" t="n">
        <f aca="false">-(C4577-Pressupostos!$C$106)</f>
        <v>37298.7463013699</v>
      </c>
      <c r="D4589" s="58" t="n">
        <f aca="false">-(D4577-C4577)</f>
        <v>-4710.31917808222</v>
      </c>
      <c r="E4589" s="58" t="n">
        <f aca="false">-(E4577-D4577)</f>
        <v>17411.5728767124</v>
      </c>
      <c r="F4589" s="58" t="n">
        <f aca="false">-(F4577-E4577)</f>
        <v>-0</v>
      </c>
      <c r="G4589" s="58" t="n">
        <f aca="false">-(G4577-F4577)</f>
        <v>-0</v>
      </c>
      <c r="H4589" s="2" t="s">
        <v>1343</v>
      </c>
    </row>
    <row r="4590" customFormat="false" ht="15" hidden="false" customHeight="false" outlineLevel="1" collapsed="false">
      <c r="A4590" s="52" t="s">
        <v>723</v>
      </c>
      <c r="B4590" s="53" t="s">
        <v>10</v>
      </c>
      <c r="C4590" s="59" t="n">
        <f aca="false">C4585+C4586+C4587+C4588+C4589</f>
        <v>-679934.969571918</v>
      </c>
      <c r="D4590" s="59" t="n">
        <f aca="false">D4585+D4586+D4587+D4588+D4589</f>
        <v>-765382.961369863</v>
      </c>
      <c r="E4590" s="59" t="n">
        <f aca="false">E4585+E4586+E4587+E4588+E4589</f>
        <v>-834309.206810788</v>
      </c>
      <c r="F4590" s="59" t="n">
        <f aca="false">F4585+F4586+F4587+F4588+F4589</f>
        <v>-866334.429650402</v>
      </c>
      <c r="G4590" s="59" t="n">
        <f aca="false">G4585+G4586+G4587+G4588+G4589</f>
        <v>-801230.114289362</v>
      </c>
      <c r="H4590" s="2" t="s">
        <v>1344</v>
      </c>
    </row>
    <row r="4591" customFormat="false" ht="15" hidden="false" customHeight="false" outlineLevel="1" collapsed="false">
      <c r="A4591" s="52" t="s">
        <v>724</v>
      </c>
      <c r="B4591" s="53" t="s">
        <v>10</v>
      </c>
      <c r="C4591" s="59" t="n">
        <f aca="false">C4590</f>
        <v>-679934.969571918</v>
      </c>
      <c r="D4591" s="59" t="n">
        <f aca="false">C4591+D4590</f>
        <v>-1445317.93094178</v>
      </c>
      <c r="E4591" s="59" t="n">
        <f aca="false">D4591+E4590</f>
        <v>-2279627.13775257</v>
      </c>
      <c r="F4591" s="59" t="n">
        <f aca="false">E4591+F4590</f>
        <v>-3145961.56740297</v>
      </c>
      <c r="G4591" s="59" t="n">
        <f aca="false">F4591+G4590</f>
        <v>-3947191.68169233</v>
      </c>
      <c r="H4591" s="2" t="s">
        <v>1345</v>
      </c>
    </row>
    <row r="4592" customFormat="false" ht="15" hidden="false" customHeight="false" outlineLevel="1" collapsed="false">
      <c r="A4592" s="8" t="s">
        <v>725</v>
      </c>
      <c r="B4592" s="8" t="s">
        <v>10</v>
      </c>
      <c r="C4592" s="66" t="n">
        <f aca="false">ROUND(C4547-C4532-C4562-(MAX(C4576,Pressupostos!$C$106)-Pressupostos!$C$106)-(C4578)-C4590,6)</f>
        <v>0</v>
      </c>
      <c r="D4592" s="66" t="n">
        <f aca="false">ROUND(D4547-D4532-D4562-(MAX(D4576,Pressupostos!$C$106)-MAX(C4576,Pressupostos!$C$106))-(D4578-C4578)-D4590,6)</f>
        <v>0</v>
      </c>
      <c r="E4592" s="66" t="n">
        <f aca="false">ROUND(E4547-E4532-E4562-(MAX(E4576,Pressupostos!$C$106)-MAX(D4576,Pressupostos!$C$106))-(E4578-D4578)-E4590,6)</f>
        <v>0</v>
      </c>
      <c r="F4592" s="66" t="n">
        <f aca="false">ROUND(F4547-F4532-F4562-(MAX(F4576,Pressupostos!$C$106)-MAX(E4576,Pressupostos!$C$106))-(F4578-E4578)-F4590,6)</f>
        <v>0</v>
      </c>
      <c r="G4592" s="66" t="n">
        <f aca="false">ROUND(G4547-G4532-G4562-(MAX(G4576,Pressupostos!$C$106)-MAX(F4576,Pressupostos!$C$106))-(G4578-F4578)-G4590,6)</f>
        <v>0</v>
      </c>
      <c r="H4592" s="2" t="s">
        <v>1346</v>
      </c>
    </row>
    <row r="4593" customFormat="false" ht="15" hidden="false" customHeight="false" outlineLevel="0" collapsed="false">
      <c r="A4593" s="3" t="s">
        <v>1347</v>
      </c>
      <c r="B4593" s="4"/>
      <c r="C4593" s="4"/>
      <c r="D4593" s="4"/>
      <c r="E4593" s="4"/>
      <c r="F4593" s="4"/>
      <c r="G4593" s="4"/>
      <c r="H4593" s="4"/>
    </row>
    <row r="4594" customFormat="false" ht="15" hidden="false" customHeight="false" outlineLevel="1" collapsed="false">
      <c r="A4594" s="7" t="s">
        <v>727</v>
      </c>
      <c r="B4594" s="8" t="s">
        <v>10</v>
      </c>
      <c r="C4594" s="58" t="n">
        <f aca="false">0</f>
        <v>0</v>
      </c>
      <c r="D4594" s="58" t="n">
        <f aca="false">C4599</f>
        <v>275065.030428082</v>
      </c>
      <c r="E4594" s="58" t="n">
        <f aca="false">D4599</f>
        <v>150000</v>
      </c>
      <c r="F4594" s="58" t="n">
        <f aca="false">E4599</f>
        <v>150000</v>
      </c>
      <c r="G4594" s="58" t="n">
        <f aca="false">F4599</f>
        <v>150000</v>
      </c>
      <c r="H4594" s="2" t="s">
        <v>1348</v>
      </c>
    </row>
    <row r="4595" customFormat="false" ht="15" hidden="false" customHeight="false" outlineLevel="1" collapsed="false">
      <c r="A4595" s="7" t="s">
        <v>728</v>
      </c>
      <c r="B4595" s="8" t="s">
        <v>10</v>
      </c>
      <c r="C4595" s="58" t="n">
        <f aca="false">-(Pressupostos!$C$157+Pressupostos!$C$158+Pressupostos!$C$159+Pressupostos!$C$160+Pressupostos!$C$161+Pressupostos!$C$106)</f>
        <v>-145000</v>
      </c>
      <c r="D4595" s="58" t="n">
        <f aca="false">0</f>
        <v>0</v>
      </c>
      <c r="E4595" s="58" t="n">
        <f aca="false">0</f>
        <v>0</v>
      </c>
      <c r="F4595" s="58" t="n">
        <f aca="false">0</f>
        <v>0</v>
      </c>
      <c r="G4595" s="58" t="n">
        <f aca="false">0</f>
        <v>0</v>
      </c>
      <c r="H4595" s="2" t="s">
        <v>1349</v>
      </c>
    </row>
    <row r="4596" customFormat="false" ht="15" hidden="false" customHeight="false" outlineLevel="1" collapsed="false">
      <c r="A4596" s="7" t="s">
        <v>729</v>
      </c>
      <c r="B4596" s="8" t="s">
        <v>10</v>
      </c>
      <c r="C4596" s="50" t="n">
        <f aca="false">Pressupostos!$F$32</f>
        <v>1100000</v>
      </c>
      <c r="D4596" s="58" t="n">
        <f aca="false">0</f>
        <v>0</v>
      </c>
      <c r="E4596" s="58" t="n">
        <f aca="false">0</f>
        <v>0</v>
      </c>
      <c r="F4596" s="58" t="n">
        <f aca="false">0</f>
        <v>0</v>
      </c>
      <c r="G4596" s="58" t="n">
        <f aca="false">0</f>
        <v>0</v>
      </c>
      <c r="H4596" s="2" t="s">
        <v>1350</v>
      </c>
    </row>
    <row r="4597" customFormat="false" ht="15" hidden="false" customHeight="false" outlineLevel="1" collapsed="false">
      <c r="A4597" s="7" t="s">
        <v>730</v>
      </c>
      <c r="B4597" s="8" t="s">
        <v>10</v>
      </c>
      <c r="C4597" s="58" t="n">
        <f aca="false">C4594+C4595+C4596+C4590</f>
        <v>275065.030428082</v>
      </c>
      <c r="D4597" s="58" t="n">
        <f aca="false">D4594+D4595+D4596+D4590</f>
        <v>-490317.930941781</v>
      </c>
      <c r="E4597" s="58" t="n">
        <f aca="false">E4594+E4595+E4596+E4590</f>
        <v>-684309.206810788</v>
      </c>
      <c r="F4597" s="58" t="n">
        <f aca="false">F4594+F4595+F4596+F4590</f>
        <v>-716334.429650402</v>
      </c>
      <c r="G4597" s="58" t="n">
        <f aca="false">G4594+G4595+G4596+G4590</f>
        <v>-651230.114289362</v>
      </c>
      <c r="H4597" s="2" t="s">
        <v>1351</v>
      </c>
    </row>
    <row r="4598" customFormat="false" ht="15" hidden="false" customHeight="false" outlineLevel="1" collapsed="false">
      <c r="A4598" s="52" t="s">
        <v>731</v>
      </c>
      <c r="B4598" s="53" t="s">
        <v>10</v>
      </c>
      <c r="C4598" s="59" t="n">
        <f aca="false">MAX(0,Pressupostos!$C$168-C4597)</f>
        <v>0</v>
      </c>
      <c r="D4598" s="59" t="n">
        <f aca="false">MAX(0,Pressupostos!$C$168-D4597)</f>
        <v>640317.930941781</v>
      </c>
      <c r="E4598" s="59" t="n">
        <f aca="false">MAX(0,Pressupostos!$C$168-E4597)</f>
        <v>834309.206810788</v>
      </c>
      <c r="F4598" s="59" t="n">
        <f aca="false">MAX(0,Pressupostos!$C$168-F4597)</f>
        <v>866334.429650402</v>
      </c>
      <c r="G4598" s="59" t="n">
        <f aca="false">MAX(0,Pressupostos!$C$168-G4597)</f>
        <v>801230.114289362</v>
      </c>
      <c r="H4598" s="2" t="s">
        <v>1352</v>
      </c>
    </row>
    <row r="4599" customFormat="false" ht="15" hidden="false" customHeight="false" outlineLevel="1" collapsed="false">
      <c r="A4599" s="52" t="s">
        <v>732</v>
      </c>
      <c r="B4599" s="53" t="s">
        <v>10</v>
      </c>
      <c r="C4599" s="59" t="n">
        <f aca="false">C4597+C4598</f>
        <v>275065.030428082</v>
      </c>
      <c r="D4599" s="59" t="n">
        <f aca="false">D4597+D4598</f>
        <v>150000</v>
      </c>
      <c r="E4599" s="59" t="n">
        <f aca="false">E4597+E4598</f>
        <v>150000</v>
      </c>
      <c r="F4599" s="59" t="n">
        <f aca="false">F4597+F4598</f>
        <v>150000</v>
      </c>
      <c r="G4599" s="59" t="n">
        <f aca="false">G4597+G4598</f>
        <v>150000</v>
      </c>
      <c r="H4599" s="2" t="s">
        <v>1353</v>
      </c>
    </row>
    <row r="4600" customFormat="false" ht="15" hidden="false" customHeight="false" outlineLevel="1" collapsed="false">
      <c r="A4600" s="7" t="s">
        <v>733</v>
      </c>
      <c r="B4600" s="8" t="s">
        <v>10</v>
      </c>
      <c r="C4600" s="58" t="n">
        <f aca="false">C4575+C4578+C4577</f>
        <v>12701.2536986301</v>
      </c>
      <c r="D4600" s="58" t="n">
        <f aca="false">D4575+D4578+D4577</f>
        <v>109066.524160959</v>
      </c>
      <c r="E4600" s="58" t="n">
        <f aca="false">E4575+E4578+E4577</f>
        <v>196245.577140411</v>
      </c>
      <c r="F4600" s="58" t="n">
        <f aca="false">F4575+F4578+F4577</f>
        <v>330096.434332192</v>
      </c>
      <c r="G4600" s="58" t="n">
        <f aca="false">G4575+G4578+G4577</f>
        <v>484397.884417808</v>
      </c>
      <c r="H4600" s="2" t="s">
        <v>1354</v>
      </c>
    </row>
    <row r="4601" customFormat="false" ht="15" hidden="false" customHeight="false" outlineLevel="1" collapsed="false">
      <c r="A4601" s="7" t="s">
        <v>734</v>
      </c>
      <c r="B4601" s="8" t="s">
        <v>10</v>
      </c>
      <c r="C4601" s="58" t="n">
        <f aca="false">C4599+C4600</f>
        <v>287766.284126712</v>
      </c>
      <c r="D4601" s="58" t="n">
        <f aca="false">D4599+D4600</f>
        <v>259066.524160959</v>
      </c>
      <c r="E4601" s="58" t="n">
        <f aca="false">E4599+E4600</f>
        <v>346245.577140411</v>
      </c>
      <c r="F4601" s="58" t="n">
        <f aca="false">F4599+F4600</f>
        <v>480096.434332192</v>
      </c>
      <c r="G4601" s="58" t="n">
        <f aca="false">G4599+G4600</f>
        <v>634397.884417808</v>
      </c>
      <c r="H4601" s="2" t="s">
        <v>1355</v>
      </c>
    </row>
    <row r="4602" customFormat="false" ht="15" hidden="false" customHeight="false" outlineLevel="1" collapsed="false">
      <c r="A4602" s="7" t="s">
        <v>735</v>
      </c>
      <c r="B4602" s="8" t="s">
        <v>10</v>
      </c>
      <c r="C4602" s="58" t="n">
        <f aca="false">C4596+C4598</f>
        <v>1100000</v>
      </c>
      <c r="D4602" s="58" t="n">
        <f aca="false">C4602+D4596+D4598</f>
        <v>1740317.93094178</v>
      </c>
      <c r="E4602" s="58" t="n">
        <f aca="false">D4602+E4596+E4598</f>
        <v>2574627.13775257</v>
      </c>
      <c r="F4602" s="58" t="n">
        <f aca="false">E4602+F4596+F4598</f>
        <v>3440961.56740297</v>
      </c>
      <c r="G4602" s="58" t="n">
        <f aca="false">F4602+G4596+G4598</f>
        <v>4242191.68169233</v>
      </c>
      <c r="H4602" s="2" t="s">
        <v>1356</v>
      </c>
    </row>
    <row r="4603" customFormat="false" ht="15" hidden="false" customHeight="false" outlineLevel="0" collapsed="false">
      <c r="A4603" s="3" t="s">
        <v>1357</v>
      </c>
      <c r="B4603" s="4"/>
      <c r="C4603" s="4"/>
      <c r="D4603" s="4"/>
      <c r="E4603" s="4"/>
      <c r="F4603" s="4"/>
      <c r="G4603" s="4"/>
      <c r="H4603" s="4"/>
    </row>
    <row r="4604" customFormat="false" ht="15" hidden="false" customHeight="false" outlineLevel="1" collapsed="false">
      <c r="A4604" s="7" t="s">
        <v>739</v>
      </c>
      <c r="B4604" s="8" t="s">
        <v>10</v>
      </c>
      <c r="C4604" s="68" t="n">
        <f aca="false">Pressupostos!$C$157+Pressupostos!$C$158+Pressupostos!$C$159+Pressupostos!$C$160+Pressupostos!$C$161</f>
        <v>95000</v>
      </c>
      <c r="H4604" s="2" t="s">
        <v>1358</v>
      </c>
    </row>
    <row r="4605" customFormat="false" ht="15" hidden="false" customHeight="false" outlineLevel="1" collapsed="false">
      <c r="A4605" s="7" t="s">
        <v>740</v>
      </c>
      <c r="B4605" s="8" t="s">
        <v>10</v>
      </c>
      <c r="C4605" s="69" t="n">
        <f aca="false">Pressupostos!$C$106</f>
        <v>50000</v>
      </c>
      <c r="H4605" s="2" t="s">
        <v>1359</v>
      </c>
    </row>
    <row r="4606" customFormat="false" ht="15" hidden="false" customHeight="false" outlineLevel="1" collapsed="false">
      <c r="A4606" s="7" t="s">
        <v>312</v>
      </c>
      <c r="B4606" s="8" t="s">
        <v>10</v>
      </c>
      <c r="C4606" s="69" t="n">
        <f aca="false">Pressupostos!$C$168</f>
        <v>150000</v>
      </c>
      <c r="H4606" s="2" t="s">
        <v>1360</v>
      </c>
    </row>
    <row r="4607" customFormat="false" ht="15" hidden="false" customHeight="false" outlineLevel="1" collapsed="false">
      <c r="A4607" s="7" t="s">
        <v>741</v>
      </c>
      <c r="B4607" s="8" t="s">
        <v>10</v>
      </c>
      <c r="C4607" s="68" t="n">
        <f aca="false">MAX(0,-MIN($C$4591:$G$4591))</f>
        <v>3947191.68169233</v>
      </c>
      <c r="H4607" s="2" t="s">
        <v>1361</v>
      </c>
    </row>
    <row r="4608" customFormat="false" ht="15" hidden="false" customHeight="false" outlineLevel="1" collapsed="false">
      <c r="A4608" s="52" t="s">
        <v>14</v>
      </c>
      <c r="B4608" s="53" t="s">
        <v>10</v>
      </c>
      <c r="C4608" s="70" t="n">
        <f aca="false">C4604+C4605+C4606+C4607</f>
        <v>4242191.68169233</v>
      </c>
      <c r="H4608" s="2" t="s">
        <v>1362</v>
      </c>
    </row>
    <row r="4609" customFormat="false" ht="15" hidden="false" customHeight="false" outlineLevel="1" collapsed="false">
      <c r="A4609" s="7" t="s">
        <v>742</v>
      </c>
      <c r="B4609" s="8" t="s">
        <v>18</v>
      </c>
      <c r="C4609" s="71" t="n">
        <f aca="false">INDEX($C$4348:$G$4348,1,MATCH(MIN($C$4591:$G$4591),$C$4591:$G$4591,0))</f>
        <v>2031</v>
      </c>
      <c r="H4609" s="2" t="s">
        <v>1363</v>
      </c>
    </row>
    <row r="4610" customFormat="false" ht="15" hidden="false" customHeight="false" outlineLevel="1" collapsed="false">
      <c r="A4610" s="7" t="s">
        <v>743</v>
      </c>
      <c r="B4610" s="8"/>
      <c r="C4610" s="72" t="str">
        <f aca="false">IF(G4590&lt;0,"sim","não")</f>
        <v>sim</v>
      </c>
      <c r="H4610" s="2" t="s">
        <v>1364</v>
      </c>
    </row>
    <row r="4611" customFormat="false" ht="15" hidden="false" customHeight="false" outlineLevel="1" collapsed="false">
      <c r="A4611" s="7" t="s">
        <v>744</v>
      </c>
      <c r="B4611" s="8" t="s">
        <v>10</v>
      </c>
      <c r="C4611" s="68" t="n">
        <f aca="false">G4602</f>
        <v>4242191.68169233</v>
      </c>
      <c r="H4611" s="2" t="s">
        <v>1365</v>
      </c>
    </row>
    <row r="4612" customFormat="false" ht="15" hidden="false" customHeight="false" outlineLevel="0" collapsed="false">
      <c r="A4612" s="3" t="s">
        <v>1366</v>
      </c>
      <c r="B4612" s="4"/>
      <c r="C4612" s="4"/>
      <c r="D4612" s="4"/>
      <c r="E4612" s="4"/>
      <c r="F4612" s="4"/>
      <c r="G4612" s="4"/>
      <c r="H4612" s="4"/>
    </row>
    <row r="4613" customFormat="false" ht="15" hidden="false" customHeight="false" outlineLevel="1" collapsed="false">
      <c r="A4613" s="7" t="s">
        <v>746</v>
      </c>
      <c r="B4613" s="8" t="s">
        <v>10</v>
      </c>
      <c r="C4613" s="68" t="n">
        <f aca="false">C4604+C4605</f>
        <v>145000</v>
      </c>
      <c r="H4613" s="2" t="s">
        <v>1367</v>
      </c>
    </row>
    <row r="4614" customFormat="false" ht="15" hidden="false" customHeight="false" outlineLevel="1" collapsed="false">
      <c r="A4614" s="7" t="s">
        <v>747</v>
      </c>
      <c r="B4614" s="8" t="s">
        <v>10</v>
      </c>
      <c r="C4614" s="68" t="n">
        <f aca="false">-SUMPRODUCT(($C$4348:$G$4348&lt;=C4609)*$C$4547:$G$4547)</f>
        <v>3478081.74590466</v>
      </c>
      <c r="H4614" s="2" t="s">
        <v>1368</v>
      </c>
    </row>
    <row r="4615" customFormat="false" ht="15" hidden="false" customHeight="false" outlineLevel="1" collapsed="false">
      <c r="A4615" s="7" t="s">
        <v>407</v>
      </c>
      <c r="B4615" s="8" t="s">
        <v>10</v>
      </c>
      <c r="C4615" s="68" t="n">
        <f aca="false">SUMPRODUCT(($C$4348:$G$4348&lt;=C4609)*$C$4532:$G$4532)</f>
        <v>250000</v>
      </c>
      <c r="H4615" s="2" t="s">
        <v>1369</v>
      </c>
    </row>
    <row r="4616" customFormat="false" ht="15" hidden="false" customHeight="false" outlineLevel="1" collapsed="false">
      <c r="A4616" s="7" t="s">
        <v>748</v>
      </c>
      <c r="B4616" s="8" t="s">
        <v>10</v>
      </c>
      <c r="C4616" s="68" t="n">
        <f aca="false">SUMPRODUCT(($C$4348:$G$4348&lt;=C4609)*$C$4562:$G$4562)</f>
        <v>0</v>
      </c>
      <c r="H4616" s="2" t="s">
        <v>1370</v>
      </c>
    </row>
    <row r="4617" customFormat="false" ht="15" hidden="false" customHeight="false" outlineLevel="1" collapsed="false">
      <c r="A4617" s="7" t="s">
        <v>749</v>
      </c>
      <c r="B4617" s="8" t="s">
        <v>10</v>
      </c>
      <c r="C4617" s="68" t="n">
        <f aca="false">C4607-C4614-C4615-C4616</f>
        <v>219109.935787671</v>
      </c>
      <c r="H4617" s="2" t="s">
        <v>1371</v>
      </c>
    </row>
    <row r="4618" customFormat="false" ht="15" hidden="false" customHeight="false" outlineLevel="1" collapsed="false">
      <c r="A4618" s="7" t="s">
        <v>312</v>
      </c>
      <c r="B4618" s="8" t="s">
        <v>10</v>
      </c>
      <c r="C4618" s="68" t="n">
        <f aca="false">C4606</f>
        <v>150000</v>
      </c>
      <c r="H4618" s="2" t="s">
        <v>1372</v>
      </c>
    </row>
    <row r="4619" customFormat="false" ht="15" hidden="false" customHeight="false" outlineLevel="1" collapsed="false">
      <c r="A4619" s="52" t="s">
        <v>750</v>
      </c>
      <c r="B4619" s="53" t="s">
        <v>10</v>
      </c>
      <c r="C4619" s="70" t="n">
        <f aca="false">C4613+C4614+C4615+C4616+C4617+C4618</f>
        <v>4242191.68169233</v>
      </c>
      <c r="H4619" s="2" t="s">
        <v>1373</v>
      </c>
    </row>
    <row r="4620" customFormat="false" ht="15" hidden="false" customHeight="false" outlineLevel="0" collapsed="false">
      <c r="A4620" s="3" t="s">
        <v>1374</v>
      </c>
      <c r="B4620" s="4"/>
      <c r="C4620" s="4"/>
      <c r="D4620" s="4"/>
      <c r="E4620" s="4"/>
      <c r="F4620" s="4"/>
      <c r="G4620" s="4"/>
      <c r="H4620" s="4"/>
    </row>
    <row r="4621" customFormat="false" ht="15" hidden="false" customHeight="false" outlineLevel="1" collapsed="false">
      <c r="A4621" s="7" t="s">
        <v>729</v>
      </c>
      <c r="B4621" s="8" t="s">
        <v>10</v>
      </c>
      <c r="C4621" s="69" t="n">
        <f aca="false">Pressupostos!$F$32</f>
        <v>1100000</v>
      </c>
      <c r="H4621" s="2" t="s">
        <v>1375</v>
      </c>
    </row>
    <row r="4622" customFormat="false" ht="15" hidden="false" customHeight="false" outlineLevel="1" collapsed="false">
      <c r="A4622" s="7" t="s">
        <v>752</v>
      </c>
      <c r="B4622" s="8" t="s">
        <v>10</v>
      </c>
      <c r="C4622" s="68" t="n">
        <f aca="false">C4604+Pressupostos!$C$106+Pressupostos!$C$128/12*((C4508-C4496-C4497+(C4496+C4497)/Pressupostos!$C$126*Pressupostos!$C$127)*(1+Pressupostos!$C$122+Pressupostos!$C$123)+C4494*Pressupostos!$C$124+C4527)+C4532+MAX(0,Pressupostos!$C$181*1000*(C4367+C4370)+Pressupostos!$C$182*1000*(C4390+C4393)-Pressupostos!$C$106)</f>
        <v>652746.666666667</v>
      </c>
      <c r="H4622" s="2" t="s">
        <v>1376</v>
      </c>
    </row>
    <row r="4623" customFormat="false" ht="15" hidden="false" customHeight="false" outlineLevel="1" collapsed="false">
      <c r="A4623" s="7" t="s">
        <v>754</v>
      </c>
      <c r="B4623" s="8" t="s">
        <v>10</v>
      </c>
      <c r="C4623" s="68" t="n">
        <f aca="false">C4604+Pressupostos!$C$106-C4590</f>
        <v>824934.969571918</v>
      </c>
      <c r="H4623" s="2" t="s">
        <v>1377</v>
      </c>
    </row>
    <row r="4624" customFormat="false" ht="15" hidden="false" customHeight="false" outlineLevel="1" collapsed="false">
      <c r="A4624" s="7" t="s">
        <v>755</v>
      </c>
      <c r="B4624" s="8" t="s">
        <v>10</v>
      </c>
      <c r="C4624" s="58" t="n">
        <f aca="false">Pressupostos!$F$32-C4604-Pressupostos!$C$106+C4591</f>
        <v>275065.030428082</v>
      </c>
      <c r="D4624" s="58" t="n">
        <f aca="false">Pressupostos!$F$32-C4604-Pressupostos!$C$106+D4591</f>
        <v>-490317.930941781</v>
      </c>
      <c r="E4624" s="58" t="n">
        <f aca="false">Pressupostos!$F$32-C4604-Pressupostos!$C$106+E4591</f>
        <v>-1324627.13775257</v>
      </c>
      <c r="F4624" s="58" t="n">
        <f aca="false">Pressupostos!$F$32-C4604-Pressupostos!$C$106+F4591</f>
        <v>-2190961.56740297</v>
      </c>
      <c r="G4624" s="58" t="n">
        <f aca="false">Pressupostos!$F$32-C4604-Pressupostos!$C$106+G4591</f>
        <v>-2992191.68169233</v>
      </c>
      <c r="H4624" s="2" t="s">
        <v>1378</v>
      </c>
    </row>
    <row r="4625" customFormat="false" ht="15" hidden="false" customHeight="false" outlineLevel="1" collapsed="false">
      <c r="A4625" s="7" t="s">
        <v>756</v>
      </c>
      <c r="B4625" s="8" t="s">
        <v>16</v>
      </c>
      <c r="C4625" s="73" t="str">
        <f aca="false">IF(AND(Pressupostos!$F$32-C4604-Pressupostos!$C$106&gt;0,C4624&lt;=0),12*(Pressupostos!$F$32-C4604-Pressupostos!$C$106)/(Pressupostos!$F$32-C4604-Pressupostos!$C$106-C4624),"")</f>
        <v/>
      </c>
      <c r="D4625" s="73" t="n">
        <f aca="false">IF(AND(C4624&gt;0,D4624&lt;=0),12+12*C4624/(C4624-D4624),"")</f>
        <v>16.3125866810901</v>
      </c>
      <c r="E4625" s="73" t="str">
        <f aca="false">IF(AND(D4624&gt;0,E4624&lt;=0),24+12*D4624/(D4624-E4624),"")</f>
        <v/>
      </c>
      <c r="F4625" s="73" t="str">
        <f aca="false">IF(AND(E4624&gt;0,F4624&lt;=0),36+12*E4624/(E4624-F4624),"")</f>
        <v/>
      </c>
      <c r="G4625" s="73" t="str">
        <f aca="false">IF(AND(F4624&gt;0,G4624&lt;=0),48+12*F4624/(F4624-G4624),"")</f>
        <v/>
      </c>
      <c r="H4625" s="2" t="s">
        <v>1379</v>
      </c>
    </row>
    <row r="4626" customFormat="false" ht="15" hidden="false" customHeight="false" outlineLevel="1" collapsed="false">
      <c r="A4626" s="52" t="s">
        <v>757</v>
      </c>
      <c r="B4626" s="53" t="s">
        <v>264</v>
      </c>
      <c r="C4626" s="74" t="n">
        <f aca="false">IF(COUNT($C$4625:$G$4625)=0,"&gt; 60",MIN($C$4625:$G$4625))</f>
        <v>16.3125866810901</v>
      </c>
      <c r="H4626" s="2" t="s">
        <v>1380</v>
      </c>
    </row>
    <row r="4627" customFormat="false" ht="15" hidden="false" customHeight="false" outlineLevel="0" collapsed="false">
      <c r="A4627" s="3" t="s">
        <v>1381</v>
      </c>
      <c r="B4627" s="4"/>
      <c r="C4627" s="4"/>
      <c r="D4627" s="4"/>
      <c r="E4627" s="4"/>
      <c r="F4627" s="4"/>
      <c r="G4627" s="4"/>
      <c r="H4627" s="4"/>
    </row>
    <row r="4628" customFormat="false" ht="15" hidden="false" customHeight="false" outlineLevel="1" collapsed="false">
      <c r="A4628" s="7" t="s">
        <v>759</v>
      </c>
      <c r="B4628" s="8" t="s">
        <v>16</v>
      </c>
      <c r="C4628" s="73" t="str">
        <f aca="false">IF(C4547&gt;=0,1,"")</f>
        <v/>
      </c>
      <c r="D4628" s="73" t="str">
        <f aca="false">IF(AND(C4547&lt;0,D4547&gt;=0),6.5+12*(-C4547)/(D4547-C4547),"")</f>
        <v/>
      </c>
      <c r="E4628" s="73" t="str">
        <f aca="false">IF(AND(D4547&lt;0,E4547&gt;=0),18.5+12*(-D4547)/(E4547-D4547),"")</f>
        <v/>
      </c>
      <c r="F4628" s="73" t="str">
        <f aca="false">IF(AND(E4547&lt;0,F4547&gt;=0),30.5+12*(-E4547)/(F4547-E4547),"")</f>
        <v/>
      </c>
      <c r="G4628" s="73" t="str">
        <f aca="false">IF(AND(F4547&lt;0,G4547&gt;=0),42.5+12*(-F4547)/(G4547-F4547),"")</f>
        <v/>
      </c>
      <c r="H4628" s="2" t="s">
        <v>1382</v>
      </c>
    </row>
    <row r="4629" customFormat="false" ht="15" hidden="false" customHeight="false" outlineLevel="1" collapsed="false">
      <c r="A4629" s="7" t="s">
        <v>760</v>
      </c>
      <c r="B4629" s="8" t="s">
        <v>16</v>
      </c>
      <c r="C4629" s="75" t="str">
        <f aca="false">IF(COUNT($C$4628:$G$4628)=0,"não atinge até 2031",ROUNDUP(MIN($C$4628:$G$4628),0))</f>
        <v>não atinge até 2031</v>
      </c>
      <c r="H4629" s="2" t="s">
        <v>1383</v>
      </c>
    </row>
    <row r="4630" customFormat="false" ht="15" hidden="false" customHeight="false" outlineLevel="1" collapsed="false">
      <c r="A4630" s="52" t="s">
        <v>761</v>
      </c>
      <c r="B4630" s="53" t="s">
        <v>762</v>
      </c>
      <c r="C4630" s="76" t="str">
        <f aca="false">IF(ISNUMBER(C4629),DATE(2027,C4629,1),"não atinge até 2031")</f>
        <v>não atinge até 2031</v>
      </c>
      <c r="H4630" s="2" t="s">
        <v>1384</v>
      </c>
    </row>
    <row r="4631" customFormat="false" ht="15" hidden="false" customHeight="false" outlineLevel="1" collapsed="false">
      <c r="A4631" s="7" t="s">
        <v>763</v>
      </c>
      <c r="B4631" s="8" t="s">
        <v>18</v>
      </c>
      <c r="C4631" s="77" t="str">
        <f aca="false">IF(C4547&gt;=0,C4348,"")</f>
        <v/>
      </c>
      <c r="D4631" s="77" t="str">
        <f aca="false">IF(D4547&gt;=0,D4348,"")</f>
        <v/>
      </c>
      <c r="E4631" s="77" t="str">
        <f aca="false">IF(E4547&gt;=0,E4348,"")</f>
        <v/>
      </c>
      <c r="F4631" s="77" t="str">
        <f aca="false">IF(F4547&gt;=0,F4348,"")</f>
        <v/>
      </c>
      <c r="G4631" s="77" t="str">
        <f aca="false">IF(G4547&gt;=0,G4348,"")</f>
        <v/>
      </c>
      <c r="H4631" s="2" t="s">
        <v>1385</v>
      </c>
    </row>
    <row r="4632" customFormat="false" ht="15" hidden="false" customHeight="false" outlineLevel="1" collapsed="false">
      <c r="A4632" s="7" t="s">
        <v>764</v>
      </c>
      <c r="B4632" s="8" t="s">
        <v>18</v>
      </c>
      <c r="C4632" s="71" t="str">
        <f aca="false">IF(COUNT($C$4631:$G$4631)=0,"não atinge até 2031",MIN($C$4631:$G$4631))</f>
        <v>não atinge até 2031</v>
      </c>
      <c r="H4632" s="2" t="s">
        <v>1386</v>
      </c>
    </row>
    <row r="4633" customFormat="false" ht="15" hidden="false" customHeight="false" outlineLevel="1" collapsed="false">
      <c r="A4633" s="7" t="s">
        <v>765</v>
      </c>
      <c r="B4633" s="8" t="s">
        <v>18</v>
      </c>
      <c r="C4633" s="77" t="str">
        <f aca="false">IF(C4565&gt;=0,C4348,"")</f>
        <v/>
      </c>
      <c r="D4633" s="77" t="str">
        <f aca="false">IF(D4565&gt;=0,D4348,"")</f>
        <v/>
      </c>
      <c r="E4633" s="77" t="str">
        <f aca="false">IF(E4565&gt;=0,E4348,"")</f>
        <v/>
      </c>
      <c r="F4633" s="77" t="str">
        <f aca="false">IF(F4565&gt;=0,F4348,"")</f>
        <v/>
      </c>
      <c r="G4633" s="77" t="str">
        <f aca="false">IF(G4565&gt;=0,G4348,"")</f>
        <v/>
      </c>
      <c r="H4633" s="2" t="s">
        <v>1387</v>
      </c>
    </row>
    <row r="4634" customFormat="false" ht="15" hidden="false" customHeight="false" outlineLevel="1" collapsed="false">
      <c r="A4634" s="7" t="s">
        <v>766</v>
      </c>
      <c r="B4634" s="8" t="s">
        <v>18</v>
      </c>
      <c r="C4634" s="71" t="str">
        <f aca="false">IF(COUNT($C$4633:$G$4633)=0,"não atinge até 2031",MIN($C$4633:$G$4633))</f>
        <v>não atinge até 2031</v>
      </c>
      <c r="H4634" s="2" t="s">
        <v>1388</v>
      </c>
    </row>
    <row r="4635" customFormat="false" ht="15" hidden="false" customHeight="false" outlineLevel="1" collapsed="false">
      <c r="A4635" s="7" t="s">
        <v>767</v>
      </c>
      <c r="B4635" s="8" t="s">
        <v>18</v>
      </c>
      <c r="C4635" s="77" t="str">
        <f aca="false">IF(C4590&gt;=0,C4348,"")</f>
        <v/>
      </c>
      <c r="D4635" s="77" t="str">
        <f aca="false">IF(D4590&gt;=0,D4348,"")</f>
        <v/>
      </c>
      <c r="E4635" s="77" t="str">
        <f aca="false">IF(E4590&gt;=0,E4348,"")</f>
        <v/>
      </c>
      <c r="F4635" s="77" t="str">
        <f aca="false">IF(F4590&gt;=0,F4348,"")</f>
        <v/>
      </c>
      <c r="G4635" s="77" t="str">
        <f aca="false">IF(G4590&gt;=0,G4348,"")</f>
        <v/>
      </c>
      <c r="H4635" s="2" t="s">
        <v>1389</v>
      </c>
    </row>
    <row r="4636" customFormat="false" ht="15" hidden="false" customHeight="false" outlineLevel="1" collapsed="false">
      <c r="A4636" s="7" t="s">
        <v>17</v>
      </c>
      <c r="B4636" s="8" t="s">
        <v>18</v>
      </c>
      <c r="C4636" s="71" t="str">
        <f aca="false">IF(COUNT($C$4635:$G$4635)=0,"não atinge até 2031",MIN($C$4635:$G$4635))</f>
        <v>não atinge até 2031</v>
      </c>
      <c r="H4636" s="2" t="s">
        <v>1390</v>
      </c>
    </row>
    <row r="4637" customFormat="false" ht="15" hidden="false" customHeight="false" outlineLevel="0" collapsed="false">
      <c r="A4637" s="3" t="s">
        <v>1391</v>
      </c>
      <c r="B4637" s="4"/>
      <c r="C4637" s="4"/>
      <c r="D4637" s="4"/>
      <c r="E4637" s="4"/>
      <c r="F4637" s="4"/>
      <c r="G4637" s="4"/>
      <c r="H4637" s="4"/>
    </row>
    <row r="4638" customFormat="false" ht="15" hidden="false" customHeight="false" outlineLevel="1" collapsed="false">
      <c r="A4638" s="7" t="s">
        <v>769</v>
      </c>
      <c r="B4638" s="8" t="s">
        <v>10</v>
      </c>
      <c r="C4638" s="58" t="n">
        <f aca="false">C4573</f>
        <v>0</v>
      </c>
      <c r="D4638" s="58" t="n">
        <f aca="false">D4573</f>
        <v>366619.805136986</v>
      </c>
      <c r="E4638" s="58" t="n">
        <f aca="false">E4573</f>
        <v>784982.308561644</v>
      </c>
      <c r="F4638" s="58" t="n">
        <f aca="false">F4573</f>
        <v>1320385.73732877</v>
      </c>
      <c r="G4638" s="58" t="n">
        <f aca="false">G4573</f>
        <v>1937591.53767123</v>
      </c>
      <c r="H4638" s="2" t="s">
        <v>1392</v>
      </c>
    </row>
    <row r="4639" customFormat="false" ht="15" hidden="false" customHeight="false" outlineLevel="1" collapsed="false">
      <c r="A4639" s="7" t="s">
        <v>487</v>
      </c>
      <c r="B4639" s="8" t="s">
        <v>71</v>
      </c>
      <c r="C4639" s="78" t="n">
        <f aca="false">Pressupostos!$C$285</f>
        <v>0.08</v>
      </c>
      <c r="D4639" s="78" t="n">
        <f aca="false">Pressupostos!$D$285</f>
        <v>0.08</v>
      </c>
      <c r="E4639" s="78" t="n">
        <f aca="false">Pressupostos!$E$285</f>
        <v>0.075</v>
      </c>
      <c r="F4639" s="78" t="n">
        <f aca="false">Pressupostos!$F$285</f>
        <v>0.07</v>
      </c>
      <c r="G4639" s="78" t="n">
        <f aca="false">Pressupostos!$G$285</f>
        <v>0.07</v>
      </c>
      <c r="H4639" s="2" t="s">
        <v>1393</v>
      </c>
    </row>
    <row r="4640" customFormat="false" ht="15" hidden="false" customHeight="false" outlineLevel="1" collapsed="false">
      <c r="A4640" s="7" t="s">
        <v>770</v>
      </c>
      <c r="B4640" s="8" t="s">
        <v>71</v>
      </c>
      <c r="C4640" s="56" t="n">
        <f aca="false">Pressupostos!$C$285*(1-Pressupostos!$C$109)</f>
        <v>0.0576</v>
      </c>
      <c r="D4640" s="56" t="n">
        <f aca="false">Pressupostos!$D$285*(1-Pressupostos!$C$109)</f>
        <v>0.0576</v>
      </c>
      <c r="E4640" s="56" t="n">
        <f aca="false">Pressupostos!$E$285*(1-Pressupostos!$C$109)</f>
        <v>0.054</v>
      </c>
      <c r="F4640" s="56" t="n">
        <f aca="false">Pressupostos!$F$285*(1-Pressupostos!$C$109)</f>
        <v>0.0504</v>
      </c>
      <c r="G4640" s="56" t="n">
        <f aca="false">Pressupostos!$G$285*(1-Pressupostos!$C$109)</f>
        <v>0.0504</v>
      </c>
      <c r="H4640" s="2" t="s">
        <v>1394</v>
      </c>
    </row>
    <row r="4641" customFormat="false" ht="15" hidden="false" customHeight="false" outlineLevel="1" collapsed="false">
      <c r="A4641" s="7" t="s">
        <v>771</v>
      </c>
      <c r="B4641" s="8" t="s">
        <v>10</v>
      </c>
      <c r="C4641" s="58" t="n">
        <f aca="false">C4479</f>
        <v>0</v>
      </c>
      <c r="D4641" s="58" t="n">
        <f aca="false">D4479</f>
        <v>27141.9534246575</v>
      </c>
      <c r="E4641" s="58" t="n">
        <f aca="false">E4479</f>
        <v>54116.0965325342</v>
      </c>
      <c r="F4641" s="58" t="n">
        <f aca="false">F4479</f>
        <v>84945.0952910959</v>
      </c>
      <c r="G4641" s="58" t="n">
        <f aca="false">G4479</f>
        <v>124601.000856164</v>
      </c>
      <c r="H4641" s="2" t="s">
        <v>1395</v>
      </c>
    </row>
    <row r="4642" customFormat="false" ht="15" hidden="false" customHeight="false" outlineLevel="1" collapsed="false">
      <c r="A4642" s="7" t="s">
        <v>772</v>
      </c>
      <c r="B4642" s="8" t="s">
        <v>71</v>
      </c>
      <c r="C4642" s="55" t="n">
        <f aca="false">IF(C4573&gt;0,(C4576+C4578)/C4573,0)</f>
        <v>0</v>
      </c>
      <c r="D4642" s="55" t="n">
        <f aca="false">IF(D4573&gt;0,(D4576+D4578)/D4573,0)</f>
        <v>0.138888888888889</v>
      </c>
      <c r="E4642" s="55" t="n">
        <f aca="false">IF(E4573&gt;0,(E4576+E4578)/E4573,0)</f>
        <v>0.138888888888889</v>
      </c>
      <c r="F4642" s="55" t="n">
        <f aca="false">IF(F4573&gt;0,(F4576+F4578)/F4573,0)</f>
        <v>0.138888888888889</v>
      </c>
      <c r="G4642" s="55" t="n">
        <f aca="false">IF(G4573&gt;0,(G4576+G4578)/G4573,0)</f>
        <v>0.138888888888889</v>
      </c>
      <c r="H4642" s="2" t="s">
        <v>1396</v>
      </c>
    </row>
    <row r="4643" customFormat="false" ht="15" hidden="false" customHeight="false" outlineLevel="1" collapsed="false">
      <c r="A4643" s="7" t="s">
        <v>773</v>
      </c>
      <c r="B4643" s="8" t="s">
        <v>115</v>
      </c>
      <c r="C4643" s="58" t="n">
        <f aca="false">C4579</f>
        <v>0</v>
      </c>
      <c r="D4643" s="58" t="n">
        <f aca="false">D4579</f>
        <v>7.33239610273973</v>
      </c>
      <c r="E4643" s="58" t="n">
        <f aca="false">E4579</f>
        <v>15.6996461712329</v>
      </c>
      <c r="F4643" s="58" t="n">
        <f aca="false">F4579</f>
        <v>26.4077147465753</v>
      </c>
      <c r="G4643" s="58" t="n">
        <f aca="false">G4579</f>
        <v>38.7518307534247</v>
      </c>
      <c r="H4643" s="2" t="s">
        <v>1397</v>
      </c>
    </row>
    <row r="4644" customFormat="false" ht="15" hidden="false" customHeight="false" outlineLevel="0" collapsed="false">
      <c r="A4644" s="3" t="s">
        <v>1398</v>
      </c>
      <c r="B4644" s="4"/>
      <c r="C4644" s="4"/>
      <c r="D4644" s="4"/>
      <c r="E4644" s="4"/>
      <c r="F4644" s="4"/>
      <c r="G4644" s="4"/>
      <c r="H4644" s="4"/>
    </row>
    <row r="4645" customFormat="false" ht="15" hidden="false" customHeight="false" outlineLevel="1" collapsed="false">
      <c r="A4645" s="7" t="s">
        <v>775</v>
      </c>
      <c r="B4645" s="8" t="s">
        <v>10</v>
      </c>
      <c r="C4645" s="58" t="n">
        <f aca="false">MAX(0,-C4547)</f>
        <v>590934.969571918</v>
      </c>
      <c r="D4645" s="58" t="n">
        <f aca="false">MAX(0,-D4547)</f>
        <v>701051.971113014</v>
      </c>
      <c r="E4645" s="58" t="n">
        <f aca="false">MAX(0,-E4547)</f>
        <v>749614.876434075</v>
      </c>
      <c r="F4645" s="58" t="n">
        <f aca="false">MAX(0,-F4547)</f>
        <v>754972.842321635</v>
      </c>
      <c r="G4645" s="58" t="n">
        <f aca="false">MAX(0,-G4547)</f>
        <v>681507.086464019</v>
      </c>
      <c r="H4645" s="2" t="s">
        <v>1399</v>
      </c>
    </row>
    <row r="4646" customFormat="false" ht="15" hidden="false" customHeight="false" outlineLevel="1" collapsed="false">
      <c r="A4646" s="2" t="s">
        <v>776</v>
      </c>
      <c r="B4646" s="8"/>
      <c r="C4646" s="58" t="n">
        <f aca="false">IF(AND(C4348&gt;=Pressupostos!$C$118,Pressupostos!$C$116*(C4436+C4437)+Pressupostos!$C$117*C4438&gt;Pressupostos!$C$297),1,0)</f>
        <v>0</v>
      </c>
      <c r="D4646" s="58" t="n">
        <f aca="false">IF(AND(D4348&gt;=Pressupostos!$C$118,Pressupostos!$C$116*(D4436+D4437)+Pressupostos!$C$117*D4438&gt;Pressupostos!$D$297),1,0)</f>
        <v>1</v>
      </c>
      <c r="E4646" s="58" t="n">
        <f aca="false">IF(AND(E4348&gt;=Pressupostos!$C$118,Pressupostos!$C$116*(E4436+E4437)+Pressupostos!$C$117*E4438&gt;Pressupostos!$E$297),1,0)</f>
        <v>1</v>
      </c>
      <c r="F4646" s="58" t="n">
        <f aca="false">IF(AND(F4348&gt;=Pressupostos!$C$118,Pressupostos!$C$116*(F4436+F4437)+Pressupostos!$C$117*F4438&gt;Pressupostos!$F$297),1,0)</f>
        <v>1</v>
      </c>
      <c r="G4646" s="58" t="n">
        <f aca="false">IF(AND(G4348&gt;=Pressupostos!$C$118,Pressupostos!$C$116*(G4436+G4437)+Pressupostos!$C$117*G4438&gt;Pressupostos!$G$297),1,0)</f>
        <v>1</v>
      </c>
      <c r="H4646" s="2" t="s">
        <v>1400</v>
      </c>
    </row>
    <row r="4647" customFormat="false" ht="15" hidden="false" customHeight="false" outlineLevel="1" collapsed="false">
      <c r="A4647" s="7" t="s">
        <v>777</v>
      </c>
      <c r="B4647" s="8" t="s">
        <v>59</v>
      </c>
      <c r="C4647" s="60" t="n">
        <f aca="false">IF(C4352&gt;0,C4645/(C4352*1000*(1-Pressupostos!$F$22)*(1-Pressupostos!$F$25-C4646*Pressupostos!$C$116)),"n/a")</f>
        <v>16.2833271675443</v>
      </c>
      <c r="D4647" s="60" t="n">
        <f aca="false">IF(D4352&gt;0,D4645/(D4352*1000*(1-Pressupostos!$F$22)*(1-Pressupostos!$F$25-D4646*Pressupostos!$C$116)),"n/a")</f>
        <v>2.77840979383435</v>
      </c>
      <c r="E4647" s="60" t="n">
        <f aca="false">IF(E4352&gt;0,E4645/(E4352*1000*(1-Pressupostos!$F$22)*(1-Pressupostos!$F$25-E4646*Pressupostos!$C$116)),"n/a")</f>
        <v>1.50408282651619</v>
      </c>
      <c r="F4647" s="60" t="n">
        <f aca="false">IF(F4352&gt;0,F4645/(F4352*1000*(1-Pressupostos!$F$22)*(1-Pressupostos!$F$25-F4646*Pressupostos!$C$116)),"n/a")</f>
        <v>0.9181196795898</v>
      </c>
      <c r="G4647" s="60" t="n">
        <f aca="false">IF(G4352&gt;0,G4645/(G4352*1000*(1-Pressupostos!$F$22)*(1-Pressupostos!$F$25-G4646*Pressupostos!$C$116)),"n/a")</f>
        <v>0.547734449578027</v>
      </c>
      <c r="H4647" s="2" t="s">
        <v>1401</v>
      </c>
    </row>
    <row r="4648" customFormat="false" ht="15" hidden="false" customHeight="false" outlineLevel="1" collapsed="false">
      <c r="A4648" s="7" t="s">
        <v>778</v>
      </c>
      <c r="B4648" s="8" t="s">
        <v>59</v>
      </c>
      <c r="C4648" s="60" t="n">
        <f aca="false">IF(C4351&gt;0,Pressupostos!$F$15+C4645/(C4351*1000*(1-Pressupostos!$F$16)*(1-Pressupostos!$F$18-C4646*Pressupostos!$C$116)),"n/a")</f>
        <v>121.079748637376</v>
      </c>
      <c r="D4648" s="60" t="n">
        <f aca="false">IF(D4351&gt;0,Pressupostos!$F$15+D4645/(D4351*1000*(1-Pressupostos!$F$16)*(1-Pressupostos!$F$18-D4646*Pressupostos!$C$116)),"n/a")</f>
        <v>42.5535322831106</v>
      </c>
      <c r="E4648" s="60" t="n">
        <f aca="false">IF(E4351&gt;0,Pressupostos!$F$15+E4645/(E4351*1000*(1-Pressupostos!$F$16)*(1-Pressupostos!$F$18-E4646*Pressupostos!$C$116)),"n/a")</f>
        <v>20.6571185418661</v>
      </c>
      <c r="F4648" s="60" t="n">
        <f aca="false">IF(F4351&gt;0,Pressupostos!$F$15+F4645/(F4351*1000*(1-Pressupostos!$F$16)*(1-Pressupostos!$F$18-F4646*Pressupostos!$C$116)),"n/a")</f>
        <v>14.4353612148434</v>
      </c>
      <c r="G4648" s="60" t="n">
        <f aca="false">IF(G4351&gt;0,Pressupostos!$F$15+G4645/(G4351*1000*(1-Pressupostos!$F$16)*(1-Pressupostos!$F$18-G4646*Pressupostos!$C$116)),"n/a")</f>
        <v>11.3301664454379</v>
      </c>
      <c r="H4648" s="2" t="s">
        <v>1402</v>
      </c>
    </row>
    <row r="4649" customFormat="false" ht="15" hidden="false" customHeight="false" outlineLevel="1" collapsed="false">
      <c r="A4649" s="7" t="s">
        <v>779</v>
      </c>
      <c r="B4649" s="8" t="s">
        <v>59</v>
      </c>
      <c r="C4649" s="60" t="n">
        <f aca="false">C4432-C4646*Pressupostos!$C$117*C4415</f>
        <v>0.058762328767124</v>
      </c>
      <c r="D4649" s="60" t="n">
        <f aca="false">D4432-D4646*Pressupostos!$C$117*D4415</f>
        <v>0.0255719178082197</v>
      </c>
      <c r="E4649" s="60" t="n">
        <f aca="false">E4432-E4646*Pressupostos!$C$117*E4415</f>
        <v>0.0271900684931515</v>
      </c>
      <c r="F4649" s="60" t="n">
        <f aca="false">F4432-F4646*Pressupostos!$C$117*F4415</f>
        <v>0.0288082191780828</v>
      </c>
      <c r="G4649" s="60" t="n">
        <f aca="false">G4432-G4646*Pressupostos!$C$117*G4415</f>
        <v>0.0288082191780828</v>
      </c>
      <c r="H4649" s="2" t="s">
        <v>1403</v>
      </c>
    </row>
    <row r="4650" customFormat="false" ht="15" hidden="false" customHeight="false" outlineLevel="1" collapsed="false">
      <c r="A4650" s="7" t="s">
        <v>780</v>
      </c>
      <c r="B4650" s="8" t="s">
        <v>112</v>
      </c>
      <c r="C4650" s="57" t="n">
        <f aca="false">IF(C4649&gt;0,C4353+C4645/(C4649*1000),"n/a")</f>
        <v>10056.3572269881</v>
      </c>
      <c r="D4650" s="57" t="n">
        <f aca="false">IF(D4649&gt;0,D4353+D4645/(D4649*1000),"n/a")</f>
        <v>27764.9157044322</v>
      </c>
      <c r="E4650" s="57" t="n">
        <f aca="false">IF(E4649&gt;0,E4353+E4645/(E4649*1000),"n/a")</f>
        <v>28619.4368560669</v>
      </c>
      <c r="F4650" s="57" t="n">
        <f aca="false">IF(F4649&gt;0,F4353+F4645/(F4649*1000),"n/a")</f>
        <v>27956.8556773553</v>
      </c>
      <c r="G4650" s="57" t="n">
        <f aca="false">IF(G4649&gt;0,G4353+G4645/(G4649*1000),"n/a")</f>
        <v>26106.6891639906</v>
      </c>
      <c r="H4650" s="2" t="s">
        <v>1404</v>
      </c>
    </row>
    <row r="4651" customFormat="false" ht="15" hidden="false" customHeight="false" outlineLevel="1" collapsed="false">
      <c r="A4651" s="7" t="s">
        <v>781</v>
      </c>
      <c r="B4651" s="8" t="s">
        <v>71</v>
      </c>
      <c r="C4651" s="55" t="n">
        <f aca="false">C4645/(C4511+C4524+C4525)</f>
        <v>0.982152892842265</v>
      </c>
      <c r="D4651" s="55" t="n">
        <f aca="false">D4645/(D4511+D4524+D4525)</f>
        <v>0.922123373148218</v>
      </c>
      <c r="E4651" s="55" t="n">
        <f aca="false">E4645/(E4511+E4524+E4525)</f>
        <v>0.822028776190281</v>
      </c>
      <c r="F4651" s="55" t="n">
        <f aca="false">F4645/(F4511+F4524+F4525)</f>
        <v>0.711086495789122</v>
      </c>
      <c r="G4651" s="55" t="n">
        <f aca="false">G4645/(G4511+G4524+G4525)</f>
        <v>0.584434770928718</v>
      </c>
      <c r="H4651" s="2" t="s">
        <v>1405</v>
      </c>
    </row>
    <row r="4652" customFormat="false" ht="15" hidden="false" customHeight="false" outlineLevel="1" collapsed="false">
      <c r="A4652" s="2" t="s">
        <v>782</v>
      </c>
      <c r="B4652" s="8" t="s">
        <v>71</v>
      </c>
      <c r="C4652" s="56" t="n">
        <f aca="false">Pressupostos!$C$99*Pressupostos!$C$100+Pressupostos!$C$101-Pressupostos!$F$30*Pressupostos!$C$102*Pressupostos!$C$100/(Pressupostos!$C$103*Pressupostos!$C$104)</f>
        <v>0.02</v>
      </c>
      <c r="D4652" s="56" t="n">
        <f aca="false">Pressupostos!$C$99*Pressupostos!$C$100+Pressupostos!$C$101-Pressupostos!$F$30*Pressupostos!$C$102*Pressupostos!$C$100/(Pressupostos!$C$103*Pressupostos!$C$104)</f>
        <v>0.02</v>
      </c>
      <c r="E4652" s="56" t="n">
        <f aca="false">Pressupostos!$C$99*Pressupostos!$C$100+Pressupostos!$C$101-Pressupostos!$F$30*Pressupostos!$C$102*Pressupostos!$C$100/(Pressupostos!$C$103*Pressupostos!$C$104)</f>
        <v>0.02</v>
      </c>
      <c r="F4652" s="56" t="n">
        <f aca="false">Pressupostos!$C$99*Pressupostos!$C$100+Pressupostos!$C$101-Pressupostos!$F$30*Pressupostos!$C$102*Pressupostos!$C$100/(Pressupostos!$C$103*Pressupostos!$C$104)</f>
        <v>0.02</v>
      </c>
      <c r="G4652" s="56" t="n">
        <f aca="false">Pressupostos!$C$99*Pressupostos!$C$100+Pressupostos!$C$101-Pressupostos!$F$30*Pressupostos!$C$102*Pressupostos!$C$100/(Pressupostos!$C$103*Pressupostos!$C$104)</f>
        <v>0.02</v>
      </c>
      <c r="H4652" s="2" t="s">
        <v>1406</v>
      </c>
    </row>
    <row r="4653" customFormat="false" ht="15" hidden="false" customHeight="false" outlineLevel="1" collapsed="false">
      <c r="A4653" s="7" t="s">
        <v>783</v>
      </c>
      <c r="B4653" s="8" t="s">
        <v>10</v>
      </c>
      <c r="C4653" s="58" t="n">
        <f aca="false">IF(C4652&gt;0,C4364+C4645/C4652,"n/a")</f>
        <v>29546748.4785959</v>
      </c>
      <c r="D4653" s="58" t="n">
        <f aca="false">IF(D4652&gt;0,D4364+D4645/D4652,"n/a")</f>
        <v>35552598.5556507</v>
      </c>
      <c r="E4653" s="58" t="n">
        <f aca="false">IF(E4652&gt;0,E4364+E4645/E4652,"n/a")</f>
        <v>38980743.8217038</v>
      </c>
      <c r="F4653" s="58" t="n">
        <f aca="false">IF(F4652&gt;0,F4364+F4645/F4652,"n/a")</f>
        <v>40748642.1160817</v>
      </c>
      <c r="G4653" s="58" t="n">
        <f aca="false">IF(G4652&gt;0,G4364+G4645/G4652,"n/a")</f>
        <v>39075354.323201</v>
      </c>
      <c r="H4653" s="2" t="s">
        <v>1407</v>
      </c>
    </row>
    <row r="4656" customFormat="false" ht="15" hidden="false" customHeight="false" outlineLevel="0" collapsed="false">
      <c r="A4656" s="104" t="s">
        <v>1422</v>
      </c>
      <c r="B4656" s="105"/>
      <c r="C4656" s="105"/>
      <c r="D4656" s="105"/>
      <c r="E4656" s="105"/>
      <c r="F4656" s="105"/>
      <c r="G4656" s="105"/>
      <c r="H4656" s="105"/>
    </row>
    <row r="4657" customFormat="false" ht="15" hidden="false" customHeight="false" outlineLevel="0" collapsed="false">
      <c r="A4657" s="3" t="s">
        <v>1102</v>
      </c>
      <c r="B4657" s="4"/>
      <c r="C4657" s="4"/>
      <c r="D4657" s="4"/>
      <c r="E4657" s="4"/>
      <c r="F4657" s="4"/>
      <c r="G4657" s="4"/>
      <c r="H4657" s="4"/>
    </row>
    <row r="4658" customFormat="false" ht="15" hidden="false" customHeight="false" outlineLevel="1" collapsed="false">
      <c r="A4658" s="7" t="s">
        <v>557</v>
      </c>
      <c r="B4658" s="8"/>
      <c r="C4658" s="49" t="n">
        <v>2027</v>
      </c>
      <c r="D4658" s="49" t="n">
        <v>2028</v>
      </c>
      <c r="E4658" s="49" t="n">
        <v>2029</v>
      </c>
      <c r="F4658" s="49" t="n">
        <v>2030</v>
      </c>
      <c r="G4658" s="49" t="n">
        <v>2031</v>
      </c>
      <c r="H4658" s="2" t="s">
        <v>18</v>
      </c>
    </row>
    <row r="4659" customFormat="false" ht="15" hidden="false" customHeight="false" outlineLevel="0" collapsed="false">
      <c r="A4659" s="3" t="s">
        <v>1103</v>
      </c>
      <c r="B4659" s="4"/>
      <c r="C4659" s="4"/>
      <c r="D4659" s="4"/>
      <c r="E4659" s="4"/>
      <c r="F4659" s="4"/>
      <c r="G4659" s="4"/>
      <c r="H4659" s="4"/>
    </row>
    <row r="4660" customFormat="false" ht="15" hidden="false" customHeight="false" outlineLevel="1" collapsed="false">
      <c r="A4660" s="7" t="s">
        <v>372</v>
      </c>
      <c r="B4660" s="8" t="s">
        <v>115</v>
      </c>
      <c r="C4660" s="58" t="n">
        <f aca="false">(Pressupostos!$C$210*(1+Pressupostos!$C$193))</f>
        <v>52</v>
      </c>
      <c r="D4660" s="58" t="n">
        <f aca="false">(Pressupostos!$D$210*(1+Pressupostos!$C$193))</f>
        <v>195</v>
      </c>
      <c r="E4660" s="58" t="n">
        <f aca="false">(Pressupostos!$E$210*(1+Pressupostos!$C$193))</f>
        <v>520</v>
      </c>
      <c r="F4660" s="58" t="n">
        <f aca="false">(Pressupostos!$F$210*(1+Pressupostos!$C$193))</f>
        <v>910</v>
      </c>
      <c r="G4660" s="58" t="n">
        <f aca="false">(Pressupostos!$G$210*(1+Pressupostos!$C$193))</f>
        <v>1300</v>
      </c>
      <c r="H4660" s="2" t="s">
        <v>1104</v>
      </c>
    </row>
    <row r="4661" customFormat="false" ht="15" hidden="false" customHeight="false" outlineLevel="1" collapsed="false">
      <c r="A4661" s="7" t="s">
        <v>559</v>
      </c>
      <c r="B4661" s="8" t="s">
        <v>112</v>
      </c>
      <c r="C4661" s="57" t="n">
        <f aca="false">(Pressupostos!$C$216*(1+Pressupostos!$C$193))</f>
        <v>10.66</v>
      </c>
      <c r="D4661" s="57" t="n">
        <f aca="false">(Pressupostos!$D$216*(1+Pressupostos!$C$193))</f>
        <v>39.975</v>
      </c>
      <c r="E4661" s="57" t="n">
        <f aca="false">(Pressupostos!$E$216*(1+Pressupostos!$C$193))</f>
        <v>106.6</v>
      </c>
      <c r="F4661" s="57" t="n">
        <f aca="false">(Pressupostos!$F$216*(1+Pressupostos!$C$193))</f>
        <v>186.55</v>
      </c>
      <c r="G4661" s="57" t="n">
        <f aca="false">(Pressupostos!$G$216*(1+Pressupostos!$C$193))</f>
        <v>266.5</v>
      </c>
      <c r="H4661" s="2" t="s">
        <v>1105</v>
      </c>
    </row>
    <row r="4662" customFormat="false" ht="15" hidden="false" customHeight="false" outlineLevel="1" collapsed="false">
      <c r="A4662" s="7" t="s">
        <v>560</v>
      </c>
      <c r="B4662" s="8" t="s">
        <v>112</v>
      </c>
      <c r="C4662" s="57" t="n">
        <f aca="false">(Pressupostos!$C$222*(1+Pressupostos!$C$193))</f>
        <v>67.6</v>
      </c>
      <c r="D4662" s="57" t="n">
        <f aca="false">(Pressupostos!$D$222*(1+Pressupostos!$C$193))</f>
        <v>471.9</v>
      </c>
      <c r="E4662" s="57" t="n">
        <f aca="false">(Pressupostos!$E$222*(1+Pressupostos!$C$193))</f>
        <v>932.1</v>
      </c>
      <c r="F4662" s="57" t="n">
        <f aca="false">(Pressupostos!$F$222*(1+Pressupostos!$C$193))</f>
        <v>1537.9</v>
      </c>
      <c r="G4662" s="57" t="n">
        <f aca="false">(Pressupostos!$G$222*(1+Pressupostos!$C$193))</f>
        <v>2327</v>
      </c>
      <c r="H4662" s="2" t="s">
        <v>1106</v>
      </c>
    </row>
    <row r="4663" customFormat="false" ht="15" hidden="false" customHeight="false" outlineLevel="1" collapsed="false">
      <c r="A4663" s="7" t="s">
        <v>383</v>
      </c>
      <c r="B4663" s="8" t="s">
        <v>112</v>
      </c>
      <c r="C4663" s="57" t="n">
        <f aca="false">(Pressupostos!$C$228*(1+Pressupostos!$C$193))</f>
        <v>0</v>
      </c>
      <c r="D4663" s="57" t="n">
        <f aca="false">(Pressupostos!$D$228*(1+Pressupostos!$C$193))</f>
        <v>650</v>
      </c>
      <c r="E4663" s="57" t="n">
        <f aca="false">(Pressupostos!$E$228*(1+Pressupostos!$C$193))</f>
        <v>1950</v>
      </c>
      <c r="F4663" s="57" t="n">
        <f aca="false">(Pressupostos!$F$228*(1+Pressupostos!$C$193))</f>
        <v>3250</v>
      </c>
      <c r="G4663" s="57" t="n">
        <f aca="false">(Pressupostos!$G$228*(1+Pressupostos!$C$193))</f>
        <v>4550</v>
      </c>
      <c r="H4663" s="2" t="s">
        <v>1107</v>
      </c>
    </row>
    <row r="4664" customFormat="false" ht="15" hidden="false" customHeight="false" outlineLevel="1" collapsed="false">
      <c r="A4664" s="52" t="s">
        <v>561</v>
      </c>
      <c r="B4664" s="53" t="s">
        <v>112</v>
      </c>
      <c r="C4664" s="54" t="n">
        <f aca="false">C4661+C4662+C4663</f>
        <v>78.26</v>
      </c>
      <c r="D4664" s="54" t="n">
        <f aca="false">D4661+D4662+D4663</f>
        <v>1161.875</v>
      </c>
      <c r="E4664" s="54" t="n">
        <f aca="false">E4661+E4662+E4663</f>
        <v>2988.7</v>
      </c>
      <c r="F4664" s="54" t="n">
        <f aca="false">F4661+F4662+F4663</f>
        <v>4974.45</v>
      </c>
      <c r="G4664" s="54" t="n">
        <f aca="false">G4661+G4662+G4663</f>
        <v>7143.5</v>
      </c>
      <c r="H4664" s="2" t="s">
        <v>1108</v>
      </c>
    </row>
    <row r="4665" customFormat="false" ht="15" hidden="false" customHeight="false" outlineLevel="1" collapsed="false">
      <c r="A4665" s="7" t="s">
        <v>562</v>
      </c>
      <c r="B4665" s="8" t="s">
        <v>71</v>
      </c>
      <c r="C4665" s="55" t="n">
        <f aca="false">IF(C4664&gt;0,C4661/C4664,0)</f>
        <v>0.136212624584718</v>
      </c>
      <c r="D4665" s="55" t="n">
        <f aca="false">IF(D4664&gt;0,D4661/D4664,0)</f>
        <v>0.0344055944055944</v>
      </c>
      <c r="E4665" s="55" t="n">
        <f aca="false">IF(E4664&gt;0,E4661/E4664,0)</f>
        <v>0.035667681600696</v>
      </c>
      <c r="F4665" s="55" t="n">
        <f aca="false">IF(F4664&gt;0,F4661/F4664,0)</f>
        <v>0.0375016333464001</v>
      </c>
      <c r="G4665" s="55" t="n">
        <f aca="false">IF(G4664&gt;0,G4661/G4664,0)</f>
        <v>0.0373066424021838</v>
      </c>
      <c r="H4665" s="2" t="s">
        <v>1109</v>
      </c>
    </row>
    <row r="4666" customFormat="false" ht="15" hidden="false" customHeight="false" outlineLevel="1" collapsed="false">
      <c r="A4666" s="7" t="s">
        <v>563</v>
      </c>
      <c r="B4666" s="8" t="s">
        <v>71</v>
      </c>
      <c r="C4666" s="56" t="n">
        <f aca="false">C4664/(Pressupostos!$C$74*1000)</f>
        <v>0.0004472</v>
      </c>
      <c r="D4666" s="56" t="n">
        <f aca="false">D4664/(Pressupostos!$C$74*1000)</f>
        <v>0.00663928571428571</v>
      </c>
      <c r="E4666" s="56" t="n">
        <f aca="false">E4664/(Pressupostos!$C$74*1000)</f>
        <v>0.0170782857142857</v>
      </c>
      <c r="F4666" s="56" t="n">
        <f aca="false">F4664/(Pressupostos!$C$74*1000)</f>
        <v>0.0284254285714286</v>
      </c>
      <c r="G4666" s="56" t="n">
        <f aca="false">G4664/(Pressupostos!$C$74*1000)</f>
        <v>0.04082</v>
      </c>
      <c r="H4666" s="2" t="s">
        <v>1110</v>
      </c>
    </row>
    <row r="4667" customFormat="false" ht="15" hidden="false" customHeight="false" outlineLevel="1" collapsed="false">
      <c r="A4667" s="7" t="s">
        <v>564</v>
      </c>
      <c r="B4667" s="8" t="s">
        <v>115</v>
      </c>
      <c r="C4667" s="57" t="n">
        <f aca="false">C4661/Pressupostos!$C$39+C4662/Pressupostos!$C$46+C4663/Pressupostos!$C$58</f>
        <v>2.78633333333333</v>
      </c>
      <c r="D4667" s="57" t="n">
        <f aca="false">D4661/Pressupostos!$C$39+D4662/Pressupostos!$C$46+D4663/Pressupostos!$C$58</f>
        <v>24.22875</v>
      </c>
      <c r="E4667" s="57" t="n">
        <f aca="false">E4661/Pressupostos!$C$39+E4662/Pressupostos!$C$46+E4663/Pressupostos!$C$58</f>
        <v>55.9</v>
      </c>
      <c r="F4667" s="57" t="n">
        <f aca="false">F4661/Pressupostos!$C$39+F4662/Pressupostos!$C$46+F4663/Pressupostos!$C$58</f>
        <v>93.0908333333333</v>
      </c>
      <c r="G4667" s="57" t="n">
        <f aca="false">G4661/Pressupostos!$C$39+G4662/Pressupostos!$C$46+G4663/Pressupostos!$C$58</f>
        <v>136.391666666667</v>
      </c>
      <c r="H4667" s="2" t="s">
        <v>1111</v>
      </c>
    </row>
    <row r="4668" customFormat="false" ht="15" hidden="false" customHeight="false" outlineLevel="0" collapsed="false">
      <c r="A4668" s="3" t="s">
        <v>1112</v>
      </c>
      <c r="B4668" s="4"/>
      <c r="C4668" s="4"/>
      <c r="D4668" s="4"/>
      <c r="E4668" s="4"/>
      <c r="F4668" s="4"/>
      <c r="G4668" s="4"/>
      <c r="H4668" s="4"/>
    </row>
    <row r="4669" customFormat="false" ht="15" hidden="false" customHeight="false" outlineLevel="1" collapsed="false">
      <c r="A4669" s="7" t="s">
        <v>566</v>
      </c>
      <c r="B4669" s="8" t="s">
        <v>192</v>
      </c>
      <c r="C4669" s="58" t="n">
        <f aca="false">(Pressupostos!$C$254*(1+Pressupostos!$C$193))</f>
        <v>46.8</v>
      </c>
      <c r="D4669" s="58" t="n">
        <f aca="false">(Pressupostos!$D$254*(1+Pressupostos!$C$193))</f>
        <v>175.5</v>
      </c>
      <c r="E4669" s="58" t="n">
        <f aca="false">(Pressupostos!$E$254*(1+Pressupostos!$C$193))</f>
        <v>468</v>
      </c>
      <c r="F4669" s="58" t="n">
        <f aca="false">(Pressupostos!$F$254*(1+Pressupostos!$C$193))</f>
        <v>819</v>
      </c>
      <c r="G4669" s="58" t="n">
        <f aca="false">(Pressupostos!$G$254*(1+Pressupostos!$C$193))</f>
        <v>1170</v>
      </c>
      <c r="H4669" s="2" t="s">
        <v>1113</v>
      </c>
    </row>
    <row r="4670" customFormat="false" ht="15" hidden="false" customHeight="false" outlineLevel="1" collapsed="false">
      <c r="A4670" s="7" t="s">
        <v>566</v>
      </c>
      <c r="B4670" s="8" t="s">
        <v>179</v>
      </c>
      <c r="C4670" s="58" t="n">
        <f aca="false">C4669*Pressupostos!$C$76</f>
        <v>35100</v>
      </c>
      <c r="D4670" s="58" t="n">
        <f aca="false">D4669*Pressupostos!$C$76</f>
        <v>131625</v>
      </c>
      <c r="E4670" s="58" t="n">
        <f aca="false">E4669*Pressupostos!$C$76</f>
        <v>351000</v>
      </c>
      <c r="F4670" s="58" t="n">
        <f aca="false">F4669*Pressupostos!$C$76</f>
        <v>614250</v>
      </c>
      <c r="G4670" s="58" t="n">
        <f aca="false">G4669*Pressupostos!$C$76</f>
        <v>877500</v>
      </c>
      <c r="H4670" s="2" t="s">
        <v>1114</v>
      </c>
    </row>
    <row r="4671" customFormat="false" ht="15" hidden="false" customHeight="false" outlineLevel="0" collapsed="false">
      <c r="A4671" s="3" t="s">
        <v>1115</v>
      </c>
      <c r="B4671" s="4"/>
      <c r="C4671" s="4"/>
      <c r="D4671" s="4"/>
      <c r="E4671" s="4"/>
      <c r="F4671" s="4"/>
      <c r="G4671" s="4"/>
      <c r="H4671" s="4"/>
    </row>
    <row r="4672" customFormat="false" ht="15" hidden="false" customHeight="false" outlineLevel="1" collapsed="false">
      <c r="A4672" s="7" t="s">
        <v>568</v>
      </c>
      <c r="B4672" s="8" t="s">
        <v>112</v>
      </c>
      <c r="C4672" s="57" t="n">
        <f aca="false">IF(C4658&lt;Pressupostos!$F$28,0,(Pressupostos!$C$260*(1+Pressupostos!$C$193)))</f>
        <v>0</v>
      </c>
      <c r="D4672" s="57" t="n">
        <f aca="false">IF(D4658&lt;Pressupostos!$F$28,0,(Pressupostos!$D$260*(1+Pressupostos!$C$193)))</f>
        <v>0</v>
      </c>
      <c r="E4672" s="57" t="n">
        <f aca="false">IF(E4658&lt;Pressupostos!$F$28,0,(Pressupostos!$E$260*(1+Pressupostos!$C$193)))</f>
        <v>0</v>
      </c>
      <c r="F4672" s="57" t="n">
        <f aca="false">IF(F4658&lt;Pressupostos!$F$28,0,(Pressupostos!$F$260*(1+Pressupostos!$C$193)))</f>
        <v>26</v>
      </c>
      <c r="G4672" s="57" t="n">
        <f aca="false">IF(G4658&lt;Pressupostos!$F$28,0,(Pressupostos!$G$260*(1+Pressupostos!$C$193)))</f>
        <v>65</v>
      </c>
      <c r="H4672" s="2" t="s">
        <v>1116</v>
      </c>
    </row>
    <row r="4673" customFormat="false" ht="15" hidden="false" customHeight="false" outlineLevel="0" collapsed="false">
      <c r="A4673" s="3" t="s">
        <v>1117</v>
      </c>
      <c r="B4673" s="4"/>
      <c r="C4673" s="4"/>
      <c r="D4673" s="4"/>
      <c r="E4673" s="4"/>
      <c r="F4673" s="4"/>
      <c r="G4673" s="4"/>
      <c r="H4673" s="4"/>
    </row>
    <row r="4674" customFormat="false" ht="15" hidden="false" customHeight="false" outlineLevel="1" collapsed="false">
      <c r="A4674" s="7" t="s">
        <v>570</v>
      </c>
      <c r="B4674" s="8" t="s">
        <v>10</v>
      </c>
      <c r="C4674" s="50" t="n">
        <f aca="false">Pressupostos!$C$266</f>
        <v>0</v>
      </c>
      <c r="D4674" s="50" t="n">
        <f aca="false">Pressupostos!$D$266</f>
        <v>500000</v>
      </c>
      <c r="E4674" s="50" t="n">
        <f aca="false">Pressupostos!$E$266</f>
        <v>1500000</v>
      </c>
      <c r="F4674" s="50" t="n">
        <f aca="false">Pressupostos!$F$266</f>
        <v>3000000</v>
      </c>
      <c r="G4674" s="50" t="n">
        <f aca="false">Pressupostos!$G$266</f>
        <v>5000000</v>
      </c>
      <c r="H4674" s="2" t="s">
        <v>1118</v>
      </c>
    </row>
    <row r="4675" customFormat="false" ht="15" hidden="false" customHeight="false" outlineLevel="1" collapsed="false">
      <c r="A4675" s="7" t="s">
        <v>571</v>
      </c>
      <c r="B4675" s="8" t="s">
        <v>112</v>
      </c>
      <c r="C4675" s="57" t="n">
        <f aca="false">C4674/(Pressupostos!$C$103*Pressupostos!$C$104)*Pressupostos!$C$100/1000</f>
        <v>0</v>
      </c>
      <c r="D4675" s="57" t="n">
        <f aca="false">D4674/(Pressupostos!$C$103*Pressupostos!$C$104)*Pressupostos!$C$100/1000</f>
        <v>457.142857142857</v>
      </c>
      <c r="E4675" s="57" t="n">
        <f aca="false">E4674/(Pressupostos!$C$103*Pressupostos!$C$104)*Pressupostos!$C$100/1000</f>
        <v>1371.42857142857</v>
      </c>
      <c r="F4675" s="57" t="n">
        <f aca="false">F4674/(Pressupostos!$C$103*Pressupostos!$C$104)*Pressupostos!$C$100/1000</f>
        <v>2742.85714285714</v>
      </c>
      <c r="G4675" s="57" t="n">
        <f aca="false">G4674/(Pressupostos!$C$103*Pressupostos!$C$104)*Pressupostos!$C$100/1000</f>
        <v>4571.42857142857</v>
      </c>
      <c r="H4675" s="2" t="s">
        <v>1119</v>
      </c>
    </row>
    <row r="4676" customFormat="false" ht="15" hidden="false" customHeight="false" outlineLevel="0" collapsed="false">
      <c r="A4676" s="3" t="s">
        <v>1120</v>
      </c>
      <c r="B4676" s="4"/>
      <c r="C4676" s="4"/>
      <c r="D4676" s="4"/>
      <c r="E4676" s="4"/>
      <c r="F4676" s="4"/>
      <c r="G4676" s="4"/>
      <c r="H4676" s="4"/>
    </row>
    <row r="4677" customFormat="false" ht="15" hidden="false" customHeight="false" outlineLevel="1" collapsed="false">
      <c r="A4677" s="7" t="s">
        <v>633</v>
      </c>
      <c r="B4677" s="8" t="s">
        <v>59</v>
      </c>
      <c r="C4677" s="60" t="n">
        <f aca="false">Pressupostos!$F$10+Pressupostos!$F$11</f>
        <v>3.65</v>
      </c>
      <c r="D4677" s="60" t="n">
        <f aca="false">Pressupostos!$F$10+Pressupostos!$F$11</f>
        <v>3.65</v>
      </c>
      <c r="E4677" s="60" t="n">
        <f aca="false">Pressupostos!$F$10+Pressupostos!$F$11</f>
        <v>3.65</v>
      </c>
      <c r="F4677" s="60" t="n">
        <f aca="false">Pressupostos!$F$10+Pressupostos!$F$11</f>
        <v>3.65</v>
      </c>
      <c r="G4677" s="60" t="n">
        <f aca="false">Pressupostos!$F$10+Pressupostos!$F$11</f>
        <v>3.65</v>
      </c>
      <c r="H4677" s="2" t="s">
        <v>1121</v>
      </c>
    </row>
    <row r="4678" customFormat="false" ht="15" hidden="false" customHeight="false" outlineLevel="1" collapsed="false">
      <c r="A4678" s="7" t="s">
        <v>634</v>
      </c>
      <c r="B4678" s="8" t="s">
        <v>59</v>
      </c>
      <c r="C4678" s="63" t="n">
        <f aca="false">Pressupostos!$F$15</f>
        <v>6</v>
      </c>
      <c r="D4678" s="63" t="n">
        <f aca="false">Pressupostos!$F$15</f>
        <v>6</v>
      </c>
      <c r="E4678" s="63" t="n">
        <f aca="false">Pressupostos!$F$15</f>
        <v>6</v>
      </c>
      <c r="F4678" s="63" t="n">
        <f aca="false">Pressupostos!$F$15</f>
        <v>6</v>
      </c>
      <c r="G4678" s="63" t="n">
        <f aca="false">Pressupostos!$F$15</f>
        <v>6</v>
      </c>
      <c r="H4678" s="2" t="s">
        <v>1122</v>
      </c>
    </row>
    <row r="4679" customFormat="false" ht="15" hidden="false" customHeight="false" outlineLevel="1" collapsed="false">
      <c r="A4679" s="52" t="s">
        <v>635</v>
      </c>
      <c r="B4679" s="53" t="s">
        <v>59</v>
      </c>
      <c r="C4679" s="64" t="n">
        <f aca="false">C4678*(1-Pressupostos!$F$16)</f>
        <v>5.4</v>
      </c>
      <c r="D4679" s="64" t="n">
        <f aca="false">D4678*(1-Pressupostos!$F$16)</f>
        <v>5.4</v>
      </c>
      <c r="E4679" s="64" t="n">
        <f aca="false">E4678*(1-Pressupostos!$F$16)</f>
        <v>5.4</v>
      </c>
      <c r="F4679" s="64" t="n">
        <f aca="false">F4678*(1-Pressupostos!$F$16)</f>
        <v>5.4</v>
      </c>
      <c r="G4679" s="64" t="n">
        <f aca="false">G4678*(1-Pressupostos!$F$16)</f>
        <v>5.4</v>
      </c>
      <c r="H4679" s="2" t="s">
        <v>1123</v>
      </c>
    </row>
    <row r="4680" customFormat="false" ht="15" hidden="false" customHeight="false" outlineLevel="1" collapsed="false">
      <c r="A4680" s="7" t="s">
        <v>136</v>
      </c>
      <c r="B4680" s="8" t="s">
        <v>59</v>
      </c>
      <c r="C4680" s="63" t="n">
        <f aca="false">Pressupostos!$C$37</f>
        <v>0.55</v>
      </c>
      <c r="D4680" s="63" t="n">
        <f aca="false">Pressupostos!$C$37</f>
        <v>0.55</v>
      </c>
      <c r="E4680" s="63" t="n">
        <f aca="false">Pressupostos!$C$37</f>
        <v>0.55</v>
      </c>
      <c r="F4680" s="63" t="n">
        <f aca="false">Pressupostos!$C$37</f>
        <v>0.55</v>
      </c>
      <c r="G4680" s="63" t="n">
        <f aca="false">Pressupostos!$C$37</f>
        <v>0.55</v>
      </c>
      <c r="H4680" s="2" t="s">
        <v>1124</v>
      </c>
    </row>
    <row r="4681" customFormat="false" ht="15" hidden="false" customHeight="false" outlineLevel="1" collapsed="false">
      <c r="A4681" s="7" t="s">
        <v>205</v>
      </c>
      <c r="B4681" s="8" t="s">
        <v>59</v>
      </c>
      <c r="C4681" s="63" t="n">
        <f aca="false">Pressupostos!$C$235</f>
        <v>0.3</v>
      </c>
      <c r="D4681" s="63" t="n">
        <f aca="false">Pressupostos!$D$235</f>
        <v>0.3</v>
      </c>
      <c r="E4681" s="63" t="n">
        <f aca="false">Pressupostos!$E$235</f>
        <v>0.28</v>
      </c>
      <c r="F4681" s="63" t="n">
        <f aca="false">Pressupostos!$F$235</f>
        <v>0.27</v>
      </c>
      <c r="G4681" s="63" t="n">
        <f aca="false">Pressupostos!$G$235</f>
        <v>0.27</v>
      </c>
      <c r="H4681" s="2" t="s">
        <v>1125</v>
      </c>
    </row>
    <row r="4682" customFormat="false" ht="15" hidden="false" customHeight="false" outlineLevel="1" collapsed="false">
      <c r="A4682" s="7" t="s">
        <v>109</v>
      </c>
      <c r="B4682" s="8" t="s">
        <v>59</v>
      </c>
      <c r="C4682" s="63" t="n">
        <f aca="false">Pressupostos!$C$38</f>
        <v>0.06</v>
      </c>
      <c r="D4682" s="63" t="n">
        <f aca="false">Pressupostos!$C$38</f>
        <v>0.06</v>
      </c>
      <c r="E4682" s="63" t="n">
        <f aca="false">Pressupostos!$C$38</f>
        <v>0.06</v>
      </c>
      <c r="F4682" s="63" t="n">
        <f aca="false">Pressupostos!$C$38</f>
        <v>0.06</v>
      </c>
      <c r="G4682" s="63" t="n">
        <f aca="false">Pressupostos!$C$38</f>
        <v>0.06</v>
      </c>
      <c r="H4682" s="2" t="s">
        <v>1126</v>
      </c>
    </row>
    <row r="4683" customFormat="false" ht="15" hidden="false" customHeight="false" outlineLevel="1" collapsed="false">
      <c r="A4683" s="7" t="s">
        <v>86</v>
      </c>
      <c r="B4683" s="8" t="s">
        <v>74</v>
      </c>
      <c r="C4683" s="65" t="n">
        <f aca="false">Pressupostos!$C$241</f>
        <v>180</v>
      </c>
      <c r="D4683" s="65" t="n">
        <f aca="false">Pressupostos!$D$241</f>
        <v>180</v>
      </c>
      <c r="E4683" s="65" t="n">
        <f aca="false">Pressupostos!$E$241</f>
        <v>45</v>
      </c>
      <c r="F4683" s="65" t="n">
        <f aca="false">Pressupostos!$F$241</f>
        <v>45</v>
      </c>
      <c r="G4683" s="65" t="n">
        <f aca="false">Pressupostos!$G$241</f>
        <v>45</v>
      </c>
      <c r="H4683" s="2" t="s">
        <v>1127</v>
      </c>
    </row>
    <row r="4684" customFormat="false" ht="15" hidden="false" customHeight="false" outlineLevel="1" collapsed="false">
      <c r="A4684" s="7" t="s">
        <v>73</v>
      </c>
      <c r="B4684" s="8" t="s">
        <v>74</v>
      </c>
      <c r="C4684" s="65" t="n">
        <f aca="false">Pressupostos!$F$17</f>
        <v>35</v>
      </c>
      <c r="D4684" s="65" t="n">
        <f aca="false">Pressupostos!$F$17</f>
        <v>35</v>
      </c>
      <c r="E4684" s="65" t="n">
        <f aca="false">Pressupostos!$F$17</f>
        <v>35</v>
      </c>
      <c r="F4684" s="65" t="n">
        <f aca="false">Pressupostos!$F$17</f>
        <v>35</v>
      </c>
      <c r="G4684" s="65" t="n">
        <f aca="false">Pressupostos!$F$17</f>
        <v>35</v>
      </c>
      <c r="H4684" s="2" t="s">
        <v>1128</v>
      </c>
    </row>
    <row r="4685" customFormat="false" ht="15" hidden="false" customHeight="false" outlineLevel="1" collapsed="false">
      <c r="A4685" s="7" t="s">
        <v>471</v>
      </c>
      <c r="B4685" s="8" t="s">
        <v>59</v>
      </c>
      <c r="C4685" s="60" t="n">
        <f aca="false">Pressupostos!$C$64*C4683/30/1000</f>
        <v>0.024</v>
      </c>
      <c r="D4685" s="60" t="n">
        <f aca="false">Pressupostos!$C$64*D4683/30/1000</f>
        <v>0.024</v>
      </c>
      <c r="E4685" s="60" t="n">
        <f aca="false">Pressupostos!$C$64*E4683/30/1000</f>
        <v>0.006</v>
      </c>
      <c r="F4685" s="60" t="n">
        <f aca="false">Pressupostos!$C$64*F4683/30/1000</f>
        <v>0.006</v>
      </c>
      <c r="G4685" s="60" t="n">
        <f aca="false">Pressupostos!$C$64*G4683/30/1000</f>
        <v>0.006</v>
      </c>
      <c r="H4685" s="2" t="s">
        <v>1129</v>
      </c>
    </row>
    <row r="4686" customFormat="false" ht="15" hidden="false" customHeight="false" outlineLevel="1" collapsed="false">
      <c r="A4686" s="7" t="s">
        <v>154</v>
      </c>
      <c r="B4686" s="8" t="s">
        <v>59</v>
      </c>
      <c r="C4686" s="60" t="n">
        <f aca="false">C4677*Pressupostos!$C$65*C4683/365</f>
        <v>0.0036</v>
      </c>
      <c r="D4686" s="60" t="n">
        <f aca="false">D4677*Pressupostos!$C$65*D4683/365</f>
        <v>0.0036</v>
      </c>
      <c r="E4686" s="60" t="n">
        <f aca="false">E4677*Pressupostos!$C$65*E4683/365</f>
        <v>0.0009</v>
      </c>
      <c r="F4686" s="60" t="n">
        <f aca="false">F4677*Pressupostos!$C$65*F4683/365</f>
        <v>0.0009</v>
      </c>
      <c r="G4686" s="60" t="n">
        <f aca="false">G4677*Pressupostos!$C$65*G4683/365</f>
        <v>0.0009</v>
      </c>
      <c r="H4686" s="2" t="s">
        <v>1130</v>
      </c>
    </row>
    <row r="4687" customFormat="false" ht="15" hidden="false" customHeight="false" outlineLevel="1" collapsed="false">
      <c r="A4687" s="7" t="s">
        <v>636</v>
      </c>
      <c r="B4687" s="8" t="s">
        <v>59</v>
      </c>
      <c r="C4687" s="60" t="n">
        <f aca="false">Pressupostos!$C$40*Pressupostos!$C$66/(Pressupostos!$C$39*1000)</f>
        <v>0.03</v>
      </c>
      <c r="D4687" s="60" t="n">
        <f aca="false">Pressupostos!$C$40*Pressupostos!$C$66/(Pressupostos!$C$39*1000)</f>
        <v>0.03</v>
      </c>
      <c r="E4687" s="60" t="n">
        <f aca="false">Pressupostos!$C$40*Pressupostos!$C$66/(Pressupostos!$C$39*1000)</f>
        <v>0.03</v>
      </c>
      <c r="F4687" s="60" t="n">
        <f aca="false">Pressupostos!$C$40*Pressupostos!$C$66/(Pressupostos!$C$39*1000)</f>
        <v>0.03</v>
      </c>
      <c r="G4687" s="60" t="n">
        <f aca="false">Pressupostos!$C$40*Pressupostos!$C$66/(Pressupostos!$C$39*1000)</f>
        <v>0.03</v>
      </c>
      <c r="H4687" s="2" t="s">
        <v>1131</v>
      </c>
    </row>
    <row r="4688" customFormat="false" ht="15" hidden="false" customHeight="false" outlineLevel="1" collapsed="false">
      <c r="A4688" s="7" t="s">
        <v>473</v>
      </c>
      <c r="B4688" s="8" t="s">
        <v>59</v>
      </c>
      <c r="C4688" s="60" t="n">
        <f aca="false">Pressupostos!$C$67*C4677</f>
        <v>0.01825</v>
      </c>
      <c r="D4688" s="60" t="n">
        <f aca="false">Pressupostos!$C$67*D4677</f>
        <v>0.01825</v>
      </c>
      <c r="E4688" s="60" t="n">
        <f aca="false">Pressupostos!$C$67*E4677</f>
        <v>0.01825</v>
      </c>
      <c r="F4688" s="60" t="n">
        <f aca="false">Pressupostos!$C$67*F4677</f>
        <v>0.01825</v>
      </c>
      <c r="G4688" s="60" t="n">
        <f aca="false">Pressupostos!$C$67*G4677</f>
        <v>0.01825</v>
      </c>
      <c r="H4688" s="2" t="s">
        <v>1132</v>
      </c>
    </row>
    <row r="4689" customFormat="false" ht="15" hidden="false" customHeight="false" outlineLevel="1" collapsed="false">
      <c r="A4689" s="7" t="s">
        <v>474</v>
      </c>
      <c r="B4689" s="8" t="s">
        <v>59</v>
      </c>
      <c r="C4689" s="60" t="n">
        <f aca="false">Pressupostos!$C$68*Pressupostos!$C$69*C4683/90</f>
        <v>0.018</v>
      </c>
      <c r="D4689" s="60" t="n">
        <f aca="false">Pressupostos!$C$68*Pressupostos!$C$69*D4683/90</f>
        <v>0.018</v>
      </c>
      <c r="E4689" s="60" t="n">
        <f aca="false">Pressupostos!$C$68*Pressupostos!$C$69*E4683/90</f>
        <v>0.0045</v>
      </c>
      <c r="F4689" s="60" t="n">
        <f aca="false">Pressupostos!$C$68*Pressupostos!$C$69*F4683/90</f>
        <v>0.0045</v>
      </c>
      <c r="G4689" s="60" t="n">
        <f aca="false">Pressupostos!$C$68*Pressupostos!$C$69*G4683/90</f>
        <v>0.0045</v>
      </c>
      <c r="H4689" s="2" t="s">
        <v>1133</v>
      </c>
    </row>
    <row r="4690" customFormat="false" ht="15" hidden="false" customHeight="false" outlineLevel="1" collapsed="false">
      <c r="A4690" s="7" t="s">
        <v>637</v>
      </c>
      <c r="B4690" s="8" t="s">
        <v>59</v>
      </c>
      <c r="C4690" s="60" t="n">
        <f aca="false">Pressupostos!$C$41/(Pressupostos!$C$39*1000)</f>
        <v>0.1</v>
      </c>
      <c r="D4690" s="60" t="n">
        <f aca="false">Pressupostos!$C$41/(Pressupostos!$C$39*1000)</f>
        <v>0.1</v>
      </c>
      <c r="E4690" s="60" t="n">
        <f aca="false">Pressupostos!$C$41/(Pressupostos!$C$39*1000)</f>
        <v>0.1</v>
      </c>
      <c r="F4690" s="60" t="n">
        <f aca="false">Pressupostos!$C$41/(Pressupostos!$C$39*1000)</f>
        <v>0.1</v>
      </c>
      <c r="G4690" s="60" t="n">
        <f aca="false">Pressupostos!$C$41/(Pressupostos!$C$39*1000)</f>
        <v>0.1</v>
      </c>
      <c r="H4690" s="2" t="s">
        <v>1134</v>
      </c>
    </row>
    <row r="4691" customFormat="false" ht="15" hidden="false" customHeight="false" outlineLevel="1" collapsed="false">
      <c r="A4691" s="7" t="s">
        <v>131</v>
      </c>
      <c r="B4691" s="8" t="s">
        <v>59</v>
      </c>
      <c r="C4691" s="63" t="n">
        <f aca="false">Pressupostos!$C$42</f>
        <v>0.01</v>
      </c>
      <c r="D4691" s="63" t="n">
        <f aca="false">Pressupostos!$C$42</f>
        <v>0.01</v>
      </c>
      <c r="E4691" s="63" t="n">
        <f aca="false">Pressupostos!$C$42</f>
        <v>0.01</v>
      </c>
      <c r="F4691" s="63" t="n">
        <f aca="false">Pressupostos!$C$42</f>
        <v>0.01</v>
      </c>
      <c r="G4691" s="63" t="n">
        <f aca="false">Pressupostos!$C$42</f>
        <v>0.01</v>
      </c>
      <c r="H4691" s="2" t="s">
        <v>1135</v>
      </c>
    </row>
    <row r="4692" customFormat="false" ht="15" hidden="false" customHeight="false" outlineLevel="1" collapsed="false">
      <c r="A4692" s="7" t="s">
        <v>76</v>
      </c>
      <c r="B4692" s="8" t="s">
        <v>59</v>
      </c>
      <c r="C4692" s="60" t="n">
        <f aca="false">Pressupostos!$F$18*C4679</f>
        <v>0.0324</v>
      </c>
      <c r="D4692" s="60" t="n">
        <f aca="false">Pressupostos!$F$18*D4679</f>
        <v>0.0324</v>
      </c>
      <c r="E4692" s="60" t="n">
        <f aca="false">Pressupostos!$F$18*E4679</f>
        <v>0.0324</v>
      </c>
      <c r="F4692" s="60" t="n">
        <f aca="false">Pressupostos!$F$18*F4679</f>
        <v>0.0324</v>
      </c>
      <c r="G4692" s="60" t="n">
        <f aca="false">Pressupostos!$F$18*G4679</f>
        <v>0.0324</v>
      </c>
      <c r="H4692" s="2" t="s">
        <v>1136</v>
      </c>
    </row>
    <row r="4693" customFormat="false" ht="15" hidden="false" customHeight="false" outlineLevel="1" collapsed="false">
      <c r="A4693" s="7" t="s">
        <v>638</v>
      </c>
      <c r="B4693" s="8" t="s">
        <v>59</v>
      </c>
      <c r="C4693" s="60" t="n">
        <f aca="false">Pressupostos!$C$71*C4679</f>
        <v>0</v>
      </c>
      <c r="D4693" s="60" t="n">
        <f aca="false">Pressupostos!$C$71*D4679</f>
        <v>0</v>
      </c>
      <c r="E4693" s="60" t="n">
        <f aca="false">Pressupostos!$C$71*E4679</f>
        <v>0</v>
      </c>
      <c r="F4693" s="60" t="n">
        <f aca="false">Pressupostos!$C$71*F4679</f>
        <v>0</v>
      </c>
      <c r="G4693" s="60" t="n">
        <f aca="false">Pressupostos!$C$71*G4679</f>
        <v>0</v>
      </c>
      <c r="H4693" s="2" t="s">
        <v>1137</v>
      </c>
    </row>
    <row r="4694" customFormat="false" ht="15" hidden="false" customHeight="false" outlineLevel="1" collapsed="false">
      <c r="A4694" s="7" t="s">
        <v>639</v>
      </c>
      <c r="B4694" s="8" t="s">
        <v>59</v>
      </c>
      <c r="C4694" s="60" t="n">
        <f aca="false">Pressupostos!$C$285*(C4677+C4680)*(C4683+C4684-Pressupostos!$C$70)/365*Pressupostos!$C$279/Pressupostos!$F$31</f>
        <v>0</v>
      </c>
      <c r="D4694" s="60" t="n">
        <f aca="false">Pressupostos!$D$285*(D4677+D4680)*(D4683+D4684-Pressupostos!$C$70)/365*Pressupostos!$D$279/Pressupostos!$F$31</f>
        <v>0.19158904109589</v>
      </c>
      <c r="E4694" s="60" t="n">
        <f aca="false">Pressupostos!$E$285*(E4677+E4680)*(E4683+E4684-Pressupostos!$C$70)/365*Pressupostos!$E$279/Pressupostos!$F$31</f>
        <v>0.0485445205479452</v>
      </c>
      <c r="F4694" s="60" t="n">
        <f aca="false">Pressupostos!$F$285*(F4677+F4680)*(F4683+F4684-Pressupostos!$C$70)/365*Pressupostos!$F$279/Pressupostos!$F$31</f>
        <v>0.0453082191780822</v>
      </c>
      <c r="G4694" s="60" t="n">
        <f aca="false">Pressupostos!$G$285*(G4677+G4680)*(G4683+G4684-Pressupostos!$C$70)/365*Pressupostos!$G$279/Pressupostos!$F$31</f>
        <v>0.0453082191780822</v>
      </c>
      <c r="H4694" s="2" t="s">
        <v>1138</v>
      </c>
    </row>
    <row r="4695" customFormat="false" ht="15" hidden="false" customHeight="false" outlineLevel="1" collapsed="false">
      <c r="A4695" s="7" t="s">
        <v>640</v>
      </c>
      <c r="B4695" s="8" t="s">
        <v>59</v>
      </c>
      <c r="C4695" s="60" t="n">
        <f aca="false">C4677+C4680+C4681+C4682+C4685+C4686+C4687+C4688+C4689+C4690+C4691+C4692+C4693+C4694</f>
        <v>4.79625</v>
      </c>
      <c r="D4695" s="60" t="n">
        <f aca="false">D4677+D4680+D4681+D4682+D4685+D4686+D4687+D4688+D4689+D4690+D4691+D4692+D4693+D4694</f>
        <v>4.98783904109589</v>
      </c>
      <c r="E4695" s="60" t="n">
        <f aca="false">E4677+E4680+E4681+E4682+E4685+E4686+E4687+E4688+E4689+E4690+E4691+E4692+E4693+E4694</f>
        <v>4.79059452054795</v>
      </c>
      <c r="F4695" s="60" t="n">
        <f aca="false">F4677+F4680+F4681+F4682+F4685+F4686+F4687+F4688+F4689+F4690+F4691+F4692+F4693+F4694</f>
        <v>4.77735821917808</v>
      </c>
      <c r="G4695" s="60" t="n">
        <f aca="false">G4677+G4680+G4681+G4682+G4685+G4686+G4687+G4688+G4689+G4690+G4691+G4692+G4693+G4694</f>
        <v>4.77735821917808</v>
      </c>
      <c r="H4695" s="2" t="s">
        <v>1139</v>
      </c>
    </row>
    <row r="4696" customFormat="false" ht="15" hidden="false" customHeight="false" outlineLevel="1" collapsed="false">
      <c r="A4696" s="52" t="s">
        <v>641</v>
      </c>
      <c r="B4696" s="53" t="s">
        <v>59</v>
      </c>
      <c r="C4696" s="64" t="n">
        <f aca="false">C4679-C4695</f>
        <v>0.603750000000002</v>
      </c>
      <c r="D4696" s="64" t="n">
        <f aca="false">D4679-D4695</f>
        <v>0.412160958904111</v>
      </c>
      <c r="E4696" s="64" t="n">
        <f aca="false">E4679-E4695</f>
        <v>0.609405479452056</v>
      </c>
      <c r="F4696" s="64" t="n">
        <f aca="false">F4679-F4695</f>
        <v>0.622641780821918</v>
      </c>
      <c r="G4696" s="64" t="n">
        <f aca="false">G4679-G4695</f>
        <v>0.622641780821918</v>
      </c>
      <c r="H4696" s="2" t="s">
        <v>1140</v>
      </c>
    </row>
    <row r="4697" customFormat="false" ht="15" hidden="false" customHeight="false" outlineLevel="1" collapsed="false">
      <c r="A4697" s="7" t="s">
        <v>642</v>
      </c>
      <c r="B4697" s="8" t="s">
        <v>71</v>
      </c>
      <c r="C4697" s="55" t="n">
        <f aca="false">IF(C4679&gt;0,C4696/C4679,0)</f>
        <v>0.111805555555556</v>
      </c>
      <c r="D4697" s="55" t="n">
        <f aca="false">IF(D4679&gt;0,D4696/D4679,0)</f>
        <v>0.0763261035007613</v>
      </c>
      <c r="E4697" s="55" t="n">
        <f aca="false">IF(E4679&gt;0,E4696/E4679,0)</f>
        <v>0.112852866565195</v>
      </c>
      <c r="F4697" s="55" t="n">
        <f aca="false">IF(F4679&gt;0,F4696/F4679,0)</f>
        <v>0.11530403348554</v>
      </c>
      <c r="G4697" s="55" t="n">
        <f aca="false">IF(G4679&gt;0,G4696/G4679,0)</f>
        <v>0.11530403348554</v>
      </c>
      <c r="H4697" s="2" t="s">
        <v>1141</v>
      </c>
    </row>
    <row r="4698" customFormat="false" ht="15" hidden="false" customHeight="false" outlineLevel="1" collapsed="false">
      <c r="A4698" s="7" t="s">
        <v>643</v>
      </c>
      <c r="B4698" s="8" t="s">
        <v>59</v>
      </c>
      <c r="C4698" s="60" t="n">
        <f aca="false">(C4677+C4680)*(C4683-Pressupostos!$C$70)/365+C4679*C4684/365</f>
        <v>2.24383561643836</v>
      </c>
      <c r="D4698" s="60" t="n">
        <f aca="false">(D4677+D4680)*(D4683-Pressupostos!$C$70)/365+D4679*D4684/365</f>
        <v>2.24383561643836</v>
      </c>
      <c r="E4698" s="60" t="n">
        <f aca="false">(E4677+E4680)*(E4683-Pressupostos!$C$70)/365+E4679*E4684/365</f>
        <v>0.69041095890411</v>
      </c>
      <c r="F4698" s="60" t="n">
        <f aca="false">(F4677+F4680)*(F4683-Pressupostos!$C$70)/365+F4679*F4684/365</f>
        <v>0.69041095890411</v>
      </c>
      <c r="G4698" s="60" t="n">
        <f aca="false">(G4677+G4680)*(G4683-Pressupostos!$C$70)/365+G4679*G4684/365</f>
        <v>0.69041095890411</v>
      </c>
      <c r="H4698" s="2" t="s">
        <v>1142</v>
      </c>
    </row>
    <row r="4699" customFormat="false" ht="15" hidden="false" customHeight="false" outlineLevel="0" collapsed="false">
      <c r="A4699" s="3" t="s">
        <v>1143</v>
      </c>
      <c r="B4699" s="4"/>
      <c r="C4699" s="4"/>
      <c r="D4699" s="4"/>
      <c r="E4699" s="4"/>
      <c r="F4699" s="4"/>
      <c r="G4699" s="4"/>
      <c r="H4699" s="4"/>
    </row>
    <row r="4700" customFormat="false" ht="15" hidden="false" customHeight="false" outlineLevel="1" collapsed="false">
      <c r="A4700" s="7" t="s">
        <v>633</v>
      </c>
      <c r="B4700" s="8" t="s">
        <v>59</v>
      </c>
      <c r="C4700" s="60" t="n">
        <f aca="false">Pressupostos!$F$10+Pressupostos!$F$12</f>
        <v>3.6</v>
      </c>
      <c r="D4700" s="60" t="n">
        <f aca="false">Pressupostos!$F$10+Pressupostos!$F$12</f>
        <v>3.6</v>
      </c>
      <c r="E4700" s="60" t="n">
        <f aca="false">Pressupostos!$F$10+Pressupostos!$F$12</f>
        <v>3.6</v>
      </c>
      <c r="F4700" s="60" t="n">
        <f aca="false">Pressupostos!$F$10+Pressupostos!$F$12</f>
        <v>3.6</v>
      </c>
      <c r="G4700" s="60" t="n">
        <f aca="false">Pressupostos!$F$10+Pressupostos!$F$12</f>
        <v>3.6</v>
      </c>
      <c r="H4700" s="2" t="s">
        <v>1144</v>
      </c>
    </row>
    <row r="4701" customFormat="false" ht="15" hidden="false" customHeight="false" outlineLevel="1" collapsed="false">
      <c r="A4701" s="7" t="s">
        <v>634</v>
      </c>
      <c r="B4701" s="8" t="s">
        <v>59</v>
      </c>
      <c r="C4701" s="60" t="n">
        <f aca="false">Pressupostos!$F$20+Pressupostos!$F$21</f>
        <v>4.45</v>
      </c>
      <c r="D4701" s="60" t="n">
        <f aca="false">Pressupostos!$F$20+Pressupostos!$F$21</f>
        <v>4.45</v>
      </c>
      <c r="E4701" s="60" t="n">
        <f aca="false">Pressupostos!$F$20+Pressupostos!$F$21</f>
        <v>4.45</v>
      </c>
      <c r="F4701" s="60" t="n">
        <f aca="false">Pressupostos!$F$20+Pressupostos!$F$21</f>
        <v>4.45</v>
      </c>
      <c r="G4701" s="60" t="n">
        <f aca="false">Pressupostos!$F$20+Pressupostos!$F$21</f>
        <v>4.45</v>
      </c>
      <c r="H4701" s="2" t="s">
        <v>1145</v>
      </c>
    </row>
    <row r="4702" customFormat="false" ht="15" hidden="false" customHeight="false" outlineLevel="1" collapsed="false">
      <c r="A4702" s="52" t="s">
        <v>635</v>
      </c>
      <c r="B4702" s="53" t="s">
        <v>59</v>
      </c>
      <c r="C4702" s="64" t="n">
        <f aca="false">C4701*(1-Pressupostos!$F$22)</f>
        <v>4.45</v>
      </c>
      <c r="D4702" s="64" t="n">
        <f aca="false">D4701*(1-Pressupostos!$F$22)</f>
        <v>4.45</v>
      </c>
      <c r="E4702" s="64" t="n">
        <f aca="false">E4701*(1-Pressupostos!$F$22)</f>
        <v>4.45</v>
      </c>
      <c r="F4702" s="64" t="n">
        <f aca="false">F4701*(1-Pressupostos!$F$22)</f>
        <v>4.45</v>
      </c>
      <c r="G4702" s="64" t="n">
        <f aca="false">G4701*(1-Pressupostos!$F$22)</f>
        <v>4.45</v>
      </c>
      <c r="H4702" s="2" t="s">
        <v>1146</v>
      </c>
    </row>
    <row r="4703" customFormat="false" ht="15" hidden="false" customHeight="false" outlineLevel="1" collapsed="false">
      <c r="A4703" s="7" t="s">
        <v>136</v>
      </c>
      <c r="B4703" s="8" t="s">
        <v>59</v>
      </c>
      <c r="C4703" s="63" t="n">
        <f aca="false">Pressupostos!$C$44</f>
        <v>0.45</v>
      </c>
      <c r="D4703" s="63" t="n">
        <f aca="false">Pressupostos!$C$44</f>
        <v>0.45</v>
      </c>
      <c r="E4703" s="63" t="n">
        <f aca="false">Pressupostos!$C$44</f>
        <v>0.45</v>
      </c>
      <c r="F4703" s="63" t="n">
        <f aca="false">Pressupostos!$C$44</f>
        <v>0.45</v>
      </c>
      <c r="G4703" s="63" t="n">
        <f aca="false">Pressupostos!$C$44</f>
        <v>0.45</v>
      </c>
      <c r="H4703" s="2" t="s">
        <v>1147</v>
      </c>
    </row>
    <row r="4704" customFormat="false" ht="15" hidden="false" customHeight="false" outlineLevel="1" collapsed="false">
      <c r="A4704" s="7" t="s">
        <v>205</v>
      </c>
      <c r="B4704" s="8" t="s">
        <v>59</v>
      </c>
      <c r="C4704" s="63" t="n">
        <f aca="false">Pressupostos!$C$247</f>
        <v>0.1</v>
      </c>
      <c r="D4704" s="63" t="n">
        <f aca="false">Pressupostos!$D$247</f>
        <v>0.1</v>
      </c>
      <c r="E4704" s="63" t="n">
        <f aca="false">Pressupostos!$E$247</f>
        <v>0.09</v>
      </c>
      <c r="F4704" s="63" t="n">
        <f aca="false">Pressupostos!$F$247</f>
        <v>0.09</v>
      </c>
      <c r="G4704" s="63" t="n">
        <f aca="false">Pressupostos!$G$247</f>
        <v>0.09</v>
      </c>
      <c r="H4704" s="2" t="s">
        <v>1148</v>
      </c>
    </row>
    <row r="4705" customFormat="false" ht="15" hidden="false" customHeight="false" outlineLevel="1" collapsed="false">
      <c r="A4705" s="7" t="s">
        <v>109</v>
      </c>
      <c r="B4705" s="8" t="s">
        <v>59</v>
      </c>
      <c r="C4705" s="63" t="n">
        <f aca="false">Pressupostos!$C$45</f>
        <v>0</v>
      </c>
      <c r="D4705" s="63" t="n">
        <f aca="false">Pressupostos!$C$45</f>
        <v>0</v>
      </c>
      <c r="E4705" s="63" t="n">
        <f aca="false">Pressupostos!$C$45</f>
        <v>0</v>
      </c>
      <c r="F4705" s="63" t="n">
        <f aca="false">Pressupostos!$C$45</f>
        <v>0</v>
      </c>
      <c r="G4705" s="63" t="n">
        <f aca="false">Pressupostos!$C$45</f>
        <v>0</v>
      </c>
      <c r="H4705" s="2" t="s">
        <v>1149</v>
      </c>
    </row>
    <row r="4706" customFormat="false" ht="15" hidden="false" customHeight="false" outlineLevel="1" collapsed="false">
      <c r="A4706" s="7" t="s">
        <v>86</v>
      </c>
      <c r="B4706" s="8" t="s">
        <v>74</v>
      </c>
      <c r="C4706" s="65" t="n">
        <f aca="false">Pressupostos!$F$23</f>
        <v>30</v>
      </c>
      <c r="D4706" s="65" t="n">
        <f aca="false">Pressupostos!$F$23</f>
        <v>30</v>
      </c>
      <c r="E4706" s="65" t="n">
        <f aca="false">Pressupostos!$F$23</f>
        <v>30</v>
      </c>
      <c r="F4706" s="65" t="n">
        <f aca="false">Pressupostos!$F$23</f>
        <v>30</v>
      </c>
      <c r="G4706" s="65" t="n">
        <f aca="false">Pressupostos!$F$23</f>
        <v>30</v>
      </c>
      <c r="H4706" s="2" t="s">
        <v>1150</v>
      </c>
    </row>
    <row r="4707" customFormat="false" ht="15" hidden="false" customHeight="false" outlineLevel="1" collapsed="false">
      <c r="A4707" s="7" t="s">
        <v>73</v>
      </c>
      <c r="B4707" s="8" t="s">
        <v>74</v>
      </c>
      <c r="C4707" s="65" t="n">
        <f aca="false">Pressupostos!$F$24</f>
        <v>55</v>
      </c>
      <c r="D4707" s="65" t="n">
        <f aca="false">Pressupostos!$F$24</f>
        <v>55</v>
      </c>
      <c r="E4707" s="65" t="n">
        <f aca="false">Pressupostos!$F$24</f>
        <v>55</v>
      </c>
      <c r="F4707" s="65" t="n">
        <f aca="false">Pressupostos!$F$24</f>
        <v>55</v>
      </c>
      <c r="G4707" s="65" t="n">
        <f aca="false">Pressupostos!$F$24</f>
        <v>55</v>
      </c>
      <c r="H4707" s="2" t="s">
        <v>1151</v>
      </c>
    </row>
    <row r="4708" customFormat="false" ht="15" hidden="false" customHeight="false" outlineLevel="1" collapsed="false">
      <c r="A4708" s="7" t="s">
        <v>471</v>
      </c>
      <c r="B4708" s="8" t="s">
        <v>59</v>
      </c>
      <c r="C4708" s="60" t="n">
        <f aca="false">Pressupostos!$C$64*C4706/30/1000</f>
        <v>0.004</v>
      </c>
      <c r="D4708" s="60" t="n">
        <f aca="false">Pressupostos!$C$64*D4706/30/1000</f>
        <v>0.004</v>
      </c>
      <c r="E4708" s="60" t="n">
        <f aca="false">Pressupostos!$C$64*E4706/30/1000</f>
        <v>0.004</v>
      </c>
      <c r="F4708" s="60" t="n">
        <f aca="false">Pressupostos!$C$64*F4706/30/1000</f>
        <v>0.004</v>
      </c>
      <c r="G4708" s="60" t="n">
        <f aca="false">Pressupostos!$C$64*G4706/30/1000</f>
        <v>0.004</v>
      </c>
      <c r="H4708" s="2" t="s">
        <v>1152</v>
      </c>
    </row>
    <row r="4709" customFormat="false" ht="15" hidden="false" customHeight="false" outlineLevel="1" collapsed="false">
      <c r="A4709" s="7" t="s">
        <v>154</v>
      </c>
      <c r="B4709" s="8" t="s">
        <v>59</v>
      </c>
      <c r="C4709" s="60" t="n">
        <f aca="false">C4700*Pressupostos!$C$65*C4706/365</f>
        <v>0.000591780821917808</v>
      </c>
      <c r="D4709" s="60" t="n">
        <f aca="false">D4700*Pressupostos!$C$65*D4706/365</f>
        <v>0.000591780821917808</v>
      </c>
      <c r="E4709" s="60" t="n">
        <f aca="false">E4700*Pressupostos!$C$65*E4706/365</f>
        <v>0.000591780821917808</v>
      </c>
      <c r="F4709" s="60" t="n">
        <f aca="false">F4700*Pressupostos!$C$65*F4706/365</f>
        <v>0.000591780821917808</v>
      </c>
      <c r="G4709" s="60" t="n">
        <f aca="false">G4700*Pressupostos!$C$65*G4706/365</f>
        <v>0.000591780821917808</v>
      </c>
      <c r="H4709" s="2" t="s">
        <v>1153</v>
      </c>
    </row>
    <row r="4710" customFormat="false" ht="15" hidden="false" customHeight="false" outlineLevel="1" collapsed="false">
      <c r="A4710" s="7" t="s">
        <v>636</v>
      </c>
      <c r="B4710" s="8" t="s">
        <v>59</v>
      </c>
      <c r="C4710" s="60" t="n">
        <f aca="false">Pressupostos!$C$47*Pressupostos!$C$66/(Pressupostos!$C$46*1000)</f>
        <v>0.02</v>
      </c>
      <c r="D4710" s="60" t="n">
        <f aca="false">Pressupostos!$C$47*Pressupostos!$C$66/(Pressupostos!$C$46*1000)</f>
        <v>0.02</v>
      </c>
      <c r="E4710" s="60" t="n">
        <f aca="false">Pressupostos!$C$47*Pressupostos!$C$66/(Pressupostos!$C$46*1000)</f>
        <v>0.02</v>
      </c>
      <c r="F4710" s="60" t="n">
        <f aca="false">Pressupostos!$C$47*Pressupostos!$C$66/(Pressupostos!$C$46*1000)</f>
        <v>0.02</v>
      </c>
      <c r="G4710" s="60" t="n">
        <f aca="false">Pressupostos!$C$47*Pressupostos!$C$66/(Pressupostos!$C$46*1000)</f>
        <v>0.02</v>
      </c>
      <c r="H4710" s="2" t="s">
        <v>1154</v>
      </c>
    </row>
    <row r="4711" customFormat="false" ht="15" hidden="false" customHeight="false" outlineLevel="1" collapsed="false">
      <c r="A4711" s="7" t="s">
        <v>473</v>
      </c>
      <c r="B4711" s="8" t="s">
        <v>59</v>
      </c>
      <c r="C4711" s="60" t="n">
        <f aca="false">Pressupostos!$C$67*C4700</f>
        <v>0.018</v>
      </c>
      <c r="D4711" s="60" t="n">
        <f aca="false">Pressupostos!$C$67*D4700</f>
        <v>0.018</v>
      </c>
      <c r="E4711" s="60" t="n">
        <f aca="false">Pressupostos!$C$67*E4700</f>
        <v>0.018</v>
      </c>
      <c r="F4711" s="60" t="n">
        <f aca="false">Pressupostos!$C$67*F4700</f>
        <v>0.018</v>
      </c>
      <c r="G4711" s="60" t="n">
        <f aca="false">Pressupostos!$C$67*G4700</f>
        <v>0.018</v>
      </c>
      <c r="H4711" s="2" t="s">
        <v>1155</v>
      </c>
    </row>
    <row r="4712" customFormat="false" ht="15" hidden="false" customHeight="false" outlineLevel="1" collapsed="false">
      <c r="A4712" s="7" t="s">
        <v>474</v>
      </c>
      <c r="B4712" s="8" t="s">
        <v>59</v>
      </c>
      <c r="C4712" s="60" t="n">
        <f aca="false">Pressupostos!$C$68*Pressupostos!$C$69*C4706/90</f>
        <v>0.003</v>
      </c>
      <c r="D4712" s="60" t="n">
        <f aca="false">Pressupostos!$C$68*Pressupostos!$C$69*D4706/90</f>
        <v>0.003</v>
      </c>
      <c r="E4712" s="60" t="n">
        <f aca="false">Pressupostos!$C$68*Pressupostos!$C$69*E4706/90</f>
        <v>0.003</v>
      </c>
      <c r="F4712" s="60" t="n">
        <f aca="false">Pressupostos!$C$68*Pressupostos!$C$69*F4706/90</f>
        <v>0.003</v>
      </c>
      <c r="G4712" s="60" t="n">
        <f aca="false">Pressupostos!$C$68*Pressupostos!$C$69*G4706/90</f>
        <v>0.003</v>
      </c>
      <c r="H4712" s="2" t="s">
        <v>1156</v>
      </c>
    </row>
    <row r="4713" customFormat="false" ht="15" hidden="false" customHeight="false" outlineLevel="1" collapsed="false">
      <c r="A4713" s="7" t="s">
        <v>637</v>
      </c>
      <c r="B4713" s="8" t="s">
        <v>59</v>
      </c>
      <c r="C4713" s="60" t="n">
        <f aca="false">Pressupostos!$C$48/(Pressupostos!$C$46*1000)</f>
        <v>0.04</v>
      </c>
      <c r="D4713" s="60" t="n">
        <f aca="false">Pressupostos!$C$48/(Pressupostos!$C$46*1000)</f>
        <v>0.04</v>
      </c>
      <c r="E4713" s="60" t="n">
        <f aca="false">Pressupostos!$C$48/(Pressupostos!$C$46*1000)</f>
        <v>0.04</v>
      </c>
      <c r="F4713" s="60" t="n">
        <f aca="false">Pressupostos!$C$48/(Pressupostos!$C$46*1000)</f>
        <v>0.04</v>
      </c>
      <c r="G4713" s="60" t="n">
        <f aca="false">Pressupostos!$C$48/(Pressupostos!$C$46*1000)</f>
        <v>0.04</v>
      </c>
      <c r="H4713" s="2" t="s">
        <v>1157</v>
      </c>
    </row>
    <row r="4714" customFormat="false" ht="15" hidden="false" customHeight="false" outlineLevel="1" collapsed="false">
      <c r="A4714" s="7" t="s">
        <v>131</v>
      </c>
      <c r="B4714" s="8" t="s">
        <v>59</v>
      </c>
      <c r="C4714" s="63" t="n">
        <f aca="false">Pressupostos!$C$49</f>
        <v>0.005</v>
      </c>
      <c r="D4714" s="63" t="n">
        <f aca="false">Pressupostos!$C$49</f>
        <v>0.005</v>
      </c>
      <c r="E4714" s="63" t="n">
        <f aca="false">Pressupostos!$C$49</f>
        <v>0.005</v>
      </c>
      <c r="F4714" s="63" t="n">
        <f aca="false">Pressupostos!$C$49</f>
        <v>0.005</v>
      </c>
      <c r="G4714" s="63" t="n">
        <f aca="false">Pressupostos!$C$49</f>
        <v>0.005</v>
      </c>
      <c r="H4714" s="2" t="s">
        <v>1158</v>
      </c>
    </row>
    <row r="4715" customFormat="false" ht="15" hidden="false" customHeight="false" outlineLevel="1" collapsed="false">
      <c r="A4715" s="7" t="s">
        <v>76</v>
      </c>
      <c r="B4715" s="8" t="s">
        <v>59</v>
      </c>
      <c r="C4715" s="60" t="n">
        <f aca="false">Pressupostos!$F$25*C4702</f>
        <v>0.01335</v>
      </c>
      <c r="D4715" s="60" t="n">
        <f aca="false">Pressupostos!$F$25*D4702</f>
        <v>0.01335</v>
      </c>
      <c r="E4715" s="60" t="n">
        <f aca="false">Pressupostos!$F$25*E4702</f>
        <v>0.01335</v>
      </c>
      <c r="F4715" s="60" t="n">
        <f aca="false">Pressupostos!$F$25*F4702</f>
        <v>0.01335</v>
      </c>
      <c r="G4715" s="60" t="n">
        <f aca="false">Pressupostos!$F$25*G4702</f>
        <v>0.01335</v>
      </c>
      <c r="H4715" s="2" t="s">
        <v>1159</v>
      </c>
    </row>
    <row r="4716" customFormat="false" ht="15" hidden="false" customHeight="false" outlineLevel="1" collapsed="false">
      <c r="A4716" s="7" t="s">
        <v>638</v>
      </c>
      <c r="B4716" s="8" t="s">
        <v>59</v>
      </c>
      <c r="C4716" s="60" t="n">
        <f aca="false">Pressupostos!$C$71*C4702</f>
        <v>0</v>
      </c>
      <c r="D4716" s="60" t="n">
        <f aca="false">Pressupostos!$C$71*D4702</f>
        <v>0</v>
      </c>
      <c r="E4716" s="60" t="n">
        <f aca="false">Pressupostos!$C$71*E4702</f>
        <v>0</v>
      </c>
      <c r="F4716" s="60" t="n">
        <f aca="false">Pressupostos!$C$71*F4702</f>
        <v>0</v>
      </c>
      <c r="G4716" s="60" t="n">
        <f aca="false">Pressupostos!$C$71*G4702</f>
        <v>0</v>
      </c>
      <c r="H4716" s="2" t="s">
        <v>1160</v>
      </c>
    </row>
    <row r="4717" customFormat="false" ht="15" hidden="false" customHeight="false" outlineLevel="1" collapsed="false">
      <c r="A4717" s="7" t="s">
        <v>639</v>
      </c>
      <c r="B4717" s="8" t="s">
        <v>59</v>
      </c>
      <c r="C4717" s="60" t="n">
        <f aca="false">Pressupostos!$C$285*(C4700+C4703)*(C4706+C4707-Pressupostos!$C$70)/365*Pressupostos!$C$279/Pressupostos!$F$31</f>
        <v>0</v>
      </c>
      <c r="D4717" s="60" t="n">
        <f aca="false">Pressupostos!$D$285*(D4700+D4703)*(D4706+D4707-Pressupostos!$C$70)/365*Pressupostos!$D$279/Pressupostos!$F$31</f>
        <v>0.0549246575342466</v>
      </c>
      <c r="E4717" s="60" t="n">
        <f aca="false">Pressupostos!$E$285*(E4700+E4703)*(E4706+E4707-Pressupostos!$C$70)/365*Pressupostos!$E$279/Pressupostos!$F$31</f>
        <v>0.0514918664383562</v>
      </c>
      <c r="F4717" s="60" t="n">
        <f aca="false">Pressupostos!$F$285*(F4700+F4703)*(F4706+F4707-Pressupostos!$C$70)/365*Pressupostos!$F$279/Pressupostos!$F$31</f>
        <v>0.0480590753424658</v>
      </c>
      <c r="G4717" s="60" t="n">
        <f aca="false">Pressupostos!$G$285*(G4700+G4703)*(G4706+G4707-Pressupostos!$C$70)/365*Pressupostos!$G$279/Pressupostos!$F$31</f>
        <v>0.0480590753424658</v>
      </c>
      <c r="H4717" s="2" t="s">
        <v>1161</v>
      </c>
    </row>
    <row r="4718" customFormat="false" ht="15" hidden="false" customHeight="false" outlineLevel="1" collapsed="false">
      <c r="A4718" s="7" t="s">
        <v>640</v>
      </c>
      <c r="B4718" s="8" t="s">
        <v>59</v>
      </c>
      <c r="C4718" s="60" t="n">
        <f aca="false">C4700+C4703+C4704+C4705+C4708+C4709+C4710+C4711+C4712+C4713+C4714+C4715+C4716+C4717</f>
        <v>4.25394178082192</v>
      </c>
      <c r="D4718" s="60" t="n">
        <f aca="false">D4700+D4703+D4704+D4705+D4708+D4709+D4710+D4711+D4712+D4713+D4714+D4715+D4716+D4717</f>
        <v>4.30886643835616</v>
      </c>
      <c r="E4718" s="60" t="n">
        <f aca="false">E4700+E4703+E4704+E4705+E4708+E4709+E4710+E4711+E4712+E4713+E4714+E4715+E4716+E4717</f>
        <v>4.29543364726027</v>
      </c>
      <c r="F4718" s="60" t="n">
        <f aca="false">F4700+F4703+F4704+F4705+F4708+F4709+F4710+F4711+F4712+F4713+F4714+F4715+F4716+F4717</f>
        <v>4.29200085616438</v>
      </c>
      <c r="G4718" s="60" t="n">
        <f aca="false">G4700+G4703+G4704+G4705+G4708+G4709+G4710+G4711+G4712+G4713+G4714+G4715+G4716+G4717</f>
        <v>4.29200085616438</v>
      </c>
      <c r="H4718" s="2" t="s">
        <v>1162</v>
      </c>
    </row>
    <row r="4719" customFormat="false" ht="15" hidden="false" customHeight="false" outlineLevel="1" collapsed="false">
      <c r="A4719" s="52" t="s">
        <v>641</v>
      </c>
      <c r="B4719" s="53" t="s">
        <v>59</v>
      </c>
      <c r="C4719" s="64" t="n">
        <f aca="false">C4702-C4718</f>
        <v>0.196058219178083</v>
      </c>
      <c r="D4719" s="64" t="n">
        <f aca="false">D4702-D4718</f>
        <v>0.141133561643836</v>
      </c>
      <c r="E4719" s="64" t="n">
        <f aca="false">E4702-E4718</f>
        <v>0.154566352739726</v>
      </c>
      <c r="F4719" s="64" t="n">
        <f aca="false">F4702-F4718</f>
        <v>0.157999143835617</v>
      </c>
      <c r="G4719" s="64" t="n">
        <f aca="false">G4702-G4718</f>
        <v>0.157999143835617</v>
      </c>
      <c r="H4719" s="2" t="s">
        <v>1163</v>
      </c>
    </row>
    <row r="4720" customFormat="false" ht="15" hidden="false" customHeight="false" outlineLevel="1" collapsed="false">
      <c r="A4720" s="7" t="s">
        <v>642</v>
      </c>
      <c r="B4720" s="8" t="s">
        <v>71</v>
      </c>
      <c r="C4720" s="55" t="n">
        <f aca="false">IF(C4702&gt;0,C4719/C4702,0)</f>
        <v>0.0440580267815916</v>
      </c>
      <c r="D4720" s="55" t="n">
        <f aca="false">IF(D4702&gt;0,D4719/D4702,0)</f>
        <v>0.0317154071109745</v>
      </c>
      <c r="E4720" s="55" t="n">
        <f aca="false">IF(E4702&gt;0,E4719/E4702,0)</f>
        <v>0.0347340118516239</v>
      </c>
      <c r="F4720" s="55" t="n">
        <f aca="false">IF(F4702&gt;0,F4719/F4702,0)</f>
        <v>0.0355054255810374</v>
      </c>
      <c r="G4720" s="55" t="n">
        <f aca="false">IF(G4702&gt;0,G4719/G4702,0)</f>
        <v>0.0355054255810374</v>
      </c>
      <c r="H4720" s="2" t="s">
        <v>1164</v>
      </c>
    </row>
    <row r="4721" customFormat="false" ht="15" hidden="false" customHeight="false" outlineLevel="1" collapsed="false">
      <c r="A4721" s="7" t="s">
        <v>643</v>
      </c>
      <c r="B4721" s="8" t="s">
        <v>59</v>
      </c>
      <c r="C4721" s="60" t="n">
        <f aca="false">(C4700+C4703)*(C4706-Pressupostos!$C$70)/365+C4702*C4707/365</f>
        <v>0.670547945205479</v>
      </c>
      <c r="D4721" s="60" t="n">
        <f aca="false">(D4700+D4703)*(D4706-Pressupostos!$C$70)/365+D4702*D4707/365</f>
        <v>0.670547945205479</v>
      </c>
      <c r="E4721" s="60" t="n">
        <f aca="false">(E4700+E4703)*(E4706-Pressupostos!$C$70)/365+E4702*E4707/365</f>
        <v>0.670547945205479</v>
      </c>
      <c r="F4721" s="60" t="n">
        <f aca="false">(F4700+F4703)*(F4706-Pressupostos!$C$70)/365+F4702*F4707/365</f>
        <v>0.670547945205479</v>
      </c>
      <c r="G4721" s="60" t="n">
        <f aca="false">(G4700+G4703)*(G4706-Pressupostos!$C$70)/365+G4702*G4707/365</f>
        <v>0.670547945205479</v>
      </c>
      <c r="H4721" s="2" t="s">
        <v>1165</v>
      </c>
    </row>
    <row r="4722" customFormat="false" ht="15" hidden="false" customHeight="false" outlineLevel="0" collapsed="false">
      <c r="A4722" s="3" t="s">
        <v>1166</v>
      </c>
      <c r="B4722" s="4"/>
      <c r="C4722" s="4"/>
      <c r="D4722" s="4"/>
      <c r="E4722" s="4"/>
      <c r="F4722" s="4"/>
      <c r="G4722" s="4"/>
      <c r="H4722" s="4"/>
    </row>
    <row r="4723" customFormat="false" ht="15" hidden="false" customHeight="false" outlineLevel="1" collapsed="false">
      <c r="A4723" s="7" t="s">
        <v>633</v>
      </c>
      <c r="B4723" s="8" t="s">
        <v>59</v>
      </c>
      <c r="C4723" s="60" t="n">
        <f aca="false">Pressupostos!$F$10+Pressupostos!$F$13</f>
        <v>3.5</v>
      </c>
      <c r="D4723" s="60" t="n">
        <f aca="false">Pressupostos!$F$10+Pressupostos!$F$13</f>
        <v>3.5</v>
      </c>
      <c r="E4723" s="60" t="n">
        <f aca="false">Pressupostos!$F$10+Pressupostos!$F$13</f>
        <v>3.5</v>
      </c>
      <c r="F4723" s="60" t="n">
        <f aca="false">Pressupostos!$F$10+Pressupostos!$F$13</f>
        <v>3.5</v>
      </c>
      <c r="G4723" s="60" t="n">
        <f aca="false">Pressupostos!$F$10+Pressupostos!$F$13</f>
        <v>3.5</v>
      </c>
      <c r="H4723" s="2" t="s">
        <v>1167</v>
      </c>
    </row>
    <row r="4724" customFormat="false" ht="15" hidden="false" customHeight="false" outlineLevel="1" collapsed="false">
      <c r="A4724" s="7" t="s">
        <v>634</v>
      </c>
      <c r="B4724" s="8" t="s">
        <v>59</v>
      </c>
      <c r="C4724" s="60" t="n">
        <f aca="false">Pressupostos!$F$10+Pressupostos!$C$51</f>
        <v>3.65</v>
      </c>
      <c r="D4724" s="60" t="n">
        <f aca="false">Pressupostos!$F$10+Pressupostos!$C$51</f>
        <v>3.65</v>
      </c>
      <c r="E4724" s="60" t="n">
        <f aca="false">Pressupostos!$F$10+Pressupostos!$C$51</f>
        <v>3.65</v>
      </c>
      <c r="F4724" s="60" t="n">
        <f aca="false">Pressupostos!$F$10+Pressupostos!$C$51</f>
        <v>3.65</v>
      </c>
      <c r="G4724" s="60" t="n">
        <f aca="false">Pressupostos!$F$10+Pressupostos!$C$51</f>
        <v>3.65</v>
      </c>
      <c r="H4724" s="2" t="s">
        <v>1168</v>
      </c>
    </row>
    <row r="4725" customFormat="false" ht="15" hidden="false" customHeight="false" outlineLevel="1" collapsed="false">
      <c r="A4725" s="52" t="s">
        <v>635</v>
      </c>
      <c r="B4725" s="53" t="s">
        <v>59</v>
      </c>
      <c r="C4725" s="64" t="n">
        <f aca="false">C4724*(1-Pressupostos!$C$52)</f>
        <v>3.65</v>
      </c>
      <c r="D4725" s="64" t="n">
        <f aca="false">D4724*(1-Pressupostos!$C$52)</f>
        <v>3.65</v>
      </c>
      <c r="E4725" s="64" t="n">
        <f aca="false">E4724*(1-Pressupostos!$C$52)</f>
        <v>3.65</v>
      </c>
      <c r="F4725" s="64" t="n">
        <f aca="false">F4724*(1-Pressupostos!$C$52)</f>
        <v>3.65</v>
      </c>
      <c r="G4725" s="64" t="n">
        <f aca="false">G4724*(1-Pressupostos!$C$52)</f>
        <v>3.65</v>
      </c>
      <c r="H4725" s="2" t="s">
        <v>1169</v>
      </c>
    </row>
    <row r="4726" customFormat="false" ht="15" hidden="false" customHeight="false" outlineLevel="1" collapsed="false">
      <c r="A4726" s="7" t="s">
        <v>136</v>
      </c>
      <c r="B4726" s="8" t="s">
        <v>59</v>
      </c>
      <c r="C4726" s="63" t="n">
        <f aca="false">Pressupostos!$C$53</f>
        <v>0</v>
      </c>
      <c r="D4726" s="63" t="n">
        <f aca="false">Pressupostos!$C$53</f>
        <v>0</v>
      </c>
      <c r="E4726" s="63" t="n">
        <f aca="false">Pressupostos!$C$53</f>
        <v>0</v>
      </c>
      <c r="F4726" s="63" t="n">
        <f aca="false">Pressupostos!$C$53</f>
        <v>0</v>
      </c>
      <c r="G4726" s="63" t="n">
        <f aca="false">Pressupostos!$C$53</f>
        <v>0</v>
      </c>
      <c r="H4726" s="2" t="s">
        <v>1170</v>
      </c>
    </row>
    <row r="4727" customFormat="false" ht="15" hidden="false" customHeight="false" outlineLevel="1" collapsed="false">
      <c r="A4727" s="7" t="s">
        <v>205</v>
      </c>
      <c r="B4727" s="8" t="s">
        <v>59</v>
      </c>
      <c r="C4727" s="63" t="n">
        <f aca="false">Pressupostos!$C$54</f>
        <v>0.04</v>
      </c>
      <c r="D4727" s="63" t="n">
        <f aca="false">Pressupostos!$C$54</f>
        <v>0.04</v>
      </c>
      <c r="E4727" s="63" t="n">
        <f aca="false">Pressupostos!$C$54</f>
        <v>0.04</v>
      </c>
      <c r="F4727" s="63" t="n">
        <f aca="false">Pressupostos!$C$54</f>
        <v>0.04</v>
      </c>
      <c r="G4727" s="63" t="n">
        <f aca="false">Pressupostos!$C$54</f>
        <v>0.04</v>
      </c>
      <c r="H4727" s="2" t="s">
        <v>1171</v>
      </c>
    </row>
    <row r="4728" customFormat="false" ht="15" hidden="false" customHeight="false" outlineLevel="1" collapsed="false">
      <c r="A4728" s="7" t="s">
        <v>109</v>
      </c>
      <c r="B4728" s="8" t="s">
        <v>59</v>
      </c>
      <c r="C4728" s="63" t="n">
        <f aca="false">Pressupostos!$C$55</f>
        <v>0</v>
      </c>
      <c r="D4728" s="63" t="n">
        <f aca="false">Pressupostos!$C$55</f>
        <v>0</v>
      </c>
      <c r="E4728" s="63" t="n">
        <f aca="false">Pressupostos!$C$55</f>
        <v>0</v>
      </c>
      <c r="F4728" s="63" t="n">
        <f aca="false">Pressupostos!$C$55</f>
        <v>0</v>
      </c>
      <c r="G4728" s="63" t="n">
        <f aca="false">Pressupostos!$C$55</f>
        <v>0</v>
      </c>
      <c r="H4728" s="2" t="s">
        <v>1172</v>
      </c>
    </row>
    <row r="4729" customFormat="false" ht="15" hidden="false" customHeight="false" outlineLevel="1" collapsed="false">
      <c r="A4729" s="7" t="s">
        <v>86</v>
      </c>
      <c r="B4729" s="8" t="s">
        <v>74</v>
      </c>
      <c r="C4729" s="65" t="n">
        <f aca="false">Pressupostos!$C$56</f>
        <v>15</v>
      </c>
      <c r="D4729" s="65" t="n">
        <f aca="false">Pressupostos!$C$56</f>
        <v>15</v>
      </c>
      <c r="E4729" s="65" t="n">
        <f aca="false">Pressupostos!$C$56</f>
        <v>15</v>
      </c>
      <c r="F4729" s="65" t="n">
        <f aca="false">Pressupostos!$C$56</f>
        <v>15</v>
      </c>
      <c r="G4729" s="65" t="n">
        <f aca="false">Pressupostos!$C$56</f>
        <v>15</v>
      </c>
      <c r="H4729" s="2" t="s">
        <v>1173</v>
      </c>
    </row>
    <row r="4730" customFormat="false" ht="15" hidden="false" customHeight="false" outlineLevel="1" collapsed="false">
      <c r="A4730" s="7" t="s">
        <v>73</v>
      </c>
      <c r="B4730" s="8" t="s">
        <v>74</v>
      </c>
      <c r="C4730" s="65" t="n">
        <f aca="false">Pressupostos!$C$57</f>
        <v>45</v>
      </c>
      <c r="D4730" s="65" t="n">
        <f aca="false">Pressupostos!$C$57</f>
        <v>45</v>
      </c>
      <c r="E4730" s="65" t="n">
        <f aca="false">Pressupostos!$C$57</f>
        <v>45</v>
      </c>
      <c r="F4730" s="65" t="n">
        <f aca="false">Pressupostos!$C$57</f>
        <v>45</v>
      </c>
      <c r="G4730" s="65" t="n">
        <f aca="false">Pressupostos!$C$57</f>
        <v>45</v>
      </c>
      <c r="H4730" s="2" t="s">
        <v>1174</v>
      </c>
    </row>
    <row r="4731" customFormat="false" ht="15" hidden="false" customHeight="false" outlineLevel="1" collapsed="false">
      <c r="A4731" s="7" t="s">
        <v>471</v>
      </c>
      <c r="B4731" s="8" t="s">
        <v>59</v>
      </c>
      <c r="C4731" s="60" t="n">
        <f aca="false">Pressupostos!$C$64*C4729/30/1000</f>
        <v>0.002</v>
      </c>
      <c r="D4731" s="60" t="n">
        <f aca="false">Pressupostos!$C$64*D4729/30/1000</f>
        <v>0.002</v>
      </c>
      <c r="E4731" s="60" t="n">
        <f aca="false">Pressupostos!$C$64*E4729/30/1000</f>
        <v>0.002</v>
      </c>
      <c r="F4731" s="60" t="n">
        <f aca="false">Pressupostos!$C$64*F4729/30/1000</f>
        <v>0.002</v>
      </c>
      <c r="G4731" s="60" t="n">
        <f aca="false">Pressupostos!$C$64*G4729/30/1000</f>
        <v>0.002</v>
      </c>
      <c r="H4731" s="2" t="s">
        <v>1175</v>
      </c>
    </row>
    <row r="4732" customFormat="false" ht="15" hidden="false" customHeight="false" outlineLevel="1" collapsed="false">
      <c r="A4732" s="7" t="s">
        <v>154</v>
      </c>
      <c r="B4732" s="8" t="s">
        <v>59</v>
      </c>
      <c r="C4732" s="60" t="n">
        <f aca="false">C4723*Pressupostos!$C$65*C4729/365</f>
        <v>0.000287671232876712</v>
      </c>
      <c r="D4732" s="60" t="n">
        <f aca="false">D4723*Pressupostos!$C$65*D4729/365</f>
        <v>0.000287671232876712</v>
      </c>
      <c r="E4732" s="60" t="n">
        <f aca="false">E4723*Pressupostos!$C$65*E4729/365</f>
        <v>0.000287671232876712</v>
      </c>
      <c r="F4732" s="60" t="n">
        <f aca="false">F4723*Pressupostos!$C$65*F4729/365</f>
        <v>0.000287671232876712</v>
      </c>
      <c r="G4732" s="60" t="n">
        <f aca="false">G4723*Pressupostos!$C$65*G4729/365</f>
        <v>0.000287671232876712</v>
      </c>
      <c r="H4732" s="2" t="s">
        <v>1176</v>
      </c>
    </row>
    <row r="4733" customFormat="false" ht="15" hidden="false" customHeight="false" outlineLevel="1" collapsed="false">
      <c r="A4733" s="7" t="s">
        <v>636</v>
      </c>
      <c r="B4733" s="8" t="s">
        <v>59</v>
      </c>
      <c r="C4733" s="60" t="n">
        <f aca="false">Pressupostos!$C$59*Pressupostos!$C$66/(Pressupostos!$C$58*1000)</f>
        <v>0.006</v>
      </c>
      <c r="D4733" s="60" t="n">
        <f aca="false">Pressupostos!$C$59*Pressupostos!$C$66/(Pressupostos!$C$58*1000)</f>
        <v>0.006</v>
      </c>
      <c r="E4733" s="60" t="n">
        <f aca="false">Pressupostos!$C$59*Pressupostos!$C$66/(Pressupostos!$C$58*1000)</f>
        <v>0.006</v>
      </c>
      <c r="F4733" s="60" t="n">
        <f aca="false">Pressupostos!$C$59*Pressupostos!$C$66/(Pressupostos!$C$58*1000)</f>
        <v>0.006</v>
      </c>
      <c r="G4733" s="60" t="n">
        <f aca="false">Pressupostos!$C$59*Pressupostos!$C$66/(Pressupostos!$C$58*1000)</f>
        <v>0.006</v>
      </c>
      <c r="H4733" s="2" t="s">
        <v>1177</v>
      </c>
    </row>
    <row r="4734" customFormat="false" ht="15" hidden="false" customHeight="false" outlineLevel="1" collapsed="false">
      <c r="A4734" s="7" t="s">
        <v>473</v>
      </c>
      <c r="B4734" s="8" t="s">
        <v>59</v>
      </c>
      <c r="C4734" s="60" t="n">
        <f aca="false">Pressupostos!$C$67*C4723</f>
        <v>0.0175</v>
      </c>
      <c r="D4734" s="60" t="n">
        <f aca="false">Pressupostos!$C$67*D4723</f>
        <v>0.0175</v>
      </c>
      <c r="E4734" s="60" t="n">
        <f aca="false">Pressupostos!$C$67*E4723</f>
        <v>0.0175</v>
      </c>
      <c r="F4734" s="60" t="n">
        <f aca="false">Pressupostos!$C$67*F4723</f>
        <v>0.0175</v>
      </c>
      <c r="G4734" s="60" t="n">
        <f aca="false">Pressupostos!$C$67*G4723</f>
        <v>0.0175</v>
      </c>
      <c r="H4734" s="2" t="s">
        <v>1178</v>
      </c>
    </row>
    <row r="4735" customFormat="false" ht="15" hidden="false" customHeight="false" outlineLevel="1" collapsed="false">
      <c r="A4735" s="7" t="s">
        <v>474</v>
      </c>
      <c r="B4735" s="8" t="s">
        <v>59</v>
      </c>
      <c r="C4735" s="60" t="n">
        <f aca="false">Pressupostos!$C$68*Pressupostos!$C$69*C4729/90</f>
        <v>0.0015</v>
      </c>
      <c r="D4735" s="60" t="n">
        <f aca="false">Pressupostos!$C$68*Pressupostos!$C$69*D4729/90</f>
        <v>0.0015</v>
      </c>
      <c r="E4735" s="60" t="n">
        <f aca="false">Pressupostos!$C$68*Pressupostos!$C$69*E4729/90</f>
        <v>0.0015</v>
      </c>
      <c r="F4735" s="60" t="n">
        <f aca="false">Pressupostos!$C$68*Pressupostos!$C$69*F4729/90</f>
        <v>0.0015</v>
      </c>
      <c r="G4735" s="60" t="n">
        <f aca="false">Pressupostos!$C$68*Pressupostos!$C$69*G4729/90</f>
        <v>0.0015</v>
      </c>
      <c r="H4735" s="2" t="s">
        <v>1179</v>
      </c>
    </row>
    <row r="4736" customFormat="false" ht="15" hidden="false" customHeight="false" outlineLevel="1" collapsed="false">
      <c r="A4736" s="7" t="s">
        <v>637</v>
      </c>
      <c r="B4736" s="8" t="s">
        <v>59</v>
      </c>
      <c r="C4736" s="60" t="n">
        <f aca="false">Pressupostos!$C$60/(Pressupostos!$C$58*1000)</f>
        <v>0.012</v>
      </c>
      <c r="D4736" s="60" t="n">
        <f aca="false">Pressupostos!$C$60/(Pressupostos!$C$58*1000)</f>
        <v>0.012</v>
      </c>
      <c r="E4736" s="60" t="n">
        <f aca="false">Pressupostos!$C$60/(Pressupostos!$C$58*1000)</f>
        <v>0.012</v>
      </c>
      <c r="F4736" s="60" t="n">
        <f aca="false">Pressupostos!$C$60/(Pressupostos!$C$58*1000)</f>
        <v>0.012</v>
      </c>
      <c r="G4736" s="60" t="n">
        <f aca="false">Pressupostos!$C$60/(Pressupostos!$C$58*1000)</f>
        <v>0.012</v>
      </c>
      <c r="H4736" s="2" t="s">
        <v>1180</v>
      </c>
    </row>
    <row r="4737" customFormat="false" ht="15" hidden="false" customHeight="false" outlineLevel="1" collapsed="false">
      <c r="A4737" s="7" t="s">
        <v>131</v>
      </c>
      <c r="B4737" s="8" t="s">
        <v>59</v>
      </c>
      <c r="C4737" s="63" t="n">
        <f aca="false">Pressupostos!$C$61</f>
        <v>0.001</v>
      </c>
      <c r="D4737" s="63" t="n">
        <f aca="false">Pressupostos!$C$61</f>
        <v>0.001</v>
      </c>
      <c r="E4737" s="63" t="n">
        <f aca="false">Pressupostos!$C$61</f>
        <v>0.001</v>
      </c>
      <c r="F4737" s="63" t="n">
        <f aca="false">Pressupostos!$C$61</f>
        <v>0.001</v>
      </c>
      <c r="G4737" s="63" t="n">
        <f aca="false">Pressupostos!$C$61</f>
        <v>0.001</v>
      </c>
      <c r="H4737" s="2" t="s">
        <v>1181</v>
      </c>
    </row>
    <row r="4738" customFormat="false" ht="15" hidden="false" customHeight="false" outlineLevel="1" collapsed="false">
      <c r="A4738" s="7" t="s">
        <v>76</v>
      </c>
      <c r="B4738" s="8" t="s">
        <v>59</v>
      </c>
      <c r="C4738" s="60" t="n">
        <f aca="false">Pressupostos!$C$62*C4725</f>
        <v>0.01095</v>
      </c>
      <c r="D4738" s="60" t="n">
        <f aca="false">Pressupostos!$C$62*D4725</f>
        <v>0.01095</v>
      </c>
      <c r="E4738" s="60" t="n">
        <f aca="false">Pressupostos!$C$62*E4725</f>
        <v>0.01095</v>
      </c>
      <c r="F4738" s="60" t="n">
        <f aca="false">Pressupostos!$C$62*F4725</f>
        <v>0.01095</v>
      </c>
      <c r="G4738" s="60" t="n">
        <f aca="false">Pressupostos!$C$62*G4725</f>
        <v>0.01095</v>
      </c>
      <c r="H4738" s="2" t="s">
        <v>1182</v>
      </c>
    </row>
    <row r="4739" customFormat="false" ht="15" hidden="false" customHeight="false" outlineLevel="1" collapsed="false">
      <c r="A4739" s="7" t="s">
        <v>638</v>
      </c>
      <c r="B4739" s="8" t="s">
        <v>59</v>
      </c>
      <c r="C4739" s="60" t="n">
        <f aca="false">Pressupostos!$C$71*C4725</f>
        <v>0</v>
      </c>
      <c r="D4739" s="60" t="n">
        <f aca="false">Pressupostos!$C$71*D4725</f>
        <v>0</v>
      </c>
      <c r="E4739" s="60" t="n">
        <f aca="false">Pressupostos!$C$71*E4725</f>
        <v>0</v>
      </c>
      <c r="F4739" s="60" t="n">
        <f aca="false">Pressupostos!$C$71*F4725</f>
        <v>0</v>
      </c>
      <c r="G4739" s="60" t="n">
        <f aca="false">Pressupostos!$C$71*G4725</f>
        <v>0</v>
      </c>
      <c r="H4739" s="2" t="s">
        <v>1183</v>
      </c>
    </row>
    <row r="4740" customFormat="false" ht="15" hidden="false" customHeight="false" outlineLevel="1" collapsed="false">
      <c r="A4740" s="7" t="s">
        <v>639</v>
      </c>
      <c r="B4740" s="8" t="s">
        <v>59</v>
      </c>
      <c r="C4740" s="60" t="n">
        <f aca="false">Pressupostos!$C$285*(C4723+C4726)*(C4729+C4730-Pressupostos!$C$70)/365*Pressupostos!$C$279/Pressupostos!$F$31</f>
        <v>0</v>
      </c>
      <c r="D4740" s="60" t="n">
        <f aca="false">Pressupostos!$D$285*(D4723+D4726)*(D4729+D4730-Pressupostos!$C$70)/365*Pressupostos!$D$279/Pressupostos!$F$31</f>
        <v>0.0258904109589041</v>
      </c>
      <c r="E4740" s="60" t="n">
        <f aca="false">Pressupostos!$E$285*(E4723+E4726)*(E4729+E4730-Pressupostos!$C$70)/365*Pressupostos!$E$279/Pressupostos!$F$31</f>
        <v>0.0242722602739726</v>
      </c>
      <c r="F4740" s="60" t="n">
        <f aca="false">Pressupostos!$F$285*(F4723+F4726)*(F4729+F4730-Pressupostos!$C$70)/365*Pressupostos!$F$279/Pressupostos!$F$31</f>
        <v>0.0226541095890411</v>
      </c>
      <c r="G4740" s="60" t="n">
        <f aca="false">Pressupostos!$G$285*(G4723+G4726)*(G4729+G4730-Pressupostos!$C$70)/365*Pressupostos!$G$279/Pressupostos!$F$31</f>
        <v>0.0226541095890411</v>
      </c>
      <c r="H4740" s="2" t="s">
        <v>1184</v>
      </c>
    </row>
    <row r="4741" customFormat="false" ht="15" hidden="false" customHeight="false" outlineLevel="1" collapsed="false">
      <c r="A4741" s="7" t="s">
        <v>640</v>
      </c>
      <c r="B4741" s="8" t="s">
        <v>59</v>
      </c>
      <c r="C4741" s="60" t="n">
        <f aca="false">C4723+C4726+C4727+C4728+C4731+C4732+C4733+C4734+C4735+C4736+C4737+C4738+C4739+C4740</f>
        <v>3.59123767123288</v>
      </c>
      <c r="D4741" s="60" t="n">
        <f aca="false">D4723+D4726+D4727+D4728+D4731+D4732+D4733+D4734+D4735+D4736+D4737+D4738+D4739+D4740</f>
        <v>3.61712808219178</v>
      </c>
      <c r="E4741" s="60" t="n">
        <f aca="false">E4723+E4726+E4727+E4728+E4731+E4732+E4733+E4734+E4735+E4736+E4737+E4738+E4739+E4740</f>
        <v>3.61550993150685</v>
      </c>
      <c r="F4741" s="60" t="n">
        <f aca="false">F4723+F4726+F4727+F4728+F4731+F4732+F4733+F4734+F4735+F4736+F4737+F4738+F4739+F4740</f>
        <v>3.61389178082192</v>
      </c>
      <c r="G4741" s="60" t="n">
        <f aca="false">G4723+G4726+G4727+G4728+G4731+G4732+G4733+G4734+G4735+G4736+G4737+G4738+G4739+G4740</f>
        <v>3.61389178082192</v>
      </c>
      <c r="H4741" s="2" t="s">
        <v>1185</v>
      </c>
    </row>
    <row r="4742" customFormat="false" ht="15" hidden="false" customHeight="false" outlineLevel="1" collapsed="false">
      <c r="A4742" s="52" t="s">
        <v>641</v>
      </c>
      <c r="B4742" s="53" t="s">
        <v>59</v>
      </c>
      <c r="C4742" s="64" t="n">
        <f aca="false">C4725-C4741</f>
        <v>0.058762328767124</v>
      </c>
      <c r="D4742" s="64" t="n">
        <f aca="false">D4725-D4741</f>
        <v>0.0328719178082197</v>
      </c>
      <c r="E4742" s="64" t="n">
        <f aca="false">E4725-E4741</f>
        <v>0.0344900684931515</v>
      </c>
      <c r="F4742" s="64" t="n">
        <f aca="false">F4725-F4741</f>
        <v>0.0361082191780828</v>
      </c>
      <c r="G4742" s="64" t="n">
        <f aca="false">G4725-G4741</f>
        <v>0.0361082191780828</v>
      </c>
      <c r="H4742" s="2" t="s">
        <v>1186</v>
      </c>
    </row>
    <row r="4743" customFormat="false" ht="15" hidden="false" customHeight="false" outlineLevel="1" collapsed="false">
      <c r="A4743" s="7" t="s">
        <v>642</v>
      </c>
      <c r="B4743" s="8" t="s">
        <v>71</v>
      </c>
      <c r="C4743" s="55" t="n">
        <f aca="false">IF(C4725&gt;0,C4742/C4725,0)</f>
        <v>0.0160992681553764</v>
      </c>
      <c r="D4743" s="55" t="n">
        <f aca="false">IF(D4725&gt;0,D4742/D4725,0)</f>
        <v>0.00900600487896431</v>
      </c>
      <c r="E4743" s="55" t="n">
        <f aca="false">IF(E4725&gt;0,E4742/E4725,0)</f>
        <v>0.00944933383374014</v>
      </c>
      <c r="F4743" s="55" t="n">
        <f aca="false">IF(F4725&gt;0,F4742/F4725,0)</f>
        <v>0.00989266278851584</v>
      </c>
      <c r="G4743" s="55" t="n">
        <f aca="false">IF(G4725&gt;0,G4742/G4725,0)</f>
        <v>0.00989266278851584</v>
      </c>
      <c r="H4743" s="2" t="s">
        <v>1187</v>
      </c>
    </row>
    <row r="4744" customFormat="false" ht="15" hidden="false" customHeight="false" outlineLevel="1" collapsed="false">
      <c r="A4744" s="7" t="s">
        <v>643</v>
      </c>
      <c r="B4744" s="8" t="s">
        <v>59</v>
      </c>
      <c r="C4744" s="60" t="n">
        <f aca="false">(C4723+C4726)*(C4729-Pressupostos!$C$70)/365+C4725*C4730/365</f>
        <v>0.306164383561644</v>
      </c>
      <c r="D4744" s="60" t="n">
        <f aca="false">(D4723+D4726)*(D4729-Pressupostos!$C$70)/365+D4725*D4730/365</f>
        <v>0.306164383561644</v>
      </c>
      <c r="E4744" s="60" t="n">
        <f aca="false">(E4723+E4726)*(E4729-Pressupostos!$C$70)/365+E4725*E4730/365</f>
        <v>0.306164383561644</v>
      </c>
      <c r="F4744" s="60" t="n">
        <f aca="false">(F4723+F4726)*(F4729-Pressupostos!$C$70)/365+F4725*F4730/365</f>
        <v>0.306164383561644</v>
      </c>
      <c r="G4744" s="60" t="n">
        <f aca="false">(G4723+G4726)*(G4729-Pressupostos!$C$70)/365+G4725*G4730/365</f>
        <v>0.306164383561644</v>
      </c>
      <c r="H4744" s="2" t="s">
        <v>1188</v>
      </c>
    </row>
    <row r="4745" customFormat="false" ht="15" hidden="false" customHeight="false" outlineLevel="0" collapsed="false">
      <c r="A4745" s="3" t="s">
        <v>1189</v>
      </c>
      <c r="B4745" s="4"/>
      <c r="C4745" s="4"/>
      <c r="D4745" s="4"/>
      <c r="E4745" s="4"/>
      <c r="F4745" s="4"/>
      <c r="G4745" s="4"/>
      <c r="H4745" s="4"/>
    </row>
    <row r="4746" customFormat="false" ht="15" hidden="false" customHeight="false" outlineLevel="1" collapsed="false">
      <c r="A4746" s="7" t="s">
        <v>575</v>
      </c>
      <c r="B4746" s="8" t="s">
        <v>10</v>
      </c>
      <c r="C4746" s="58" t="n">
        <f aca="false">C4661*1000*C4679</f>
        <v>57564</v>
      </c>
      <c r="D4746" s="58" t="n">
        <f aca="false">D4661*1000*D4679</f>
        <v>215865</v>
      </c>
      <c r="E4746" s="58" t="n">
        <f aca="false">E4661*1000*E4679</f>
        <v>575640</v>
      </c>
      <c r="F4746" s="58" t="n">
        <f aca="false">F4661*1000*F4679</f>
        <v>1007370</v>
      </c>
      <c r="G4746" s="58" t="n">
        <f aca="false">G4661*1000*G4679</f>
        <v>1439100</v>
      </c>
      <c r="H4746" s="2" t="s">
        <v>1190</v>
      </c>
    </row>
    <row r="4747" customFormat="false" ht="15" hidden="false" customHeight="false" outlineLevel="1" collapsed="false">
      <c r="A4747" s="7" t="s">
        <v>576</v>
      </c>
      <c r="B4747" s="8" t="s">
        <v>10</v>
      </c>
      <c r="C4747" s="58" t="n">
        <f aca="false">C4662*1000*C4702</f>
        <v>300820</v>
      </c>
      <c r="D4747" s="58" t="n">
        <f aca="false">D4662*1000*D4702</f>
        <v>2099955</v>
      </c>
      <c r="E4747" s="58" t="n">
        <f aca="false">E4662*1000*E4702</f>
        <v>4147845</v>
      </c>
      <c r="F4747" s="58" t="n">
        <f aca="false">F4662*1000*F4702</f>
        <v>6843655</v>
      </c>
      <c r="G4747" s="58" t="n">
        <f aca="false">G4662*1000*G4702</f>
        <v>10355150</v>
      </c>
      <c r="H4747" s="2" t="s">
        <v>1191</v>
      </c>
    </row>
    <row r="4748" customFormat="false" ht="15" hidden="false" customHeight="false" outlineLevel="1" collapsed="false">
      <c r="A4748" s="7" t="s">
        <v>577</v>
      </c>
      <c r="B4748" s="8" t="s">
        <v>10</v>
      </c>
      <c r="C4748" s="58" t="n">
        <f aca="false">C4663*1000*C4725</f>
        <v>0</v>
      </c>
      <c r="D4748" s="58" t="n">
        <f aca="false">D4663*1000*D4725</f>
        <v>2372500</v>
      </c>
      <c r="E4748" s="58" t="n">
        <f aca="false">E4663*1000*E4725</f>
        <v>7117500</v>
      </c>
      <c r="F4748" s="58" t="n">
        <f aca="false">F4663*1000*F4725</f>
        <v>11862500</v>
      </c>
      <c r="G4748" s="58" t="n">
        <f aca="false">G4663*1000*G4725</f>
        <v>16607500</v>
      </c>
      <c r="H4748" s="2" t="s">
        <v>1192</v>
      </c>
    </row>
    <row r="4749" customFormat="false" ht="15" hidden="false" customHeight="false" outlineLevel="1" collapsed="false">
      <c r="A4749" s="7" t="s">
        <v>578</v>
      </c>
      <c r="B4749" s="8" t="s">
        <v>10</v>
      </c>
      <c r="C4749" s="58" t="n">
        <f aca="false">C4746+C4747+C4748</f>
        <v>358384</v>
      </c>
      <c r="D4749" s="58" t="n">
        <f aca="false">D4746+D4747+D4748</f>
        <v>4688320</v>
      </c>
      <c r="E4749" s="58" t="n">
        <f aca="false">E4746+E4747+E4748</f>
        <v>11840985</v>
      </c>
      <c r="F4749" s="58" t="n">
        <f aca="false">F4746+F4747+F4748</f>
        <v>19713525</v>
      </c>
      <c r="G4749" s="58" t="n">
        <f aca="false">G4746+G4747+G4748</f>
        <v>28401750</v>
      </c>
      <c r="H4749" s="2" t="s">
        <v>1193</v>
      </c>
    </row>
    <row r="4750" customFormat="false" ht="15" hidden="false" customHeight="false" outlineLevel="1" collapsed="false">
      <c r="A4750" s="7" t="s">
        <v>579</v>
      </c>
      <c r="B4750" s="8" t="s">
        <v>10</v>
      </c>
      <c r="C4750" s="58" t="n">
        <f aca="false">C4672*1000*Pressupostos!$C$91</f>
        <v>0</v>
      </c>
      <c r="D4750" s="58" t="n">
        <f aca="false">D4672*1000*Pressupostos!$C$91</f>
        <v>0</v>
      </c>
      <c r="E4750" s="58" t="n">
        <f aca="false">E4672*1000*Pressupostos!$C$91</f>
        <v>0</v>
      </c>
      <c r="F4750" s="58" t="n">
        <f aca="false">F4672*1000*Pressupostos!$C$91</f>
        <v>204100</v>
      </c>
      <c r="G4750" s="58" t="n">
        <f aca="false">G4672*1000*Pressupostos!$C$91</f>
        <v>510250</v>
      </c>
      <c r="H4750" s="2" t="s">
        <v>1194</v>
      </c>
    </row>
    <row r="4751" customFormat="false" ht="15" hidden="false" customHeight="false" outlineLevel="1" collapsed="false">
      <c r="A4751" s="2" t="s">
        <v>580</v>
      </c>
      <c r="B4751" s="8" t="s">
        <v>10</v>
      </c>
      <c r="C4751" s="58" t="n">
        <f aca="false">C4670*Pressupostos!$C$78*(1-Pressupostos!$C$79)</f>
        <v>12636</v>
      </c>
      <c r="D4751" s="58" t="n">
        <f aca="false">D4670*Pressupostos!$C$78*(1-Pressupostos!$C$79)</f>
        <v>47385</v>
      </c>
      <c r="E4751" s="58" t="n">
        <f aca="false">E4670*Pressupostos!$C$78*(1-Pressupostos!$C$79)</f>
        <v>126360</v>
      </c>
      <c r="F4751" s="58" t="n">
        <f aca="false">F4670*Pressupostos!$C$78*(1-Pressupostos!$C$79)</f>
        <v>221130</v>
      </c>
      <c r="G4751" s="58" t="n">
        <f aca="false">G4670*Pressupostos!$C$78*(1-Pressupostos!$C$79)</f>
        <v>315900</v>
      </c>
      <c r="H4751" s="2" t="s">
        <v>1195</v>
      </c>
    </row>
    <row r="4752" customFormat="false" ht="15" hidden="false" customHeight="false" outlineLevel="1" collapsed="false">
      <c r="A4752" s="7" t="s">
        <v>581</v>
      </c>
      <c r="B4752" s="8" t="s">
        <v>10</v>
      </c>
      <c r="C4752" s="58" t="n">
        <f aca="false">C4751*Pressupostos!$F$27</f>
        <v>252.72</v>
      </c>
      <c r="D4752" s="58" t="n">
        <f aca="false">D4751*Pressupostos!$F$27</f>
        <v>947.7</v>
      </c>
      <c r="E4752" s="58" t="n">
        <f aca="false">E4751*Pressupostos!$F$27</f>
        <v>2527.2</v>
      </c>
      <c r="F4752" s="58" t="n">
        <f aca="false">F4751*Pressupostos!$F$27</f>
        <v>4422.6</v>
      </c>
      <c r="G4752" s="58" t="n">
        <f aca="false">G4751*Pressupostos!$F$27</f>
        <v>6318</v>
      </c>
      <c r="H4752" s="2" t="s">
        <v>1196</v>
      </c>
    </row>
    <row r="4753" customFormat="false" ht="15" hidden="false" customHeight="false" outlineLevel="1" collapsed="false">
      <c r="A4753" s="7" t="s">
        <v>582</v>
      </c>
      <c r="B4753" s="8" t="s">
        <v>10</v>
      </c>
      <c r="C4753" s="58" t="n">
        <f aca="false">C4674*(Pressupostos!$C$99*Pressupostos!$C$100+Pressupostos!$C$101)</f>
        <v>0</v>
      </c>
      <c r="D4753" s="58" t="n">
        <f aca="false">D4674*(Pressupostos!$C$99*Pressupostos!$C$100+Pressupostos!$C$101)</f>
        <v>10000</v>
      </c>
      <c r="E4753" s="58" t="n">
        <f aca="false">E4674*(Pressupostos!$C$99*Pressupostos!$C$100+Pressupostos!$C$101)</f>
        <v>30000</v>
      </c>
      <c r="F4753" s="58" t="n">
        <f aca="false">F4674*(Pressupostos!$C$99*Pressupostos!$C$100+Pressupostos!$C$101)</f>
        <v>60000</v>
      </c>
      <c r="G4753" s="58" t="n">
        <f aca="false">G4674*(Pressupostos!$C$99*Pressupostos!$C$100+Pressupostos!$C$101)</f>
        <v>100000</v>
      </c>
      <c r="H4753" s="2" t="s">
        <v>1197</v>
      </c>
    </row>
    <row r="4754" customFormat="false" ht="15" hidden="false" customHeight="false" outlineLevel="1" collapsed="false">
      <c r="A4754" s="7" t="s">
        <v>583</v>
      </c>
      <c r="B4754" s="8" t="s">
        <v>10</v>
      </c>
      <c r="C4754" s="50" t="n">
        <f aca="false">Pressupostos!$C$272</f>
        <v>0</v>
      </c>
      <c r="D4754" s="50" t="n">
        <f aca="false">Pressupostos!$D$272</f>
        <v>0</v>
      </c>
      <c r="E4754" s="50" t="n">
        <f aca="false">Pressupostos!$E$272</f>
        <v>0</v>
      </c>
      <c r="F4754" s="50" t="n">
        <f aca="false">Pressupostos!$F$272</f>
        <v>10000</v>
      </c>
      <c r="G4754" s="50" t="n">
        <f aca="false">Pressupostos!$G$272</f>
        <v>30000</v>
      </c>
      <c r="H4754" s="2" t="s">
        <v>1198</v>
      </c>
    </row>
    <row r="4755" customFormat="false" ht="15" hidden="false" customHeight="false" outlineLevel="1" collapsed="false">
      <c r="A4755" s="52" t="s">
        <v>584</v>
      </c>
      <c r="B4755" s="53" t="s">
        <v>10</v>
      </c>
      <c r="C4755" s="59" t="n">
        <f aca="false">C4749+C4750+C4752+C4753+C4754</f>
        <v>358636.72</v>
      </c>
      <c r="D4755" s="59" t="n">
        <f aca="false">D4749+D4750+D4752+D4753+D4754</f>
        <v>4699267.7</v>
      </c>
      <c r="E4755" s="59" t="n">
        <f aca="false">E4749+E4750+E4752+E4753+E4754</f>
        <v>11873512.2</v>
      </c>
      <c r="F4755" s="59" t="n">
        <f aca="false">F4749+F4750+F4752+F4753+F4754</f>
        <v>19992047.6</v>
      </c>
      <c r="G4755" s="59" t="n">
        <f aca="false">G4749+G4750+G4752+G4753+G4754</f>
        <v>29048318</v>
      </c>
      <c r="H4755" s="2" t="s">
        <v>1199</v>
      </c>
    </row>
    <row r="4756" customFormat="false" ht="15" hidden="false" customHeight="false" outlineLevel="0" collapsed="false">
      <c r="A4756" s="3" t="s">
        <v>1200</v>
      </c>
      <c r="B4756" s="4"/>
      <c r="C4756" s="4"/>
      <c r="D4756" s="4"/>
      <c r="E4756" s="4"/>
      <c r="F4756" s="4"/>
      <c r="G4756" s="4"/>
      <c r="H4756" s="4"/>
    </row>
    <row r="4757" customFormat="false" ht="15" hidden="false" customHeight="false" outlineLevel="1" collapsed="false">
      <c r="A4757" s="52" t="s">
        <v>586</v>
      </c>
      <c r="B4757" s="53" t="s">
        <v>10</v>
      </c>
      <c r="C4757" s="59" t="n">
        <f aca="false">C4749+C4750+C4751</f>
        <v>371020</v>
      </c>
      <c r="D4757" s="59" t="n">
        <f aca="false">D4749+D4750+D4751</f>
        <v>4735705</v>
      </c>
      <c r="E4757" s="59" t="n">
        <f aca="false">E4749+E4750+E4751</f>
        <v>11967345</v>
      </c>
      <c r="F4757" s="59" t="n">
        <f aca="false">F4749+F4750+F4751</f>
        <v>20138755</v>
      </c>
      <c r="G4757" s="59" t="n">
        <f aca="false">G4749+G4750+G4751</f>
        <v>29227900</v>
      </c>
      <c r="H4757" s="2" t="s">
        <v>1201</v>
      </c>
    </row>
    <row r="4758" customFormat="false" ht="15" hidden="false" customHeight="false" outlineLevel="1" collapsed="false">
      <c r="A4758" s="7" t="s">
        <v>587</v>
      </c>
      <c r="B4758" s="8" t="s">
        <v>10</v>
      </c>
      <c r="C4758" s="58" t="n">
        <f aca="false">C4661*1000*(C4677+C4680)+C4662*1000*(C4700+C4703)+C4663*1000*(C4723+C4726)+C4672*1000*Pressupostos!$C$90</f>
        <v>318552</v>
      </c>
      <c r="D4758" s="58" t="n">
        <f aca="false">D4661*1000*(D4677+D4680)+D4662*1000*(D4700+D4703)+D4663*1000*(D4723+D4726)+D4672*1000*Pressupostos!$C$90</f>
        <v>4354090</v>
      </c>
      <c r="E4758" s="58" t="n">
        <f aca="false">E4661*1000*(E4677+E4680)+E4662*1000*(E4700+E4703)+E4663*1000*(E4723+E4726)+E4672*1000*Pressupostos!$C$90</f>
        <v>11047725</v>
      </c>
      <c r="F4758" s="58" t="n">
        <f aca="false">F4661*1000*(F4677+F4680)+F4662*1000*(F4700+F4703)+F4663*1000*(F4723+F4726)+F4672*1000*Pressupostos!$C$90</f>
        <v>18569005</v>
      </c>
      <c r="G4758" s="58" t="n">
        <f aca="false">G4661*1000*(G4677+G4680)+G4662*1000*(G4700+G4703)+G4663*1000*(G4723+G4726)+G4672*1000*Pressupostos!$C$90</f>
        <v>26923650</v>
      </c>
      <c r="H4758" s="2" t="s">
        <v>1202</v>
      </c>
    </row>
    <row r="4759" customFormat="false" ht="15" hidden="false" customHeight="false" outlineLevel="1" collapsed="false">
      <c r="A4759" s="7" t="s">
        <v>588</v>
      </c>
      <c r="B4759" s="8" t="s">
        <v>10</v>
      </c>
      <c r="C4759" s="58" t="n">
        <f aca="false">C4758*Pressupostos!$C$279</f>
        <v>0</v>
      </c>
      <c r="D4759" s="58" t="n">
        <f aca="false">D4758*Pressupostos!$D$279</f>
        <v>3918681</v>
      </c>
      <c r="E4759" s="58" t="n">
        <f aca="false">E4758*Pressupostos!$E$279</f>
        <v>9942952.5</v>
      </c>
      <c r="F4759" s="58" t="n">
        <f aca="false">F4758*Pressupostos!$F$279</f>
        <v>16712104.5</v>
      </c>
      <c r="G4759" s="58" t="n">
        <f aca="false">G4758*Pressupostos!$G$279</f>
        <v>24231285</v>
      </c>
      <c r="H4759" s="2" t="s">
        <v>1203</v>
      </c>
    </row>
    <row r="4760" customFormat="false" ht="15" hidden="false" customHeight="false" outlineLevel="0" collapsed="false">
      <c r="A4760" s="3" t="s">
        <v>1204</v>
      </c>
      <c r="B4760" s="4"/>
      <c r="C4760" s="4"/>
      <c r="D4760" s="4"/>
      <c r="E4760" s="4"/>
      <c r="F4760" s="4"/>
      <c r="G4760" s="4"/>
      <c r="H4760" s="4"/>
    </row>
    <row r="4761" customFormat="false" ht="15" hidden="false" customHeight="false" outlineLevel="1" collapsed="false">
      <c r="A4761" s="7" t="s">
        <v>590</v>
      </c>
      <c r="B4761" s="8" t="s">
        <v>10</v>
      </c>
      <c r="C4761" s="58" t="n">
        <f aca="false">C4661*1000*C4696</f>
        <v>6435.97500000002</v>
      </c>
      <c r="D4761" s="58" t="n">
        <f aca="false">D4661*1000*D4696</f>
        <v>16476.1343321918</v>
      </c>
      <c r="E4761" s="58" t="n">
        <f aca="false">E4661*1000*E4696</f>
        <v>64962.6241095891</v>
      </c>
      <c r="F4761" s="58" t="n">
        <f aca="false">F4661*1000*F4696</f>
        <v>116153.824212329</v>
      </c>
      <c r="G4761" s="58" t="n">
        <f aca="false">G4661*1000*G4696</f>
        <v>165934.034589041</v>
      </c>
      <c r="H4761" s="2" t="s">
        <v>1205</v>
      </c>
    </row>
    <row r="4762" customFormat="false" ht="15" hidden="false" customHeight="false" outlineLevel="1" collapsed="false">
      <c r="A4762" s="7" t="s">
        <v>591</v>
      </c>
      <c r="B4762" s="8" t="s">
        <v>10</v>
      </c>
      <c r="C4762" s="58" t="n">
        <f aca="false">C4662*1000*C4719</f>
        <v>13253.5356164384</v>
      </c>
      <c r="D4762" s="58" t="n">
        <f aca="false">D4662*1000*D4719</f>
        <v>66600.9277397264</v>
      </c>
      <c r="E4762" s="58" t="n">
        <f aca="false">E4662*1000*E4719</f>
        <v>144071.297388699</v>
      </c>
      <c r="F4762" s="58" t="n">
        <f aca="false">F4662*1000*F4719</f>
        <v>242986.883304795</v>
      </c>
      <c r="G4762" s="58" t="n">
        <f aca="false">G4662*1000*G4719</f>
        <v>367664.00770548</v>
      </c>
      <c r="H4762" s="2" t="s">
        <v>1206</v>
      </c>
    </row>
    <row r="4763" customFormat="false" ht="15" hidden="false" customHeight="false" outlineLevel="1" collapsed="false">
      <c r="A4763" s="7" t="s">
        <v>592</v>
      </c>
      <c r="B4763" s="8" t="s">
        <v>10</v>
      </c>
      <c r="C4763" s="58" t="n">
        <f aca="false">C4663*1000*C4742</f>
        <v>0</v>
      </c>
      <c r="D4763" s="58" t="n">
        <f aca="false">D4663*1000*D4742</f>
        <v>21366.7465753428</v>
      </c>
      <c r="E4763" s="58" t="n">
        <f aca="false">E4663*1000*E4742</f>
        <v>67255.6335616454</v>
      </c>
      <c r="F4763" s="58" t="n">
        <f aca="false">F4663*1000*F4742</f>
        <v>117351.712328769</v>
      </c>
      <c r="G4763" s="58" t="n">
        <f aca="false">G4663*1000*G4742</f>
        <v>164292.397260277</v>
      </c>
      <c r="H4763" s="2" t="s">
        <v>1207</v>
      </c>
    </row>
    <row r="4764" customFormat="false" ht="15" hidden="false" customHeight="false" outlineLevel="1" collapsed="false">
      <c r="A4764" s="7" t="s">
        <v>593</v>
      </c>
      <c r="B4764" s="8" t="s">
        <v>10</v>
      </c>
      <c r="C4764" s="58" t="n">
        <f aca="false">C4761+C4762+C4763</f>
        <v>19689.5106164384</v>
      </c>
      <c r="D4764" s="58" t="n">
        <f aca="false">D4761+D4762+D4763</f>
        <v>104443.808647261</v>
      </c>
      <c r="E4764" s="58" t="n">
        <f aca="false">E4761+E4762+E4763</f>
        <v>276289.555059933</v>
      </c>
      <c r="F4764" s="58" t="n">
        <f aca="false">F4761+F4762+F4763</f>
        <v>476492.419845893</v>
      </c>
      <c r="G4764" s="58" t="n">
        <f aca="false">G4761+G4762+G4763</f>
        <v>697890.439554798</v>
      </c>
      <c r="H4764" s="2" t="s">
        <v>1208</v>
      </c>
    </row>
    <row r="4765" customFormat="false" ht="15" hidden="false" customHeight="false" outlineLevel="1" collapsed="false">
      <c r="A4765" s="7" t="s">
        <v>594</v>
      </c>
      <c r="B4765" s="8" t="s">
        <v>59</v>
      </c>
      <c r="C4765" s="60" t="n">
        <f aca="false">IF(C4664&gt;0,C4764/(C4664*1000),0)</f>
        <v>0.251590986665454</v>
      </c>
      <c r="D4765" s="60" t="n">
        <f aca="false">IF(D4664&gt;0,D4764/(D4664*1000),0)</f>
        <v>0.0898924657534253</v>
      </c>
      <c r="E4765" s="60" t="n">
        <f aca="false">IF(E4664&gt;0,E4764/(E4664*1000),0)</f>
        <v>0.0924447268243495</v>
      </c>
      <c r="F4765" s="60" t="n">
        <f aca="false">IF(F4664&gt;0,F4764/(F4664*1000),0)</f>
        <v>0.095787960447063</v>
      </c>
      <c r="G4765" s="60" t="n">
        <f aca="false">IF(G4664&gt;0,G4764/(G4664*1000),0)</f>
        <v>0.0976958689094698</v>
      </c>
      <c r="H4765" s="2" t="s">
        <v>1209</v>
      </c>
    </row>
    <row r="4766" customFormat="false" ht="15" hidden="false" customHeight="false" outlineLevel="1" collapsed="false">
      <c r="A4766" s="7" t="s">
        <v>595</v>
      </c>
      <c r="B4766" s="8" t="s">
        <v>71</v>
      </c>
      <c r="C4766" s="55" t="n">
        <f aca="false">IF(C4749&gt;0,C4764/C4749,0)</f>
        <v>0.0549397032692263</v>
      </c>
      <c r="D4766" s="55" t="n">
        <f aca="false">IF(D4749&gt;0,D4764/D4749,0)</f>
        <v>0.0222774487763764</v>
      </c>
      <c r="E4766" s="55" t="n">
        <f aca="false">IF(E4749&gt;0,E4764/E4749,0)</f>
        <v>0.0233333253154137</v>
      </c>
      <c r="F4766" s="55" t="n">
        <f aca="false">IF(F4749&gt;0,F4764/F4749,0)</f>
        <v>0.0241708380335781</v>
      </c>
      <c r="G4766" s="55" t="n">
        <f aca="false">IF(G4749&gt;0,G4764/G4749,0)</f>
        <v>0.0245720929011345</v>
      </c>
      <c r="H4766" s="2" t="s">
        <v>1210</v>
      </c>
    </row>
    <row r="4767" customFormat="false" ht="15" hidden="false" customHeight="false" outlineLevel="1" collapsed="false">
      <c r="A4767" s="2" t="s">
        <v>596</v>
      </c>
      <c r="B4767" s="8" t="s">
        <v>59</v>
      </c>
      <c r="C4767" s="60" t="n">
        <f aca="false">Pressupostos!$C$285*Pressupostos!$C$90*(Pressupostos!$C$93+Pressupostos!$C$94-Pressupostos!$C$95)/365*Pressupostos!$C$279/Pressupostos!$F$31</f>
        <v>0</v>
      </c>
      <c r="D4767" s="60" t="n">
        <f aca="false">Pressupostos!$D$285*Pressupostos!$C$90*(Pressupostos!$C$93+Pressupostos!$C$94-Pressupostos!$C$95)/365*Pressupostos!$D$279/Pressupostos!$F$31</f>
        <v>0.0776712328767123</v>
      </c>
      <c r="E4767" s="60" t="n">
        <f aca="false">Pressupostos!$E$285*Pressupostos!$C$90*(Pressupostos!$C$93+Pressupostos!$C$94-Pressupostos!$C$95)/365*Pressupostos!$E$279/Pressupostos!$F$31</f>
        <v>0.0728167808219178</v>
      </c>
      <c r="F4767" s="60" t="n">
        <f aca="false">Pressupostos!$F$285*Pressupostos!$C$90*(Pressupostos!$C$93+Pressupostos!$C$94-Pressupostos!$C$95)/365*Pressupostos!$F$279/Pressupostos!$F$31</f>
        <v>0.0679623287671233</v>
      </c>
      <c r="G4767" s="60" t="n">
        <f aca="false">Pressupostos!$G$285*Pressupostos!$C$90*(Pressupostos!$C$93+Pressupostos!$C$94-Pressupostos!$C$95)/365*Pressupostos!$G$279/Pressupostos!$F$31</f>
        <v>0.0679623287671233</v>
      </c>
      <c r="H4767" s="2" t="s">
        <v>1211</v>
      </c>
    </row>
    <row r="4768" customFormat="false" ht="15" hidden="false" customHeight="false" outlineLevel="1" collapsed="false">
      <c r="A4768" s="7" t="s">
        <v>567</v>
      </c>
      <c r="B4768" s="8" t="s">
        <v>10</v>
      </c>
      <c r="C4768" s="58" t="n">
        <f aca="false">C4672*1000*(Pressupostos!$C$91-Pressupostos!$C$90-Pressupostos!$C$92-C4767-Pressupostos!$C$96*Pressupostos!$C$91-Pressupostos!$C$97-Pressupostos!$F$29*Pressupostos!$C$90)</f>
        <v>0</v>
      </c>
      <c r="D4768" s="58" t="n">
        <f aca="false">D4672*1000*(Pressupostos!$C$91-Pressupostos!$C$90-Pressupostos!$C$92-D4767-Pressupostos!$C$96*Pressupostos!$C$91-Pressupostos!$C$97-Pressupostos!$F$29*Pressupostos!$C$90)</f>
        <v>0</v>
      </c>
      <c r="E4768" s="58" t="n">
        <f aca="false">E4672*1000*(Pressupostos!$C$91-Pressupostos!$C$90-Pressupostos!$C$92-E4767-Pressupostos!$C$96*Pressupostos!$C$91-Pressupostos!$C$97-Pressupostos!$F$29*Pressupostos!$C$90)</f>
        <v>0</v>
      </c>
      <c r="F4768" s="58" t="n">
        <f aca="false">F4672*1000*(Pressupostos!$C$91-Pressupostos!$C$90-Pressupostos!$C$92-F4767-Pressupostos!$C$96*Pressupostos!$C$91-Pressupostos!$C$97-Pressupostos!$F$29*Pressupostos!$C$90)</f>
        <v>13882.3794520548</v>
      </c>
      <c r="G4768" s="58" t="n">
        <f aca="false">G4672*1000*(Pressupostos!$C$91-Pressupostos!$C$90-Pressupostos!$C$92-G4767-Pressupostos!$C$96*Pressupostos!$C$91-Pressupostos!$C$97-Pressupostos!$F$29*Pressupostos!$C$90)</f>
        <v>34705.948630137</v>
      </c>
      <c r="H4768" s="2" t="s">
        <v>1212</v>
      </c>
    </row>
    <row r="4769" customFormat="false" ht="15" hidden="false" customHeight="false" outlineLevel="1" collapsed="false">
      <c r="A4769" s="7" t="s">
        <v>597</v>
      </c>
      <c r="B4769" s="8" t="s">
        <v>10</v>
      </c>
      <c r="C4769" s="58" t="n">
        <f aca="false">C4752</f>
        <v>252.72</v>
      </c>
      <c r="D4769" s="58" t="n">
        <f aca="false">D4752</f>
        <v>947.7</v>
      </c>
      <c r="E4769" s="58" t="n">
        <f aca="false">E4752</f>
        <v>2527.2</v>
      </c>
      <c r="F4769" s="58" t="n">
        <f aca="false">F4752</f>
        <v>4422.6</v>
      </c>
      <c r="G4769" s="58" t="n">
        <f aca="false">G4752</f>
        <v>6318</v>
      </c>
      <c r="H4769" s="2" t="s">
        <v>1213</v>
      </c>
    </row>
    <row r="4770" customFormat="false" ht="15" hidden="false" customHeight="false" outlineLevel="1" collapsed="false">
      <c r="A4770" s="7" t="s">
        <v>598</v>
      </c>
      <c r="B4770" s="8" t="s">
        <v>10</v>
      </c>
      <c r="C4770" s="58" t="n">
        <f aca="false">C4753-C4785</f>
        <v>0</v>
      </c>
      <c r="D4770" s="58" t="n">
        <f aca="false">D4753-D4785</f>
        <v>10000</v>
      </c>
      <c r="E4770" s="58" t="n">
        <f aca="false">E4753-E4785</f>
        <v>30000</v>
      </c>
      <c r="F4770" s="58" t="n">
        <f aca="false">F4753-F4785</f>
        <v>60000</v>
      </c>
      <c r="G4770" s="58" t="n">
        <f aca="false">G4753-G4785</f>
        <v>100000</v>
      </c>
      <c r="H4770" s="2" t="s">
        <v>1214</v>
      </c>
    </row>
    <row r="4771" customFormat="false" ht="15" hidden="false" customHeight="false" outlineLevel="1" collapsed="false">
      <c r="A4771" s="7" t="s">
        <v>583</v>
      </c>
      <c r="B4771" s="8" t="s">
        <v>10</v>
      </c>
      <c r="C4771" s="58" t="n">
        <f aca="false">C4754</f>
        <v>0</v>
      </c>
      <c r="D4771" s="58" t="n">
        <f aca="false">D4754</f>
        <v>0</v>
      </c>
      <c r="E4771" s="58" t="n">
        <f aca="false">E4754</f>
        <v>0</v>
      </c>
      <c r="F4771" s="58" t="n">
        <f aca="false">F4754</f>
        <v>10000</v>
      </c>
      <c r="G4771" s="58" t="n">
        <f aca="false">G4754</f>
        <v>30000</v>
      </c>
      <c r="H4771" s="2" t="s">
        <v>1215</v>
      </c>
    </row>
    <row r="4772" customFormat="false" ht="15" hidden="false" customHeight="false" outlineLevel="1" collapsed="false">
      <c r="A4772" s="52" t="s">
        <v>599</v>
      </c>
      <c r="B4772" s="53" t="s">
        <v>10</v>
      </c>
      <c r="C4772" s="59" t="n">
        <f aca="false">C4764+C4768+C4769+C4770+C4771</f>
        <v>19942.2306164384</v>
      </c>
      <c r="D4772" s="59" t="n">
        <f aca="false">D4764+D4768+D4769+D4770+D4771</f>
        <v>115391.508647261</v>
      </c>
      <c r="E4772" s="59" t="n">
        <f aca="false">E4764+E4768+E4769+E4770+E4771</f>
        <v>308816.755059933</v>
      </c>
      <c r="F4772" s="59" t="n">
        <f aca="false">F4764+F4768+F4769+F4770+F4771</f>
        <v>564797.399297948</v>
      </c>
      <c r="G4772" s="59" t="n">
        <f aca="false">G4764+G4768+G4769+G4770+G4771</f>
        <v>868914.388184935</v>
      </c>
      <c r="H4772" s="2" t="s">
        <v>1216</v>
      </c>
    </row>
    <row r="4773" customFormat="false" ht="15" hidden="false" customHeight="false" outlineLevel="0" collapsed="false">
      <c r="A4773" s="3" t="s">
        <v>1217</v>
      </c>
      <c r="B4773" s="4"/>
      <c r="C4773" s="4"/>
      <c r="D4773" s="4"/>
      <c r="E4773" s="4"/>
      <c r="F4773" s="4"/>
      <c r="G4773" s="4"/>
      <c r="H4773" s="4"/>
    </row>
    <row r="4774" customFormat="false" ht="15" hidden="false" customHeight="false" outlineLevel="1" collapsed="false">
      <c r="A4774" s="7" t="s">
        <v>647</v>
      </c>
      <c r="B4774" s="8" t="s">
        <v>10</v>
      </c>
      <c r="C4774" s="58" t="n">
        <f aca="false">C4661*1000*(C4677+C4680)+C4662*1000*(C4700+C4703)+C4663*1000*(C4723+C4726)</f>
        <v>318552</v>
      </c>
      <c r="D4774" s="58" t="n">
        <f aca="false">D4661*1000*(D4677+D4680)+D4662*1000*(D4700+D4703)+D4663*1000*(D4723+D4726)</f>
        <v>4354090</v>
      </c>
      <c r="E4774" s="58" t="n">
        <f aca="false">E4661*1000*(E4677+E4680)+E4662*1000*(E4700+E4703)+E4663*1000*(E4723+E4726)</f>
        <v>11047725</v>
      </c>
      <c r="F4774" s="58" t="n">
        <f aca="false">F4661*1000*(F4677+F4680)+F4662*1000*(F4700+F4703)+F4663*1000*(F4723+F4726)</f>
        <v>18387005</v>
      </c>
      <c r="G4774" s="58" t="n">
        <f aca="false">G4661*1000*(G4677+G4680)+G4662*1000*(G4700+G4703)+G4663*1000*(G4723+G4726)</f>
        <v>26468650</v>
      </c>
      <c r="H4774" s="2" t="s">
        <v>1218</v>
      </c>
    </row>
    <row r="4775" customFormat="false" ht="15" hidden="false" customHeight="false" outlineLevel="1" collapsed="false">
      <c r="A4775" s="7" t="s">
        <v>648</v>
      </c>
      <c r="B4775" s="8" t="s">
        <v>10</v>
      </c>
      <c r="C4775" s="58" t="n">
        <f aca="false">C4672*1000*Pressupostos!$C$90</f>
        <v>0</v>
      </c>
      <c r="D4775" s="58" t="n">
        <f aca="false">D4672*1000*Pressupostos!$C$90</f>
        <v>0</v>
      </c>
      <c r="E4775" s="58" t="n">
        <f aca="false">E4672*1000*Pressupostos!$C$90</f>
        <v>0</v>
      </c>
      <c r="F4775" s="58" t="n">
        <f aca="false">F4672*1000*Pressupostos!$C$90</f>
        <v>182000</v>
      </c>
      <c r="G4775" s="58" t="n">
        <f aca="false">G4672*1000*Pressupostos!$C$90</f>
        <v>455000</v>
      </c>
      <c r="H4775" s="2" t="s">
        <v>1219</v>
      </c>
    </row>
    <row r="4776" customFormat="false" ht="15" hidden="false" customHeight="false" outlineLevel="1" collapsed="false">
      <c r="A4776" s="7" t="s">
        <v>649</v>
      </c>
      <c r="B4776" s="8" t="s">
        <v>10</v>
      </c>
      <c r="C4776" s="58" t="n">
        <f aca="false">C4774+C4775</f>
        <v>318552</v>
      </c>
      <c r="D4776" s="58" t="n">
        <f aca="false">D4774+D4775</f>
        <v>4354090</v>
      </c>
      <c r="E4776" s="58" t="n">
        <f aca="false">E4774+E4775</f>
        <v>11047725</v>
      </c>
      <c r="F4776" s="58" t="n">
        <f aca="false">F4774+F4775</f>
        <v>18569005</v>
      </c>
      <c r="G4776" s="58" t="n">
        <f aca="false">G4774+G4775</f>
        <v>26923650</v>
      </c>
      <c r="H4776" s="2" t="s">
        <v>1220</v>
      </c>
    </row>
    <row r="4777" customFormat="false" ht="15" hidden="false" customHeight="false" outlineLevel="1" collapsed="false">
      <c r="A4777" s="7" t="s">
        <v>205</v>
      </c>
      <c r="B4777" s="8" t="s">
        <v>10</v>
      </c>
      <c r="C4777" s="58" t="n">
        <f aca="false">C4661*1000*(C4681)+C4662*1000*(C4704)+C4663*1000*(C4727)+C4672*1000*Pressupostos!$C$92</f>
        <v>9958</v>
      </c>
      <c r="D4777" s="58" t="n">
        <f aca="false">D4661*1000*(D4681)+D4662*1000*(D4704)+D4663*1000*(D4727)+D4672*1000*Pressupostos!$C$92</f>
        <v>85182.5</v>
      </c>
      <c r="E4777" s="58" t="n">
        <f aca="false">E4661*1000*(E4681)+E4662*1000*(E4704)+E4663*1000*(E4727)+E4672*1000*Pressupostos!$C$92</f>
        <v>191737</v>
      </c>
      <c r="F4777" s="58" t="n">
        <f aca="false">F4661*1000*(F4681)+F4662*1000*(F4704)+F4663*1000*(F4727)+F4672*1000*Pressupostos!$C$92</f>
        <v>322679.5</v>
      </c>
      <c r="G4777" s="58" t="n">
        <f aca="false">G4661*1000*(G4681)+G4662*1000*(G4704)+G4663*1000*(G4727)+G4672*1000*Pressupostos!$C$92</f>
        <v>473135</v>
      </c>
      <c r="H4777" s="2" t="s">
        <v>1221</v>
      </c>
    </row>
    <row r="4778" customFormat="false" ht="15" hidden="false" customHeight="false" outlineLevel="1" collapsed="false">
      <c r="A4778" s="7" t="s">
        <v>109</v>
      </c>
      <c r="B4778" s="8" t="s">
        <v>10</v>
      </c>
      <c r="C4778" s="58" t="n">
        <f aca="false">C4661*1000*(C4682)+C4662*1000*(C4705)+C4663*1000*(C4728)</f>
        <v>639.6</v>
      </c>
      <c r="D4778" s="58" t="n">
        <f aca="false">D4661*1000*(D4682)+D4662*1000*(D4705)+D4663*1000*(D4728)</f>
        <v>2398.5</v>
      </c>
      <c r="E4778" s="58" t="n">
        <f aca="false">E4661*1000*(E4682)+E4662*1000*(E4705)+E4663*1000*(E4728)</f>
        <v>6396</v>
      </c>
      <c r="F4778" s="58" t="n">
        <f aca="false">F4661*1000*(F4682)+F4662*1000*(F4705)+F4663*1000*(F4728)</f>
        <v>11193</v>
      </c>
      <c r="G4778" s="58" t="n">
        <f aca="false">G4661*1000*(G4682)+G4662*1000*(G4705)+G4663*1000*(G4728)</f>
        <v>15990</v>
      </c>
      <c r="H4778" s="2" t="s">
        <v>1222</v>
      </c>
    </row>
    <row r="4779" customFormat="false" ht="15" hidden="false" customHeight="false" outlineLevel="1" collapsed="false">
      <c r="A4779" s="7" t="s">
        <v>650</v>
      </c>
      <c r="B4779" s="8" t="s">
        <v>10</v>
      </c>
      <c r="C4779" s="58" t="n">
        <f aca="false">C4661*1000*(C4685+C4686)+C4662*1000*(C4708+C4709)+C4663*1000*(C4731+C4732)</f>
        <v>604.620383561644</v>
      </c>
      <c r="D4779" s="58" t="n">
        <f aca="false">D4661*1000*(D4685+D4686)+D4662*1000*(D4708+D4709)+D4663*1000*(D4731+D4732)</f>
        <v>4757.15767123288</v>
      </c>
      <c r="E4779" s="58" t="n">
        <f aca="false">E4661*1000*(E4685+E4686)+E4662*1000*(E4708+E4709)+E4663*1000*(E4731+E4732)</f>
        <v>9476.49780821918</v>
      </c>
      <c r="F4779" s="58" t="n">
        <f aca="false">F4661*1000*(F4685+F4686)+F4662*1000*(F4708+F4709)+F4663*1000*(F4731+F4732)</f>
        <v>15783.8262328767</v>
      </c>
      <c r="G4779" s="58" t="n">
        <f aca="false">G4661*1000*(G4685+G4686)+G4662*1000*(G4708+G4709)+G4663*1000*(G4731+G4732)</f>
        <v>22932.8280821918</v>
      </c>
      <c r="H4779" s="2" t="s">
        <v>1223</v>
      </c>
    </row>
    <row r="4780" customFormat="false" ht="15" hidden="false" customHeight="false" outlineLevel="1" collapsed="false">
      <c r="A4780" s="7" t="s">
        <v>651</v>
      </c>
      <c r="B4780" s="8" t="s">
        <v>10</v>
      </c>
      <c r="C4780" s="58" t="n">
        <f aca="false">C4661*1000*(C4687+C4688+C4689)+C4662*1000*(C4710+C4711+C4712)+C4663*1000*(C4733+C4734+C4735)</f>
        <v>3477.825</v>
      </c>
      <c r="D4780" s="58" t="n">
        <f aca="false">D4661*1000*(D4687+D4688+D4689)+D4662*1000*(D4710+D4711+D4712)+D4663*1000*(D4733+D4734+D4735)</f>
        <v>38246.24375</v>
      </c>
      <c r="E4780" s="58" t="n">
        <f aca="false">E4661*1000*(E4687+E4688+E4689)+E4662*1000*(E4710+E4711+E4712)+E4663*1000*(E4733+E4734+E4735)</f>
        <v>92589.25</v>
      </c>
      <c r="F4780" s="58" t="n">
        <f aca="false">F4661*1000*(F4687+F4688+F4689)+F4662*1000*(F4710+F4711+F4712)+F4663*1000*(F4733+F4734+F4735)</f>
        <v>154144.4125</v>
      </c>
      <c r="G4780" s="58" t="n">
        <f aca="false">G4661*1000*(G4687+G4688+G4689)+G4662*1000*(G4710+G4711+G4712)+G4663*1000*(G4733+G4734+G4735)</f>
        <v>223214.875</v>
      </c>
      <c r="H4780" s="2" t="s">
        <v>1224</v>
      </c>
    </row>
    <row r="4781" customFormat="false" ht="15" hidden="false" customHeight="false" outlineLevel="1" collapsed="false">
      <c r="A4781" s="7" t="s">
        <v>637</v>
      </c>
      <c r="B4781" s="8" t="s">
        <v>10</v>
      </c>
      <c r="C4781" s="58" t="n">
        <f aca="false">C4661*1000*(C4690)+C4662*1000*(C4713)+C4663*1000*(C4736)</f>
        <v>3770</v>
      </c>
      <c r="D4781" s="58" t="n">
        <f aca="false">D4661*1000*(D4690)+D4662*1000*(D4713)+D4663*1000*(D4736)</f>
        <v>30673.5</v>
      </c>
      <c r="E4781" s="58" t="n">
        <f aca="false">E4661*1000*(E4690)+E4662*1000*(E4713)+E4663*1000*(E4736)</f>
        <v>71344</v>
      </c>
      <c r="F4781" s="58" t="n">
        <f aca="false">F4661*1000*(F4690)+F4662*1000*(F4713)+F4663*1000*(F4736)</f>
        <v>119171</v>
      </c>
      <c r="G4781" s="58" t="n">
        <f aca="false">G4661*1000*(G4690)+G4662*1000*(G4713)+G4663*1000*(G4736)</f>
        <v>174330</v>
      </c>
      <c r="H4781" s="2" t="s">
        <v>1225</v>
      </c>
    </row>
    <row r="4782" customFormat="false" ht="15" hidden="false" customHeight="false" outlineLevel="1" collapsed="false">
      <c r="A4782" s="7" t="s">
        <v>652</v>
      </c>
      <c r="B4782" s="8" t="s">
        <v>10</v>
      </c>
      <c r="C4782" s="58" t="n">
        <f aca="false">C4661*1000*(C4691)+C4662*1000*(C4714)+C4663*1000*(C4737)+C4672*1000*Pressupostos!$C$97</f>
        <v>444.6</v>
      </c>
      <c r="D4782" s="58" t="n">
        <f aca="false">D4661*1000*(D4691)+D4662*1000*(D4714)+D4663*1000*(D4737)+D4672*1000*Pressupostos!$C$97</f>
        <v>3409.25</v>
      </c>
      <c r="E4782" s="58" t="n">
        <f aca="false">E4661*1000*(E4691)+E4662*1000*(E4714)+E4663*1000*(E4737)+E4672*1000*Pressupostos!$C$97</f>
        <v>7676.5</v>
      </c>
      <c r="F4782" s="58" t="n">
        <f aca="false">F4661*1000*(F4691)+F4662*1000*(F4714)+F4663*1000*(F4737)+F4672*1000*Pressupostos!$C$97</f>
        <v>13585</v>
      </c>
      <c r="G4782" s="58" t="n">
        <f aca="false">G4661*1000*(G4691)+G4662*1000*(G4714)+G4663*1000*(G4737)+G4672*1000*Pressupostos!$C$97</f>
        <v>20800</v>
      </c>
      <c r="H4782" s="2" t="s">
        <v>1226</v>
      </c>
    </row>
    <row r="4783" customFormat="false" ht="15" hidden="false" customHeight="false" outlineLevel="1" collapsed="false">
      <c r="A4783" s="7" t="s">
        <v>76</v>
      </c>
      <c r="B4783" s="8" t="s">
        <v>10</v>
      </c>
      <c r="C4783" s="58" t="n">
        <f aca="false">C4661*1000*(C4692)+C4662*1000*(C4715)+C4663*1000*(C4738)+C4672*1000*Pressupostos!$C$96*Pressupostos!$C$91</f>
        <v>1247.844</v>
      </c>
      <c r="D4783" s="58" t="n">
        <f aca="false">D4661*1000*(D4692)+D4662*1000*(D4715)+D4663*1000*(D4738)+D4672*1000*Pressupostos!$C$96*Pressupostos!$C$91</f>
        <v>14712.555</v>
      </c>
      <c r="E4783" s="58" t="n">
        <f aca="false">E4661*1000*(E4692)+E4662*1000*(E4715)+E4663*1000*(E4738)+E4672*1000*Pressupostos!$C$96*Pressupostos!$C$91</f>
        <v>37249.875</v>
      </c>
      <c r="F4783" s="58" t="n">
        <f aca="false">F4661*1000*(F4692)+F4662*1000*(F4715)+F4663*1000*(F4738)+F4672*1000*Pressupostos!$C$96*Pressupostos!$C$91</f>
        <v>63387.285</v>
      </c>
      <c r="G4783" s="58" t="n">
        <f aca="false">G4661*1000*(G4692)+G4662*1000*(G4715)+G4663*1000*(G4738)+G4672*1000*Pressupostos!$C$96*Pressupostos!$C$91</f>
        <v>92584.05</v>
      </c>
      <c r="H4783" s="2" t="s">
        <v>1227</v>
      </c>
    </row>
    <row r="4784" customFormat="false" ht="15" hidden="false" customHeight="false" outlineLevel="1" collapsed="false">
      <c r="A4784" s="7" t="s">
        <v>653</v>
      </c>
      <c r="B4784" s="8" t="s">
        <v>10</v>
      </c>
      <c r="C4784" s="58" t="n">
        <f aca="false">C4661*1000*(C4693)+C4662*1000*(C4716)+C4663*1000*(C4739)+C4672*1000*Pressupostos!$F$29*Pressupostos!$C$90</f>
        <v>0</v>
      </c>
      <c r="D4784" s="58" t="n">
        <f aca="false">D4661*1000*(D4693)+D4662*1000*(D4716)+D4663*1000*(D4739)+D4672*1000*Pressupostos!$F$29*Pressupostos!$C$90</f>
        <v>0</v>
      </c>
      <c r="E4784" s="58" t="n">
        <f aca="false">E4661*1000*(E4693)+E4662*1000*(E4716)+E4663*1000*(E4739)+E4672*1000*Pressupostos!$F$29*Pressupostos!$C$90</f>
        <v>0</v>
      </c>
      <c r="F4784" s="58" t="n">
        <f aca="false">F4661*1000*(F4693)+F4662*1000*(F4716)+F4663*1000*(F4739)+F4672*1000*Pressupostos!$F$29*Pressupostos!$C$90</f>
        <v>546</v>
      </c>
      <c r="G4784" s="58" t="n">
        <f aca="false">G4661*1000*(G4693)+G4662*1000*(G4716)+G4663*1000*(G4739)+G4672*1000*Pressupostos!$F$29*Pressupostos!$C$90</f>
        <v>1365</v>
      </c>
      <c r="H4784" s="2" t="s">
        <v>1228</v>
      </c>
    </row>
    <row r="4785" customFormat="false" ht="15" hidden="false" customHeight="false" outlineLevel="1" collapsed="false">
      <c r="A4785" s="7" t="s">
        <v>654</v>
      </c>
      <c r="B4785" s="8" t="s">
        <v>10</v>
      </c>
      <c r="C4785" s="58" t="n">
        <f aca="false">C4675*1000*Pressupostos!$C$102*Pressupostos!$F$30</f>
        <v>0</v>
      </c>
      <c r="D4785" s="58" t="n">
        <f aca="false">D4675*1000*Pressupostos!$C$102*Pressupostos!$F$30</f>
        <v>0</v>
      </c>
      <c r="E4785" s="58" t="n">
        <f aca="false">E4675*1000*Pressupostos!$C$102*Pressupostos!$F$30</f>
        <v>0</v>
      </c>
      <c r="F4785" s="58" t="n">
        <f aca="false">F4675*1000*Pressupostos!$C$102*Pressupostos!$F$30</f>
        <v>0</v>
      </c>
      <c r="G4785" s="58" t="n">
        <f aca="false">G4675*1000*Pressupostos!$C$102*Pressupostos!$F$30</f>
        <v>0</v>
      </c>
      <c r="H4785" s="2" t="s">
        <v>1229</v>
      </c>
    </row>
    <row r="4786" customFormat="false" ht="15" hidden="false" customHeight="false" outlineLevel="1" collapsed="false">
      <c r="A4786" s="7" t="s">
        <v>655</v>
      </c>
      <c r="B4786" s="8" t="s">
        <v>10</v>
      </c>
      <c r="C4786" s="58" t="n">
        <f aca="false">C4777+C4778+C4779+C4780+C4781+C4782+C4783+C4784+C4785</f>
        <v>20142.4893835616</v>
      </c>
      <c r="D4786" s="58" t="n">
        <f aca="false">D4777+D4778+D4779+D4780+D4781+D4782+D4783+D4784+D4785</f>
        <v>179379.706421233</v>
      </c>
      <c r="E4786" s="58" t="n">
        <f aca="false">E4777+E4778+E4779+E4780+E4781+E4782+E4783+E4784+E4785</f>
        <v>416469.122808219</v>
      </c>
      <c r="F4786" s="58" t="n">
        <f aca="false">F4777+F4778+F4779+F4780+F4781+F4782+F4783+F4784+F4785</f>
        <v>700490.023732877</v>
      </c>
      <c r="G4786" s="58" t="n">
        <f aca="false">G4777+G4778+G4779+G4780+G4781+G4782+G4783+G4784+G4785</f>
        <v>1024351.75308219</v>
      </c>
      <c r="H4786" s="2" t="s">
        <v>1230</v>
      </c>
    </row>
    <row r="4787" customFormat="false" ht="15" hidden="false" customHeight="false" outlineLevel="1" collapsed="false">
      <c r="A4787" s="7" t="s">
        <v>656</v>
      </c>
      <c r="B4787" s="8" t="s">
        <v>10</v>
      </c>
      <c r="C4787" s="58" t="n">
        <f aca="false">C4661*1000*(C4694)+C4662*1000*(C4717)+C4663*1000*(C4740)</f>
        <v>0</v>
      </c>
      <c r="D4787" s="58" t="n">
        <f aca="false">D4661*1000*(D4694)+D4662*1000*(D4717)+D4663*1000*(D4740)</f>
        <v>50406.4849315069</v>
      </c>
      <c r="E4787" s="58" t="n">
        <f aca="false">E4661*1000*(E4694)+E4662*1000*(E4717)+E4663*1000*(E4740)</f>
        <v>100501.322131849</v>
      </c>
      <c r="F4787" s="58" t="n">
        <f aca="false">F4661*1000*(F4694)+F4662*1000*(F4717)+F4663*1000*(F4740)</f>
        <v>155988.156421233</v>
      </c>
      <c r="G4787" s="58" t="n">
        <f aca="false">G4661*1000*(G4694)+G4662*1000*(G4717)+G4663*1000*(G4740)</f>
        <v>226984.307363014</v>
      </c>
      <c r="H4787" s="2" t="s">
        <v>1231</v>
      </c>
    </row>
    <row r="4788" customFormat="false" ht="15" hidden="false" customHeight="false" outlineLevel="1" collapsed="false">
      <c r="A4788" s="7" t="s">
        <v>657</v>
      </c>
      <c r="B4788" s="8" t="s">
        <v>10</v>
      </c>
      <c r="C4788" s="58" t="n">
        <f aca="false">C4672*1000*C4767</f>
        <v>0</v>
      </c>
      <c r="D4788" s="58" t="n">
        <f aca="false">D4672*1000*D4767</f>
        <v>0</v>
      </c>
      <c r="E4788" s="58" t="n">
        <f aca="false">E4672*1000*E4767</f>
        <v>0</v>
      </c>
      <c r="F4788" s="58" t="n">
        <f aca="false">F4672*1000*F4767</f>
        <v>1767.02054794521</v>
      </c>
      <c r="G4788" s="58" t="n">
        <f aca="false">G4672*1000*G4767</f>
        <v>4417.55136986302</v>
      </c>
      <c r="H4788" s="2" t="s">
        <v>1232</v>
      </c>
    </row>
    <row r="4789" customFormat="false" ht="15" hidden="false" customHeight="false" outlineLevel="1" collapsed="false">
      <c r="A4789" s="7" t="s">
        <v>658</v>
      </c>
      <c r="B4789" s="8" t="s">
        <v>10</v>
      </c>
      <c r="C4789" s="58" t="n">
        <f aca="false">C4787+C4788</f>
        <v>0</v>
      </c>
      <c r="D4789" s="58" t="n">
        <f aca="false">D4787+D4788</f>
        <v>50406.4849315069</v>
      </c>
      <c r="E4789" s="58" t="n">
        <f aca="false">E4787+E4788</f>
        <v>100501.322131849</v>
      </c>
      <c r="F4789" s="58" t="n">
        <f aca="false">F4787+F4788</f>
        <v>157755.176969178</v>
      </c>
      <c r="G4789" s="58" t="n">
        <f aca="false">G4787+G4788</f>
        <v>231401.858732877</v>
      </c>
      <c r="H4789" s="2" t="s">
        <v>1233</v>
      </c>
    </row>
    <row r="4790" customFormat="false" ht="15" hidden="false" customHeight="false" outlineLevel="1" collapsed="false">
      <c r="A4790" s="8" t="s">
        <v>659</v>
      </c>
      <c r="B4790" s="8" t="s">
        <v>10</v>
      </c>
      <c r="C4790" s="66" t="n">
        <f aca="false">ROUND(C4755-C4776-C4786-C4789-C4772,6)</f>
        <v>-0</v>
      </c>
      <c r="D4790" s="66" t="n">
        <f aca="false">ROUND(D4755-D4776-D4786-D4789-D4772,6)</f>
        <v>-0</v>
      </c>
      <c r="E4790" s="66" t="n">
        <f aca="false">ROUND(E4755-E4776-E4786-E4789-E4772,6)</f>
        <v>-0</v>
      </c>
      <c r="F4790" s="66" t="n">
        <f aca="false">ROUND(F4755-F4776-F4786-F4789-F4772,6)</f>
        <v>0</v>
      </c>
      <c r="G4790" s="66" t="n">
        <f aca="false">ROUND(G4755-G4776-G4786-G4789-G4772,6)</f>
        <v>-0</v>
      </c>
      <c r="H4790" s="2" t="s">
        <v>1234</v>
      </c>
    </row>
    <row r="4791" customFormat="false" ht="15" hidden="false" customHeight="false" outlineLevel="0" collapsed="false">
      <c r="A4791" s="3" t="s">
        <v>1235</v>
      </c>
      <c r="B4791" s="4"/>
      <c r="C4791" s="4"/>
      <c r="D4791" s="4"/>
      <c r="E4791" s="4"/>
      <c r="F4791" s="4"/>
      <c r="G4791" s="4"/>
      <c r="H4791" s="4"/>
    </row>
    <row r="4792" customFormat="false" ht="15" hidden="false" customHeight="false" outlineLevel="1" collapsed="false">
      <c r="A4792" s="7" t="s">
        <v>602</v>
      </c>
      <c r="B4792" s="8" t="s">
        <v>413</v>
      </c>
      <c r="C4792" s="61" t="n">
        <f aca="false">Pressupostos!$C$317</f>
        <v>1</v>
      </c>
      <c r="D4792" s="61" t="n">
        <f aca="false">Pressupostos!$D$317</f>
        <v>1</v>
      </c>
      <c r="E4792" s="61" t="n">
        <f aca="false">Pressupostos!$E$317</f>
        <v>1</v>
      </c>
      <c r="F4792" s="61" t="n">
        <f aca="false">Pressupostos!$F$317</f>
        <v>1</v>
      </c>
      <c r="G4792" s="61" t="n">
        <f aca="false">Pressupostos!$G$317</f>
        <v>1</v>
      </c>
      <c r="H4792" s="2" t="s">
        <v>1236</v>
      </c>
    </row>
    <row r="4793" customFormat="false" ht="15" hidden="false" customHeight="false" outlineLevel="1" collapsed="false">
      <c r="A4793" s="7" t="s">
        <v>603</v>
      </c>
      <c r="B4793" s="8" t="s">
        <v>413</v>
      </c>
      <c r="C4793" s="61" t="n">
        <f aca="false">Pressupostos!$C$323</f>
        <v>1</v>
      </c>
      <c r="D4793" s="61" t="n">
        <f aca="false">Pressupostos!$D$323</f>
        <v>1</v>
      </c>
      <c r="E4793" s="61" t="n">
        <f aca="false">Pressupostos!$E$323</f>
        <v>1</v>
      </c>
      <c r="F4793" s="61" t="n">
        <f aca="false">Pressupostos!$F$323</f>
        <v>1</v>
      </c>
      <c r="G4793" s="61" t="n">
        <f aca="false">Pressupostos!$G$323</f>
        <v>1</v>
      </c>
      <c r="H4793" s="2" t="s">
        <v>1237</v>
      </c>
    </row>
    <row r="4794" customFormat="false" ht="15" hidden="false" customHeight="false" outlineLevel="1" collapsed="false">
      <c r="A4794" s="7" t="s">
        <v>604</v>
      </c>
      <c r="B4794" s="8" t="s">
        <v>413</v>
      </c>
      <c r="C4794" s="61" t="n">
        <f aca="false">Pressupostos!$C$329</f>
        <v>0</v>
      </c>
      <c r="D4794" s="61" t="n">
        <f aca="false">Pressupostos!$D$329</f>
        <v>1</v>
      </c>
      <c r="E4794" s="61" t="n">
        <f aca="false">Pressupostos!$E$329</f>
        <v>1</v>
      </c>
      <c r="F4794" s="61" t="n">
        <f aca="false">Pressupostos!$F$329</f>
        <v>1</v>
      </c>
      <c r="G4794" s="61" t="n">
        <f aca="false">Pressupostos!$G$329</f>
        <v>1</v>
      </c>
      <c r="H4794" s="2" t="s">
        <v>1238</v>
      </c>
    </row>
    <row r="4795" customFormat="false" ht="15" hidden="false" customHeight="false" outlineLevel="1" collapsed="false">
      <c r="A4795" s="7" t="s">
        <v>605</v>
      </c>
      <c r="B4795" s="8" t="s">
        <v>413</v>
      </c>
      <c r="C4795" s="61" t="n">
        <f aca="false">Pressupostos!$C$335</f>
        <v>0.5</v>
      </c>
      <c r="D4795" s="61" t="n">
        <f aca="false">Pressupostos!$D$335</f>
        <v>1</v>
      </c>
      <c r="E4795" s="61" t="n">
        <f aca="false">Pressupostos!$E$335</f>
        <v>1</v>
      </c>
      <c r="F4795" s="61" t="n">
        <f aca="false">Pressupostos!$F$335</f>
        <v>1</v>
      </c>
      <c r="G4795" s="61" t="n">
        <f aca="false">Pressupostos!$G$335</f>
        <v>1</v>
      </c>
      <c r="H4795" s="2" t="s">
        <v>1239</v>
      </c>
    </row>
    <row r="4796" customFormat="false" ht="15" hidden="false" customHeight="false" outlineLevel="1" collapsed="false">
      <c r="A4796" s="7" t="s">
        <v>606</v>
      </c>
      <c r="B4796" s="8" t="s">
        <v>413</v>
      </c>
      <c r="C4796" s="61" t="n">
        <f aca="false">Pressupostos!$C$341</f>
        <v>0.5</v>
      </c>
      <c r="D4796" s="61" t="n">
        <f aca="false">Pressupostos!$D$341</f>
        <v>0.5</v>
      </c>
      <c r="E4796" s="61" t="n">
        <f aca="false">Pressupostos!$E$341</f>
        <v>0.5</v>
      </c>
      <c r="F4796" s="61" t="n">
        <f aca="false">Pressupostos!$F$341</f>
        <v>1</v>
      </c>
      <c r="G4796" s="61" t="n">
        <f aca="false">Pressupostos!$G$341</f>
        <v>1</v>
      </c>
      <c r="H4796" s="2" t="s">
        <v>1240</v>
      </c>
    </row>
    <row r="4797" customFormat="false" ht="15" hidden="false" customHeight="false" outlineLevel="1" collapsed="false">
      <c r="A4797" s="7" t="s">
        <v>607</v>
      </c>
      <c r="B4797" s="8" t="s">
        <v>413</v>
      </c>
      <c r="C4797" s="61" t="n">
        <f aca="false">Pressupostos!$C$347</f>
        <v>1</v>
      </c>
      <c r="D4797" s="61" t="n">
        <f aca="false">Pressupostos!$D$347</f>
        <v>1</v>
      </c>
      <c r="E4797" s="61" t="n">
        <f aca="false">Pressupostos!$E$347</f>
        <v>1</v>
      </c>
      <c r="F4797" s="61" t="n">
        <f aca="false">Pressupostos!$F$347</f>
        <v>1</v>
      </c>
      <c r="G4797" s="61" t="n">
        <f aca="false">Pressupostos!$G$347</f>
        <v>1</v>
      </c>
      <c r="H4797" s="2" t="s">
        <v>1241</v>
      </c>
    </row>
    <row r="4798" customFormat="false" ht="15" hidden="false" customHeight="false" outlineLevel="1" collapsed="false">
      <c r="A4798" s="7" t="s">
        <v>608</v>
      </c>
      <c r="B4798" s="8" t="s">
        <v>413</v>
      </c>
      <c r="C4798" s="61" t="n">
        <f aca="false">Pressupostos!$C$353</f>
        <v>0.5</v>
      </c>
      <c r="D4798" s="61" t="n">
        <f aca="false">Pressupostos!$D$353</f>
        <v>1</v>
      </c>
      <c r="E4798" s="61" t="n">
        <f aca="false">Pressupostos!$E$353</f>
        <v>1</v>
      </c>
      <c r="F4798" s="61" t="n">
        <f aca="false">Pressupostos!$F$353</f>
        <v>1</v>
      </c>
      <c r="G4798" s="61" t="n">
        <f aca="false">Pressupostos!$G$353</f>
        <v>1</v>
      </c>
      <c r="H4798" s="2" t="s">
        <v>1242</v>
      </c>
    </row>
    <row r="4799" customFormat="false" ht="15" hidden="false" customHeight="false" outlineLevel="1" collapsed="false">
      <c r="A4799" s="7" t="s">
        <v>609</v>
      </c>
      <c r="B4799" s="8" t="s">
        <v>413</v>
      </c>
      <c r="C4799" s="61" t="n">
        <f aca="false">Pressupostos!$C$359</f>
        <v>1</v>
      </c>
      <c r="D4799" s="61" t="n">
        <f aca="false">Pressupostos!$D$359</f>
        <v>1</v>
      </c>
      <c r="E4799" s="61" t="n">
        <f aca="false">Pressupostos!$E$359</f>
        <v>1</v>
      </c>
      <c r="F4799" s="61" t="n">
        <f aca="false">Pressupostos!$F$359</f>
        <v>2</v>
      </c>
      <c r="G4799" s="61" t="n">
        <f aca="false">Pressupostos!$G$359</f>
        <v>3</v>
      </c>
      <c r="H4799" s="2" t="s">
        <v>1243</v>
      </c>
    </row>
    <row r="4800" customFormat="false" ht="15" hidden="false" customHeight="false" outlineLevel="1" collapsed="false">
      <c r="A4800" s="7" t="s">
        <v>610</v>
      </c>
      <c r="B4800" s="8" t="s">
        <v>413</v>
      </c>
      <c r="C4800" s="61" t="n">
        <f aca="false">Pressupostos!$C$365</f>
        <v>0</v>
      </c>
      <c r="D4800" s="61" t="n">
        <f aca="false">Pressupostos!$D$365</f>
        <v>0</v>
      </c>
      <c r="E4800" s="61" t="n">
        <f aca="false">Pressupostos!$E$365</f>
        <v>0</v>
      </c>
      <c r="F4800" s="61" t="n">
        <f aca="false">Pressupostos!$F$365</f>
        <v>0</v>
      </c>
      <c r="G4800" s="61" t="n">
        <f aca="false">Pressupostos!$G$365</f>
        <v>0</v>
      </c>
      <c r="H4800" s="2" t="s">
        <v>1244</v>
      </c>
    </row>
    <row r="4801" customFormat="false" ht="15" hidden="false" customHeight="false" outlineLevel="1" collapsed="false">
      <c r="A4801" s="7" t="s">
        <v>611</v>
      </c>
      <c r="B4801" s="8" t="s">
        <v>413</v>
      </c>
      <c r="C4801" s="61" t="n">
        <f aca="false">Pressupostos!$C$371</f>
        <v>0</v>
      </c>
      <c r="D4801" s="61" t="n">
        <f aca="false">Pressupostos!$D$371</f>
        <v>0</v>
      </c>
      <c r="E4801" s="61" t="n">
        <f aca="false">Pressupostos!$E$371</f>
        <v>0</v>
      </c>
      <c r="F4801" s="61" t="n">
        <f aca="false">Pressupostos!$F$371</f>
        <v>0</v>
      </c>
      <c r="G4801" s="61" t="n">
        <f aca="false">Pressupostos!$G$371</f>
        <v>0</v>
      </c>
      <c r="H4801" s="2" t="s">
        <v>1245</v>
      </c>
    </row>
    <row r="4802" customFormat="false" ht="15" hidden="false" customHeight="false" outlineLevel="1" collapsed="false">
      <c r="A4802" s="7" t="s">
        <v>612</v>
      </c>
      <c r="B4802" s="8" t="s">
        <v>413</v>
      </c>
      <c r="C4802" s="61" t="n">
        <f aca="false">Pressupostos!$C$377</f>
        <v>0</v>
      </c>
      <c r="D4802" s="61" t="n">
        <f aca="false">Pressupostos!$D$377</f>
        <v>0</v>
      </c>
      <c r="E4802" s="61" t="n">
        <f aca="false">Pressupostos!$E$377</f>
        <v>0</v>
      </c>
      <c r="F4802" s="61" t="n">
        <f aca="false">Pressupostos!$F$377</f>
        <v>1</v>
      </c>
      <c r="G4802" s="61" t="n">
        <f aca="false">Pressupostos!$G$377</f>
        <v>1</v>
      </c>
      <c r="H4802" s="2" t="s">
        <v>1246</v>
      </c>
    </row>
    <row r="4803" customFormat="false" ht="15" hidden="false" customHeight="false" outlineLevel="1" collapsed="false">
      <c r="A4803" s="7" t="s">
        <v>613</v>
      </c>
      <c r="B4803" s="8" t="s">
        <v>413</v>
      </c>
      <c r="C4803" s="61" t="n">
        <f aca="false">Pressupostos!$C$383</f>
        <v>0</v>
      </c>
      <c r="D4803" s="61" t="n">
        <f aca="false">Pressupostos!$D$383</f>
        <v>0</v>
      </c>
      <c r="E4803" s="61" t="n">
        <f aca="false">Pressupostos!$E$383</f>
        <v>1</v>
      </c>
      <c r="F4803" s="61" t="n">
        <f aca="false">Pressupostos!$F$383</f>
        <v>1</v>
      </c>
      <c r="G4803" s="61" t="n">
        <f aca="false">Pressupostos!$G$383</f>
        <v>1</v>
      </c>
      <c r="H4803" s="2" t="s">
        <v>1247</v>
      </c>
    </row>
    <row r="4804" customFormat="false" ht="15" hidden="false" customHeight="false" outlineLevel="1" collapsed="false">
      <c r="A4804" s="52" t="s">
        <v>614</v>
      </c>
      <c r="B4804" s="53" t="s">
        <v>413</v>
      </c>
      <c r="C4804" s="62" t="n">
        <f aca="false">C4792+C4793+C4794+C4795+C4796+C4797+C4798+C4799+C4800+C4801+C4802+C4803</f>
        <v>5.5</v>
      </c>
      <c r="D4804" s="62" t="n">
        <f aca="false">D4792+D4793+D4794+D4795+D4796+D4797+D4798+D4799+D4800+D4801+D4802+D4803</f>
        <v>7.5</v>
      </c>
      <c r="E4804" s="62" t="n">
        <f aca="false">E4792+E4793+E4794+E4795+E4796+E4797+E4798+E4799+E4800+E4801+E4802+E4803</f>
        <v>8.5</v>
      </c>
      <c r="F4804" s="62" t="n">
        <f aca="false">F4792+F4793+F4794+F4795+F4796+F4797+F4798+F4799+F4800+F4801+F4802+F4803</f>
        <v>11</v>
      </c>
      <c r="G4804" s="62" t="n">
        <f aca="false">G4792+G4793+G4794+G4795+G4796+G4797+G4798+G4799+G4800+G4801+G4802+G4803</f>
        <v>12</v>
      </c>
      <c r="H4804" s="2" t="s">
        <v>1248</v>
      </c>
    </row>
    <row r="4805" customFormat="false" ht="15" hidden="false" customHeight="false" outlineLevel="0" collapsed="false">
      <c r="A4805" s="3" t="s">
        <v>1249</v>
      </c>
      <c r="B4805" s="4"/>
      <c r="C4805" s="4"/>
      <c r="D4805" s="4"/>
      <c r="E4805" s="4"/>
      <c r="F4805" s="4"/>
      <c r="G4805" s="4"/>
      <c r="H4805" s="4"/>
    </row>
    <row r="4806" customFormat="false" ht="15" hidden="false" customHeight="false" outlineLevel="1" collapsed="false">
      <c r="A4806" s="7" t="s">
        <v>602</v>
      </c>
      <c r="B4806" s="8" t="s">
        <v>10</v>
      </c>
      <c r="C4806" s="58" t="n">
        <f aca="false">C4792*Pressupostos!$C$129*(1+Pressupostos!$C$125)^0*(1+Pressupostos!$C$130)*Pressupostos!$C$126</f>
        <v>43998</v>
      </c>
      <c r="D4806" s="58" t="n">
        <f aca="false">D4792*Pressupostos!$C$129*(1+Pressupostos!$C$125)^1*(1+Pressupostos!$C$130)</f>
        <v>61800</v>
      </c>
      <c r="E4806" s="58" t="n">
        <f aca="false">E4792*Pressupostos!$C$129*(1+Pressupostos!$C$125)^2*(1+Pressupostos!$C$130)</f>
        <v>63654</v>
      </c>
      <c r="F4806" s="58" t="n">
        <f aca="false">F4792*Pressupostos!$C$129*(1+Pressupostos!$C$125)^3*(1+Pressupostos!$C$130)</f>
        <v>65563.62</v>
      </c>
      <c r="G4806" s="58" t="n">
        <f aca="false">G4792*Pressupostos!$C$129*(1+Pressupostos!$C$125)^4*(1+Pressupostos!$C$130)</f>
        <v>67530.5286</v>
      </c>
      <c r="H4806" s="2" t="s">
        <v>1250</v>
      </c>
    </row>
    <row r="4807" customFormat="false" ht="15" hidden="false" customHeight="false" outlineLevel="1" collapsed="false">
      <c r="A4807" s="7" t="s">
        <v>603</v>
      </c>
      <c r="B4807" s="8" t="s">
        <v>10</v>
      </c>
      <c r="C4807" s="58" t="n">
        <f aca="false">C4793*Pressupostos!$C$131*(1+Pressupostos!$C$125)^0*(1+Pressupostos!$C$132)*Pressupostos!$C$126</f>
        <v>47664.5</v>
      </c>
      <c r="D4807" s="58" t="n">
        <f aca="false">D4793*Pressupostos!$C$131*(1+Pressupostos!$C$125)^1*(1+Pressupostos!$C$132)</f>
        <v>66950</v>
      </c>
      <c r="E4807" s="58" t="n">
        <f aca="false">E4793*Pressupostos!$C$131*(1+Pressupostos!$C$125)^2*(1+Pressupostos!$C$132)</f>
        <v>68958.5</v>
      </c>
      <c r="F4807" s="58" t="n">
        <f aca="false">F4793*Pressupostos!$C$131*(1+Pressupostos!$C$125)^3*(1+Pressupostos!$C$132)</f>
        <v>71027.255</v>
      </c>
      <c r="G4807" s="58" t="n">
        <f aca="false">G4793*Pressupostos!$C$131*(1+Pressupostos!$C$125)^4*(1+Pressupostos!$C$132)</f>
        <v>73158.07265</v>
      </c>
      <c r="H4807" s="2" t="s">
        <v>1251</v>
      </c>
    </row>
    <row r="4808" customFormat="false" ht="15" hidden="false" customHeight="false" outlineLevel="1" collapsed="false">
      <c r="A4808" s="7" t="s">
        <v>604</v>
      </c>
      <c r="B4808" s="8" t="s">
        <v>10</v>
      </c>
      <c r="C4808" s="58" t="n">
        <f aca="false">C4794*Pressupostos!$C$133*(1+Pressupostos!$C$125)^0*(1+Pressupostos!$C$134)</f>
        <v>0</v>
      </c>
      <c r="D4808" s="58" t="n">
        <f aca="false">D4794*Pressupostos!$C$133*(1+Pressupostos!$C$125)^1*(1+Pressupostos!$C$134)</f>
        <v>46350</v>
      </c>
      <c r="E4808" s="58" t="n">
        <f aca="false">E4794*Pressupostos!$C$133*(1+Pressupostos!$C$125)^2*(1+Pressupostos!$C$134)</f>
        <v>47740.5</v>
      </c>
      <c r="F4808" s="58" t="n">
        <f aca="false">F4794*Pressupostos!$C$133*(1+Pressupostos!$C$125)^3*(1+Pressupostos!$C$134)</f>
        <v>49172.715</v>
      </c>
      <c r="G4808" s="58" t="n">
        <f aca="false">G4794*Pressupostos!$C$133*(1+Pressupostos!$C$125)^4*(1+Pressupostos!$C$134)</f>
        <v>50647.89645</v>
      </c>
      <c r="H4808" s="2" t="s">
        <v>1252</v>
      </c>
    </row>
    <row r="4809" customFormat="false" ht="15" hidden="false" customHeight="false" outlineLevel="1" collapsed="false">
      <c r="A4809" s="7" t="s">
        <v>605</v>
      </c>
      <c r="B4809" s="8" t="s">
        <v>10</v>
      </c>
      <c r="C4809" s="58" t="n">
        <f aca="false">C4795*Pressupostos!$C$135*(1+Pressupostos!$C$125)^0*(1+Pressupostos!$C$136)</f>
        <v>30000</v>
      </c>
      <c r="D4809" s="58" t="n">
        <f aca="false">D4795*Pressupostos!$C$135*(1+Pressupostos!$C$125)^1*(1+Pressupostos!$C$136)</f>
        <v>61800</v>
      </c>
      <c r="E4809" s="58" t="n">
        <f aca="false">E4795*Pressupostos!$C$135*(1+Pressupostos!$C$125)^2*(1+Pressupostos!$C$136)</f>
        <v>63654</v>
      </c>
      <c r="F4809" s="58" t="n">
        <f aca="false">F4795*Pressupostos!$C$135*(1+Pressupostos!$C$125)^3*(1+Pressupostos!$C$136)</f>
        <v>65563.62</v>
      </c>
      <c r="G4809" s="58" t="n">
        <f aca="false">G4795*Pressupostos!$C$135*(1+Pressupostos!$C$125)^4*(1+Pressupostos!$C$136)</f>
        <v>67530.5286</v>
      </c>
      <c r="H4809" s="2" t="s">
        <v>1253</v>
      </c>
    </row>
    <row r="4810" customFormat="false" ht="15" hidden="false" customHeight="false" outlineLevel="1" collapsed="false">
      <c r="A4810" s="7" t="s">
        <v>606</v>
      </c>
      <c r="B4810" s="8" t="s">
        <v>10</v>
      </c>
      <c r="C4810" s="58" t="n">
        <f aca="false">C4796*Pressupostos!$C$137*(1+Pressupostos!$C$125)^0*(1+Pressupostos!$C$138)</f>
        <v>22500</v>
      </c>
      <c r="D4810" s="58" t="n">
        <f aca="false">D4796*Pressupostos!$C$137*(1+Pressupostos!$C$125)^1*(1+Pressupostos!$C$138)</f>
        <v>23175</v>
      </c>
      <c r="E4810" s="58" t="n">
        <f aca="false">E4796*Pressupostos!$C$137*(1+Pressupostos!$C$125)^2*(1+Pressupostos!$C$138)</f>
        <v>23870.25</v>
      </c>
      <c r="F4810" s="58" t="n">
        <f aca="false">F4796*Pressupostos!$C$137*(1+Pressupostos!$C$125)^3*(1+Pressupostos!$C$138)</f>
        <v>49172.715</v>
      </c>
      <c r="G4810" s="58" t="n">
        <f aca="false">G4796*Pressupostos!$C$137*(1+Pressupostos!$C$125)^4*(1+Pressupostos!$C$138)</f>
        <v>50647.89645</v>
      </c>
      <c r="H4810" s="2" t="s">
        <v>1254</v>
      </c>
    </row>
    <row r="4811" customFormat="false" ht="15" hidden="false" customHeight="false" outlineLevel="1" collapsed="false">
      <c r="A4811" s="7" t="s">
        <v>607</v>
      </c>
      <c r="B4811" s="8" t="s">
        <v>10</v>
      </c>
      <c r="C4811" s="58" t="n">
        <f aca="false">C4797*Pressupostos!$C$139*(1+Pressupostos!$C$125)^0*(1+Pressupostos!$C$140)</f>
        <v>38000</v>
      </c>
      <c r="D4811" s="58" t="n">
        <f aca="false">D4797*Pressupostos!$C$139*(1+Pressupostos!$C$125)^1*(1+Pressupostos!$C$140)</f>
        <v>39140</v>
      </c>
      <c r="E4811" s="58" t="n">
        <f aca="false">E4797*Pressupostos!$C$139*(1+Pressupostos!$C$125)^2*(1+Pressupostos!$C$140)</f>
        <v>40314.2</v>
      </c>
      <c r="F4811" s="58" t="n">
        <f aca="false">F4797*Pressupostos!$C$139*(1+Pressupostos!$C$125)^3*(1+Pressupostos!$C$140)</f>
        <v>41523.626</v>
      </c>
      <c r="G4811" s="58" t="n">
        <f aca="false">G4797*Pressupostos!$C$139*(1+Pressupostos!$C$125)^4*(1+Pressupostos!$C$140)</f>
        <v>42769.33478</v>
      </c>
      <c r="H4811" s="2" t="s">
        <v>1255</v>
      </c>
    </row>
    <row r="4812" customFormat="false" ht="15" hidden="false" customHeight="false" outlineLevel="1" collapsed="false">
      <c r="A4812" s="7" t="s">
        <v>608</v>
      </c>
      <c r="B4812" s="8" t="s">
        <v>10</v>
      </c>
      <c r="C4812" s="58" t="n">
        <f aca="false">C4798*Pressupostos!$C$141*(1+Pressupostos!$C$125)^0*(1+Pressupostos!$C$142)</f>
        <v>16000</v>
      </c>
      <c r="D4812" s="58" t="n">
        <f aca="false">D4798*Pressupostos!$C$141*(1+Pressupostos!$C$125)^1*(1+Pressupostos!$C$142)</f>
        <v>32960</v>
      </c>
      <c r="E4812" s="58" t="n">
        <f aca="false">E4798*Pressupostos!$C$141*(1+Pressupostos!$C$125)^2*(1+Pressupostos!$C$142)</f>
        <v>33948.8</v>
      </c>
      <c r="F4812" s="58" t="n">
        <f aca="false">F4798*Pressupostos!$C$141*(1+Pressupostos!$C$125)^3*(1+Pressupostos!$C$142)</f>
        <v>34967.264</v>
      </c>
      <c r="G4812" s="58" t="n">
        <f aca="false">G4798*Pressupostos!$C$141*(1+Pressupostos!$C$125)^4*(1+Pressupostos!$C$142)</f>
        <v>36016.28192</v>
      </c>
      <c r="H4812" s="2" t="s">
        <v>1256</v>
      </c>
    </row>
    <row r="4813" customFormat="false" ht="15" hidden="false" customHeight="false" outlineLevel="1" collapsed="false">
      <c r="A4813" s="7" t="s">
        <v>609</v>
      </c>
      <c r="B4813" s="8" t="s">
        <v>10</v>
      </c>
      <c r="C4813" s="58" t="n">
        <f aca="false">C4799*Pressupostos!$C$143*(1+Pressupostos!$C$125)^0*(1+Pressupostos!$C$144)</f>
        <v>34500</v>
      </c>
      <c r="D4813" s="58" t="n">
        <f aca="false">D4799*Pressupostos!$C$143*(1+Pressupostos!$C$125)^1*(1+Pressupostos!$C$144)</f>
        <v>35535</v>
      </c>
      <c r="E4813" s="58" t="n">
        <f aca="false">E4799*Pressupostos!$C$143*(1+Pressupostos!$C$125)^2*(1+Pressupostos!$C$144)</f>
        <v>36601.05</v>
      </c>
      <c r="F4813" s="58" t="n">
        <f aca="false">F4799*Pressupostos!$C$143*(1+Pressupostos!$C$125)^3*(1+Pressupostos!$C$144)</f>
        <v>75398.163</v>
      </c>
      <c r="G4813" s="58" t="n">
        <f aca="false">G4799*Pressupostos!$C$143*(1+Pressupostos!$C$125)^4*(1+Pressupostos!$C$144)</f>
        <v>116490.161835</v>
      </c>
      <c r="H4813" s="2" t="s">
        <v>1257</v>
      </c>
    </row>
    <row r="4814" customFormat="false" ht="15" hidden="false" customHeight="false" outlineLevel="1" collapsed="false">
      <c r="A4814" s="7" t="s">
        <v>610</v>
      </c>
      <c r="B4814" s="8" t="s">
        <v>10</v>
      </c>
      <c r="C4814" s="58" t="n">
        <f aca="false">C4800*Pressupostos!$C$145*(1+Pressupostos!$C$125)^0*(1+Pressupostos!$C$146)</f>
        <v>0</v>
      </c>
      <c r="D4814" s="58" t="n">
        <f aca="false">D4800*Pressupostos!$C$145*(1+Pressupostos!$C$125)^1*(1+Pressupostos!$C$146)</f>
        <v>0</v>
      </c>
      <c r="E4814" s="58" t="n">
        <f aca="false">E4800*Pressupostos!$C$145*(1+Pressupostos!$C$125)^2*(1+Pressupostos!$C$146)</f>
        <v>0</v>
      </c>
      <c r="F4814" s="58" t="n">
        <f aca="false">F4800*Pressupostos!$C$145*(1+Pressupostos!$C$125)^3*(1+Pressupostos!$C$146)</f>
        <v>0</v>
      </c>
      <c r="G4814" s="58" t="n">
        <f aca="false">G4800*Pressupostos!$C$145*(1+Pressupostos!$C$125)^4*(1+Pressupostos!$C$146)</f>
        <v>0</v>
      </c>
      <c r="H4814" s="2" t="s">
        <v>1258</v>
      </c>
    </row>
    <row r="4815" customFormat="false" ht="15" hidden="false" customHeight="false" outlineLevel="1" collapsed="false">
      <c r="A4815" s="7" t="s">
        <v>611</v>
      </c>
      <c r="B4815" s="8" t="s">
        <v>10</v>
      </c>
      <c r="C4815" s="58" t="n">
        <f aca="false">C4801*Pressupostos!$C$147*(1+Pressupostos!$C$125)^0*(1+Pressupostos!$C$148)</f>
        <v>0</v>
      </c>
      <c r="D4815" s="58" t="n">
        <f aca="false">D4801*Pressupostos!$C$147*(1+Pressupostos!$C$125)^1*(1+Pressupostos!$C$148)</f>
        <v>0</v>
      </c>
      <c r="E4815" s="58" t="n">
        <f aca="false">E4801*Pressupostos!$C$147*(1+Pressupostos!$C$125)^2*(1+Pressupostos!$C$148)</f>
        <v>0</v>
      </c>
      <c r="F4815" s="58" t="n">
        <f aca="false">F4801*Pressupostos!$C$147*(1+Pressupostos!$C$125)^3*(1+Pressupostos!$C$148)</f>
        <v>0</v>
      </c>
      <c r="G4815" s="58" t="n">
        <f aca="false">G4801*Pressupostos!$C$147*(1+Pressupostos!$C$125)^4*(1+Pressupostos!$C$148)</f>
        <v>0</v>
      </c>
      <c r="H4815" s="2" t="s">
        <v>1259</v>
      </c>
    </row>
    <row r="4816" customFormat="false" ht="15" hidden="false" customHeight="false" outlineLevel="1" collapsed="false">
      <c r="A4816" s="7" t="s">
        <v>612</v>
      </c>
      <c r="B4816" s="8" t="s">
        <v>10</v>
      </c>
      <c r="C4816" s="58" t="n">
        <f aca="false">C4802*Pressupostos!$C$149*(1+Pressupostos!$C$125)^0*(1+Pressupostos!$C$150)</f>
        <v>0</v>
      </c>
      <c r="D4816" s="58" t="n">
        <f aca="false">D4802*Pressupostos!$C$149*(1+Pressupostos!$C$125)^1*(1+Pressupostos!$C$150)</f>
        <v>0</v>
      </c>
      <c r="E4816" s="58" t="n">
        <f aca="false">E4802*Pressupostos!$C$149*(1+Pressupostos!$C$125)^2*(1+Pressupostos!$C$150)</f>
        <v>0</v>
      </c>
      <c r="F4816" s="58" t="n">
        <f aca="false">F4802*Pressupostos!$C$149*(1+Pressupostos!$C$125)^3*(1+Pressupostos!$C$150)</f>
        <v>26225.448</v>
      </c>
      <c r="G4816" s="58" t="n">
        <f aca="false">G4802*Pressupostos!$C$149*(1+Pressupostos!$C$125)^4*(1+Pressupostos!$C$150)</f>
        <v>27012.21144</v>
      </c>
      <c r="H4816" s="2" t="s">
        <v>1260</v>
      </c>
    </row>
    <row r="4817" customFormat="false" ht="15" hidden="false" customHeight="false" outlineLevel="1" collapsed="false">
      <c r="A4817" s="7" t="s">
        <v>613</v>
      </c>
      <c r="B4817" s="8" t="s">
        <v>10</v>
      </c>
      <c r="C4817" s="58" t="n">
        <f aca="false">C4803*Pressupostos!$C$151*(1+Pressupostos!$C$125)^0*(1+Pressupostos!$C$152)</f>
        <v>0</v>
      </c>
      <c r="D4817" s="58" t="n">
        <f aca="false">D4803*Pressupostos!$C$151*(1+Pressupostos!$C$125)^1*(1+Pressupostos!$C$152)</f>
        <v>0</v>
      </c>
      <c r="E4817" s="58" t="n">
        <f aca="false">E4803*Pressupostos!$C$151*(1+Pressupostos!$C$125)^2*(1+Pressupostos!$C$152)</f>
        <v>54901.575</v>
      </c>
      <c r="F4817" s="58" t="n">
        <f aca="false">F4803*Pressupostos!$C$151*(1+Pressupostos!$C$125)^3*(1+Pressupostos!$C$152)</f>
        <v>56548.62225</v>
      </c>
      <c r="G4817" s="58" t="n">
        <f aca="false">G4803*Pressupostos!$C$151*(1+Pressupostos!$C$125)^4*(1+Pressupostos!$C$152)</f>
        <v>58245.0809175</v>
      </c>
      <c r="H4817" s="2" t="s">
        <v>1261</v>
      </c>
    </row>
    <row r="4818" customFormat="false" ht="15" hidden="false" customHeight="false" outlineLevel="1" collapsed="false">
      <c r="A4818" s="7" t="s">
        <v>616</v>
      </c>
      <c r="B4818" s="8" t="s">
        <v>10</v>
      </c>
      <c r="C4818" s="58" t="n">
        <f aca="false">C4806+C4807+C4808+C4809+C4810+C4811+C4812+C4813+C4814+C4815+C4816+C4817</f>
        <v>232662.5</v>
      </c>
      <c r="D4818" s="58" t="n">
        <f aca="false">D4806+D4807+D4808+D4809+D4810+D4811+D4812+D4813+D4814+D4815+D4816+D4817</f>
        <v>367710</v>
      </c>
      <c r="E4818" s="58" t="n">
        <f aca="false">E4806+E4807+E4808+E4809+E4810+E4811+E4812+E4813+E4814+E4815+E4816+E4817</f>
        <v>433642.875</v>
      </c>
      <c r="F4818" s="58" t="n">
        <f aca="false">F4806+F4807+F4808+F4809+F4810+F4811+F4812+F4813+F4814+F4815+F4816+F4817</f>
        <v>535163.04825</v>
      </c>
      <c r="G4818" s="58" t="n">
        <f aca="false">G4806+G4807+G4808+G4809+G4810+G4811+G4812+G4813+G4814+G4815+G4816+G4817</f>
        <v>590047.9936425</v>
      </c>
      <c r="H4818" s="2" t="s">
        <v>1262</v>
      </c>
    </row>
    <row r="4819" customFormat="false" ht="15" hidden="false" customHeight="false" outlineLevel="1" collapsed="false">
      <c r="A4819" s="7" t="s">
        <v>617</v>
      </c>
      <c r="B4819" s="8" t="s">
        <v>10</v>
      </c>
      <c r="C4819" s="58" t="n">
        <f aca="false">C4818*(Pressupostos!$C$122+Pressupostos!$C$123)</f>
        <v>59910.59375</v>
      </c>
      <c r="D4819" s="58" t="n">
        <f aca="false">D4818*(Pressupostos!$C$122+Pressupostos!$C$123)</f>
        <v>94685.325</v>
      </c>
      <c r="E4819" s="58" t="n">
        <f aca="false">E4818*(Pressupostos!$C$122+Pressupostos!$C$123)</f>
        <v>111663.0403125</v>
      </c>
      <c r="F4819" s="58" t="n">
        <f aca="false">F4818*(Pressupostos!$C$122+Pressupostos!$C$123)</f>
        <v>137804.484924375</v>
      </c>
      <c r="G4819" s="58" t="n">
        <f aca="false">G4818*(Pressupostos!$C$122+Pressupostos!$C$123)</f>
        <v>151937.358362944</v>
      </c>
      <c r="H4819" s="2" t="s">
        <v>1263</v>
      </c>
    </row>
    <row r="4820" customFormat="false" ht="15" hidden="false" customHeight="false" outlineLevel="1" collapsed="false">
      <c r="A4820" s="7" t="s">
        <v>618</v>
      </c>
      <c r="B4820" s="8" t="s">
        <v>10</v>
      </c>
      <c r="C4820" s="58" t="n">
        <f aca="false">C4804*Pressupostos!$C$124*(1+Pressupostos!$C$125)^0</f>
        <v>11000</v>
      </c>
      <c r="D4820" s="58" t="n">
        <f aca="false">D4804*Pressupostos!$C$124*(1+Pressupostos!$C$125)^1</f>
        <v>15450</v>
      </c>
      <c r="E4820" s="58" t="n">
        <f aca="false">E4804*Pressupostos!$C$124*(1+Pressupostos!$C$125)^2</f>
        <v>18035.3</v>
      </c>
      <c r="F4820" s="58" t="n">
        <f aca="false">F4804*Pressupostos!$C$124*(1+Pressupostos!$C$125)^3</f>
        <v>24039.994</v>
      </c>
      <c r="G4820" s="58" t="n">
        <f aca="false">G4804*Pressupostos!$C$124*(1+Pressupostos!$C$125)^4</f>
        <v>27012.21144</v>
      </c>
      <c r="H4820" s="2" t="s">
        <v>1264</v>
      </c>
    </row>
    <row r="4821" customFormat="false" ht="15" hidden="false" customHeight="false" outlineLevel="1" collapsed="false">
      <c r="A4821" s="52" t="s">
        <v>619</v>
      </c>
      <c r="B4821" s="53" t="s">
        <v>10</v>
      </c>
      <c r="C4821" s="59" t="n">
        <f aca="false">C4818+C4819+C4820</f>
        <v>303573.09375</v>
      </c>
      <c r="D4821" s="59" t="n">
        <f aca="false">D4818+D4819+D4820</f>
        <v>477845.325</v>
      </c>
      <c r="E4821" s="59" t="n">
        <f aca="false">E4818+E4819+E4820</f>
        <v>563341.2153125</v>
      </c>
      <c r="F4821" s="59" t="n">
        <f aca="false">F4818+F4819+F4820</f>
        <v>697007.527174375</v>
      </c>
      <c r="G4821" s="59" t="n">
        <f aca="false">G4818+G4819+G4820</f>
        <v>768997.563445444</v>
      </c>
      <c r="H4821" s="2" t="s">
        <v>1265</v>
      </c>
    </row>
    <row r="4822" customFormat="false" ht="15" hidden="false" customHeight="false" outlineLevel="1" collapsed="false">
      <c r="A4822" s="2" t="s">
        <v>620</v>
      </c>
      <c r="B4822" s="8" t="s">
        <v>10</v>
      </c>
      <c r="C4822" s="58" t="n">
        <f aca="false">IF(C4804&gt;0,C4821/C4804,0)</f>
        <v>55195.1079545455</v>
      </c>
      <c r="D4822" s="58" t="n">
        <f aca="false">IF(D4804&gt;0,D4821/D4804,0)</f>
        <v>63712.71</v>
      </c>
      <c r="E4822" s="58" t="n">
        <f aca="false">IF(E4804&gt;0,E4821/E4804,0)</f>
        <v>66275.4370955882</v>
      </c>
      <c r="F4822" s="58" t="n">
        <f aca="false">IF(F4804&gt;0,F4821/F4804,0)</f>
        <v>63364.3206522159</v>
      </c>
      <c r="G4822" s="58" t="n">
        <f aca="false">IF(G4804&gt;0,G4821/G4804,0)</f>
        <v>64083.1302871203</v>
      </c>
      <c r="H4822" s="2" t="s">
        <v>1266</v>
      </c>
    </row>
    <row r="4823" customFormat="false" ht="15" hidden="false" customHeight="false" outlineLevel="0" collapsed="false">
      <c r="A4823" s="3" t="s">
        <v>1267</v>
      </c>
      <c r="B4823" s="4"/>
      <c r="C4823" s="4"/>
      <c r="D4823" s="4"/>
      <c r="E4823" s="4"/>
      <c r="F4823" s="4"/>
      <c r="G4823" s="4"/>
      <c r="H4823" s="4"/>
    </row>
    <row r="4824" customFormat="false" ht="15" hidden="false" customHeight="false" outlineLevel="1" collapsed="false">
      <c r="A4824" s="7" t="s">
        <v>430</v>
      </c>
      <c r="B4824" s="8" t="s">
        <v>10</v>
      </c>
      <c r="C4824" s="58" t="n">
        <f aca="false">Pressupostos!$C$390*(1+Pressupostos!$C$154)*(1+Pressupostos!$C$155)^0</f>
        <v>94500</v>
      </c>
      <c r="D4824" s="58" t="n">
        <f aca="false">Pressupostos!$D$390*(1+Pressupostos!$C$154)*(1+Pressupostos!$C$155)^1</f>
        <v>53550</v>
      </c>
      <c r="E4824" s="58" t="n">
        <f aca="false">Pressupostos!$E$390*(1+Pressupostos!$C$154)*(1+Pressupostos!$C$155)^2</f>
        <v>49158.9</v>
      </c>
      <c r="F4824" s="58" t="n">
        <f aca="false">Pressupostos!$F$390*(1+Pressupostos!$C$154)*(1+Pressupostos!$C$155)^3</f>
        <v>50142.078</v>
      </c>
      <c r="G4824" s="58" t="n">
        <f aca="false">Pressupostos!$G$390*(1+Pressupostos!$C$154)*(1+Pressupostos!$C$155)^4</f>
        <v>51144.91956</v>
      </c>
      <c r="H4824" s="2" t="s">
        <v>1268</v>
      </c>
    </row>
    <row r="4825" customFormat="false" ht="15" hidden="false" customHeight="false" outlineLevel="1" collapsed="false">
      <c r="A4825" s="7" t="s">
        <v>432</v>
      </c>
      <c r="B4825" s="8" t="s">
        <v>10</v>
      </c>
      <c r="C4825" s="58" t="n">
        <f aca="false">Pressupostos!$C$396*(1+Pressupostos!$C$154)*(1+Pressupostos!$C$155)^0</f>
        <v>10500</v>
      </c>
      <c r="D4825" s="58" t="n">
        <f aca="false">Pressupostos!$D$396*(1+Pressupostos!$C$154)*(1+Pressupostos!$C$155)^1</f>
        <v>10710</v>
      </c>
      <c r="E4825" s="58" t="n">
        <f aca="false">Pressupostos!$E$396*(1+Pressupostos!$C$154)*(1+Pressupostos!$C$155)^2</f>
        <v>10924.2</v>
      </c>
      <c r="F4825" s="58" t="n">
        <f aca="false">Pressupostos!$F$396*(1+Pressupostos!$C$154)*(1+Pressupostos!$C$155)^3</f>
        <v>11142.684</v>
      </c>
      <c r="G4825" s="58" t="n">
        <f aca="false">Pressupostos!$G$396*(1+Pressupostos!$C$154)*(1+Pressupostos!$C$155)^4</f>
        <v>11365.53768</v>
      </c>
      <c r="H4825" s="2" t="s">
        <v>1269</v>
      </c>
    </row>
    <row r="4826" customFormat="false" ht="15" hidden="false" customHeight="false" outlineLevel="1" collapsed="false">
      <c r="A4826" s="7" t="s">
        <v>433</v>
      </c>
      <c r="B4826" s="8" t="s">
        <v>10</v>
      </c>
      <c r="C4826" s="58" t="n">
        <f aca="false">Pressupostos!$C$402*(1+Pressupostos!$C$154)*(1+Pressupostos!$C$155)^0</f>
        <v>12600</v>
      </c>
      <c r="D4826" s="58" t="n">
        <f aca="false">Pressupostos!$D$402*(1+Pressupostos!$C$154)*(1+Pressupostos!$C$155)^1</f>
        <v>12852</v>
      </c>
      <c r="E4826" s="58" t="n">
        <f aca="false">Pressupostos!$E$402*(1+Pressupostos!$C$154)*(1+Pressupostos!$C$155)^2</f>
        <v>13109.04</v>
      </c>
      <c r="F4826" s="58" t="n">
        <f aca="false">Pressupostos!$F$402*(1+Pressupostos!$C$154)*(1+Pressupostos!$C$155)^3</f>
        <v>13371.2208</v>
      </c>
      <c r="G4826" s="58" t="n">
        <f aca="false">Pressupostos!$G$402*(1+Pressupostos!$C$154)*(1+Pressupostos!$C$155)^4</f>
        <v>13638.645216</v>
      </c>
      <c r="H4826" s="2" t="s">
        <v>1270</v>
      </c>
    </row>
    <row r="4827" customFormat="false" ht="15" hidden="false" customHeight="false" outlineLevel="1" collapsed="false">
      <c r="A4827" s="7" t="s">
        <v>435</v>
      </c>
      <c r="B4827" s="8" t="s">
        <v>10</v>
      </c>
      <c r="C4827" s="58" t="n">
        <f aca="false">Pressupostos!$C$408*(1+Pressupostos!$C$154)*(1+Pressupostos!$C$155)^0</f>
        <v>31500</v>
      </c>
      <c r="D4827" s="58" t="n">
        <f aca="false">Pressupostos!$D$408*(1+Pressupostos!$C$154)*(1+Pressupostos!$C$155)^1</f>
        <v>37485</v>
      </c>
      <c r="E4827" s="58" t="n">
        <f aca="false">Pressupostos!$E$408*(1+Pressupostos!$C$154)*(1+Pressupostos!$C$155)^2</f>
        <v>49158.9</v>
      </c>
      <c r="F4827" s="58" t="n">
        <f aca="false">Pressupostos!$F$408*(1+Pressupostos!$C$154)*(1+Pressupostos!$C$155)^3</f>
        <v>55713.42</v>
      </c>
      <c r="G4827" s="58" t="n">
        <f aca="false">Pressupostos!$G$408*(1+Pressupostos!$C$154)*(1+Pressupostos!$C$155)^4</f>
        <v>62510.45724</v>
      </c>
      <c r="H4827" s="2" t="s">
        <v>1271</v>
      </c>
    </row>
    <row r="4828" customFormat="false" ht="15" hidden="false" customHeight="false" outlineLevel="1" collapsed="false">
      <c r="A4828" s="7" t="s">
        <v>437</v>
      </c>
      <c r="B4828" s="8" t="s">
        <v>10</v>
      </c>
      <c r="C4828" s="58" t="n">
        <f aca="false">Pressupostos!$C$414*(1+Pressupostos!$C$154)*(1+Pressupostos!$C$155)^0</f>
        <v>15750</v>
      </c>
      <c r="D4828" s="58" t="n">
        <f aca="false">Pressupostos!$D$414*(1+Pressupostos!$C$154)*(1+Pressupostos!$C$155)^1</f>
        <v>16065</v>
      </c>
      <c r="E4828" s="58" t="n">
        <f aca="false">Pressupostos!$E$414*(1+Pressupostos!$C$154)*(1+Pressupostos!$C$155)^2</f>
        <v>38234.7</v>
      </c>
      <c r="F4828" s="58" t="n">
        <f aca="false">Pressupostos!$F$414*(1+Pressupostos!$C$154)*(1+Pressupostos!$C$155)^3</f>
        <v>22285.368</v>
      </c>
      <c r="G4828" s="58" t="n">
        <f aca="false">Pressupostos!$G$414*(1+Pressupostos!$C$154)*(1+Pressupostos!$C$155)^4</f>
        <v>22731.07536</v>
      </c>
      <c r="H4828" s="2" t="s">
        <v>1272</v>
      </c>
    </row>
    <row r="4829" customFormat="false" ht="15" hidden="false" customHeight="false" outlineLevel="1" collapsed="false">
      <c r="A4829" s="7" t="s">
        <v>439</v>
      </c>
      <c r="B4829" s="8" t="s">
        <v>10</v>
      </c>
      <c r="C4829" s="58" t="n">
        <f aca="false">Pressupostos!$C$420*(1+Pressupostos!$C$154)*(1+Pressupostos!$C$155)^0</f>
        <v>10500</v>
      </c>
      <c r="D4829" s="58" t="n">
        <f aca="false">Pressupostos!$D$420*(1+Pressupostos!$C$154)*(1+Pressupostos!$C$155)^1</f>
        <v>12852</v>
      </c>
      <c r="E4829" s="58" t="n">
        <f aca="false">Pressupostos!$E$420*(1+Pressupostos!$C$154)*(1+Pressupostos!$C$155)^2</f>
        <v>16386.3</v>
      </c>
      <c r="F4829" s="58" t="n">
        <f aca="false">Pressupostos!$F$420*(1+Pressupostos!$C$154)*(1+Pressupostos!$C$155)^3</f>
        <v>20056.8312</v>
      </c>
      <c r="G4829" s="58" t="n">
        <f aca="false">Pressupostos!$G$420*(1+Pressupostos!$C$154)*(1+Pressupostos!$C$155)^4</f>
        <v>22731.07536</v>
      </c>
      <c r="H4829" s="2" t="s">
        <v>1273</v>
      </c>
    </row>
    <row r="4830" customFormat="false" ht="15" hidden="false" customHeight="false" outlineLevel="1" collapsed="false">
      <c r="A4830" s="7" t="s">
        <v>440</v>
      </c>
      <c r="B4830" s="8" t="s">
        <v>10</v>
      </c>
      <c r="C4830" s="58" t="n">
        <f aca="false">Pressupostos!$C$426*(1+Pressupostos!$C$154)*(1+Pressupostos!$C$155)^0</f>
        <v>31500</v>
      </c>
      <c r="D4830" s="58" t="n">
        <f aca="false">Pressupostos!$D$426*(1+Pressupostos!$C$154)*(1+Pressupostos!$C$155)^1</f>
        <v>37485</v>
      </c>
      <c r="E4830" s="58" t="n">
        <f aca="false">Pressupostos!$E$426*(1+Pressupostos!$C$154)*(1+Pressupostos!$C$155)^2</f>
        <v>49158.9</v>
      </c>
      <c r="F4830" s="58" t="n">
        <f aca="false">Pressupostos!$F$426*(1+Pressupostos!$C$154)*(1+Pressupostos!$C$155)^3</f>
        <v>55713.42</v>
      </c>
      <c r="G4830" s="58" t="n">
        <f aca="false">Pressupostos!$G$426*(1+Pressupostos!$C$154)*(1+Pressupostos!$C$155)^4</f>
        <v>62510.45724</v>
      </c>
      <c r="H4830" s="2" t="s">
        <v>1274</v>
      </c>
    </row>
    <row r="4831" customFormat="false" ht="15" hidden="false" customHeight="false" outlineLevel="1" collapsed="false">
      <c r="A4831" s="7" t="s">
        <v>442</v>
      </c>
      <c r="B4831" s="8" t="s">
        <v>10</v>
      </c>
      <c r="C4831" s="58" t="n">
        <f aca="false">Pressupostos!$C$432*(1+Pressupostos!$C$154)*(1+Pressupostos!$C$155)^0</f>
        <v>6300</v>
      </c>
      <c r="D4831" s="58" t="n">
        <f aca="false">Pressupostos!$D$432*(1+Pressupostos!$C$154)*(1+Pressupostos!$C$155)^1</f>
        <v>8568</v>
      </c>
      <c r="E4831" s="58" t="n">
        <f aca="false">Pressupostos!$E$432*(1+Pressupostos!$C$154)*(1+Pressupostos!$C$155)^2</f>
        <v>13109.04</v>
      </c>
      <c r="F4831" s="58" t="n">
        <f aca="false">Pressupostos!$F$432*(1+Pressupostos!$C$154)*(1+Pressupostos!$C$155)^3</f>
        <v>16714.026</v>
      </c>
      <c r="G4831" s="58" t="n">
        <f aca="false">Pressupostos!$G$432*(1+Pressupostos!$C$154)*(1+Pressupostos!$C$155)^4</f>
        <v>20457.967824</v>
      </c>
      <c r="H4831" s="2" t="s">
        <v>1275</v>
      </c>
    </row>
    <row r="4832" customFormat="false" ht="15" hidden="false" customHeight="false" outlineLevel="1" collapsed="false">
      <c r="A4832" s="7" t="s">
        <v>444</v>
      </c>
      <c r="B4832" s="8" t="s">
        <v>10</v>
      </c>
      <c r="C4832" s="58" t="n">
        <f aca="false">Pressupostos!$C$438*(1+Pressupostos!$C$154)*(1+Pressupostos!$C$155)^0</f>
        <v>15750</v>
      </c>
      <c r="D4832" s="58" t="n">
        <f aca="false">Pressupostos!$D$438*(1+Pressupostos!$C$154)*(1+Pressupostos!$C$155)^1</f>
        <v>21420</v>
      </c>
      <c r="E4832" s="58" t="n">
        <f aca="false">Pressupostos!$E$438*(1+Pressupostos!$C$154)*(1+Pressupostos!$C$155)^2</f>
        <v>30587.76</v>
      </c>
      <c r="F4832" s="58" t="n">
        <f aca="false">Pressupostos!$F$438*(1+Pressupostos!$C$154)*(1+Pressupostos!$C$155)^3</f>
        <v>35656.5888</v>
      </c>
      <c r="G4832" s="58" t="n">
        <f aca="false">Pressupostos!$G$438*(1+Pressupostos!$C$154)*(1+Pressupostos!$C$155)^4</f>
        <v>40915.935648</v>
      </c>
      <c r="H4832" s="2" t="s">
        <v>1276</v>
      </c>
    </row>
    <row r="4833" customFormat="false" ht="15" hidden="false" customHeight="false" outlineLevel="1" collapsed="false">
      <c r="A4833" s="7" t="s">
        <v>445</v>
      </c>
      <c r="B4833" s="8" t="s">
        <v>10</v>
      </c>
      <c r="C4833" s="58" t="n">
        <f aca="false">Pressupostos!$C$444*(1+Pressupostos!$C$154)*(1+Pressupostos!$C$155)^0</f>
        <v>4200</v>
      </c>
      <c r="D4833" s="58" t="n">
        <f aca="false">Pressupostos!$D$444*(1+Pressupostos!$C$154)*(1+Pressupostos!$C$155)^1</f>
        <v>6426</v>
      </c>
      <c r="E4833" s="58" t="n">
        <f aca="false">Pressupostos!$E$444*(1+Pressupostos!$C$154)*(1+Pressupostos!$C$155)^2</f>
        <v>8739.36</v>
      </c>
      <c r="F4833" s="58" t="n">
        <f aca="false">Pressupostos!$F$444*(1+Pressupostos!$C$154)*(1+Pressupostos!$C$155)^3</f>
        <v>8914.1472</v>
      </c>
      <c r="G4833" s="58" t="n">
        <f aca="false">Pressupostos!$G$444*(1+Pressupostos!$C$154)*(1+Pressupostos!$C$155)^4</f>
        <v>9092.430144</v>
      </c>
      <c r="H4833" s="2" t="s">
        <v>1277</v>
      </c>
    </row>
    <row r="4834" customFormat="false" ht="15" hidden="false" customHeight="false" outlineLevel="1" collapsed="false">
      <c r="A4834" s="7" t="s">
        <v>661</v>
      </c>
      <c r="B4834" s="8" t="s">
        <v>10</v>
      </c>
      <c r="C4834" s="58" t="n">
        <f aca="false">C4824+C4825+C4826+C4827+C4828+C4829+C4830+C4831+C4832+C4833</f>
        <v>233100</v>
      </c>
      <c r="D4834" s="58" t="n">
        <f aca="false">D4824+D4825+D4826+D4827+D4828+D4829+D4830+D4831+D4832+D4833</f>
        <v>217413</v>
      </c>
      <c r="E4834" s="58" t="n">
        <f aca="false">E4824+E4825+E4826+E4827+E4828+E4829+E4830+E4831+E4832+E4833</f>
        <v>278567.1</v>
      </c>
      <c r="F4834" s="58" t="n">
        <f aca="false">F4824+F4825+F4826+F4827+F4828+F4829+F4830+F4831+F4832+F4833</f>
        <v>289709.784</v>
      </c>
      <c r="G4834" s="58" t="n">
        <f aca="false">G4824+G4825+G4826+G4827+G4828+G4829+G4830+G4831+G4832+G4833</f>
        <v>317098.501272</v>
      </c>
      <c r="H4834" s="2" t="s">
        <v>1278</v>
      </c>
    </row>
    <row r="4835" customFormat="false" ht="15" hidden="false" customHeight="false" outlineLevel="1" collapsed="false">
      <c r="A4835" s="7" t="s">
        <v>662</v>
      </c>
      <c r="B4835" s="8" t="s">
        <v>10</v>
      </c>
      <c r="C4835" s="58" t="n">
        <f aca="false">Pressupostos!$C$112+Pressupostos!$C$113+Pressupostos!$C$114*Pressupostos!$C$291+Pressupostos!$C$449</f>
        <v>65000</v>
      </c>
      <c r="D4835" s="58" t="n">
        <f aca="false">Pressupostos!$C$113+Pressupostos!$C$114*Pressupostos!$D$291+Pressupostos!$D$449</f>
        <v>65000</v>
      </c>
      <c r="E4835" s="58" t="n">
        <f aca="false">Pressupostos!$C$113+Pressupostos!$C$114*Pressupostos!$E$291+Pressupostos!$E$449</f>
        <v>70000</v>
      </c>
      <c r="F4835" s="58" t="n">
        <f aca="false">Pressupostos!$C$113+Pressupostos!$C$114*Pressupostos!$F$291+Pressupostos!$F$449</f>
        <v>75000</v>
      </c>
      <c r="G4835" s="58" t="n">
        <f aca="false">Pressupostos!$C$113+Pressupostos!$C$114*Pressupostos!$G$291+Pressupostos!$G$449</f>
        <v>80000</v>
      </c>
      <c r="H4835" s="2" t="s">
        <v>1279</v>
      </c>
    </row>
    <row r="4836" customFormat="false" ht="15" hidden="false" customHeight="false" outlineLevel="1" collapsed="false">
      <c r="A4836" s="7" t="s">
        <v>663</v>
      </c>
      <c r="B4836" s="8" t="s">
        <v>10</v>
      </c>
      <c r="C4836" s="58" t="n">
        <f aca="false">IF(C4658&lt;Pressupostos!$C$118,0,MAX(Pressupostos!$C$297,Pressupostos!$C$116*(C4746+C4747)+Pressupostos!$C$117*C4748))</f>
        <v>0</v>
      </c>
      <c r="D4836" s="58" t="n">
        <f aca="false">IF(D4658&lt;Pressupostos!$C$118,0,MAX(Pressupostos!$D$297,Pressupostos!$C$116*(D4746+D4747)+Pressupostos!$C$117*D4748))</f>
        <v>14008.28</v>
      </c>
      <c r="E4836" s="58" t="n">
        <f aca="false">IF(E4658&lt;Pressupostos!$C$118,0,MAX(Pressupostos!$E$297,Pressupostos!$C$116*(E4746+E4747)+Pressupostos!$C$117*E4748))</f>
        <v>33128.94</v>
      </c>
      <c r="F4836" s="58" t="n">
        <f aca="false">IF(F4658&lt;Pressupostos!$C$118,0,MAX(Pressupostos!$F$297,Pressupostos!$C$116*(F4746+F4747)+Pressupostos!$C$117*F4748))</f>
        <v>55129.1</v>
      </c>
      <c r="G4836" s="58" t="n">
        <f aca="false">IF(G4658&lt;Pressupostos!$C$118,0,MAX(Pressupostos!$G$297,Pressupostos!$C$116*(G4746+G4747)+Pressupostos!$C$117*G4748))</f>
        <v>80392</v>
      </c>
      <c r="H4836" s="2" t="s">
        <v>1280</v>
      </c>
    </row>
    <row r="4837" customFormat="false" ht="15" hidden="false" customHeight="false" outlineLevel="1" collapsed="false">
      <c r="A4837" s="52" t="s">
        <v>664</v>
      </c>
      <c r="B4837" s="53" t="s">
        <v>10</v>
      </c>
      <c r="C4837" s="59" t="n">
        <f aca="false">C4834+C4835+C4836</f>
        <v>298100</v>
      </c>
      <c r="D4837" s="59" t="n">
        <f aca="false">D4834+D4835+D4836</f>
        <v>296421.28</v>
      </c>
      <c r="E4837" s="59" t="n">
        <f aca="false">E4834+E4835+E4836</f>
        <v>381696.04</v>
      </c>
      <c r="F4837" s="59" t="n">
        <f aca="false">F4834+F4835+F4836</f>
        <v>419838.884</v>
      </c>
      <c r="G4837" s="59" t="n">
        <f aca="false">G4834+G4835+G4836</f>
        <v>477490.501272</v>
      </c>
      <c r="H4837" s="2" t="s">
        <v>1281</v>
      </c>
    </row>
    <row r="4838" customFormat="false" ht="15" hidden="false" customHeight="false" outlineLevel="0" collapsed="false">
      <c r="A4838" s="3" t="s">
        <v>1282</v>
      </c>
      <c r="B4838" s="4"/>
      <c r="C4838" s="4"/>
      <c r="D4838" s="4"/>
      <c r="E4838" s="4"/>
      <c r="F4838" s="4"/>
      <c r="G4838" s="4"/>
      <c r="H4838" s="4"/>
    </row>
    <row r="4839" customFormat="false" ht="15" hidden="false" customHeight="false" outlineLevel="1" collapsed="false">
      <c r="A4839" s="7" t="s">
        <v>666</v>
      </c>
      <c r="B4839" s="8" t="s">
        <v>10</v>
      </c>
      <c r="C4839" s="58" t="n">
        <f aca="false">Pressupostos!$C$163*Pressupostos!$C$304</f>
        <v>18000</v>
      </c>
      <c r="D4839" s="58" t="n">
        <f aca="false">Pressupostos!$C$163*Pressupostos!$D$304</f>
        <v>12000</v>
      </c>
      <c r="E4839" s="58" t="n">
        <f aca="false">Pressupostos!$C$163*Pressupostos!$E$304</f>
        <v>12000</v>
      </c>
      <c r="F4839" s="58" t="n">
        <f aca="false">Pressupostos!$C$163*Pressupostos!$F$304</f>
        <v>12000</v>
      </c>
      <c r="G4839" s="58" t="n">
        <f aca="false">Pressupostos!$C$163*Pressupostos!$G$304</f>
        <v>12000</v>
      </c>
      <c r="H4839" s="2" t="s">
        <v>1283</v>
      </c>
    </row>
    <row r="4840" customFormat="false" ht="15" hidden="false" customHeight="false" outlineLevel="1" collapsed="false">
      <c r="A4840" s="7" t="s">
        <v>667</v>
      </c>
      <c r="B4840" s="8" t="s">
        <v>10</v>
      </c>
      <c r="C4840" s="50" t="n">
        <f aca="false">Pressupostos!$C$310</f>
        <v>60000</v>
      </c>
      <c r="D4840" s="50" t="n">
        <f aca="false">Pressupostos!$D$310</f>
        <v>30000</v>
      </c>
      <c r="E4840" s="50" t="n">
        <f aca="false">Pressupostos!$E$310</f>
        <v>30000</v>
      </c>
      <c r="F4840" s="50" t="n">
        <f aca="false">Pressupostos!$F$310</f>
        <v>20000</v>
      </c>
      <c r="G4840" s="50" t="n">
        <f aca="false">Pressupostos!$G$310</f>
        <v>20000</v>
      </c>
      <c r="H4840" s="2" t="s">
        <v>1284</v>
      </c>
    </row>
    <row r="4841" customFormat="false" ht="15" hidden="false" customHeight="false" outlineLevel="1" collapsed="false">
      <c r="A4841" s="7" t="s">
        <v>668</v>
      </c>
      <c r="B4841" s="8" t="s">
        <v>10</v>
      </c>
      <c r="C4841" s="58" t="n">
        <f aca="false">Pressupostos!$C$164*MAX(0,C4804)</f>
        <v>11000</v>
      </c>
      <c r="D4841" s="58" t="n">
        <f aca="false">Pressupostos!$C$164*MAX(0,D4804-C4804)</f>
        <v>4000</v>
      </c>
      <c r="E4841" s="58" t="n">
        <f aca="false">Pressupostos!$C$164*MAX(0,E4804-D4804)</f>
        <v>2000</v>
      </c>
      <c r="F4841" s="58" t="n">
        <f aca="false">Pressupostos!$C$164*MAX(0,F4804-E4804)</f>
        <v>5000</v>
      </c>
      <c r="G4841" s="58" t="n">
        <f aca="false">Pressupostos!$C$164*MAX(0,G4804-F4804)</f>
        <v>2000</v>
      </c>
      <c r="H4841" s="2" t="s">
        <v>1285</v>
      </c>
    </row>
    <row r="4842" customFormat="false" ht="15" hidden="false" customHeight="false" outlineLevel="1" collapsed="false">
      <c r="A4842" s="7" t="s">
        <v>407</v>
      </c>
      <c r="B4842" s="8" t="s">
        <v>10</v>
      </c>
      <c r="C4842" s="58" t="n">
        <f aca="false">C4839+C4840+C4841</f>
        <v>89000</v>
      </c>
      <c r="D4842" s="58" t="n">
        <f aca="false">D4839+D4840+D4841</f>
        <v>46000</v>
      </c>
      <c r="E4842" s="58" t="n">
        <f aca="false">E4839+E4840+E4841</f>
        <v>44000</v>
      </c>
      <c r="F4842" s="58" t="n">
        <f aca="false">F4839+F4840+F4841</f>
        <v>37000</v>
      </c>
      <c r="G4842" s="58" t="n">
        <f aca="false">G4839+G4840+G4841</f>
        <v>34000</v>
      </c>
      <c r="H4842" s="2" t="s">
        <v>1286</v>
      </c>
    </row>
    <row r="4843" customFormat="false" ht="15" hidden="false" customHeight="false" outlineLevel="1" collapsed="false">
      <c r="A4843" s="7" t="s">
        <v>669</v>
      </c>
      <c r="B4843" s="8" t="s">
        <v>10</v>
      </c>
      <c r="C4843" s="58" t="n">
        <f aca="false">(C4840*((0)&lt;Pressupostos!$C$165))/Pressupostos!$C$165</f>
        <v>20000</v>
      </c>
      <c r="D4843" s="58" t="n">
        <f aca="false">(C4840*((1)&lt;Pressupostos!$C$165)+D4840*((0)&lt;Pressupostos!$C$165))/Pressupostos!$C$165</f>
        <v>30000</v>
      </c>
      <c r="E4843" s="58" t="n">
        <f aca="false">(C4840*((2)&lt;Pressupostos!$C$165)+D4840*((1)&lt;Pressupostos!$C$165)+E4840*((0)&lt;Pressupostos!$C$165))/Pressupostos!$C$165</f>
        <v>40000</v>
      </c>
      <c r="F4843" s="58" t="n">
        <f aca="false">(C4840*((3)&lt;Pressupostos!$C$165)+D4840*((2)&lt;Pressupostos!$C$165)+E4840*((1)&lt;Pressupostos!$C$165)+F4840*((0)&lt;Pressupostos!$C$165))/Pressupostos!$C$165</f>
        <v>26666.6666666667</v>
      </c>
      <c r="G4843" s="58" t="n">
        <f aca="false">(C4840*((4)&lt;Pressupostos!$C$165)+D4840*((3)&lt;Pressupostos!$C$165)+E4840*((2)&lt;Pressupostos!$C$165)+F4840*((1)&lt;Pressupostos!$C$165)+G4840*((0)&lt;Pressupostos!$C$165))/Pressupostos!$C$165</f>
        <v>23333.3333333333</v>
      </c>
      <c r="H4843" s="2" t="s">
        <v>1287</v>
      </c>
    </row>
    <row r="4844" customFormat="false" ht="15" hidden="false" customHeight="false" outlineLevel="1" collapsed="false">
      <c r="A4844" s="7" t="s">
        <v>670</v>
      </c>
      <c r="B4844" s="8" t="s">
        <v>10</v>
      </c>
      <c r="C4844" s="58" t="n">
        <f aca="false">(C4839*((0)&lt;Pressupostos!$C$167))/Pressupostos!$C$167</f>
        <v>3600</v>
      </c>
      <c r="D4844" s="58" t="n">
        <f aca="false">(C4839*((1)&lt;Pressupostos!$C$167)+D4839*((0)&lt;Pressupostos!$C$167))/Pressupostos!$C$167</f>
        <v>6000</v>
      </c>
      <c r="E4844" s="58" t="n">
        <f aca="false">(C4839*((2)&lt;Pressupostos!$C$167)+D4839*((1)&lt;Pressupostos!$C$167)+E4839*((0)&lt;Pressupostos!$C$167))/Pressupostos!$C$167</f>
        <v>8400</v>
      </c>
      <c r="F4844" s="58" t="n">
        <f aca="false">(C4839*((3)&lt;Pressupostos!$C$167)+D4839*((2)&lt;Pressupostos!$C$167)+E4839*((1)&lt;Pressupostos!$C$167)+F4839*((0)&lt;Pressupostos!$C$167))/Pressupostos!$C$167</f>
        <v>10800</v>
      </c>
      <c r="G4844" s="58" t="n">
        <f aca="false">(C4839*((4)&lt;Pressupostos!$C$167)+D4839*((3)&lt;Pressupostos!$C$167)+E4839*((2)&lt;Pressupostos!$C$167)+F4839*((1)&lt;Pressupostos!$C$167)+G4839*((0)&lt;Pressupostos!$C$167))/Pressupostos!$C$167</f>
        <v>13200</v>
      </c>
      <c r="H4844" s="2" t="s">
        <v>1288</v>
      </c>
    </row>
    <row r="4845" customFormat="false" ht="15" hidden="false" customHeight="false" outlineLevel="1" collapsed="false">
      <c r="A4845" s="7" t="s">
        <v>671</v>
      </c>
      <c r="B4845" s="8" t="s">
        <v>10</v>
      </c>
      <c r="C4845" s="58" t="n">
        <f aca="false">(C4841*((0)&lt;Pressupostos!$C$166))/Pressupostos!$C$166</f>
        <v>2750</v>
      </c>
      <c r="D4845" s="58" t="n">
        <f aca="false">(C4841*((1)&lt;Pressupostos!$C$166)+D4841*((0)&lt;Pressupostos!$C$166))/Pressupostos!$C$166</f>
        <v>3750</v>
      </c>
      <c r="E4845" s="58" t="n">
        <f aca="false">(C4841*((2)&lt;Pressupostos!$C$166)+D4841*((1)&lt;Pressupostos!$C$166)+E4841*((0)&lt;Pressupostos!$C$166))/Pressupostos!$C$166</f>
        <v>4250</v>
      </c>
      <c r="F4845" s="58" t="n">
        <f aca="false">(C4841*((3)&lt;Pressupostos!$C$166)+D4841*((2)&lt;Pressupostos!$C$166)+E4841*((1)&lt;Pressupostos!$C$166)+F4841*((0)&lt;Pressupostos!$C$166))/Pressupostos!$C$166</f>
        <v>5500</v>
      </c>
      <c r="G4845" s="58" t="n">
        <f aca="false">(C4841*((4)&lt;Pressupostos!$C$166)+D4841*((3)&lt;Pressupostos!$C$166)+E4841*((2)&lt;Pressupostos!$C$166)+F4841*((1)&lt;Pressupostos!$C$166)+G4841*((0)&lt;Pressupostos!$C$166))/Pressupostos!$C$166</f>
        <v>3250</v>
      </c>
      <c r="H4845" s="2" t="s">
        <v>1289</v>
      </c>
    </row>
    <row r="4846" customFormat="false" ht="15" hidden="false" customHeight="false" outlineLevel="1" collapsed="false">
      <c r="A4846" s="7" t="s">
        <v>672</v>
      </c>
      <c r="B4846" s="8" t="s">
        <v>10</v>
      </c>
      <c r="C4846" s="58" t="n">
        <f aca="false">C4843+C4844+C4845</f>
        <v>26350</v>
      </c>
      <c r="D4846" s="58" t="n">
        <f aca="false">D4843+D4844+D4845</f>
        <v>39750</v>
      </c>
      <c r="E4846" s="58" t="n">
        <f aca="false">E4843+E4844+E4845</f>
        <v>52650</v>
      </c>
      <c r="F4846" s="58" t="n">
        <f aca="false">F4843+F4844+F4845</f>
        <v>42966.6666666667</v>
      </c>
      <c r="G4846" s="58" t="n">
        <f aca="false">G4843+G4844+G4845</f>
        <v>39783.3333333333</v>
      </c>
      <c r="H4846" s="2" t="s">
        <v>1290</v>
      </c>
    </row>
    <row r="4847" customFormat="false" ht="15" hidden="false" customHeight="false" outlineLevel="0" collapsed="false">
      <c r="A4847" s="3" t="s">
        <v>1291</v>
      </c>
      <c r="B4847" s="4"/>
      <c r="C4847" s="4"/>
      <c r="D4847" s="4"/>
      <c r="E4847" s="4"/>
      <c r="F4847" s="4"/>
      <c r="G4847" s="4"/>
      <c r="H4847" s="4"/>
    </row>
    <row r="4848" customFormat="false" ht="15" hidden="false" customHeight="false" outlineLevel="1" collapsed="false">
      <c r="A4848" s="52" t="s">
        <v>676</v>
      </c>
      <c r="B4848" s="53" t="s">
        <v>10</v>
      </c>
      <c r="C4848" s="59" t="n">
        <f aca="false">C4755</f>
        <v>358636.72</v>
      </c>
      <c r="D4848" s="59" t="n">
        <f aca="false">D4755</f>
        <v>4699267.7</v>
      </c>
      <c r="E4848" s="59" t="n">
        <f aca="false">E4755</f>
        <v>11873512.2</v>
      </c>
      <c r="F4848" s="59" t="n">
        <f aca="false">F4755</f>
        <v>19992047.6</v>
      </c>
      <c r="G4848" s="59" t="n">
        <f aca="false">G4755</f>
        <v>29048318</v>
      </c>
      <c r="H4848" s="2" t="s">
        <v>1292</v>
      </c>
    </row>
    <row r="4849" customFormat="false" ht="15" hidden="false" customHeight="false" outlineLevel="1" collapsed="false">
      <c r="A4849" s="7" t="s">
        <v>649</v>
      </c>
      <c r="B4849" s="8" t="s">
        <v>10</v>
      </c>
      <c r="C4849" s="58" t="n">
        <f aca="false">-C4776</f>
        <v>-318552</v>
      </c>
      <c r="D4849" s="58" t="n">
        <f aca="false">-D4776</f>
        <v>-4354090</v>
      </c>
      <c r="E4849" s="58" t="n">
        <f aca="false">-E4776</f>
        <v>-11047725</v>
      </c>
      <c r="F4849" s="58" t="n">
        <f aca="false">-F4776</f>
        <v>-18569005</v>
      </c>
      <c r="G4849" s="58" t="n">
        <f aca="false">-G4776</f>
        <v>-26923650</v>
      </c>
      <c r="H4849" s="2" t="s">
        <v>1293</v>
      </c>
    </row>
    <row r="4850" customFormat="false" ht="15" hidden="false" customHeight="false" outlineLevel="1" collapsed="false">
      <c r="A4850" s="52" t="s">
        <v>677</v>
      </c>
      <c r="B4850" s="53" t="s">
        <v>10</v>
      </c>
      <c r="C4850" s="59" t="n">
        <f aca="false">C4848+C4849</f>
        <v>40084.7199999999</v>
      </c>
      <c r="D4850" s="59" t="n">
        <f aca="false">D4848+D4849</f>
        <v>345177.7</v>
      </c>
      <c r="E4850" s="59" t="n">
        <f aca="false">E4848+E4849</f>
        <v>825787.199999999</v>
      </c>
      <c r="F4850" s="59" t="n">
        <f aca="false">F4848+F4849</f>
        <v>1423042.6</v>
      </c>
      <c r="G4850" s="59" t="n">
        <f aca="false">G4848+G4849</f>
        <v>2124668</v>
      </c>
      <c r="H4850" s="2" t="s">
        <v>1294</v>
      </c>
    </row>
    <row r="4851" customFormat="false" ht="15" hidden="false" customHeight="false" outlineLevel="1" collapsed="false">
      <c r="A4851" s="2" t="s">
        <v>678</v>
      </c>
      <c r="B4851" s="8" t="s">
        <v>71</v>
      </c>
      <c r="C4851" s="55" t="n">
        <f aca="false">IF(C4848&gt;0,C4850/C4848,0)</f>
        <v>0.111769703894236</v>
      </c>
      <c r="D4851" s="55" t="n">
        <f aca="false">IF(D4848&gt;0,D4850/D4848,0)</f>
        <v>0.0734535085115496</v>
      </c>
      <c r="E4851" s="55" t="n">
        <f aca="false">IF(E4848&gt;0,E4850/E4848,0)</f>
        <v>0.0695486883821957</v>
      </c>
      <c r="F4851" s="55" t="n">
        <f aca="false">IF(F4848&gt;0,F4850/F4848,0)</f>
        <v>0.0711804327636756</v>
      </c>
      <c r="G4851" s="55" t="n">
        <f aca="false">IF(G4848&gt;0,G4850/G4848,0)</f>
        <v>0.073142548219143</v>
      </c>
      <c r="H4851" s="2" t="s">
        <v>1295</v>
      </c>
    </row>
    <row r="4852" customFormat="false" ht="15" hidden="false" customHeight="false" outlineLevel="1" collapsed="false">
      <c r="A4852" s="7" t="s">
        <v>679</v>
      </c>
      <c r="B4852" s="8" t="s">
        <v>10</v>
      </c>
      <c r="C4852" s="58" t="n">
        <f aca="false">-C4786</f>
        <v>-20142.4893835616</v>
      </c>
      <c r="D4852" s="58" t="n">
        <f aca="false">-D4786</f>
        <v>-179379.706421233</v>
      </c>
      <c r="E4852" s="58" t="n">
        <f aca="false">-E4786</f>
        <v>-416469.122808219</v>
      </c>
      <c r="F4852" s="58" t="n">
        <f aca="false">-F4786</f>
        <v>-700490.023732877</v>
      </c>
      <c r="G4852" s="58" t="n">
        <f aca="false">-G4786</f>
        <v>-1024351.75308219</v>
      </c>
      <c r="H4852" s="2" t="s">
        <v>1296</v>
      </c>
    </row>
    <row r="4853" customFormat="false" ht="15" hidden="false" customHeight="false" outlineLevel="1" collapsed="false">
      <c r="A4853" s="7" t="s">
        <v>658</v>
      </c>
      <c r="B4853" s="8" t="s">
        <v>10</v>
      </c>
      <c r="C4853" s="58" t="n">
        <f aca="false">-C4789</f>
        <v>-0</v>
      </c>
      <c r="D4853" s="58" t="n">
        <f aca="false">-D4789</f>
        <v>-50406.4849315069</v>
      </c>
      <c r="E4853" s="58" t="n">
        <f aca="false">-E4789</f>
        <v>-100501.322131849</v>
      </c>
      <c r="F4853" s="58" t="n">
        <f aca="false">-F4789</f>
        <v>-157755.176969178</v>
      </c>
      <c r="G4853" s="58" t="n">
        <f aca="false">-G4789</f>
        <v>-231401.858732877</v>
      </c>
      <c r="H4853" s="2" t="s">
        <v>1297</v>
      </c>
    </row>
    <row r="4854" customFormat="false" ht="15" hidden="false" customHeight="false" outlineLevel="1" collapsed="false">
      <c r="A4854" s="52" t="s">
        <v>641</v>
      </c>
      <c r="B4854" s="53" t="s">
        <v>10</v>
      </c>
      <c r="C4854" s="59" t="n">
        <f aca="false">C4850+C4852+C4853</f>
        <v>19942.2306164383</v>
      </c>
      <c r="D4854" s="59" t="n">
        <f aca="false">D4850+D4852+D4853</f>
        <v>115391.50864726</v>
      </c>
      <c r="E4854" s="59" t="n">
        <f aca="false">E4850+E4852+E4853</f>
        <v>308816.755059931</v>
      </c>
      <c r="F4854" s="59" t="n">
        <f aca="false">F4850+F4852+F4853</f>
        <v>564797.399297947</v>
      </c>
      <c r="G4854" s="59" t="n">
        <f aca="false">G4850+G4852+G4853</f>
        <v>868914.388184932</v>
      </c>
      <c r="H4854" s="2" t="s">
        <v>1298</v>
      </c>
    </row>
    <row r="4855" customFormat="false" ht="15" hidden="false" customHeight="false" outlineLevel="1" collapsed="false">
      <c r="A4855" s="7" t="s">
        <v>251</v>
      </c>
      <c r="B4855" s="8" t="s">
        <v>10</v>
      </c>
      <c r="C4855" s="58" t="n">
        <f aca="false">-C4821</f>
        <v>-303573.09375</v>
      </c>
      <c r="D4855" s="58" t="n">
        <f aca="false">-D4821</f>
        <v>-477845.325</v>
      </c>
      <c r="E4855" s="58" t="n">
        <f aca="false">-E4821</f>
        <v>-563341.2153125</v>
      </c>
      <c r="F4855" s="58" t="n">
        <f aca="false">-F4821</f>
        <v>-697007.527174375</v>
      </c>
      <c r="G4855" s="58" t="n">
        <f aca="false">-G4821</f>
        <v>-768997.563445444</v>
      </c>
      <c r="H4855" s="2" t="s">
        <v>1299</v>
      </c>
    </row>
    <row r="4856" customFormat="false" ht="15" hidden="false" customHeight="false" outlineLevel="1" collapsed="false">
      <c r="A4856" s="7" t="s">
        <v>680</v>
      </c>
      <c r="B4856" s="8" t="s">
        <v>10</v>
      </c>
      <c r="C4856" s="58" t="n">
        <f aca="false">-C4837</f>
        <v>-298100</v>
      </c>
      <c r="D4856" s="58" t="n">
        <f aca="false">-D4837</f>
        <v>-296421.28</v>
      </c>
      <c r="E4856" s="58" t="n">
        <f aca="false">-E4837</f>
        <v>-381696.04</v>
      </c>
      <c r="F4856" s="58" t="n">
        <f aca="false">-F4837</f>
        <v>-419838.884</v>
      </c>
      <c r="G4856" s="58" t="n">
        <f aca="false">-G4837</f>
        <v>-477490.501272</v>
      </c>
      <c r="H4856" s="2" t="s">
        <v>1300</v>
      </c>
    </row>
    <row r="4857" customFormat="false" ht="15" hidden="false" customHeight="false" outlineLevel="1" collapsed="false">
      <c r="A4857" s="52" t="s">
        <v>681</v>
      </c>
      <c r="B4857" s="53" t="s">
        <v>10</v>
      </c>
      <c r="C4857" s="59" t="n">
        <f aca="false">C4854+C4855+C4856</f>
        <v>-581730.863133562</v>
      </c>
      <c r="D4857" s="59" t="n">
        <f aca="false">D4854+D4855+D4856</f>
        <v>-658875.09635274</v>
      </c>
      <c r="E4857" s="59" t="n">
        <f aca="false">E4854+E4855+E4856</f>
        <v>-636220.500252569</v>
      </c>
      <c r="F4857" s="59" t="n">
        <f aca="false">F4854+F4855+F4856</f>
        <v>-552049.011876428</v>
      </c>
      <c r="G4857" s="59" t="n">
        <f aca="false">G4854+G4855+G4856</f>
        <v>-377573.676532512</v>
      </c>
      <c r="H4857" s="2" t="s">
        <v>1301</v>
      </c>
    </row>
    <row r="4858" customFormat="false" ht="15" hidden="false" customHeight="false" outlineLevel="1" collapsed="false">
      <c r="A4858" s="2" t="s">
        <v>683</v>
      </c>
      <c r="B4858" s="8" t="s">
        <v>71</v>
      </c>
      <c r="C4858" s="55" t="n">
        <f aca="false">IF(C4848&gt;0,C4857/C4848,0)</f>
        <v>-1.62206163142905</v>
      </c>
      <c r="D4858" s="55" t="n">
        <f aca="false">IF(D4848&gt;0,D4857/D4848,0)</f>
        <v>-0.140208036318667</v>
      </c>
      <c r="E4858" s="55" t="n">
        <f aca="false">IF(E4848&gt;0,E4857/E4848,0)</f>
        <v>-0.0535831765307463</v>
      </c>
      <c r="F4858" s="55" t="n">
        <f aca="false">IF(F4848&gt;0,F4857/F4848,0)</f>
        <v>-0.0276134302459558</v>
      </c>
      <c r="G4858" s="55" t="n">
        <f aca="false">IF(G4848&gt;0,G4857/G4848,0)</f>
        <v>-0.0129981252798359</v>
      </c>
      <c r="H4858" s="2" t="s">
        <v>1302</v>
      </c>
    </row>
    <row r="4859" customFormat="false" ht="15" hidden="false" customHeight="false" outlineLevel="1" collapsed="false">
      <c r="A4859" s="2" t="s">
        <v>684</v>
      </c>
      <c r="B4859" s="8" t="s">
        <v>10</v>
      </c>
      <c r="C4859" s="58" t="n">
        <f aca="false">C4857+C4789</f>
        <v>-581730.863133562</v>
      </c>
      <c r="D4859" s="58" t="n">
        <f aca="false">D4857+D4789</f>
        <v>-608468.611421233</v>
      </c>
      <c r="E4859" s="58" t="n">
        <f aca="false">E4857+E4789</f>
        <v>-535719.17812072</v>
      </c>
      <c r="F4859" s="58" t="n">
        <f aca="false">F4857+F4789</f>
        <v>-394293.83490725</v>
      </c>
      <c r="G4859" s="58" t="n">
        <f aca="false">G4857+G4789</f>
        <v>-146171.817799636</v>
      </c>
      <c r="H4859" s="2" t="s">
        <v>1303</v>
      </c>
    </row>
    <row r="4860" customFormat="false" ht="15" hidden="false" customHeight="false" outlineLevel="1" collapsed="false">
      <c r="A4860" s="7" t="s">
        <v>672</v>
      </c>
      <c r="B4860" s="8" t="s">
        <v>10</v>
      </c>
      <c r="C4860" s="58" t="n">
        <f aca="false">-C4846</f>
        <v>-26350</v>
      </c>
      <c r="D4860" s="58" t="n">
        <f aca="false">-D4846</f>
        <v>-39750</v>
      </c>
      <c r="E4860" s="58" t="n">
        <f aca="false">-E4846</f>
        <v>-52650</v>
      </c>
      <c r="F4860" s="58" t="n">
        <f aca="false">-F4846</f>
        <v>-42966.6666666667</v>
      </c>
      <c r="G4860" s="58" t="n">
        <f aca="false">-G4846</f>
        <v>-39783.3333333333</v>
      </c>
      <c r="H4860" s="2" t="s">
        <v>1304</v>
      </c>
    </row>
    <row r="4861" customFormat="false" ht="15" hidden="false" customHeight="false" outlineLevel="1" collapsed="false">
      <c r="A4861" s="52" t="s">
        <v>685</v>
      </c>
      <c r="B4861" s="53" t="s">
        <v>10</v>
      </c>
      <c r="C4861" s="59" t="n">
        <f aca="false">C4857+C4860</f>
        <v>-608080.863133562</v>
      </c>
      <c r="D4861" s="59" t="n">
        <f aca="false">D4857+D4860</f>
        <v>-698625.09635274</v>
      </c>
      <c r="E4861" s="59" t="n">
        <f aca="false">E4857+E4860</f>
        <v>-688870.500252569</v>
      </c>
      <c r="F4861" s="59" t="n">
        <f aca="false">F4857+F4860</f>
        <v>-595015.678543095</v>
      </c>
      <c r="G4861" s="59" t="n">
        <f aca="false">G4857+G4860</f>
        <v>-417357.009865846</v>
      </c>
      <c r="H4861" s="2" t="s">
        <v>1305</v>
      </c>
    </row>
    <row r="4862" customFormat="false" ht="15" hidden="false" customHeight="false" outlineLevel="0" collapsed="false">
      <c r="A4862" s="3" t="s">
        <v>1306</v>
      </c>
      <c r="B4862" s="4"/>
      <c r="C4862" s="4"/>
      <c r="D4862" s="4"/>
      <c r="E4862" s="4"/>
      <c r="F4862" s="4"/>
      <c r="G4862" s="4"/>
      <c r="H4862" s="4"/>
    </row>
    <row r="4863" customFormat="false" ht="15" hidden="false" customHeight="false" outlineLevel="1" collapsed="false">
      <c r="A4863" s="7" t="s">
        <v>687</v>
      </c>
      <c r="B4863" s="8" t="s">
        <v>10</v>
      </c>
      <c r="C4863" s="58" t="n">
        <f aca="false">C4861</f>
        <v>-608080.863133562</v>
      </c>
      <c r="D4863" s="58" t="n">
        <f aca="false">D4861</f>
        <v>-698625.09635274</v>
      </c>
      <c r="E4863" s="58" t="n">
        <f aca="false">E4861</f>
        <v>-688870.500252569</v>
      </c>
      <c r="F4863" s="58" t="n">
        <f aca="false">F4861</f>
        <v>-595015.678543095</v>
      </c>
      <c r="G4863" s="58" t="n">
        <f aca="false">G4861</f>
        <v>-417357.009865846</v>
      </c>
      <c r="H4863" s="2" t="s">
        <v>1307</v>
      </c>
    </row>
    <row r="4864" customFormat="false" ht="15" hidden="false" customHeight="false" outlineLevel="1" collapsed="false">
      <c r="A4864" s="7" t="s">
        <v>688</v>
      </c>
      <c r="B4864" s="8" t="s">
        <v>10</v>
      </c>
      <c r="C4864" s="58" t="n">
        <f aca="false">0</f>
        <v>0</v>
      </c>
      <c r="D4864" s="58" t="n">
        <f aca="false">C4867</f>
        <v>608080.863133562</v>
      </c>
      <c r="E4864" s="58" t="n">
        <f aca="false">D4867</f>
        <v>1306705.9594863</v>
      </c>
      <c r="F4864" s="58" t="n">
        <f aca="false">E4867</f>
        <v>1995576.45973887</v>
      </c>
      <c r="G4864" s="58" t="n">
        <f aca="false">F4867</f>
        <v>2590592.13828197</v>
      </c>
      <c r="H4864" s="2" t="s">
        <v>1308</v>
      </c>
    </row>
    <row r="4865" customFormat="false" ht="15" hidden="false" customHeight="false" outlineLevel="1" collapsed="false">
      <c r="A4865" s="7" t="s">
        <v>689</v>
      </c>
      <c r="B4865" s="8" t="s">
        <v>10</v>
      </c>
      <c r="C4865" s="58" t="n">
        <f aca="false">MAX(0,-C4863)</f>
        <v>608080.863133562</v>
      </c>
      <c r="D4865" s="58" t="n">
        <f aca="false">MAX(0,-D4863)</f>
        <v>698625.09635274</v>
      </c>
      <c r="E4865" s="58" t="n">
        <f aca="false">MAX(0,-E4863)</f>
        <v>688870.500252569</v>
      </c>
      <c r="F4865" s="58" t="n">
        <f aca="false">MAX(0,-F4863)</f>
        <v>595015.678543095</v>
      </c>
      <c r="G4865" s="58" t="n">
        <f aca="false">MAX(0,-G4863)</f>
        <v>417357.009865846</v>
      </c>
      <c r="H4865" s="2" t="s">
        <v>1309</v>
      </c>
    </row>
    <row r="4866" customFormat="false" ht="15" hidden="false" customHeight="false" outlineLevel="1" collapsed="false">
      <c r="A4866" s="7" t="s">
        <v>690</v>
      </c>
      <c r="B4866" s="8" t="s">
        <v>10</v>
      </c>
      <c r="C4866" s="58" t="n">
        <f aca="false">MIN(C4864,Pressupostos!$C$179*MAX(0,C4863))</f>
        <v>0</v>
      </c>
      <c r="D4866" s="58" t="n">
        <f aca="false">MIN(D4864,Pressupostos!$C$179*MAX(0,D4863))</f>
        <v>0</v>
      </c>
      <c r="E4866" s="58" t="n">
        <f aca="false">MIN(E4864,Pressupostos!$C$179*MAX(0,E4863))</f>
        <v>0</v>
      </c>
      <c r="F4866" s="58" t="n">
        <f aca="false">MIN(F4864,Pressupostos!$C$179*MAX(0,F4863))</f>
        <v>0</v>
      </c>
      <c r="G4866" s="58" t="n">
        <f aca="false">MIN(G4864,Pressupostos!$C$179*MAX(0,G4863))</f>
        <v>0</v>
      </c>
      <c r="H4866" s="2" t="s">
        <v>1310</v>
      </c>
    </row>
    <row r="4867" customFormat="false" ht="15" hidden="false" customHeight="false" outlineLevel="1" collapsed="false">
      <c r="A4867" s="7" t="s">
        <v>691</v>
      </c>
      <c r="B4867" s="8" t="s">
        <v>10</v>
      </c>
      <c r="C4867" s="58" t="n">
        <f aca="false">C4864+C4865-C4866</f>
        <v>608080.863133562</v>
      </c>
      <c r="D4867" s="58" t="n">
        <f aca="false">D4864+D4865-D4866</f>
        <v>1306705.9594863</v>
      </c>
      <c r="E4867" s="58" t="n">
        <f aca="false">E4864+E4865-E4866</f>
        <v>1995576.45973887</v>
      </c>
      <c r="F4867" s="58" t="n">
        <f aca="false">F4864+F4865-F4866</f>
        <v>2590592.13828197</v>
      </c>
      <c r="G4867" s="58" t="n">
        <f aca="false">G4864+G4865-G4866</f>
        <v>3007949.14814781</v>
      </c>
      <c r="H4867" s="2" t="s">
        <v>1311</v>
      </c>
    </row>
    <row r="4868" customFormat="false" ht="15" hidden="false" customHeight="false" outlineLevel="1" collapsed="false">
      <c r="A4868" s="7" t="s">
        <v>692</v>
      </c>
      <c r="B4868" s="8" t="s">
        <v>10</v>
      </c>
      <c r="C4868" s="58" t="n">
        <f aca="false">MAX(0,C4863)-C4866</f>
        <v>0</v>
      </c>
      <c r="D4868" s="58" t="n">
        <f aca="false">MAX(0,D4863)-D4866</f>
        <v>0</v>
      </c>
      <c r="E4868" s="58" t="n">
        <f aca="false">MAX(0,E4863)-E4866</f>
        <v>0</v>
      </c>
      <c r="F4868" s="58" t="n">
        <f aca="false">MAX(0,F4863)-F4866</f>
        <v>0</v>
      </c>
      <c r="G4868" s="58" t="n">
        <f aca="false">MAX(0,G4863)-G4866</f>
        <v>0</v>
      </c>
      <c r="H4868" s="2" t="s">
        <v>1312</v>
      </c>
    </row>
    <row r="4869" customFormat="false" ht="15" hidden="false" customHeight="false" outlineLevel="1" collapsed="false">
      <c r="A4869" s="7" t="s">
        <v>693</v>
      </c>
      <c r="B4869" s="8" t="s">
        <v>10</v>
      </c>
      <c r="C4869" s="58" t="n">
        <f aca="false">Pressupostos!$C$170*MIN(C4868,Pressupostos!$C$171)+Pressupostos!$C$450*MAX(0,C4868-Pressupostos!$C$171)</f>
        <v>0</v>
      </c>
      <c r="D4869" s="58" t="n">
        <f aca="false">Pressupostos!$C$170*MIN(D4868,Pressupostos!$C$171)+Pressupostos!$D$450*MAX(0,D4868-Pressupostos!$C$171)</f>
        <v>0</v>
      </c>
      <c r="E4869" s="58" t="n">
        <f aca="false">Pressupostos!$C$170*MIN(E4868,Pressupostos!$C$171)+Pressupostos!$E$450*MAX(0,E4868-Pressupostos!$C$171)</f>
        <v>0</v>
      </c>
      <c r="F4869" s="58" t="n">
        <f aca="false">Pressupostos!$C$170*MIN(F4868,Pressupostos!$C$171)+Pressupostos!$F$450*MAX(0,F4868-Pressupostos!$C$171)</f>
        <v>0</v>
      </c>
      <c r="G4869" s="58" t="n">
        <f aca="false">Pressupostos!$C$170*MIN(G4868,Pressupostos!$C$171)+Pressupostos!$G$450*MAX(0,G4868-Pressupostos!$C$171)</f>
        <v>0</v>
      </c>
      <c r="H4869" s="2" t="s">
        <v>1313</v>
      </c>
    </row>
    <row r="4870" customFormat="false" ht="15" hidden="false" customHeight="false" outlineLevel="1" collapsed="false">
      <c r="A4870" s="7" t="s">
        <v>694</v>
      </c>
      <c r="B4870" s="8" t="s">
        <v>10</v>
      </c>
      <c r="C4870" s="58" t="n">
        <f aca="false">Pressupostos!$C$172*MAX(0,C4863)</f>
        <v>0</v>
      </c>
      <c r="D4870" s="58" t="n">
        <f aca="false">Pressupostos!$C$172*MAX(0,D4863)</f>
        <v>0</v>
      </c>
      <c r="E4870" s="58" t="n">
        <f aca="false">Pressupostos!$C$172*MAX(0,E4863)</f>
        <v>0</v>
      </c>
      <c r="F4870" s="58" t="n">
        <f aca="false">Pressupostos!$C$172*MAX(0,F4863)</f>
        <v>0</v>
      </c>
      <c r="G4870" s="58" t="n">
        <f aca="false">Pressupostos!$C$172*MAX(0,G4863)</f>
        <v>0</v>
      </c>
      <c r="H4870" s="2" t="s">
        <v>1314</v>
      </c>
    </row>
    <row r="4871" customFormat="false" ht="15" hidden="false" customHeight="false" outlineLevel="1" collapsed="false">
      <c r="A4871" s="7" t="s">
        <v>695</v>
      </c>
      <c r="B4871" s="8" t="s">
        <v>10</v>
      </c>
      <c r="C4871" s="58" t="n">
        <f aca="false">Pressupostos!$C$174*MAX(0,MIN(C4863,Pressupostos!$C$175)-Pressupostos!$C$173)+Pressupostos!$C$176*MAX(0,MIN(C4863,Pressupostos!$C$177)-Pressupostos!$C$175)+Pressupostos!$C$178*MAX(0,C4863-Pressupostos!$C$177)</f>
        <v>0</v>
      </c>
      <c r="D4871" s="58" t="n">
        <f aca="false">Pressupostos!$C$174*MAX(0,MIN(D4863,Pressupostos!$C$175)-Pressupostos!$C$173)+Pressupostos!$C$176*MAX(0,MIN(D4863,Pressupostos!$C$177)-Pressupostos!$C$175)+Pressupostos!$C$178*MAX(0,D4863-Pressupostos!$C$177)</f>
        <v>0</v>
      </c>
      <c r="E4871" s="58" t="n">
        <f aca="false">Pressupostos!$C$174*MAX(0,MIN(E4863,Pressupostos!$C$175)-Pressupostos!$C$173)+Pressupostos!$C$176*MAX(0,MIN(E4863,Pressupostos!$C$177)-Pressupostos!$C$175)+Pressupostos!$C$178*MAX(0,E4863-Pressupostos!$C$177)</f>
        <v>0</v>
      </c>
      <c r="F4871" s="58" t="n">
        <f aca="false">Pressupostos!$C$174*MAX(0,MIN(F4863,Pressupostos!$C$175)-Pressupostos!$C$173)+Pressupostos!$C$176*MAX(0,MIN(F4863,Pressupostos!$C$177)-Pressupostos!$C$175)+Pressupostos!$C$178*MAX(0,F4863-Pressupostos!$C$177)</f>
        <v>0</v>
      </c>
      <c r="G4871" s="58" t="n">
        <f aca="false">Pressupostos!$C$174*MAX(0,MIN(G4863,Pressupostos!$C$175)-Pressupostos!$C$173)+Pressupostos!$C$176*MAX(0,MIN(G4863,Pressupostos!$C$177)-Pressupostos!$C$175)+Pressupostos!$C$178*MAX(0,G4863-Pressupostos!$C$177)</f>
        <v>0</v>
      </c>
      <c r="H4871" s="2" t="s">
        <v>1315</v>
      </c>
    </row>
    <row r="4872" customFormat="false" ht="15" hidden="false" customHeight="false" outlineLevel="1" collapsed="false">
      <c r="A4872" s="7" t="s">
        <v>696</v>
      </c>
      <c r="B4872" s="8" t="s">
        <v>10</v>
      </c>
      <c r="C4872" s="58" t="n">
        <f aca="false">C4869+C4870+C4871</f>
        <v>0</v>
      </c>
      <c r="D4872" s="58" t="n">
        <f aca="false">D4869+D4870+D4871</f>
        <v>0</v>
      </c>
      <c r="E4872" s="58" t="n">
        <f aca="false">E4869+E4870+E4871</f>
        <v>0</v>
      </c>
      <c r="F4872" s="58" t="n">
        <f aca="false">F4869+F4870+F4871</f>
        <v>0</v>
      </c>
      <c r="G4872" s="58" t="n">
        <f aca="false">G4869+G4870+G4871</f>
        <v>0</v>
      </c>
      <c r="H4872" s="2" t="s">
        <v>1316</v>
      </c>
    </row>
    <row r="4873" customFormat="false" ht="15" hidden="false" customHeight="false" outlineLevel="0" collapsed="false">
      <c r="A4873" s="3" t="s">
        <v>1317</v>
      </c>
      <c r="B4873" s="4"/>
      <c r="C4873" s="4"/>
      <c r="D4873" s="4"/>
      <c r="E4873" s="4"/>
      <c r="F4873" s="4"/>
      <c r="G4873" s="4"/>
      <c r="H4873" s="4"/>
    </row>
    <row r="4874" customFormat="false" ht="15" hidden="false" customHeight="false" outlineLevel="1" collapsed="false">
      <c r="A4874" s="7" t="s">
        <v>696</v>
      </c>
      <c r="B4874" s="8" t="s">
        <v>10</v>
      </c>
      <c r="C4874" s="58" t="n">
        <f aca="false">-C4872</f>
        <v>-0</v>
      </c>
      <c r="D4874" s="58" t="n">
        <f aca="false">-D4872</f>
        <v>-0</v>
      </c>
      <c r="E4874" s="58" t="n">
        <f aca="false">-E4872</f>
        <v>-0</v>
      </c>
      <c r="F4874" s="58" t="n">
        <f aca="false">-F4872</f>
        <v>-0</v>
      </c>
      <c r="G4874" s="58" t="n">
        <f aca="false">-G4872</f>
        <v>-0</v>
      </c>
      <c r="H4874" s="2" t="s">
        <v>1318</v>
      </c>
    </row>
    <row r="4875" customFormat="false" ht="15" hidden="false" customHeight="false" outlineLevel="1" collapsed="false">
      <c r="A4875" s="52" t="s">
        <v>698</v>
      </c>
      <c r="B4875" s="53" t="s">
        <v>10</v>
      </c>
      <c r="C4875" s="59" t="n">
        <f aca="false">C4861+C4874</f>
        <v>-608080.863133562</v>
      </c>
      <c r="D4875" s="59" t="n">
        <f aca="false">D4861+D4874</f>
        <v>-698625.09635274</v>
      </c>
      <c r="E4875" s="59" t="n">
        <f aca="false">E4861+E4874</f>
        <v>-688870.500252569</v>
      </c>
      <c r="F4875" s="59" t="n">
        <f aca="false">F4861+F4874</f>
        <v>-595015.678543095</v>
      </c>
      <c r="G4875" s="59" t="n">
        <f aca="false">G4861+G4874</f>
        <v>-417357.009865846</v>
      </c>
      <c r="H4875" s="2" t="s">
        <v>1319</v>
      </c>
    </row>
    <row r="4876" customFormat="false" ht="15" hidden="false" customHeight="false" outlineLevel="0" collapsed="false">
      <c r="A4876" s="3" t="s">
        <v>1320</v>
      </c>
      <c r="B4876" s="4"/>
      <c r="C4876" s="4"/>
      <c r="D4876" s="4"/>
      <c r="E4876" s="4"/>
      <c r="F4876" s="4"/>
      <c r="G4876" s="4"/>
      <c r="H4876" s="4"/>
    </row>
    <row r="4877" customFormat="false" ht="15" hidden="false" customHeight="false" outlineLevel="1" collapsed="false">
      <c r="A4877" s="7" t="s">
        <v>702</v>
      </c>
      <c r="B4877" s="8" t="s">
        <v>10</v>
      </c>
      <c r="C4877" s="58" t="n">
        <f aca="false">C4661*1000*((C4677+C4680)*C4683/365)+C4662*1000*((C4700+C4703)*C4706/365)+C4663*1000*((C4723+C4726)*C4729/365)</f>
        <v>44581.8082191781</v>
      </c>
      <c r="D4877" s="58" t="n">
        <f aca="false">D4661*1000*((D4677+D4680)*D4683/365)+D4662*1000*((D4700+D4703)*D4706/365)+D4663*1000*((D4723+D4726)*D4729/365)</f>
        <v>333375.205479452</v>
      </c>
      <c r="E4877" s="58" t="n">
        <f aca="false">E4661*1000*((E4677+E4680)*E4683/365)+E4662*1000*((E4700+E4703)*E4706/365)+E4663*1000*((E4723+E4726)*E4729/365)</f>
        <v>645952.191780822</v>
      </c>
      <c r="F4877" s="58" t="n">
        <f aca="false">F4661*1000*((F4677+F4680)*F4683/365)+F4662*1000*((F4700+F4703)*F4706/365)+F4663*1000*((F4723+F4726)*F4729/365)</f>
        <v>1075993.97260274</v>
      </c>
      <c r="G4877" s="58" t="n">
        <f aca="false">G4661*1000*((G4677+G4680)*G4683/365)+G4662*1000*((G4700+G4703)*G4706/365)+G4663*1000*((G4723+G4726)*G4729/365)</f>
        <v>1567052.05479452</v>
      </c>
      <c r="H4877" s="2" t="s">
        <v>1321</v>
      </c>
    </row>
    <row r="4878" customFormat="false" ht="15" hidden="false" customHeight="false" outlineLevel="1" collapsed="false">
      <c r="A4878" s="7" t="s">
        <v>703</v>
      </c>
      <c r="B4878" s="8" t="s">
        <v>10</v>
      </c>
      <c r="C4878" s="58" t="n">
        <f aca="false">C4877+C4672*1000*Pressupostos!$C$90*Pressupostos!$C$93/365</f>
        <v>44581.8082191781</v>
      </c>
      <c r="D4878" s="58" t="n">
        <f aca="false">D4877+D4672*1000*Pressupostos!$C$90*Pressupostos!$C$93/365</f>
        <v>333375.205479452</v>
      </c>
      <c r="E4878" s="58" t="n">
        <f aca="false">E4877+E4672*1000*Pressupostos!$C$90*Pressupostos!$C$93/365</f>
        <v>645952.191780822</v>
      </c>
      <c r="F4878" s="58" t="n">
        <f aca="false">F4877+F4672*1000*Pressupostos!$C$90*Pressupostos!$C$93/365</f>
        <v>1098432.32876712</v>
      </c>
      <c r="G4878" s="58" t="n">
        <f aca="false">G4877+G4672*1000*Pressupostos!$C$90*Pressupostos!$C$93/365</f>
        <v>1623147.94520548</v>
      </c>
      <c r="H4878" s="2" t="s">
        <v>1322</v>
      </c>
    </row>
    <row r="4879" customFormat="false" ht="15" hidden="false" customHeight="false" outlineLevel="1" collapsed="false">
      <c r="A4879" s="7" t="s">
        <v>704</v>
      </c>
      <c r="B4879" s="8" t="s">
        <v>10</v>
      </c>
      <c r="C4879" s="58" t="n">
        <f aca="false">C4661*1000*(C4679*C4684/365)+C4662*1000*(C4702*C4707/365)+C4663*1000*(C4725*C4730/365)+C4750*Pressupostos!$C$94/365+C4752*Pressupostos!$C$80/365</f>
        <v>50869.6482191781</v>
      </c>
      <c r="D4879" s="58" t="n">
        <f aca="false">D4661*1000*(D4679*D4684/365)+D4662*1000*(D4702*D4707/365)+D4663*1000*(D4725*D4730/365)+D4750*Pressupostos!$C$94/365+D4752*Pressupostos!$C$80/365</f>
        <v>629708.852054794</v>
      </c>
      <c r="E4879" s="58" t="n">
        <f aca="false">E4661*1000*(E4679*E4684/365)+E4662*1000*(E4702*E4707/365)+E4663*1000*(E4725*E4730/365)+E4750*Pressupostos!$C$94/365+E4752*Pressupostos!$C$80/365</f>
        <v>1557923.8109589</v>
      </c>
      <c r="F4879" s="58" t="n">
        <f aca="false">F4661*1000*(F4679*F4684/365)+F4662*1000*(F4702*F4707/365)+F4663*1000*(F4725*F4730/365)+F4750*Pressupostos!$C$94/365+F4752*Pressupostos!$C$80/365</f>
        <v>2607471.65205479</v>
      </c>
      <c r="G4879" s="58" t="n">
        <f aca="false">G4661*1000*(G4679*G4684/365)+G4662*1000*(G4702*G4707/365)+G4663*1000*(G4725*G4730/365)+G4750*Pressupostos!$C$94/365+G4752*Pressupostos!$C$80/365</f>
        <v>3788318.60273973</v>
      </c>
      <c r="H4879" s="2" t="s">
        <v>1323</v>
      </c>
    </row>
    <row r="4880" customFormat="false" ht="15" hidden="false" customHeight="false" outlineLevel="1" collapsed="false">
      <c r="A4880" s="7" t="s">
        <v>705</v>
      </c>
      <c r="B4880" s="8" t="s">
        <v>10</v>
      </c>
      <c r="C4880" s="58" t="n">
        <f aca="false">C4661*1000*((C4677+C4680)*Pressupostos!$C$70/365)+C4662*1000*((C4700+C4703)*Pressupostos!$C$70/365)+C4663*1000*((C4723+C4726)*Pressupostos!$C$70/365)+C4672*1000*Pressupostos!$C$90*Pressupostos!$C$95/365</f>
        <v>26182.3561643836</v>
      </c>
      <c r="D4880" s="58" t="n">
        <f aca="false">D4661*1000*((D4677+D4680)*Pressupostos!$C$70/365)+D4662*1000*((D4700+D4703)*Pressupostos!$C$70/365)+D4663*1000*((D4723+D4726)*Pressupostos!$C$70/365)+D4672*1000*Pressupostos!$C$90*Pressupostos!$C$95/365</f>
        <v>357870.410958904</v>
      </c>
      <c r="E4880" s="58" t="n">
        <f aca="false">E4661*1000*((E4677+E4680)*Pressupostos!$C$70/365)+E4662*1000*((E4700+E4703)*Pressupostos!$C$70/365)+E4663*1000*((E4723+E4726)*Pressupostos!$C$70/365)+E4672*1000*Pressupostos!$C$90*Pressupostos!$C$95/365</f>
        <v>908032.191780822</v>
      </c>
      <c r="F4880" s="58" t="n">
        <f aca="false">F4661*1000*((F4677+F4680)*Pressupostos!$C$70/365)+F4662*1000*((F4700+F4703)*Pressupostos!$C$70/365)+F4663*1000*((F4723+F4726)*Pressupostos!$C$70/365)+F4672*1000*Pressupostos!$C$90*Pressupostos!$C$95/365</f>
        <v>1526219.5890411</v>
      </c>
      <c r="G4880" s="58" t="n">
        <f aca="false">G4661*1000*((G4677+G4680)*Pressupostos!$C$70/365)+G4662*1000*((G4700+G4703)*Pressupostos!$C$70/365)+G4663*1000*((G4723+G4726)*Pressupostos!$C$70/365)+G4672*1000*Pressupostos!$C$90*Pressupostos!$C$95/365</f>
        <v>2212902.73972603</v>
      </c>
      <c r="H4880" s="2" t="s">
        <v>1324</v>
      </c>
    </row>
    <row r="4881" customFormat="false" ht="15" hidden="false" customHeight="false" outlineLevel="1" collapsed="false">
      <c r="A4881" s="52" t="s">
        <v>706</v>
      </c>
      <c r="B4881" s="53" t="s">
        <v>10</v>
      </c>
      <c r="C4881" s="59" t="n">
        <f aca="false">C4878+C4879-C4880</f>
        <v>69269.1002739726</v>
      </c>
      <c r="D4881" s="59" t="n">
        <f aca="false">D4878+D4879-D4880</f>
        <v>605213.646575342</v>
      </c>
      <c r="E4881" s="59" t="n">
        <f aca="false">E4878+E4879-E4880</f>
        <v>1295843.8109589</v>
      </c>
      <c r="F4881" s="59" t="n">
        <f aca="false">F4878+F4879-F4880</f>
        <v>2179684.39178082</v>
      </c>
      <c r="G4881" s="59" t="n">
        <f aca="false">G4878+G4879-G4880</f>
        <v>3198563.80821918</v>
      </c>
      <c r="H4881" s="2" t="s">
        <v>1325</v>
      </c>
    </row>
    <row r="4882" customFormat="false" ht="15" hidden="false" customHeight="false" outlineLevel="0" collapsed="false">
      <c r="A4882" s="3" t="s">
        <v>1326</v>
      </c>
      <c r="B4882" s="4"/>
      <c r="C4882" s="4"/>
      <c r="D4882" s="4"/>
      <c r="E4882" s="4"/>
      <c r="F4882" s="4"/>
      <c r="G4882" s="4"/>
      <c r="H4882" s="4"/>
    </row>
    <row r="4883" customFormat="false" ht="15" hidden="false" customHeight="false" outlineLevel="1" collapsed="false">
      <c r="A4883" s="52" t="s">
        <v>708</v>
      </c>
      <c r="B4883" s="53" t="s">
        <v>10</v>
      </c>
      <c r="C4883" s="59" t="n">
        <f aca="false">Pressupostos!$C$279*C4881/Pressupostos!$F$31</f>
        <v>0</v>
      </c>
      <c r="D4883" s="59" t="n">
        <f aca="false">Pressupostos!$D$279*D4881/Pressupostos!$F$31</f>
        <v>680865.35239726</v>
      </c>
      <c r="E4883" s="59" t="n">
        <f aca="false">Pressupostos!$E$279*E4881/Pressupostos!$F$31</f>
        <v>1457824.28732877</v>
      </c>
      <c r="F4883" s="59" t="n">
        <f aca="false">Pressupostos!$F$279*F4881/Pressupostos!$F$31</f>
        <v>2452144.94075342</v>
      </c>
      <c r="G4883" s="59" t="n">
        <f aca="false">Pressupostos!$G$279*G4881/Pressupostos!$F$31</f>
        <v>3598384.28424657</v>
      </c>
      <c r="H4883" s="2" t="s">
        <v>1327</v>
      </c>
    </row>
    <row r="4884" customFormat="false" ht="15" hidden="false" customHeight="false" outlineLevel="1" collapsed="false">
      <c r="A4884" s="7" t="s">
        <v>709</v>
      </c>
      <c r="B4884" s="8" t="s">
        <v>10</v>
      </c>
      <c r="C4884" s="58" t="n">
        <f aca="false">Pressupostos!$C$279*C4881</f>
        <v>0</v>
      </c>
      <c r="D4884" s="58" t="n">
        <f aca="false">Pressupostos!$D$279*D4881</f>
        <v>544692.281917808</v>
      </c>
      <c r="E4884" s="58" t="n">
        <f aca="false">Pressupostos!$E$279*E4881</f>
        <v>1166259.42986301</v>
      </c>
      <c r="F4884" s="58" t="n">
        <f aca="false">Pressupostos!$F$279*F4881</f>
        <v>1961715.95260274</v>
      </c>
      <c r="G4884" s="58" t="n">
        <f aca="false">Pressupostos!$G$279*G4881</f>
        <v>2878707.42739726</v>
      </c>
      <c r="H4884" s="2" t="s">
        <v>1328</v>
      </c>
    </row>
    <row r="4885" customFormat="false" ht="15" hidden="false" customHeight="false" outlineLevel="1" collapsed="false">
      <c r="A4885" s="7" t="s">
        <v>710</v>
      </c>
      <c r="B4885" s="8" t="s">
        <v>10</v>
      </c>
      <c r="C4885" s="58" t="n">
        <f aca="false">C4883-C4884</f>
        <v>0</v>
      </c>
      <c r="D4885" s="58" t="n">
        <f aca="false">D4883-D4884</f>
        <v>136173.070479452</v>
      </c>
      <c r="E4885" s="58" t="n">
        <f aca="false">E4883-E4884</f>
        <v>291564.857465753</v>
      </c>
      <c r="F4885" s="58" t="n">
        <f aca="false">F4883-F4884</f>
        <v>490428.988150684</v>
      </c>
      <c r="G4885" s="58" t="n">
        <f aca="false">G4883-G4884</f>
        <v>719676.856849315</v>
      </c>
      <c r="H4885" s="2" t="s">
        <v>1329</v>
      </c>
    </row>
    <row r="4886" customFormat="false" ht="15" hidden="false" customHeight="false" outlineLevel="1" collapsed="false">
      <c r="A4886" s="7" t="s">
        <v>711</v>
      </c>
      <c r="B4886" s="8" t="s">
        <v>10</v>
      </c>
      <c r="C4886" s="58" t="n">
        <f aca="false">C4881-C4884</f>
        <v>69269.1002739726</v>
      </c>
      <c r="D4886" s="58" t="n">
        <f aca="false">D4881-D4884</f>
        <v>60521.3646575342</v>
      </c>
      <c r="E4886" s="58" t="n">
        <f aca="false">E4881-E4884</f>
        <v>129584.38109589</v>
      </c>
      <c r="F4886" s="58" t="n">
        <f aca="false">F4881-F4884</f>
        <v>217968.439178082</v>
      </c>
      <c r="G4886" s="58" t="n">
        <f aca="false">G4881-G4884</f>
        <v>319856.380821918</v>
      </c>
      <c r="H4886" s="2" t="s">
        <v>1330</v>
      </c>
    </row>
    <row r="4887" customFormat="false" ht="15" hidden="false" customHeight="false" outlineLevel="1" collapsed="false">
      <c r="A4887" s="7" t="s">
        <v>712</v>
      </c>
      <c r="B4887" s="8" t="s">
        <v>10</v>
      </c>
      <c r="C4887" s="58" t="n">
        <f aca="false">MAX(0,Pressupostos!$C$106-C4886)</f>
        <v>0</v>
      </c>
      <c r="D4887" s="58" t="n">
        <f aca="false">MAX(0,Pressupostos!$C$106-D4886)</f>
        <v>0</v>
      </c>
      <c r="E4887" s="58" t="n">
        <f aca="false">MAX(0,Pressupostos!$C$106-E4886)</f>
        <v>0</v>
      </c>
      <c r="F4887" s="58" t="n">
        <f aca="false">MAX(0,Pressupostos!$C$106-F4886)</f>
        <v>0</v>
      </c>
      <c r="G4887" s="58" t="n">
        <f aca="false">MAX(0,Pressupostos!$C$106-G4886)</f>
        <v>0</v>
      </c>
      <c r="H4887" s="2" t="s">
        <v>1331</v>
      </c>
    </row>
    <row r="4888" customFormat="false" ht="15" hidden="false" customHeight="false" outlineLevel="1" collapsed="false">
      <c r="A4888" s="7" t="s">
        <v>713</v>
      </c>
      <c r="B4888" s="8" t="s">
        <v>10</v>
      </c>
      <c r="C4888" s="58" t="n">
        <f aca="false">Pressupostos!$C$107*C4883</f>
        <v>0</v>
      </c>
      <c r="D4888" s="58" t="n">
        <f aca="false">Pressupostos!$C$107*D4883</f>
        <v>34043.267619863</v>
      </c>
      <c r="E4888" s="58" t="n">
        <f aca="false">Pressupostos!$C$107*E4883</f>
        <v>72891.2143664383</v>
      </c>
      <c r="F4888" s="58" t="n">
        <f aca="false">Pressupostos!$C$107*F4883</f>
        <v>122607.247037671</v>
      </c>
      <c r="G4888" s="58" t="n">
        <f aca="false">Pressupostos!$C$107*G4883</f>
        <v>179919.214212329</v>
      </c>
      <c r="H4888" s="2" t="s">
        <v>1332</v>
      </c>
    </row>
    <row r="4889" customFormat="false" ht="15" hidden="false" customHeight="false" outlineLevel="1" collapsed="false">
      <c r="A4889" s="2" t="s">
        <v>714</v>
      </c>
      <c r="B4889" s="8" t="s">
        <v>115</v>
      </c>
      <c r="C4889" s="58" t="n">
        <f aca="false">C4883/Pressupostos!$C$110</f>
        <v>0</v>
      </c>
      <c r="D4889" s="58" t="n">
        <f aca="false">D4883/Pressupostos!$C$110</f>
        <v>13.6173070479452</v>
      </c>
      <c r="E4889" s="58" t="n">
        <f aca="false">E4883/Pressupostos!$C$110</f>
        <v>29.1564857465753</v>
      </c>
      <c r="F4889" s="58" t="n">
        <f aca="false">F4883/Pressupostos!$C$110</f>
        <v>49.0428988150685</v>
      </c>
      <c r="G4889" s="58" t="n">
        <f aca="false">G4883/Pressupostos!$C$110</f>
        <v>71.9676856849315</v>
      </c>
      <c r="H4889" s="2" t="s">
        <v>1333</v>
      </c>
    </row>
    <row r="4890" customFormat="false" ht="15" hidden="false" customHeight="false" outlineLevel="0" collapsed="false">
      <c r="A4890" s="3" t="s">
        <v>1334</v>
      </c>
      <c r="B4890" s="4"/>
      <c r="C4890" s="4"/>
      <c r="D4890" s="4"/>
      <c r="E4890" s="4"/>
      <c r="F4890" s="4"/>
      <c r="G4890" s="4"/>
      <c r="H4890" s="4"/>
    </row>
    <row r="4891" customFormat="false" ht="15" hidden="false" customHeight="false" outlineLevel="1" collapsed="false">
      <c r="A4891" s="7" t="s">
        <v>681</v>
      </c>
      <c r="B4891" s="8" t="s">
        <v>10</v>
      </c>
      <c r="C4891" s="58" t="n">
        <f aca="false">C4857</f>
        <v>-581730.863133562</v>
      </c>
      <c r="D4891" s="58" t="n">
        <f aca="false">D4857</f>
        <v>-658875.09635274</v>
      </c>
      <c r="E4891" s="58" t="n">
        <f aca="false">E4857</f>
        <v>-636220.500252569</v>
      </c>
      <c r="F4891" s="58" t="n">
        <f aca="false">F4857</f>
        <v>-552049.011876428</v>
      </c>
      <c r="G4891" s="58" t="n">
        <f aca="false">G4857</f>
        <v>-377573.676532512</v>
      </c>
      <c r="H4891" s="2" t="s">
        <v>1335</v>
      </c>
    </row>
    <row r="4892" customFormat="false" ht="15" hidden="false" customHeight="false" outlineLevel="1" collapsed="false">
      <c r="A4892" s="7" t="s">
        <v>716</v>
      </c>
      <c r="B4892" s="8" t="s">
        <v>10</v>
      </c>
      <c r="C4892" s="58" t="n">
        <f aca="false">-C4872</f>
        <v>-0</v>
      </c>
      <c r="D4892" s="58" t="n">
        <f aca="false">-D4872</f>
        <v>-0</v>
      </c>
      <c r="E4892" s="58" t="n">
        <f aca="false">-E4872</f>
        <v>-0</v>
      </c>
      <c r="F4892" s="58" t="n">
        <f aca="false">-F4872</f>
        <v>-0</v>
      </c>
      <c r="G4892" s="58" t="n">
        <f aca="false">-G4872</f>
        <v>-0</v>
      </c>
      <c r="H4892" s="2" t="s">
        <v>1336</v>
      </c>
    </row>
    <row r="4893" customFormat="false" ht="15" hidden="false" customHeight="false" outlineLevel="1" collapsed="false">
      <c r="A4893" s="7" t="s">
        <v>717</v>
      </c>
      <c r="B4893" s="8" t="s">
        <v>10</v>
      </c>
      <c r="C4893" s="58" t="n">
        <f aca="false">-C4881</f>
        <v>-69269.1002739726</v>
      </c>
      <c r="D4893" s="58" t="n">
        <f aca="false">-(D4881-C4881)</f>
        <v>-535944.54630137</v>
      </c>
      <c r="E4893" s="58" t="n">
        <f aca="false">-(E4881-D4881)</f>
        <v>-690630.164383561</v>
      </c>
      <c r="F4893" s="58" t="n">
        <f aca="false">-(F4881-E4881)</f>
        <v>-883840.580821917</v>
      </c>
      <c r="G4893" s="58" t="n">
        <f aca="false">-(G4881-F4881)</f>
        <v>-1018879.41643836</v>
      </c>
      <c r="H4893" s="2" t="s">
        <v>1337</v>
      </c>
    </row>
    <row r="4894" customFormat="false" ht="15" hidden="false" customHeight="false" outlineLevel="1" collapsed="false">
      <c r="A4894" s="7" t="s">
        <v>407</v>
      </c>
      <c r="B4894" s="8" t="s">
        <v>10</v>
      </c>
      <c r="C4894" s="58" t="n">
        <f aca="false">-C4842</f>
        <v>-89000</v>
      </c>
      <c r="D4894" s="58" t="n">
        <f aca="false">-D4842</f>
        <v>-46000</v>
      </c>
      <c r="E4894" s="58" t="n">
        <f aca="false">-E4842</f>
        <v>-44000</v>
      </c>
      <c r="F4894" s="58" t="n">
        <f aca="false">-F4842</f>
        <v>-37000</v>
      </c>
      <c r="G4894" s="58" t="n">
        <f aca="false">-G4842</f>
        <v>-34000</v>
      </c>
      <c r="H4894" s="2" t="s">
        <v>1338</v>
      </c>
    </row>
    <row r="4895" customFormat="false" ht="15" hidden="false" customHeight="false" outlineLevel="1" collapsed="false">
      <c r="A4895" s="7" t="s">
        <v>718</v>
      </c>
      <c r="B4895" s="8" t="s">
        <v>10</v>
      </c>
      <c r="C4895" s="58" t="n">
        <f aca="false">C4891+C4892+C4893+C4894</f>
        <v>-739999.963407534</v>
      </c>
      <c r="D4895" s="58" t="n">
        <f aca="false">D4891+D4892+D4893+D4894</f>
        <v>-1240819.64265411</v>
      </c>
      <c r="E4895" s="58" t="n">
        <f aca="false">E4891+E4892+E4893+E4894</f>
        <v>-1370850.66463613</v>
      </c>
      <c r="F4895" s="58" t="n">
        <f aca="false">F4891+F4892+F4893+F4894</f>
        <v>-1472889.59269835</v>
      </c>
      <c r="G4895" s="58" t="n">
        <f aca="false">G4891+G4892+G4893+G4894</f>
        <v>-1430453.09297087</v>
      </c>
      <c r="H4895" s="2" t="s">
        <v>1339</v>
      </c>
    </row>
    <row r="4896" customFormat="false" ht="15" hidden="false" customHeight="false" outlineLevel="1" collapsed="false">
      <c r="A4896" s="7" t="s">
        <v>719</v>
      </c>
      <c r="B4896" s="8" t="s">
        <v>10</v>
      </c>
      <c r="C4896" s="58" t="n">
        <f aca="false">C4883</f>
        <v>0</v>
      </c>
      <c r="D4896" s="58" t="n">
        <f aca="false">D4883-C4883</f>
        <v>680865.35239726</v>
      </c>
      <c r="E4896" s="58" t="n">
        <f aca="false">E4883-D4883</f>
        <v>776958.934931506</v>
      </c>
      <c r="F4896" s="58" t="n">
        <f aca="false">F4883-E4883</f>
        <v>994320.653424657</v>
      </c>
      <c r="G4896" s="58" t="n">
        <f aca="false">G4883-F4883</f>
        <v>1146239.34349315</v>
      </c>
      <c r="H4896" s="2" t="s">
        <v>1340</v>
      </c>
    </row>
    <row r="4897" customFormat="false" ht="15" hidden="false" customHeight="false" outlineLevel="1" collapsed="false">
      <c r="A4897" s="7" t="s">
        <v>720</v>
      </c>
      <c r="B4897" s="8" t="s">
        <v>10</v>
      </c>
      <c r="C4897" s="58" t="n">
        <f aca="false">-C4885</f>
        <v>-0</v>
      </c>
      <c r="D4897" s="58" t="n">
        <f aca="false">-(D4885-C4885)</f>
        <v>-136173.070479452</v>
      </c>
      <c r="E4897" s="58" t="n">
        <f aca="false">-(E4885-D4885)</f>
        <v>-155391.786986301</v>
      </c>
      <c r="F4897" s="58" t="n">
        <f aca="false">-(F4885-E4885)</f>
        <v>-198864.130684931</v>
      </c>
      <c r="G4897" s="58" t="n">
        <f aca="false">-(G4885-F4885)</f>
        <v>-229247.86869863</v>
      </c>
      <c r="H4897" s="2" t="s">
        <v>1341</v>
      </c>
    </row>
    <row r="4898" customFormat="false" ht="15" hidden="false" customHeight="false" outlineLevel="1" collapsed="false">
      <c r="A4898" s="7" t="s">
        <v>721</v>
      </c>
      <c r="B4898" s="8" t="s">
        <v>10</v>
      </c>
      <c r="C4898" s="58" t="n">
        <f aca="false">-C4888</f>
        <v>-0</v>
      </c>
      <c r="D4898" s="58" t="n">
        <f aca="false">-(D4888-C4888)</f>
        <v>-34043.267619863</v>
      </c>
      <c r="E4898" s="58" t="n">
        <f aca="false">-(E4888-D4888)</f>
        <v>-38847.9467465753</v>
      </c>
      <c r="F4898" s="58" t="n">
        <f aca="false">-(F4888-E4888)</f>
        <v>-49716.0326712328</v>
      </c>
      <c r="G4898" s="58" t="n">
        <f aca="false">-(G4888-F4888)</f>
        <v>-57311.9671746576</v>
      </c>
      <c r="H4898" s="2" t="s">
        <v>1342</v>
      </c>
    </row>
    <row r="4899" customFormat="false" ht="15" hidden="false" customHeight="false" outlineLevel="1" collapsed="false">
      <c r="A4899" s="7" t="s">
        <v>722</v>
      </c>
      <c r="B4899" s="8" t="s">
        <v>10</v>
      </c>
      <c r="C4899" s="58" t="n">
        <f aca="false">-(C4887-Pressupostos!$C$106)</f>
        <v>50000</v>
      </c>
      <c r="D4899" s="58" t="n">
        <f aca="false">-(D4887-C4887)</f>
        <v>-0</v>
      </c>
      <c r="E4899" s="58" t="n">
        <f aca="false">-(E4887-D4887)</f>
        <v>-0</v>
      </c>
      <c r="F4899" s="58" t="n">
        <f aca="false">-(F4887-E4887)</f>
        <v>-0</v>
      </c>
      <c r="G4899" s="58" t="n">
        <f aca="false">-(G4887-F4887)</f>
        <v>-0</v>
      </c>
      <c r="H4899" s="2" t="s">
        <v>1343</v>
      </c>
    </row>
    <row r="4900" customFormat="false" ht="15" hidden="false" customHeight="false" outlineLevel="1" collapsed="false">
      <c r="A4900" s="52" t="s">
        <v>723</v>
      </c>
      <c r="B4900" s="53" t="s">
        <v>10</v>
      </c>
      <c r="C4900" s="59" t="n">
        <f aca="false">C4895+C4896+C4897+C4898+C4899</f>
        <v>-689999.963407534</v>
      </c>
      <c r="D4900" s="59" t="n">
        <f aca="false">D4895+D4896+D4897+D4898+D4899</f>
        <v>-730170.628356164</v>
      </c>
      <c r="E4900" s="59" t="n">
        <f aca="false">E4895+E4896+E4897+E4898+E4899</f>
        <v>-788131.463437501</v>
      </c>
      <c r="F4900" s="59" t="n">
        <f aca="false">F4895+F4896+F4897+F4898+F4899</f>
        <v>-727149.102629853</v>
      </c>
      <c r="G4900" s="59" t="n">
        <f aca="false">G4895+G4896+G4897+G4898+G4899</f>
        <v>-570773.585351006</v>
      </c>
      <c r="H4900" s="2" t="s">
        <v>1344</v>
      </c>
    </row>
    <row r="4901" customFormat="false" ht="15" hidden="false" customHeight="false" outlineLevel="1" collapsed="false">
      <c r="A4901" s="52" t="s">
        <v>724</v>
      </c>
      <c r="B4901" s="53" t="s">
        <v>10</v>
      </c>
      <c r="C4901" s="59" t="n">
        <f aca="false">C4900</f>
        <v>-689999.963407534</v>
      </c>
      <c r="D4901" s="59" t="n">
        <f aca="false">C4901+D4900</f>
        <v>-1420170.5917637</v>
      </c>
      <c r="E4901" s="59" t="n">
        <f aca="false">D4901+E4900</f>
        <v>-2208302.0552012</v>
      </c>
      <c r="F4901" s="59" t="n">
        <f aca="false">E4901+F4900</f>
        <v>-2935451.15783105</v>
      </c>
      <c r="G4901" s="59" t="n">
        <f aca="false">F4901+G4900</f>
        <v>-3506224.74318206</v>
      </c>
      <c r="H4901" s="2" t="s">
        <v>1345</v>
      </c>
    </row>
    <row r="4902" customFormat="false" ht="15" hidden="false" customHeight="false" outlineLevel="1" collapsed="false">
      <c r="A4902" s="8" t="s">
        <v>725</v>
      </c>
      <c r="B4902" s="8" t="s">
        <v>10</v>
      </c>
      <c r="C4902" s="66" t="n">
        <f aca="false">ROUND(C4857-C4842-C4872-(MAX(C4886,Pressupostos!$C$106)-Pressupostos!$C$106)-(C4888)-C4900,6)</f>
        <v>0</v>
      </c>
      <c r="D4902" s="66" t="n">
        <f aca="false">ROUND(D4857-D4842-D4872-(MAX(D4886,Pressupostos!$C$106)-MAX(C4886,Pressupostos!$C$106))-(D4888-C4888)-D4900,6)</f>
        <v>0</v>
      </c>
      <c r="E4902" s="66" t="n">
        <f aca="false">ROUND(E4857-E4842-E4872-(MAX(E4886,Pressupostos!$C$106)-MAX(D4886,Pressupostos!$C$106))-(E4888-D4888)-E4900,6)</f>
        <v>0</v>
      </c>
      <c r="F4902" s="66" t="n">
        <f aca="false">ROUND(F4857-F4842-F4872-(MAX(F4886,Pressupostos!$C$106)-MAX(E4886,Pressupostos!$C$106))-(F4888-E4888)-F4900,6)</f>
        <v>0</v>
      </c>
      <c r="G4902" s="66" t="n">
        <f aca="false">ROUND(G4857-G4842-G4872-(MAX(G4886,Pressupostos!$C$106)-MAX(F4886,Pressupostos!$C$106))-(G4888-F4888)-G4900,6)</f>
        <v>0</v>
      </c>
      <c r="H4902" s="2" t="s">
        <v>1346</v>
      </c>
    </row>
    <row r="4903" customFormat="false" ht="15" hidden="false" customHeight="false" outlineLevel="0" collapsed="false">
      <c r="A4903" s="3" t="s">
        <v>1347</v>
      </c>
      <c r="B4903" s="4"/>
      <c r="C4903" s="4"/>
      <c r="D4903" s="4"/>
      <c r="E4903" s="4"/>
      <c r="F4903" s="4"/>
      <c r="G4903" s="4"/>
      <c r="H4903" s="4"/>
    </row>
    <row r="4904" customFormat="false" ht="15" hidden="false" customHeight="false" outlineLevel="1" collapsed="false">
      <c r="A4904" s="7" t="s">
        <v>727</v>
      </c>
      <c r="B4904" s="8" t="s">
        <v>10</v>
      </c>
      <c r="C4904" s="58" t="n">
        <f aca="false">0</f>
        <v>0</v>
      </c>
      <c r="D4904" s="58" t="n">
        <f aca="false">C4909</f>
        <v>265000.036592466</v>
      </c>
      <c r="E4904" s="58" t="n">
        <f aca="false">D4909</f>
        <v>150000</v>
      </c>
      <c r="F4904" s="58" t="n">
        <f aca="false">E4909</f>
        <v>150000</v>
      </c>
      <c r="G4904" s="58" t="n">
        <f aca="false">F4909</f>
        <v>150000</v>
      </c>
      <c r="H4904" s="2" t="s">
        <v>1348</v>
      </c>
    </row>
    <row r="4905" customFormat="false" ht="15" hidden="false" customHeight="false" outlineLevel="1" collapsed="false">
      <c r="A4905" s="7" t="s">
        <v>728</v>
      </c>
      <c r="B4905" s="8" t="s">
        <v>10</v>
      </c>
      <c r="C4905" s="58" t="n">
        <f aca="false">-(Pressupostos!$C$157+Pressupostos!$C$158+Pressupostos!$C$159+Pressupostos!$C$160+Pressupostos!$C$161+Pressupostos!$C$106)</f>
        <v>-145000</v>
      </c>
      <c r="D4905" s="58" t="n">
        <f aca="false">0</f>
        <v>0</v>
      </c>
      <c r="E4905" s="58" t="n">
        <f aca="false">0</f>
        <v>0</v>
      </c>
      <c r="F4905" s="58" t="n">
        <f aca="false">0</f>
        <v>0</v>
      </c>
      <c r="G4905" s="58" t="n">
        <f aca="false">0</f>
        <v>0</v>
      </c>
      <c r="H4905" s="2" t="s">
        <v>1349</v>
      </c>
    </row>
    <row r="4906" customFormat="false" ht="15" hidden="false" customHeight="false" outlineLevel="1" collapsed="false">
      <c r="A4906" s="7" t="s">
        <v>729</v>
      </c>
      <c r="B4906" s="8" t="s">
        <v>10</v>
      </c>
      <c r="C4906" s="50" t="n">
        <f aca="false">Pressupostos!$F$32</f>
        <v>1100000</v>
      </c>
      <c r="D4906" s="58" t="n">
        <f aca="false">0</f>
        <v>0</v>
      </c>
      <c r="E4906" s="58" t="n">
        <f aca="false">0</f>
        <v>0</v>
      </c>
      <c r="F4906" s="58" t="n">
        <f aca="false">0</f>
        <v>0</v>
      </c>
      <c r="G4906" s="58" t="n">
        <f aca="false">0</f>
        <v>0</v>
      </c>
      <c r="H4906" s="2" t="s">
        <v>1350</v>
      </c>
    </row>
    <row r="4907" customFormat="false" ht="15" hidden="false" customHeight="false" outlineLevel="1" collapsed="false">
      <c r="A4907" s="7" t="s">
        <v>730</v>
      </c>
      <c r="B4907" s="8" t="s">
        <v>10</v>
      </c>
      <c r="C4907" s="58" t="n">
        <f aca="false">C4904+C4905+C4906+C4900</f>
        <v>265000.036592466</v>
      </c>
      <c r="D4907" s="58" t="n">
        <f aca="false">D4904+D4905+D4906+D4900</f>
        <v>-465170.591763699</v>
      </c>
      <c r="E4907" s="58" t="n">
        <f aca="false">E4904+E4905+E4906+E4900</f>
        <v>-638131.463437501</v>
      </c>
      <c r="F4907" s="58" t="n">
        <f aca="false">F4904+F4905+F4906+F4900</f>
        <v>-577149.102629853</v>
      </c>
      <c r="G4907" s="58" t="n">
        <f aca="false">G4904+G4905+G4906+G4900</f>
        <v>-420773.585351006</v>
      </c>
      <c r="H4907" s="2" t="s">
        <v>1351</v>
      </c>
    </row>
    <row r="4908" customFormat="false" ht="15" hidden="false" customHeight="false" outlineLevel="1" collapsed="false">
      <c r="A4908" s="52" t="s">
        <v>731</v>
      </c>
      <c r="B4908" s="53" t="s">
        <v>10</v>
      </c>
      <c r="C4908" s="59" t="n">
        <f aca="false">MAX(0,Pressupostos!$C$168-C4907)</f>
        <v>0</v>
      </c>
      <c r="D4908" s="59" t="n">
        <f aca="false">MAX(0,Pressupostos!$C$168-D4907)</f>
        <v>615170.591763699</v>
      </c>
      <c r="E4908" s="59" t="n">
        <f aca="false">MAX(0,Pressupostos!$C$168-E4907)</f>
        <v>788131.463437501</v>
      </c>
      <c r="F4908" s="59" t="n">
        <f aca="false">MAX(0,Pressupostos!$C$168-F4907)</f>
        <v>727149.102629853</v>
      </c>
      <c r="G4908" s="59" t="n">
        <f aca="false">MAX(0,Pressupostos!$C$168-G4907)</f>
        <v>570773.585351006</v>
      </c>
      <c r="H4908" s="2" t="s">
        <v>1352</v>
      </c>
    </row>
    <row r="4909" customFormat="false" ht="15" hidden="false" customHeight="false" outlineLevel="1" collapsed="false">
      <c r="A4909" s="52" t="s">
        <v>732</v>
      </c>
      <c r="B4909" s="53" t="s">
        <v>10</v>
      </c>
      <c r="C4909" s="59" t="n">
        <f aca="false">C4907+C4908</f>
        <v>265000.036592466</v>
      </c>
      <c r="D4909" s="59" t="n">
        <f aca="false">D4907+D4908</f>
        <v>150000</v>
      </c>
      <c r="E4909" s="59" t="n">
        <f aca="false">E4907+E4908</f>
        <v>150000</v>
      </c>
      <c r="F4909" s="59" t="n">
        <f aca="false">F4907+F4908</f>
        <v>150000</v>
      </c>
      <c r="G4909" s="59" t="n">
        <f aca="false">G4907+G4908</f>
        <v>150000</v>
      </c>
      <c r="H4909" s="2" t="s">
        <v>1353</v>
      </c>
    </row>
    <row r="4910" customFormat="false" ht="15" hidden="false" customHeight="false" outlineLevel="1" collapsed="false">
      <c r="A4910" s="7" t="s">
        <v>733</v>
      </c>
      <c r="B4910" s="8" t="s">
        <v>10</v>
      </c>
      <c r="C4910" s="58" t="n">
        <f aca="false">C4885+C4888+C4887</f>
        <v>0</v>
      </c>
      <c r="D4910" s="58" t="n">
        <f aca="false">D4885+D4888+D4887</f>
        <v>170216.338099315</v>
      </c>
      <c r="E4910" s="58" t="n">
        <f aca="false">E4885+E4888+E4887</f>
        <v>364456.071832192</v>
      </c>
      <c r="F4910" s="58" t="n">
        <f aca="false">F4885+F4888+F4887</f>
        <v>613036.235188356</v>
      </c>
      <c r="G4910" s="58" t="n">
        <f aca="false">G4885+G4888+G4887</f>
        <v>899596.071061643</v>
      </c>
      <c r="H4910" s="2" t="s">
        <v>1354</v>
      </c>
    </row>
    <row r="4911" customFormat="false" ht="15" hidden="false" customHeight="false" outlineLevel="1" collapsed="false">
      <c r="A4911" s="7" t="s">
        <v>734</v>
      </c>
      <c r="B4911" s="8" t="s">
        <v>10</v>
      </c>
      <c r="C4911" s="58" t="n">
        <f aca="false">C4909+C4910</f>
        <v>265000.036592466</v>
      </c>
      <c r="D4911" s="58" t="n">
        <f aca="false">D4909+D4910</f>
        <v>320216.338099315</v>
      </c>
      <c r="E4911" s="58" t="n">
        <f aca="false">E4909+E4910</f>
        <v>514456.071832192</v>
      </c>
      <c r="F4911" s="58" t="n">
        <f aca="false">F4909+F4910</f>
        <v>763036.235188356</v>
      </c>
      <c r="G4911" s="58" t="n">
        <f aca="false">G4909+G4910</f>
        <v>1049596.07106164</v>
      </c>
      <c r="H4911" s="2" t="s">
        <v>1355</v>
      </c>
    </row>
    <row r="4912" customFormat="false" ht="15" hidden="false" customHeight="false" outlineLevel="1" collapsed="false">
      <c r="A4912" s="7" t="s">
        <v>735</v>
      </c>
      <c r="B4912" s="8" t="s">
        <v>10</v>
      </c>
      <c r="C4912" s="58" t="n">
        <f aca="false">C4906+C4908</f>
        <v>1100000</v>
      </c>
      <c r="D4912" s="58" t="n">
        <f aca="false">C4912+D4906+D4908</f>
        <v>1715170.5917637</v>
      </c>
      <c r="E4912" s="58" t="n">
        <f aca="false">D4912+E4906+E4908</f>
        <v>2503302.0552012</v>
      </c>
      <c r="F4912" s="58" t="n">
        <f aca="false">E4912+F4906+F4908</f>
        <v>3230451.15783105</v>
      </c>
      <c r="G4912" s="58" t="n">
        <f aca="false">F4912+G4906+G4908</f>
        <v>3801224.74318206</v>
      </c>
      <c r="H4912" s="2" t="s">
        <v>1356</v>
      </c>
    </row>
    <row r="4913" customFormat="false" ht="15" hidden="false" customHeight="false" outlineLevel="0" collapsed="false">
      <c r="A4913" s="3" t="s">
        <v>1357</v>
      </c>
      <c r="B4913" s="4"/>
      <c r="C4913" s="4"/>
      <c r="D4913" s="4"/>
      <c r="E4913" s="4"/>
      <c r="F4913" s="4"/>
      <c r="G4913" s="4"/>
      <c r="H4913" s="4"/>
    </row>
    <row r="4914" customFormat="false" ht="15" hidden="false" customHeight="false" outlineLevel="1" collapsed="false">
      <c r="A4914" s="7" t="s">
        <v>739</v>
      </c>
      <c r="B4914" s="8" t="s">
        <v>10</v>
      </c>
      <c r="C4914" s="68" t="n">
        <f aca="false">Pressupostos!$C$157+Pressupostos!$C$158+Pressupostos!$C$159+Pressupostos!$C$160+Pressupostos!$C$161</f>
        <v>95000</v>
      </c>
      <c r="H4914" s="2" t="s">
        <v>1358</v>
      </c>
    </row>
    <row r="4915" customFormat="false" ht="15" hidden="false" customHeight="false" outlineLevel="1" collapsed="false">
      <c r="A4915" s="7" t="s">
        <v>740</v>
      </c>
      <c r="B4915" s="8" t="s">
        <v>10</v>
      </c>
      <c r="C4915" s="69" t="n">
        <f aca="false">Pressupostos!$C$106</f>
        <v>50000</v>
      </c>
      <c r="H4915" s="2" t="s">
        <v>1359</v>
      </c>
    </row>
    <row r="4916" customFormat="false" ht="15" hidden="false" customHeight="false" outlineLevel="1" collapsed="false">
      <c r="A4916" s="7" t="s">
        <v>312</v>
      </c>
      <c r="B4916" s="8" t="s">
        <v>10</v>
      </c>
      <c r="C4916" s="69" t="n">
        <f aca="false">Pressupostos!$C$168</f>
        <v>150000</v>
      </c>
      <c r="H4916" s="2" t="s">
        <v>1360</v>
      </c>
    </row>
    <row r="4917" customFormat="false" ht="15" hidden="false" customHeight="false" outlineLevel="1" collapsed="false">
      <c r="A4917" s="7" t="s">
        <v>741</v>
      </c>
      <c r="B4917" s="8" t="s">
        <v>10</v>
      </c>
      <c r="C4917" s="68" t="n">
        <f aca="false">MAX(0,-MIN($C$4901:$G$4901))</f>
        <v>3506224.74318206</v>
      </c>
      <c r="H4917" s="2" t="s">
        <v>1361</v>
      </c>
    </row>
    <row r="4918" customFormat="false" ht="15" hidden="false" customHeight="false" outlineLevel="1" collapsed="false">
      <c r="A4918" s="52" t="s">
        <v>14</v>
      </c>
      <c r="B4918" s="53" t="s">
        <v>10</v>
      </c>
      <c r="C4918" s="70" t="n">
        <f aca="false">C4914+C4915+C4916+C4917</f>
        <v>3801224.74318206</v>
      </c>
      <c r="H4918" s="2" t="s">
        <v>1362</v>
      </c>
    </row>
    <row r="4919" customFormat="false" ht="15" hidden="false" customHeight="false" outlineLevel="1" collapsed="false">
      <c r="A4919" s="7" t="s">
        <v>742</v>
      </c>
      <c r="B4919" s="8" t="s">
        <v>18</v>
      </c>
      <c r="C4919" s="71" t="n">
        <f aca="false">INDEX($C$4658:$G$4658,1,MATCH(MIN($C$4901:$G$4901),$C$4901:$G$4901,0))</f>
        <v>2031</v>
      </c>
      <c r="H4919" s="2" t="s">
        <v>1363</v>
      </c>
    </row>
    <row r="4920" customFormat="false" ht="15" hidden="false" customHeight="false" outlineLevel="1" collapsed="false">
      <c r="A4920" s="7" t="s">
        <v>743</v>
      </c>
      <c r="B4920" s="8"/>
      <c r="C4920" s="72" t="str">
        <f aca="false">IF(G4900&lt;0,"sim","não")</f>
        <v>sim</v>
      </c>
      <c r="H4920" s="2" t="s">
        <v>1364</v>
      </c>
    </row>
    <row r="4921" customFormat="false" ht="15" hidden="false" customHeight="false" outlineLevel="1" collapsed="false">
      <c r="A4921" s="7" t="s">
        <v>744</v>
      </c>
      <c r="B4921" s="8" t="s">
        <v>10</v>
      </c>
      <c r="C4921" s="68" t="n">
        <f aca="false">G4912</f>
        <v>3801224.74318206</v>
      </c>
      <c r="H4921" s="2" t="s">
        <v>1365</v>
      </c>
    </row>
    <row r="4922" customFormat="false" ht="15" hidden="false" customHeight="false" outlineLevel="0" collapsed="false">
      <c r="A4922" s="3" t="s">
        <v>1366</v>
      </c>
      <c r="B4922" s="4"/>
      <c r="C4922" s="4"/>
      <c r="D4922" s="4"/>
      <c r="E4922" s="4"/>
      <c r="F4922" s="4"/>
      <c r="G4922" s="4"/>
      <c r="H4922" s="4"/>
    </row>
    <row r="4923" customFormat="false" ht="15" hidden="false" customHeight="false" outlineLevel="1" collapsed="false">
      <c r="A4923" s="7" t="s">
        <v>746</v>
      </c>
      <c r="B4923" s="8" t="s">
        <v>10</v>
      </c>
      <c r="C4923" s="68" t="n">
        <f aca="false">C4914+C4915</f>
        <v>145000</v>
      </c>
      <c r="H4923" s="2" t="s">
        <v>1367</v>
      </c>
    </row>
    <row r="4924" customFormat="false" ht="15" hidden="false" customHeight="false" outlineLevel="1" collapsed="false">
      <c r="A4924" s="7" t="s">
        <v>747</v>
      </c>
      <c r="B4924" s="8" t="s">
        <v>10</v>
      </c>
      <c r="C4924" s="68" t="n">
        <f aca="false">-SUMPRODUCT(($C$4658:$G$4658&lt;=C4919)*$C$4857:$G$4857)</f>
        <v>2806449.14814781</v>
      </c>
      <c r="H4924" s="2" t="s">
        <v>1368</v>
      </c>
    </row>
    <row r="4925" customFormat="false" ht="15" hidden="false" customHeight="false" outlineLevel="1" collapsed="false">
      <c r="A4925" s="7" t="s">
        <v>407</v>
      </c>
      <c r="B4925" s="8" t="s">
        <v>10</v>
      </c>
      <c r="C4925" s="68" t="n">
        <f aca="false">SUMPRODUCT(($C$4658:$G$4658&lt;=C4919)*$C$4842:$G$4842)</f>
        <v>250000</v>
      </c>
      <c r="H4925" s="2" t="s">
        <v>1369</v>
      </c>
    </row>
    <row r="4926" customFormat="false" ht="15" hidden="false" customHeight="false" outlineLevel="1" collapsed="false">
      <c r="A4926" s="7" t="s">
        <v>748</v>
      </c>
      <c r="B4926" s="8" t="s">
        <v>10</v>
      </c>
      <c r="C4926" s="68" t="n">
        <f aca="false">SUMPRODUCT(($C$4658:$G$4658&lt;=C4919)*$C$4872:$G$4872)</f>
        <v>0</v>
      </c>
      <c r="H4926" s="2" t="s">
        <v>1370</v>
      </c>
    </row>
    <row r="4927" customFormat="false" ht="15" hidden="false" customHeight="false" outlineLevel="1" collapsed="false">
      <c r="A4927" s="7" t="s">
        <v>749</v>
      </c>
      <c r="B4927" s="8" t="s">
        <v>10</v>
      </c>
      <c r="C4927" s="68" t="n">
        <f aca="false">C4917-C4924-C4925-C4926</f>
        <v>449775.595034246</v>
      </c>
      <c r="H4927" s="2" t="s">
        <v>1371</v>
      </c>
    </row>
    <row r="4928" customFormat="false" ht="15" hidden="false" customHeight="false" outlineLevel="1" collapsed="false">
      <c r="A4928" s="7" t="s">
        <v>312</v>
      </c>
      <c r="B4928" s="8" t="s">
        <v>10</v>
      </c>
      <c r="C4928" s="68" t="n">
        <f aca="false">C4916</f>
        <v>150000</v>
      </c>
      <c r="H4928" s="2" t="s">
        <v>1372</v>
      </c>
    </row>
    <row r="4929" customFormat="false" ht="15" hidden="false" customHeight="false" outlineLevel="1" collapsed="false">
      <c r="A4929" s="52" t="s">
        <v>750</v>
      </c>
      <c r="B4929" s="53" t="s">
        <v>10</v>
      </c>
      <c r="C4929" s="70" t="n">
        <f aca="false">C4923+C4924+C4925+C4926+C4927+C4928</f>
        <v>3801224.74318206</v>
      </c>
      <c r="H4929" s="2" t="s">
        <v>1373</v>
      </c>
    </row>
    <row r="4930" customFormat="false" ht="15" hidden="false" customHeight="false" outlineLevel="0" collapsed="false">
      <c r="A4930" s="3" t="s">
        <v>1374</v>
      </c>
      <c r="B4930" s="4"/>
      <c r="C4930" s="4"/>
      <c r="D4930" s="4"/>
      <c r="E4930" s="4"/>
      <c r="F4930" s="4"/>
      <c r="G4930" s="4"/>
      <c r="H4930" s="4"/>
    </row>
    <row r="4931" customFormat="false" ht="15" hidden="false" customHeight="false" outlineLevel="1" collapsed="false">
      <c r="A4931" s="7" t="s">
        <v>729</v>
      </c>
      <c r="B4931" s="8" t="s">
        <v>10</v>
      </c>
      <c r="C4931" s="69" t="n">
        <f aca="false">Pressupostos!$F$32</f>
        <v>1100000</v>
      </c>
      <c r="H4931" s="2" t="s">
        <v>1375</v>
      </c>
    </row>
    <row r="4932" customFormat="false" ht="15" hidden="false" customHeight="false" outlineLevel="1" collapsed="false">
      <c r="A4932" s="7" t="s">
        <v>752</v>
      </c>
      <c r="B4932" s="8" t="s">
        <v>10</v>
      </c>
      <c r="C4932" s="68" t="n">
        <f aca="false">C4914+Pressupostos!$C$106+Pressupostos!$C$128/12*((C4818-C4806-C4807+(C4806+C4807)/Pressupostos!$C$126*Pressupostos!$C$127)*(1+Pressupostos!$C$122+Pressupostos!$C$123)+C4804*Pressupostos!$C$124+C4837)+C4842+MAX(0,Pressupostos!$C$181*1000*(C4677+C4680)+Pressupostos!$C$182*1000*(C4700+C4703)-Pressupostos!$C$106)</f>
        <v>652746.666666667</v>
      </c>
      <c r="H4932" s="2" t="s">
        <v>1376</v>
      </c>
    </row>
    <row r="4933" customFormat="false" ht="15" hidden="false" customHeight="false" outlineLevel="1" collapsed="false">
      <c r="A4933" s="7" t="s">
        <v>754</v>
      </c>
      <c r="B4933" s="8" t="s">
        <v>10</v>
      </c>
      <c r="C4933" s="68" t="n">
        <f aca="false">C4914+Pressupostos!$C$106-C4900</f>
        <v>834999.963407534</v>
      </c>
      <c r="H4933" s="2" t="s">
        <v>1377</v>
      </c>
    </row>
    <row r="4934" customFormat="false" ht="15" hidden="false" customHeight="false" outlineLevel="1" collapsed="false">
      <c r="A4934" s="7" t="s">
        <v>755</v>
      </c>
      <c r="B4934" s="8" t="s">
        <v>10</v>
      </c>
      <c r="C4934" s="58" t="n">
        <f aca="false">Pressupostos!$F$32-C4914-Pressupostos!$C$106+C4901</f>
        <v>265000.036592466</v>
      </c>
      <c r="D4934" s="58" t="n">
        <f aca="false">Pressupostos!$F$32-C4914-Pressupostos!$C$106+D4901</f>
        <v>-465170.591763699</v>
      </c>
      <c r="E4934" s="58" t="n">
        <f aca="false">Pressupostos!$F$32-C4914-Pressupostos!$C$106+E4901</f>
        <v>-1253302.0552012</v>
      </c>
      <c r="F4934" s="58" t="n">
        <f aca="false">Pressupostos!$F$32-C4914-Pressupostos!$C$106+F4901</f>
        <v>-1980451.15783105</v>
      </c>
      <c r="G4934" s="58" t="n">
        <f aca="false">Pressupostos!$F$32-C4914-Pressupostos!$C$106+G4901</f>
        <v>-2551224.74318206</v>
      </c>
      <c r="H4934" s="2" t="s">
        <v>1378</v>
      </c>
    </row>
    <row r="4935" customFormat="false" ht="15" hidden="false" customHeight="false" outlineLevel="1" collapsed="false">
      <c r="A4935" s="7" t="s">
        <v>756</v>
      </c>
      <c r="B4935" s="8" t="s">
        <v>16</v>
      </c>
      <c r="C4935" s="73" t="str">
        <f aca="false">IF(AND(Pressupostos!$F$32-C4914-Pressupostos!$C$106&gt;0,C4934&lt;=0),12*(Pressupostos!$F$32-C4914-Pressupostos!$C$106)/(Pressupostos!$F$32-C4914-Pressupostos!$C$106-C4934),"")</f>
        <v/>
      </c>
      <c r="D4935" s="73" t="n">
        <f aca="false">IF(AND(C4934&gt;0,D4934&lt;=0),12+12*C4934/(C4934-D4934),"")</f>
        <v>16.3551470240165</v>
      </c>
      <c r="E4935" s="73" t="str">
        <f aca="false">IF(AND(D4934&gt;0,E4934&lt;=0),24+12*D4934/(D4934-E4934),"")</f>
        <v/>
      </c>
      <c r="F4935" s="73" t="str">
        <f aca="false">IF(AND(E4934&gt;0,F4934&lt;=0),36+12*E4934/(E4934-F4934),"")</f>
        <v/>
      </c>
      <c r="G4935" s="73" t="str">
        <f aca="false">IF(AND(F4934&gt;0,G4934&lt;=0),48+12*F4934/(F4934-G4934),"")</f>
        <v/>
      </c>
      <c r="H4935" s="2" t="s">
        <v>1379</v>
      </c>
    </row>
    <row r="4936" customFormat="false" ht="15" hidden="false" customHeight="false" outlineLevel="1" collapsed="false">
      <c r="A4936" s="52" t="s">
        <v>757</v>
      </c>
      <c r="B4936" s="53" t="s">
        <v>264</v>
      </c>
      <c r="C4936" s="74" t="n">
        <f aca="false">IF(COUNT($C$4935:$G$4935)=0,"&gt; 60",MIN($C$4935:$G$4935))</f>
        <v>16.3551470240165</v>
      </c>
      <c r="H4936" s="2" t="s">
        <v>1380</v>
      </c>
    </row>
    <row r="4937" customFormat="false" ht="15" hidden="false" customHeight="false" outlineLevel="0" collapsed="false">
      <c r="A4937" s="3" t="s">
        <v>1381</v>
      </c>
      <c r="B4937" s="4"/>
      <c r="C4937" s="4"/>
      <c r="D4937" s="4"/>
      <c r="E4937" s="4"/>
      <c r="F4937" s="4"/>
      <c r="G4937" s="4"/>
      <c r="H4937" s="4"/>
    </row>
    <row r="4938" customFormat="false" ht="15" hidden="false" customHeight="false" outlineLevel="1" collapsed="false">
      <c r="A4938" s="7" t="s">
        <v>759</v>
      </c>
      <c r="B4938" s="8" t="s">
        <v>16</v>
      </c>
      <c r="C4938" s="73" t="str">
        <f aca="false">IF(C4857&gt;=0,1,"")</f>
        <v/>
      </c>
      <c r="D4938" s="73" t="str">
        <f aca="false">IF(AND(C4857&lt;0,D4857&gt;=0),6.5+12*(-C4857)/(D4857-C4857),"")</f>
        <v/>
      </c>
      <c r="E4938" s="73" t="str">
        <f aca="false">IF(AND(D4857&lt;0,E4857&gt;=0),18.5+12*(-D4857)/(E4857-D4857),"")</f>
        <v/>
      </c>
      <c r="F4938" s="73" t="str">
        <f aca="false">IF(AND(E4857&lt;0,F4857&gt;=0),30.5+12*(-E4857)/(F4857-E4857),"")</f>
        <v/>
      </c>
      <c r="G4938" s="73" t="str">
        <f aca="false">IF(AND(F4857&lt;0,G4857&gt;=0),42.5+12*(-F4857)/(G4857-F4857),"")</f>
        <v/>
      </c>
      <c r="H4938" s="2" t="s">
        <v>1382</v>
      </c>
    </row>
    <row r="4939" customFormat="false" ht="15" hidden="false" customHeight="false" outlineLevel="1" collapsed="false">
      <c r="A4939" s="7" t="s">
        <v>760</v>
      </c>
      <c r="B4939" s="8" t="s">
        <v>16</v>
      </c>
      <c r="C4939" s="75" t="str">
        <f aca="false">IF(COUNT($C$4938:$G$4938)=0,"não atinge até 2031",ROUNDUP(MIN($C$4938:$G$4938),0))</f>
        <v>não atinge até 2031</v>
      </c>
      <c r="H4939" s="2" t="s">
        <v>1383</v>
      </c>
    </row>
    <row r="4940" customFormat="false" ht="15" hidden="false" customHeight="false" outlineLevel="1" collapsed="false">
      <c r="A4940" s="52" t="s">
        <v>761</v>
      </c>
      <c r="B4940" s="53" t="s">
        <v>762</v>
      </c>
      <c r="C4940" s="76" t="str">
        <f aca="false">IF(ISNUMBER(C4939),DATE(2027,C4939,1),"não atinge até 2031")</f>
        <v>não atinge até 2031</v>
      </c>
      <c r="H4940" s="2" t="s">
        <v>1384</v>
      </c>
    </row>
    <row r="4941" customFormat="false" ht="15" hidden="false" customHeight="false" outlineLevel="1" collapsed="false">
      <c r="A4941" s="7" t="s">
        <v>763</v>
      </c>
      <c r="B4941" s="8" t="s">
        <v>18</v>
      </c>
      <c r="C4941" s="77" t="str">
        <f aca="false">IF(C4857&gt;=0,C4658,"")</f>
        <v/>
      </c>
      <c r="D4941" s="77" t="str">
        <f aca="false">IF(D4857&gt;=0,D4658,"")</f>
        <v/>
      </c>
      <c r="E4941" s="77" t="str">
        <f aca="false">IF(E4857&gt;=0,E4658,"")</f>
        <v/>
      </c>
      <c r="F4941" s="77" t="str">
        <f aca="false">IF(F4857&gt;=0,F4658,"")</f>
        <v/>
      </c>
      <c r="G4941" s="77" t="str">
        <f aca="false">IF(G4857&gt;=0,G4658,"")</f>
        <v/>
      </c>
      <c r="H4941" s="2" t="s">
        <v>1385</v>
      </c>
    </row>
    <row r="4942" customFormat="false" ht="15" hidden="false" customHeight="false" outlineLevel="1" collapsed="false">
      <c r="A4942" s="7" t="s">
        <v>764</v>
      </c>
      <c r="B4942" s="8" t="s">
        <v>18</v>
      </c>
      <c r="C4942" s="71" t="str">
        <f aca="false">IF(COUNT($C$4941:$G$4941)=0,"não atinge até 2031",MIN($C$4941:$G$4941))</f>
        <v>não atinge até 2031</v>
      </c>
      <c r="H4942" s="2" t="s">
        <v>1386</v>
      </c>
    </row>
    <row r="4943" customFormat="false" ht="15" hidden="false" customHeight="false" outlineLevel="1" collapsed="false">
      <c r="A4943" s="7" t="s">
        <v>765</v>
      </c>
      <c r="B4943" s="8" t="s">
        <v>18</v>
      </c>
      <c r="C4943" s="77" t="str">
        <f aca="false">IF(C4875&gt;=0,C4658,"")</f>
        <v/>
      </c>
      <c r="D4943" s="77" t="str">
        <f aca="false">IF(D4875&gt;=0,D4658,"")</f>
        <v/>
      </c>
      <c r="E4943" s="77" t="str">
        <f aca="false">IF(E4875&gt;=0,E4658,"")</f>
        <v/>
      </c>
      <c r="F4943" s="77" t="str">
        <f aca="false">IF(F4875&gt;=0,F4658,"")</f>
        <v/>
      </c>
      <c r="G4943" s="77" t="str">
        <f aca="false">IF(G4875&gt;=0,G4658,"")</f>
        <v/>
      </c>
      <c r="H4943" s="2" t="s">
        <v>1387</v>
      </c>
    </row>
    <row r="4944" customFormat="false" ht="15" hidden="false" customHeight="false" outlineLevel="1" collapsed="false">
      <c r="A4944" s="7" t="s">
        <v>766</v>
      </c>
      <c r="B4944" s="8" t="s">
        <v>18</v>
      </c>
      <c r="C4944" s="71" t="str">
        <f aca="false">IF(COUNT($C$4943:$G$4943)=0,"não atinge até 2031",MIN($C$4943:$G$4943))</f>
        <v>não atinge até 2031</v>
      </c>
      <c r="H4944" s="2" t="s">
        <v>1388</v>
      </c>
    </row>
    <row r="4945" customFormat="false" ht="15" hidden="false" customHeight="false" outlineLevel="1" collapsed="false">
      <c r="A4945" s="7" t="s">
        <v>767</v>
      </c>
      <c r="B4945" s="8" t="s">
        <v>18</v>
      </c>
      <c r="C4945" s="77" t="str">
        <f aca="false">IF(C4900&gt;=0,C4658,"")</f>
        <v/>
      </c>
      <c r="D4945" s="77" t="str">
        <f aca="false">IF(D4900&gt;=0,D4658,"")</f>
        <v/>
      </c>
      <c r="E4945" s="77" t="str">
        <f aca="false">IF(E4900&gt;=0,E4658,"")</f>
        <v/>
      </c>
      <c r="F4945" s="77" t="str">
        <f aca="false">IF(F4900&gt;=0,F4658,"")</f>
        <v/>
      </c>
      <c r="G4945" s="77" t="str">
        <f aca="false">IF(G4900&gt;=0,G4658,"")</f>
        <v/>
      </c>
      <c r="H4945" s="2" t="s">
        <v>1389</v>
      </c>
    </row>
    <row r="4946" customFormat="false" ht="15" hidden="false" customHeight="false" outlineLevel="1" collapsed="false">
      <c r="A4946" s="7" t="s">
        <v>17</v>
      </c>
      <c r="B4946" s="8" t="s">
        <v>18</v>
      </c>
      <c r="C4946" s="71" t="str">
        <f aca="false">IF(COUNT($C$4945:$G$4945)=0,"não atinge até 2031",MIN($C$4945:$G$4945))</f>
        <v>não atinge até 2031</v>
      </c>
      <c r="H4946" s="2" t="s">
        <v>1390</v>
      </c>
    </row>
    <row r="4947" customFormat="false" ht="15" hidden="false" customHeight="false" outlineLevel="0" collapsed="false">
      <c r="A4947" s="3" t="s">
        <v>1391</v>
      </c>
      <c r="B4947" s="4"/>
      <c r="C4947" s="4"/>
      <c r="D4947" s="4"/>
      <c r="E4947" s="4"/>
      <c r="F4947" s="4"/>
      <c r="G4947" s="4"/>
      <c r="H4947" s="4"/>
    </row>
    <row r="4948" customFormat="false" ht="15" hidden="false" customHeight="false" outlineLevel="1" collapsed="false">
      <c r="A4948" s="7" t="s">
        <v>769</v>
      </c>
      <c r="B4948" s="8" t="s">
        <v>10</v>
      </c>
      <c r="C4948" s="58" t="n">
        <f aca="false">C4883</f>
        <v>0</v>
      </c>
      <c r="D4948" s="58" t="n">
        <f aca="false">D4883</f>
        <v>680865.35239726</v>
      </c>
      <c r="E4948" s="58" t="n">
        <f aca="false">E4883</f>
        <v>1457824.28732877</v>
      </c>
      <c r="F4948" s="58" t="n">
        <f aca="false">F4883</f>
        <v>2452144.94075342</v>
      </c>
      <c r="G4948" s="58" t="n">
        <f aca="false">G4883</f>
        <v>3598384.28424657</v>
      </c>
      <c r="H4948" s="2" t="s">
        <v>1392</v>
      </c>
    </row>
    <row r="4949" customFormat="false" ht="15" hidden="false" customHeight="false" outlineLevel="1" collapsed="false">
      <c r="A4949" s="7" t="s">
        <v>487</v>
      </c>
      <c r="B4949" s="8" t="s">
        <v>71</v>
      </c>
      <c r="C4949" s="78" t="n">
        <f aca="false">Pressupostos!$C$285</f>
        <v>0.08</v>
      </c>
      <c r="D4949" s="78" t="n">
        <f aca="false">Pressupostos!$D$285</f>
        <v>0.08</v>
      </c>
      <c r="E4949" s="78" t="n">
        <f aca="false">Pressupostos!$E$285</f>
        <v>0.075</v>
      </c>
      <c r="F4949" s="78" t="n">
        <f aca="false">Pressupostos!$F$285</f>
        <v>0.07</v>
      </c>
      <c r="G4949" s="78" t="n">
        <f aca="false">Pressupostos!$G$285</f>
        <v>0.07</v>
      </c>
      <c r="H4949" s="2" t="s">
        <v>1393</v>
      </c>
    </row>
    <row r="4950" customFormat="false" ht="15" hidden="false" customHeight="false" outlineLevel="1" collapsed="false">
      <c r="A4950" s="7" t="s">
        <v>770</v>
      </c>
      <c r="B4950" s="8" t="s">
        <v>71</v>
      </c>
      <c r="C4950" s="56" t="n">
        <f aca="false">Pressupostos!$C$285*(1-Pressupostos!$C$109)</f>
        <v>0.0576</v>
      </c>
      <c r="D4950" s="56" t="n">
        <f aca="false">Pressupostos!$D$285*(1-Pressupostos!$C$109)</f>
        <v>0.0576</v>
      </c>
      <c r="E4950" s="56" t="n">
        <f aca="false">Pressupostos!$E$285*(1-Pressupostos!$C$109)</f>
        <v>0.054</v>
      </c>
      <c r="F4950" s="56" t="n">
        <f aca="false">Pressupostos!$F$285*(1-Pressupostos!$C$109)</f>
        <v>0.0504</v>
      </c>
      <c r="G4950" s="56" t="n">
        <f aca="false">Pressupostos!$G$285*(1-Pressupostos!$C$109)</f>
        <v>0.0504</v>
      </c>
      <c r="H4950" s="2" t="s">
        <v>1394</v>
      </c>
    </row>
    <row r="4951" customFormat="false" ht="15" hidden="false" customHeight="false" outlineLevel="1" collapsed="false">
      <c r="A4951" s="7" t="s">
        <v>771</v>
      </c>
      <c r="B4951" s="8" t="s">
        <v>10</v>
      </c>
      <c r="C4951" s="58" t="n">
        <f aca="false">C4789</f>
        <v>0</v>
      </c>
      <c r="D4951" s="58" t="n">
        <f aca="false">D4789</f>
        <v>50406.4849315069</v>
      </c>
      <c r="E4951" s="58" t="n">
        <f aca="false">E4789</f>
        <v>100501.322131849</v>
      </c>
      <c r="F4951" s="58" t="n">
        <f aca="false">F4789</f>
        <v>157755.176969178</v>
      </c>
      <c r="G4951" s="58" t="n">
        <f aca="false">G4789</f>
        <v>231401.858732877</v>
      </c>
      <c r="H4951" s="2" t="s">
        <v>1395</v>
      </c>
    </row>
    <row r="4952" customFormat="false" ht="15" hidden="false" customHeight="false" outlineLevel="1" collapsed="false">
      <c r="A4952" s="7" t="s">
        <v>772</v>
      </c>
      <c r="B4952" s="8" t="s">
        <v>71</v>
      </c>
      <c r="C4952" s="55" t="n">
        <f aca="false">IF(C4883&gt;0,(C4886+C4888)/C4883,0)</f>
        <v>0</v>
      </c>
      <c r="D4952" s="55" t="n">
        <f aca="false">IF(D4883&gt;0,(D4886+D4888)/D4883,0)</f>
        <v>0.138888888888889</v>
      </c>
      <c r="E4952" s="55" t="n">
        <f aca="false">IF(E4883&gt;0,(E4886+E4888)/E4883,0)</f>
        <v>0.138888888888889</v>
      </c>
      <c r="F4952" s="55" t="n">
        <f aca="false">IF(F4883&gt;0,(F4886+F4888)/F4883,0)</f>
        <v>0.138888888888889</v>
      </c>
      <c r="G4952" s="55" t="n">
        <f aca="false">IF(G4883&gt;0,(G4886+G4888)/G4883,0)</f>
        <v>0.138888888888889</v>
      </c>
      <c r="H4952" s="2" t="s">
        <v>1396</v>
      </c>
    </row>
    <row r="4953" customFormat="false" ht="15" hidden="false" customHeight="false" outlineLevel="1" collapsed="false">
      <c r="A4953" s="7" t="s">
        <v>773</v>
      </c>
      <c r="B4953" s="8" t="s">
        <v>115</v>
      </c>
      <c r="C4953" s="58" t="n">
        <f aca="false">C4889</f>
        <v>0</v>
      </c>
      <c r="D4953" s="58" t="n">
        <f aca="false">D4889</f>
        <v>13.6173070479452</v>
      </c>
      <c r="E4953" s="58" t="n">
        <f aca="false">E4889</f>
        <v>29.1564857465753</v>
      </c>
      <c r="F4953" s="58" t="n">
        <f aca="false">F4889</f>
        <v>49.0428988150685</v>
      </c>
      <c r="G4953" s="58" t="n">
        <f aca="false">G4889</f>
        <v>71.9676856849315</v>
      </c>
      <c r="H4953" s="2" t="s">
        <v>1397</v>
      </c>
    </row>
    <row r="4954" customFormat="false" ht="15" hidden="false" customHeight="false" outlineLevel="0" collapsed="false">
      <c r="A4954" s="3" t="s">
        <v>1398</v>
      </c>
      <c r="B4954" s="4"/>
      <c r="C4954" s="4"/>
      <c r="D4954" s="4"/>
      <c r="E4954" s="4"/>
      <c r="F4954" s="4"/>
      <c r="G4954" s="4"/>
      <c r="H4954" s="4"/>
    </row>
    <row r="4955" customFormat="false" ht="15" hidden="false" customHeight="false" outlineLevel="1" collapsed="false">
      <c r="A4955" s="7" t="s">
        <v>775</v>
      </c>
      <c r="B4955" s="8" t="s">
        <v>10</v>
      </c>
      <c r="C4955" s="58" t="n">
        <f aca="false">MAX(0,-C4857)</f>
        <v>581730.863133562</v>
      </c>
      <c r="D4955" s="58" t="n">
        <f aca="false">MAX(0,-D4857)</f>
        <v>658875.09635274</v>
      </c>
      <c r="E4955" s="58" t="n">
        <f aca="false">MAX(0,-E4857)</f>
        <v>636220.500252569</v>
      </c>
      <c r="F4955" s="58" t="n">
        <f aca="false">MAX(0,-F4857)</f>
        <v>552049.011876428</v>
      </c>
      <c r="G4955" s="58" t="n">
        <f aca="false">MAX(0,-G4857)</f>
        <v>377573.676532512</v>
      </c>
      <c r="H4955" s="2" t="s">
        <v>1399</v>
      </c>
    </row>
    <row r="4956" customFormat="false" ht="15" hidden="false" customHeight="false" outlineLevel="1" collapsed="false">
      <c r="A4956" s="2" t="s">
        <v>776</v>
      </c>
      <c r="B4956" s="8"/>
      <c r="C4956" s="58" t="n">
        <f aca="false">IF(AND(C4658&gt;=Pressupostos!$C$118,Pressupostos!$C$116*(C4746+C4747)+Pressupostos!$C$117*C4748&gt;Pressupostos!$C$297),1,0)</f>
        <v>0</v>
      </c>
      <c r="D4956" s="58" t="n">
        <f aca="false">IF(AND(D4658&gt;=Pressupostos!$C$118,Pressupostos!$C$116*(D4746+D4747)+Pressupostos!$C$117*D4748&gt;Pressupostos!$D$297),1,0)</f>
        <v>1</v>
      </c>
      <c r="E4956" s="58" t="n">
        <f aca="false">IF(AND(E4658&gt;=Pressupostos!$C$118,Pressupostos!$C$116*(E4746+E4747)+Pressupostos!$C$117*E4748&gt;Pressupostos!$E$297),1,0)</f>
        <v>1</v>
      </c>
      <c r="F4956" s="58" t="n">
        <f aca="false">IF(AND(F4658&gt;=Pressupostos!$C$118,Pressupostos!$C$116*(F4746+F4747)+Pressupostos!$C$117*F4748&gt;Pressupostos!$F$297),1,0)</f>
        <v>1</v>
      </c>
      <c r="G4956" s="58" t="n">
        <f aca="false">IF(AND(G4658&gt;=Pressupostos!$C$118,Pressupostos!$C$116*(G4746+G4747)+Pressupostos!$C$117*G4748&gt;Pressupostos!$G$297),1,0)</f>
        <v>1</v>
      </c>
      <c r="H4956" s="2" t="s">
        <v>1400</v>
      </c>
    </row>
    <row r="4957" customFormat="false" ht="15" hidden="false" customHeight="false" outlineLevel="1" collapsed="false">
      <c r="A4957" s="7" t="s">
        <v>777</v>
      </c>
      <c r="B4957" s="8" t="s">
        <v>59</v>
      </c>
      <c r="C4957" s="60" t="n">
        <f aca="false">IF(C4662&gt;0,C4955/(C4662*1000*(1-Pressupostos!$F$22)*(1-Pressupostos!$F$25-C4956*Pressupostos!$C$116)),"n/a")</f>
        <v>8.63138028187464</v>
      </c>
      <c r="D4957" s="60" t="n">
        <f aca="false">IF(D4662&gt;0,D4955/(D4662*1000*(1-Pressupostos!$F$22)*(1-Pressupostos!$F$25-D4956*Pressupostos!$C$116)),"n/a")</f>
        <v>1.40606004342911</v>
      </c>
      <c r="E4957" s="60" t="n">
        <f aca="false">IF(E4662&gt;0,E4955/(E4662*1000*(1-Pressupostos!$F$22)*(1-Pressupostos!$F$25-E4956*Pressupostos!$C$116)),"n/a")</f>
        <v>0.687378433988644</v>
      </c>
      <c r="F4957" s="60" t="n">
        <f aca="false">IF(F4662&gt;0,F4955/(F4662*1000*(1-Pressupostos!$F$22)*(1-Pressupostos!$F$25-F4956*Pressupostos!$C$116)),"n/a")</f>
        <v>0.361493332498062</v>
      </c>
      <c r="G4957" s="60" t="n">
        <f aca="false">IF(G4662&gt;0,G4955/(G4662*1000*(1-Pressupostos!$F$22)*(1-Pressupostos!$F$25-G4956*Pressupostos!$C$116)),"n/a")</f>
        <v>0.163401514309887</v>
      </c>
      <c r="H4957" s="2" t="s">
        <v>1401</v>
      </c>
    </row>
    <row r="4958" customFormat="false" ht="15" hidden="false" customHeight="false" outlineLevel="1" collapsed="false">
      <c r="A4958" s="7" t="s">
        <v>778</v>
      </c>
      <c r="B4958" s="8" t="s">
        <v>59</v>
      </c>
      <c r="C4958" s="60" t="n">
        <f aca="false">IF(C4661&gt;0,Pressupostos!$F$15+C4955/(C4661*1000*(1-Pressupostos!$F$16)*(1-Pressupostos!$F$18-C4956*Pressupostos!$C$116)),"n/a")</f>
        <v>67.0008668997057</v>
      </c>
      <c r="D4958" s="60" t="n">
        <f aca="false">IF(D4661&gt;0,Pressupostos!$F$15+D4955/(D4661*1000*(1-Pressupostos!$F$16)*(1-Pressupostos!$F$18-D4956*Pressupostos!$C$116)),"n/a")</f>
        <v>24.4985171386645</v>
      </c>
      <c r="E4958" s="60" t="n">
        <f aca="false">IF(E4661&gt;0,Pressupostos!$F$15+E4955/(E4661*1000*(1-Pressupostos!$F$16)*(1-Pressupostos!$F$18-E4956*Pressupostos!$C$116)),"n/a")</f>
        <v>12.6984257864508</v>
      </c>
      <c r="F4958" s="60" t="n">
        <f aca="false">IF(F4661&gt;0,Pressupostos!$F$15+F4955/(F4661*1000*(1-Pressupostos!$F$16)*(1-Pressupostos!$F$18-F4956*Pressupostos!$C$116)),"n/a")</f>
        <v>9.32127379922955</v>
      </c>
      <c r="G4958" s="60" t="n">
        <f aca="false">IF(G4661&gt;0,Pressupostos!$F$15+G4955/(G4661*1000*(1-Pressupostos!$F$16)*(1-Pressupostos!$F$18-G4956*Pressupostos!$C$116)),"n/a")</f>
        <v>7.59010861810733</v>
      </c>
      <c r="H4958" s="2" t="s">
        <v>1402</v>
      </c>
    </row>
    <row r="4959" customFormat="false" ht="15" hidden="false" customHeight="false" outlineLevel="1" collapsed="false">
      <c r="A4959" s="7" t="s">
        <v>779</v>
      </c>
      <c r="B4959" s="8" t="s">
        <v>59</v>
      </c>
      <c r="C4959" s="60" t="n">
        <f aca="false">C4742-C4956*Pressupostos!$C$117*C4725</f>
        <v>0.058762328767124</v>
      </c>
      <c r="D4959" s="60" t="n">
        <f aca="false">D4742-D4956*Pressupostos!$C$117*D4725</f>
        <v>0.0255719178082197</v>
      </c>
      <c r="E4959" s="60" t="n">
        <f aca="false">E4742-E4956*Pressupostos!$C$117*E4725</f>
        <v>0.0271900684931515</v>
      </c>
      <c r="F4959" s="60" t="n">
        <f aca="false">F4742-F4956*Pressupostos!$C$117*F4725</f>
        <v>0.0288082191780828</v>
      </c>
      <c r="G4959" s="60" t="n">
        <f aca="false">G4742-G4956*Pressupostos!$C$117*G4725</f>
        <v>0.0288082191780828</v>
      </c>
      <c r="H4959" s="2" t="s">
        <v>1403</v>
      </c>
    </row>
    <row r="4960" customFormat="false" ht="15" hidden="false" customHeight="false" outlineLevel="1" collapsed="false">
      <c r="A4960" s="7" t="s">
        <v>780</v>
      </c>
      <c r="B4960" s="8" t="s">
        <v>112</v>
      </c>
      <c r="C4960" s="57" t="n">
        <f aca="false">IF(C4959&gt;0,C4663+C4955/(C4959*1000),"n/a")</f>
        <v>9899.72445508364</v>
      </c>
      <c r="D4960" s="57" t="n">
        <f aca="false">IF(D4959&gt;0,D4663+D4955/(D4959*1000),"n/a")</f>
        <v>26415.5722693178</v>
      </c>
      <c r="E4960" s="57" t="n">
        <f aca="false">IF(E4959&gt;0,E4663+E4955/(E4959*1000),"n/a")</f>
        <v>25349.0032210775</v>
      </c>
      <c r="F4960" s="57" t="n">
        <f aca="false">IF(F4959&gt;0,F4663+F4955/(F4959*1000),"n/a")</f>
        <v>22412.8996038889</v>
      </c>
      <c r="G4960" s="57" t="n">
        <f aca="false">IF(G4959&gt;0,G4663+G4955/(G4959*1000),"n/a")</f>
        <v>17656.4566746899</v>
      </c>
      <c r="H4960" s="2" t="s">
        <v>1404</v>
      </c>
    </row>
    <row r="4961" customFormat="false" ht="15" hidden="false" customHeight="false" outlineLevel="1" collapsed="false">
      <c r="A4961" s="7" t="s">
        <v>781</v>
      </c>
      <c r="B4961" s="8" t="s">
        <v>71</v>
      </c>
      <c r="C4961" s="55" t="n">
        <f aca="false">C4955/(C4821+C4834+C4835)</f>
        <v>0.96685537242135</v>
      </c>
      <c r="D4961" s="55" t="n">
        <f aca="false">D4955/(D4821+D4834+D4835)</f>
        <v>0.866646342021628</v>
      </c>
      <c r="E4961" s="55" t="n">
        <f aca="false">E4955/(E4821+E4834+E4835)</f>
        <v>0.697680336465124</v>
      </c>
      <c r="F4961" s="55" t="n">
        <f aca="false">F4955/(F4821+F4834+F4835)</f>
        <v>0.519958567187533</v>
      </c>
      <c r="G4961" s="55" t="n">
        <f aca="false">G4955/(G4821+G4834+G4835)</f>
        <v>0.323792942928765</v>
      </c>
      <c r="H4961" s="2" t="s">
        <v>1405</v>
      </c>
    </row>
    <row r="4962" customFormat="false" ht="15" hidden="false" customHeight="false" outlineLevel="1" collapsed="false">
      <c r="A4962" s="2" t="s">
        <v>782</v>
      </c>
      <c r="B4962" s="8" t="s">
        <v>71</v>
      </c>
      <c r="C4962" s="56" t="n">
        <f aca="false">Pressupostos!$C$99*Pressupostos!$C$100+Pressupostos!$C$101-Pressupostos!$F$30*Pressupostos!$C$102*Pressupostos!$C$100/(Pressupostos!$C$103*Pressupostos!$C$104)</f>
        <v>0.02</v>
      </c>
      <c r="D4962" s="56" t="n">
        <f aca="false">Pressupostos!$C$99*Pressupostos!$C$100+Pressupostos!$C$101-Pressupostos!$F$30*Pressupostos!$C$102*Pressupostos!$C$100/(Pressupostos!$C$103*Pressupostos!$C$104)</f>
        <v>0.02</v>
      </c>
      <c r="E4962" s="56" t="n">
        <f aca="false">Pressupostos!$C$99*Pressupostos!$C$100+Pressupostos!$C$101-Pressupostos!$F$30*Pressupostos!$C$102*Pressupostos!$C$100/(Pressupostos!$C$103*Pressupostos!$C$104)</f>
        <v>0.02</v>
      </c>
      <c r="F4962" s="56" t="n">
        <f aca="false">Pressupostos!$C$99*Pressupostos!$C$100+Pressupostos!$C$101-Pressupostos!$F$30*Pressupostos!$C$102*Pressupostos!$C$100/(Pressupostos!$C$103*Pressupostos!$C$104)</f>
        <v>0.02</v>
      </c>
      <c r="G4962" s="56" t="n">
        <f aca="false">Pressupostos!$C$99*Pressupostos!$C$100+Pressupostos!$C$101-Pressupostos!$F$30*Pressupostos!$C$102*Pressupostos!$C$100/(Pressupostos!$C$103*Pressupostos!$C$104)</f>
        <v>0.02</v>
      </c>
      <c r="H4962" s="2" t="s">
        <v>1406</v>
      </c>
    </row>
    <row r="4963" customFormat="false" ht="15" hidden="false" customHeight="false" outlineLevel="1" collapsed="false">
      <c r="A4963" s="7" t="s">
        <v>783</v>
      </c>
      <c r="B4963" s="8" t="s">
        <v>10</v>
      </c>
      <c r="C4963" s="58" t="n">
        <f aca="false">IF(C4962&gt;0,C4674+C4955/C4962,"n/a")</f>
        <v>29086543.1566781</v>
      </c>
      <c r="D4963" s="58" t="n">
        <f aca="false">IF(D4962&gt;0,D4674+D4955/D4962,"n/a")</f>
        <v>33443754.817637</v>
      </c>
      <c r="E4963" s="58" t="n">
        <f aca="false">IF(E4962&gt;0,E4674+E4955/E4962,"n/a")</f>
        <v>33311025.0126285</v>
      </c>
      <c r="F4963" s="58" t="n">
        <f aca="false">IF(F4962&gt;0,F4674+F4955/F4962,"n/a")</f>
        <v>30602450.5938214</v>
      </c>
      <c r="G4963" s="58" t="n">
        <f aca="false">IF(G4962&gt;0,G4674+G4955/G4962,"n/a")</f>
        <v>23878683.8266256</v>
      </c>
      <c r="H4963" s="2" t="s">
        <v>1407</v>
      </c>
    </row>
    <row r="4966" customFormat="false" ht="15" hidden="false" customHeight="false" outlineLevel="0" collapsed="false">
      <c r="A4966" s="104" t="s">
        <v>1423</v>
      </c>
      <c r="B4966" s="105"/>
      <c r="C4966" s="105"/>
      <c r="D4966" s="105"/>
      <c r="E4966" s="105"/>
      <c r="F4966" s="105"/>
      <c r="G4966" s="105"/>
      <c r="H4966" s="105"/>
    </row>
    <row r="4967" customFormat="false" ht="15" hidden="false" customHeight="false" outlineLevel="0" collapsed="false">
      <c r="A4967" s="3" t="s">
        <v>1102</v>
      </c>
      <c r="B4967" s="4"/>
      <c r="C4967" s="4"/>
      <c r="D4967" s="4"/>
      <c r="E4967" s="4"/>
      <c r="F4967" s="4"/>
      <c r="G4967" s="4"/>
      <c r="H4967" s="4"/>
    </row>
    <row r="4968" customFormat="false" ht="15" hidden="false" customHeight="false" outlineLevel="1" collapsed="false">
      <c r="A4968" s="7" t="s">
        <v>557</v>
      </c>
      <c r="B4968" s="8"/>
      <c r="C4968" s="49" t="n">
        <v>2027</v>
      </c>
      <c r="D4968" s="49" t="n">
        <v>2028</v>
      </c>
      <c r="E4968" s="49" t="n">
        <v>2029</v>
      </c>
      <c r="F4968" s="49" t="n">
        <v>2030</v>
      </c>
      <c r="G4968" s="49" t="n">
        <v>2031</v>
      </c>
      <c r="H4968" s="2" t="s">
        <v>18</v>
      </c>
    </row>
    <row r="4969" customFormat="false" ht="15" hidden="false" customHeight="false" outlineLevel="0" collapsed="false">
      <c r="A4969" s="3" t="s">
        <v>1103</v>
      </c>
      <c r="B4969" s="4"/>
      <c r="C4969" s="4"/>
      <c r="D4969" s="4"/>
      <c r="E4969" s="4"/>
      <c r="F4969" s="4"/>
      <c r="G4969" s="4"/>
      <c r="H4969" s="4"/>
    </row>
    <row r="4970" customFormat="false" ht="15" hidden="false" customHeight="false" outlineLevel="1" collapsed="false">
      <c r="A4970" s="7" t="s">
        <v>372</v>
      </c>
      <c r="B4970" s="8" t="s">
        <v>115</v>
      </c>
      <c r="C4970" s="50" t="n">
        <f aca="false">Pressupostos!$C$210</f>
        <v>40</v>
      </c>
      <c r="D4970" s="50" t="n">
        <f aca="false">Pressupostos!$D$210</f>
        <v>150</v>
      </c>
      <c r="E4970" s="50" t="n">
        <f aca="false">Pressupostos!$E$210</f>
        <v>400</v>
      </c>
      <c r="F4970" s="50" t="n">
        <f aca="false">Pressupostos!$F$210</f>
        <v>700</v>
      </c>
      <c r="G4970" s="50" t="n">
        <f aca="false">Pressupostos!$G$210</f>
        <v>1000</v>
      </c>
      <c r="H4970" s="2" t="s">
        <v>1104</v>
      </c>
    </row>
    <row r="4971" customFormat="false" ht="15" hidden="false" customHeight="false" outlineLevel="1" collapsed="false">
      <c r="A4971" s="7" t="s">
        <v>559</v>
      </c>
      <c r="B4971" s="8" t="s">
        <v>112</v>
      </c>
      <c r="C4971" s="51" t="n">
        <f aca="false">Pressupostos!$C$216</f>
        <v>8.2</v>
      </c>
      <c r="D4971" s="51" t="n">
        <f aca="false">Pressupostos!$D$216</f>
        <v>30.75</v>
      </c>
      <c r="E4971" s="51" t="n">
        <f aca="false">Pressupostos!$E$216</f>
        <v>82</v>
      </c>
      <c r="F4971" s="51" t="n">
        <f aca="false">Pressupostos!$F$216</f>
        <v>143.5</v>
      </c>
      <c r="G4971" s="51" t="n">
        <f aca="false">Pressupostos!$G$216</f>
        <v>205</v>
      </c>
      <c r="H4971" s="2" t="s">
        <v>1105</v>
      </c>
    </row>
    <row r="4972" customFormat="false" ht="15" hidden="false" customHeight="false" outlineLevel="1" collapsed="false">
      <c r="A4972" s="7" t="s">
        <v>560</v>
      </c>
      <c r="B4972" s="8" t="s">
        <v>112</v>
      </c>
      <c r="C4972" s="51" t="n">
        <f aca="false">Pressupostos!$C$222</f>
        <v>52</v>
      </c>
      <c r="D4972" s="51" t="n">
        <f aca="false">Pressupostos!$D$222</f>
        <v>363</v>
      </c>
      <c r="E4972" s="51" t="n">
        <f aca="false">Pressupostos!$E$222</f>
        <v>717</v>
      </c>
      <c r="F4972" s="51" t="n">
        <f aca="false">Pressupostos!$F$222</f>
        <v>1183</v>
      </c>
      <c r="G4972" s="51" t="n">
        <f aca="false">Pressupostos!$G$222</f>
        <v>1790</v>
      </c>
      <c r="H4972" s="2" t="s">
        <v>1106</v>
      </c>
    </row>
    <row r="4973" customFormat="false" ht="15" hidden="false" customHeight="false" outlineLevel="1" collapsed="false">
      <c r="A4973" s="7" t="s">
        <v>383</v>
      </c>
      <c r="B4973" s="8" t="s">
        <v>112</v>
      </c>
      <c r="C4973" s="51" t="n">
        <f aca="false">Pressupostos!$C$228</f>
        <v>0</v>
      </c>
      <c r="D4973" s="51" t="n">
        <f aca="false">Pressupostos!$D$228</f>
        <v>500</v>
      </c>
      <c r="E4973" s="51" t="n">
        <f aca="false">Pressupostos!$E$228</f>
        <v>1500</v>
      </c>
      <c r="F4973" s="51" t="n">
        <f aca="false">Pressupostos!$F$228</f>
        <v>2500</v>
      </c>
      <c r="G4973" s="51" t="n">
        <f aca="false">Pressupostos!$G$228</f>
        <v>3500</v>
      </c>
      <c r="H4973" s="2" t="s">
        <v>1107</v>
      </c>
    </row>
    <row r="4974" customFormat="false" ht="15" hidden="false" customHeight="false" outlineLevel="1" collapsed="false">
      <c r="A4974" s="52" t="s">
        <v>561</v>
      </c>
      <c r="B4974" s="53" t="s">
        <v>112</v>
      </c>
      <c r="C4974" s="54" t="n">
        <f aca="false">C4971+C4972+C4973</f>
        <v>60.2</v>
      </c>
      <c r="D4974" s="54" t="n">
        <f aca="false">D4971+D4972+D4973</f>
        <v>893.75</v>
      </c>
      <c r="E4974" s="54" t="n">
        <f aca="false">E4971+E4972+E4973</f>
        <v>2299</v>
      </c>
      <c r="F4974" s="54" t="n">
        <f aca="false">F4971+F4972+F4973</f>
        <v>3826.5</v>
      </c>
      <c r="G4974" s="54" t="n">
        <f aca="false">G4971+G4972+G4973</f>
        <v>5495</v>
      </c>
      <c r="H4974" s="2" t="s">
        <v>1108</v>
      </c>
    </row>
    <row r="4975" customFormat="false" ht="15" hidden="false" customHeight="false" outlineLevel="1" collapsed="false">
      <c r="A4975" s="7" t="s">
        <v>562</v>
      </c>
      <c r="B4975" s="8" t="s">
        <v>71</v>
      </c>
      <c r="C4975" s="55" t="n">
        <f aca="false">IF(C4974&gt;0,C4971/C4974,0)</f>
        <v>0.136212624584718</v>
      </c>
      <c r="D4975" s="55" t="n">
        <f aca="false">IF(D4974&gt;0,D4971/D4974,0)</f>
        <v>0.0344055944055944</v>
      </c>
      <c r="E4975" s="55" t="n">
        <f aca="false">IF(E4974&gt;0,E4971/E4974,0)</f>
        <v>0.035667681600696</v>
      </c>
      <c r="F4975" s="55" t="n">
        <f aca="false">IF(F4974&gt;0,F4971/F4974,0)</f>
        <v>0.0375016333464001</v>
      </c>
      <c r="G4975" s="55" t="n">
        <f aca="false">IF(G4974&gt;0,G4971/G4974,0)</f>
        <v>0.0373066424021838</v>
      </c>
      <c r="H4975" s="2" t="s">
        <v>1109</v>
      </c>
    </row>
    <row r="4976" customFormat="false" ht="15" hidden="false" customHeight="false" outlineLevel="1" collapsed="false">
      <c r="A4976" s="7" t="s">
        <v>563</v>
      </c>
      <c r="B4976" s="8" t="s">
        <v>71</v>
      </c>
      <c r="C4976" s="56" t="n">
        <f aca="false">C4974/(Pressupostos!$C$74*1000)</f>
        <v>0.000344</v>
      </c>
      <c r="D4976" s="56" t="n">
        <f aca="false">D4974/(Pressupostos!$C$74*1000)</f>
        <v>0.00510714285714286</v>
      </c>
      <c r="E4976" s="56" t="n">
        <f aca="false">E4974/(Pressupostos!$C$74*1000)</f>
        <v>0.0131371428571429</v>
      </c>
      <c r="F4976" s="56" t="n">
        <f aca="false">F4974/(Pressupostos!$C$74*1000)</f>
        <v>0.0218657142857143</v>
      </c>
      <c r="G4976" s="56" t="n">
        <f aca="false">G4974/(Pressupostos!$C$74*1000)</f>
        <v>0.0314</v>
      </c>
      <c r="H4976" s="2" t="s">
        <v>1110</v>
      </c>
    </row>
    <row r="4977" customFormat="false" ht="15" hidden="false" customHeight="false" outlineLevel="1" collapsed="false">
      <c r="A4977" s="7" t="s">
        <v>564</v>
      </c>
      <c r="B4977" s="8" t="s">
        <v>115</v>
      </c>
      <c r="C4977" s="57" t="n">
        <f aca="false">C4971/Pressupostos!$C$39+C4972/Pressupostos!$C$46+C4973/Pressupostos!$C$58</f>
        <v>2.14333333333333</v>
      </c>
      <c r="D4977" s="57" t="n">
        <f aca="false">D4971/Pressupostos!$C$39+D4972/Pressupostos!$C$46+D4973/Pressupostos!$C$58</f>
        <v>18.6375</v>
      </c>
      <c r="E4977" s="57" t="n">
        <f aca="false">E4971/Pressupostos!$C$39+E4972/Pressupostos!$C$46+E4973/Pressupostos!$C$58</f>
        <v>43</v>
      </c>
      <c r="F4977" s="57" t="n">
        <f aca="false">F4971/Pressupostos!$C$39+F4972/Pressupostos!$C$46+F4973/Pressupostos!$C$58</f>
        <v>71.6083333333333</v>
      </c>
      <c r="G4977" s="57" t="n">
        <f aca="false">G4971/Pressupostos!$C$39+G4972/Pressupostos!$C$46+G4973/Pressupostos!$C$58</f>
        <v>104.916666666667</v>
      </c>
      <c r="H4977" s="2" t="s">
        <v>1111</v>
      </c>
    </row>
    <row r="4978" customFormat="false" ht="15" hidden="false" customHeight="false" outlineLevel="0" collapsed="false">
      <c r="A4978" s="3" t="s">
        <v>1112</v>
      </c>
      <c r="B4978" s="4"/>
      <c r="C4978" s="4"/>
      <c r="D4978" s="4"/>
      <c r="E4978" s="4"/>
      <c r="F4978" s="4"/>
      <c r="G4978" s="4"/>
      <c r="H4978" s="4"/>
    </row>
    <row r="4979" customFormat="false" ht="15" hidden="false" customHeight="false" outlineLevel="1" collapsed="false">
      <c r="A4979" s="7" t="s">
        <v>566</v>
      </c>
      <c r="B4979" s="8" t="s">
        <v>192</v>
      </c>
      <c r="C4979" s="50" t="n">
        <f aca="false">Pressupostos!$C$254</f>
        <v>36</v>
      </c>
      <c r="D4979" s="50" t="n">
        <f aca="false">Pressupostos!$D$254</f>
        <v>135</v>
      </c>
      <c r="E4979" s="50" t="n">
        <f aca="false">Pressupostos!$E$254</f>
        <v>360</v>
      </c>
      <c r="F4979" s="50" t="n">
        <f aca="false">Pressupostos!$F$254</f>
        <v>630</v>
      </c>
      <c r="G4979" s="50" t="n">
        <f aca="false">Pressupostos!$G$254</f>
        <v>900</v>
      </c>
      <c r="H4979" s="2" t="s">
        <v>1113</v>
      </c>
    </row>
    <row r="4980" customFormat="false" ht="15" hidden="false" customHeight="false" outlineLevel="1" collapsed="false">
      <c r="A4980" s="7" t="s">
        <v>566</v>
      </c>
      <c r="B4980" s="8" t="s">
        <v>179</v>
      </c>
      <c r="C4980" s="58" t="n">
        <f aca="false">C4979*Pressupostos!$C$76</f>
        <v>27000</v>
      </c>
      <c r="D4980" s="58" t="n">
        <f aca="false">D4979*Pressupostos!$C$76</f>
        <v>101250</v>
      </c>
      <c r="E4980" s="58" t="n">
        <f aca="false">E4979*Pressupostos!$C$76</f>
        <v>270000</v>
      </c>
      <c r="F4980" s="58" t="n">
        <f aca="false">F4979*Pressupostos!$C$76</f>
        <v>472500</v>
      </c>
      <c r="G4980" s="58" t="n">
        <f aca="false">G4979*Pressupostos!$C$76</f>
        <v>675000</v>
      </c>
      <c r="H4980" s="2" t="s">
        <v>1114</v>
      </c>
    </row>
    <row r="4981" customFormat="false" ht="15" hidden="false" customHeight="false" outlineLevel="0" collapsed="false">
      <c r="A4981" s="3" t="s">
        <v>1115</v>
      </c>
      <c r="B4981" s="4"/>
      <c r="C4981" s="4"/>
      <c r="D4981" s="4"/>
      <c r="E4981" s="4"/>
      <c r="F4981" s="4"/>
      <c r="G4981" s="4"/>
      <c r="H4981" s="4"/>
    </row>
    <row r="4982" customFormat="false" ht="15" hidden="false" customHeight="false" outlineLevel="1" collapsed="false">
      <c r="A4982" s="7" t="s">
        <v>568</v>
      </c>
      <c r="B4982" s="8" t="s">
        <v>112</v>
      </c>
      <c r="C4982" s="57" t="n">
        <f aca="false">IF(C4968&lt;Pressupostos!$F$28,0,Pressupostos!$C$260)</f>
        <v>0</v>
      </c>
      <c r="D4982" s="57" t="n">
        <f aca="false">IF(D4968&lt;Pressupostos!$F$28,0,Pressupostos!$D$260)</f>
        <v>0</v>
      </c>
      <c r="E4982" s="57" t="n">
        <f aca="false">IF(E4968&lt;Pressupostos!$F$28,0,Pressupostos!$E$260)</f>
        <v>0</v>
      </c>
      <c r="F4982" s="57" t="n">
        <f aca="false">IF(F4968&lt;Pressupostos!$F$28,0,Pressupostos!$F$260)</f>
        <v>20</v>
      </c>
      <c r="G4982" s="57" t="n">
        <f aca="false">IF(G4968&lt;Pressupostos!$F$28,0,Pressupostos!$G$260)</f>
        <v>50</v>
      </c>
      <c r="H4982" s="2" t="s">
        <v>1116</v>
      </c>
    </row>
    <row r="4983" customFormat="false" ht="15" hidden="false" customHeight="false" outlineLevel="0" collapsed="false">
      <c r="A4983" s="3" t="s">
        <v>1117</v>
      </c>
      <c r="B4983" s="4"/>
      <c r="C4983" s="4"/>
      <c r="D4983" s="4"/>
      <c r="E4983" s="4"/>
      <c r="F4983" s="4"/>
      <c r="G4983" s="4"/>
      <c r="H4983" s="4"/>
    </row>
    <row r="4984" customFormat="false" ht="15" hidden="false" customHeight="false" outlineLevel="1" collapsed="false">
      <c r="A4984" s="7" t="s">
        <v>570</v>
      </c>
      <c r="B4984" s="8" t="s">
        <v>10</v>
      </c>
      <c r="C4984" s="50" t="n">
        <f aca="false">Pressupostos!$C$266</f>
        <v>0</v>
      </c>
      <c r="D4984" s="50" t="n">
        <f aca="false">Pressupostos!$D$266</f>
        <v>500000</v>
      </c>
      <c r="E4984" s="50" t="n">
        <f aca="false">Pressupostos!$E$266</f>
        <v>1500000</v>
      </c>
      <c r="F4984" s="50" t="n">
        <f aca="false">Pressupostos!$F$266</f>
        <v>3000000</v>
      </c>
      <c r="G4984" s="50" t="n">
        <f aca="false">Pressupostos!$G$266</f>
        <v>5000000</v>
      </c>
      <c r="H4984" s="2" t="s">
        <v>1118</v>
      </c>
    </row>
    <row r="4985" customFormat="false" ht="15" hidden="false" customHeight="false" outlineLevel="1" collapsed="false">
      <c r="A4985" s="7" t="s">
        <v>571</v>
      </c>
      <c r="B4985" s="8" t="s">
        <v>112</v>
      </c>
      <c r="C4985" s="57" t="n">
        <f aca="false">C4984/(Pressupostos!$C$103*Pressupostos!$C$104)*Pressupostos!$C$100/1000</f>
        <v>0</v>
      </c>
      <c r="D4985" s="57" t="n">
        <f aca="false">D4984/(Pressupostos!$C$103*Pressupostos!$C$104)*Pressupostos!$C$100/1000</f>
        <v>457.142857142857</v>
      </c>
      <c r="E4985" s="57" t="n">
        <f aca="false">E4984/(Pressupostos!$C$103*Pressupostos!$C$104)*Pressupostos!$C$100/1000</f>
        <v>1371.42857142857</v>
      </c>
      <c r="F4985" s="57" t="n">
        <f aca="false">F4984/(Pressupostos!$C$103*Pressupostos!$C$104)*Pressupostos!$C$100/1000</f>
        <v>2742.85714285714</v>
      </c>
      <c r="G4985" s="57" t="n">
        <f aca="false">G4984/(Pressupostos!$C$103*Pressupostos!$C$104)*Pressupostos!$C$100/1000</f>
        <v>4571.42857142857</v>
      </c>
      <c r="H4985" s="2" t="s">
        <v>1119</v>
      </c>
    </row>
    <row r="4986" customFormat="false" ht="15" hidden="false" customHeight="false" outlineLevel="0" collapsed="false">
      <c r="A4986" s="3" t="s">
        <v>1120</v>
      </c>
      <c r="B4986" s="4"/>
      <c r="C4986" s="4"/>
      <c r="D4986" s="4"/>
      <c r="E4986" s="4"/>
      <c r="F4986" s="4"/>
      <c r="G4986" s="4"/>
      <c r="H4986" s="4"/>
    </row>
    <row r="4987" customFormat="false" ht="15" hidden="false" customHeight="false" outlineLevel="1" collapsed="false">
      <c r="A4987" s="7" t="s">
        <v>633</v>
      </c>
      <c r="B4987" s="8" t="s">
        <v>59</v>
      </c>
      <c r="C4987" s="60" t="n">
        <f aca="false">(Pressupostos!$F$10*(1+Pressupostos!$C$195))+Pressupostos!$F$11</f>
        <v>2.6</v>
      </c>
      <c r="D4987" s="60" t="n">
        <f aca="false">(Pressupostos!$F$10*(1+Pressupostos!$C$195))+Pressupostos!$F$11</f>
        <v>2.6</v>
      </c>
      <c r="E4987" s="60" t="n">
        <f aca="false">(Pressupostos!$F$10*(1+Pressupostos!$C$195))+Pressupostos!$F$11</f>
        <v>2.6</v>
      </c>
      <c r="F4987" s="60" t="n">
        <f aca="false">(Pressupostos!$F$10*(1+Pressupostos!$C$195))+Pressupostos!$F$11</f>
        <v>2.6</v>
      </c>
      <c r="G4987" s="60" t="n">
        <f aca="false">(Pressupostos!$F$10*(1+Pressupostos!$C$195))+Pressupostos!$F$11</f>
        <v>2.6</v>
      </c>
      <c r="H4987" s="2" t="s">
        <v>1121</v>
      </c>
    </row>
    <row r="4988" customFormat="false" ht="15" hidden="false" customHeight="false" outlineLevel="1" collapsed="false">
      <c r="A4988" s="7" t="s">
        <v>634</v>
      </c>
      <c r="B4988" s="8" t="s">
        <v>59</v>
      </c>
      <c r="C4988" s="60" t="n">
        <f aca="false">(Pressupostos!$F$15*(1+Pressupostos!$C$195))</f>
        <v>4.2</v>
      </c>
      <c r="D4988" s="60" t="n">
        <f aca="false">(Pressupostos!$F$15*(1+Pressupostos!$C$195))</f>
        <v>4.2</v>
      </c>
      <c r="E4988" s="60" t="n">
        <f aca="false">(Pressupostos!$F$15*(1+Pressupostos!$C$195))</f>
        <v>4.2</v>
      </c>
      <c r="F4988" s="60" t="n">
        <f aca="false">(Pressupostos!$F$15*(1+Pressupostos!$C$195))</f>
        <v>4.2</v>
      </c>
      <c r="G4988" s="60" t="n">
        <f aca="false">(Pressupostos!$F$15*(1+Pressupostos!$C$195))</f>
        <v>4.2</v>
      </c>
      <c r="H4988" s="2" t="s">
        <v>1122</v>
      </c>
    </row>
    <row r="4989" customFormat="false" ht="15" hidden="false" customHeight="false" outlineLevel="1" collapsed="false">
      <c r="A4989" s="52" t="s">
        <v>635</v>
      </c>
      <c r="B4989" s="53" t="s">
        <v>59</v>
      </c>
      <c r="C4989" s="64" t="n">
        <f aca="false">C4988*(1-Pressupostos!$F$16)</f>
        <v>3.78</v>
      </c>
      <c r="D4989" s="64" t="n">
        <f aca="false">D4988*(1-Pressupostos!$F$16)</f>
        <v>3.78</v>
      </c>
      <c r="E4989" s="64" t="n">
        <f aca="false">E4988*(1-Pressupostos!$F$16)</f>
        <v>3.78</v>
      </c>
      <c r="F4989" s="64" t="n">
        <f aca="false">F4988*(1-Pressupostos!$F$16)</f>
        <v>3.78</v>
      </c>
      <c r="G4989" s="64" t="n">
        <f aca="false">G4988*(1-Pressupostos!$F$16)</f>
        <v>3.78</v>
      </c>
      <c r="H4989" s="2" t="s">
        <v>1123</v>
      </c>
    </row>
    <row r="4990" customFormat="false" ht="15" hidden="false" customHeight="false" outlineLevel="1" collapsed="false">
      <c r="A4990" s="7" t="s">
        <v>136</v>
      </c>
      <c r="B4990" s="8" t="s">
        <v>59</v>
      </c>
      <c r="C4990" s="63" t="n">
        <f aca="false">Pressupostos!$C$37</f>
        <v>0.55</v>
      </c>
      <c r="D4990" s="63" t="n">
        <f aca="false">Pressupostos!$C$37</f>
        <v>0.55</v>
      </c>
      <c r="E4990" s="63" t="n">
        <f aca="false">Pressupostos!$C$37</f>
        <v>0.55</v>
      </c>
      <c r="F4990" s="63" t="n">
        <f aca="false">Pressupostos!$C$37</f>
        <v>0.55</v>
      </c>
      <c r="G4990" s="63" t="n">
        <f aca="false">Pressupostos!$C$37</f>
        <v>0.55</v>
      </c>
      <c r="H4990" s="2" t="s">
        <v>1124</v>
      </c>
    </row>
    <row r="4991" customFormat="false" ht="15" hidden="false" customHeight="false" outlineLevel="1" collapsed="false">
      <c r="A4991" s="7" t="s">
        <v>205</v>
      </c>
      <c r="B4991" s="8" t="s">
        <v>59</v>
      </c>
      <c r="C4991" s="63" t="n">
        <f aca="false">Pressupostos!$C$235</f>
        <v>0.3</v>
      </c>
      <c r="D4991" s="63" t="n">
        <f aca="false">Pressupostos!$D$235</f>
        <v>0.3</v>
      </c>
      <c r="E4991" s="63" t="n">
        <f aca="false">Pressupostos!$E$235</f>
        <v>0.28</v>
      </c>
      <c r="F4991" s="63" t="n">
        <f aca="false">Pressupostos!$F$235</f>
        <v>0.27</v>
      </c>
      <c r="G4991" s="63" t="n">
        <f aca="false">Pressupostos!$G$235</f>
        <v>0.27</v>
      </c>
      <c r="H4991" s="2" t="s">
        <v>1125</v>
      </c>
    </row>
    <row r="4992" customFormat="false" ht="15" hidden="false" customHeight="false" outlineLevel="1" collapsed="false">
      <c r="A4992" s="7" t="s">
        <v>109</v>
      </c>
      <c r="B4992" s="8" t="s">
        <v>59</v>
      </c>
      <c r="C4992" s="63" t="n">
        <f aca="false">Pressupostos!$C$38</f>
        <v>0.06</v>
      </c>
      <c r="D4992" s="63" t="n">
        <f aca="false">Pressupostos!$C$38</f>
        <v>0.06</v>
      </c>
      <c r="E4992" s="63" t="n">
        <f aca="false">Pressupostos!$C$38</f>
        <v>0.06</v>
      </c>
      <c r="F4992" s="63" t="n">
        <f aca="false">Pressupostos!$C$38</f>
        <v>0.06</v>
      </c>
      <c r="G4992" s="63" t="n">
        <f aca="false">Pressupostos!$C$38</f>
        <v>0.06</v>
      </c>
      <c r="H4992" s="2" t="s">
        <v>1126</v>
      </c>
    </row>
    <row r="4993" customFormat="false" ht="15" hidden="false" customHeight="false" outlineLevel="1" collapsed="false">
      <c r="A4993" s="7" t="s">
        <v>86</v>
      </c>
      <c r="B4993" s="8" t="s">
        <v>74</v>
      </c>
      <c r="C4993" s="65" t="n">
        <f aca="false">Pressupostos!$C$241</f>
        <v>180</v>
      </c>
      <c r="D4993" s="65" t="n">
        <f aca="false">Pressupostos!$D$241</f>
        <v>180</v>
      </c>
      <c r="E4993" s="65" t="n">
        <f aca="false">Pressupostos!$E$241</f>
        <v>45</v>
      </c>
      <c r="F4993" s="65" t="n">
        <f aca="false">Pressupostos!$F$241</f>
        <v>45</v>
      </c>
      <c r="G4993" s="65" t="n">
        <f aca="false">Pressupostos!$G$241</f>
        <v>45</v>
      </c>
      <c r="H4993" s="2" t="s">
        <v>1127</v>
      </c>
    </row>
    <row r="4994" customFormat="false" ht="15" hidden="false" customHeight="false" outlineLevel="1" collapsed="false">
      <c r="A4994" s="7" t="s">
        <v>73</v>
      </c>
      <c r="B4994" s="8" t="s">
        <v>74</v>
      </c>
      <c r="C4994" s="65" t="n">
        <f aca="false">Pressupostos!$F$17</f>
        <v>35</v>
      </c>
      <c r="D4994" s="65" t="n">
        <f aca="false">Pressupostos!$F$17</f>
        <v>35</v>
      </c>
      <c r="E4994" s="65" t="n">
        <f aca="false">Pressupostos!$F$17</f>
        <v>35</v>
      </c>
      <c r="F4994" s="65" t="n">
        <f aca="false">Pressupostos!$F$17</f>
        <v>35</v>
      </c>
      <c r="G4994" s="65" t="n">
        <f aca="false">Pressupostos!$F$17</f>
        <v>35</v>
      </c>
      <c r="H4994" s="2" t="s">
        <v>1128</v>
      </c>
    </row>
    <row r="4995" customFormat="false" ht="15" hidden="false" customHeight="false" outlineLevel="1" collapsed="false">
      <c r="A4995" s="7" t="s">
        <v>471</v>
      </c>
      <c r="B4995" s="8" t="s">
        <v>59</v>
      </c>
      <c r="C4995" s="60" t="n">
        <f aca="false">Pressupostos!$C$64*C4993/30/1000</f>
        <v>0.024</v>
      </c>
      <c r="D4995" s="60" t="n">
        <f aca="false">Pressupostos!$C$64*D4993/30/1000</f>
        <v>0.024</v>
      </c>
      <c r="E4995" s="60" t="n">
        <f aca="false">Pressupostos!$C$64*E4993/30/1000</f>
        <v>0.006</v>
      </c>
      <c r="F4995" s="60" t="n">
        <f aca="false">Pressupostos!$C$64*F4993/30/1000</f>
        <v>0.006</v>
      </c>
      <c r="G4995" s="60" t="n">
        <f aca="false">Pressupostos!$C$64*G4993/30/1000</f>
        <v>0.006</v>
      </c>
      <c r="H4995" s="2" t="s">
        <v>1129</v>
      </c>
    </row>
    <row r="4996" customFormat="false" ht="15" hidden="false" customHeight="false" outlineLevel="1" collapsed="false">
      <c r="A4996" s="7" t="s">
        <v>154</v>
      </c>
      <c r="B4996" s="8" t="s">
        <v>59</v>
      </c>
      <c r="C4996" s="60" t="n">
        <f aca="false">C4987*Pressupostos!$C$65*C4993/365</f>
        <v>0.00256438356164384</v>
      </c>
      <c r="D4996" s="60" t="n">
        <f aca="false">D4987*Pressupostos!$C$65*D4993/365</f>
        <v>0.00256438356164384</v>
      </c>
      <c r="E4996" s="60" t="n">
        <f aca="false">E4987*Pressupostos!$C$65*E4993/365</f>
        <v>0.000641095890410959</v>
      </c>
      <c r="F4996" s="60" t="n">
        <f aca="false">F4987*Pressupostos!$C$65*F4993/365</f>
        <v>0.000641095890410959</v>
      </c>
      <c r="G4996" s="60" t="n">
        <f aca="false">G4987*Pressupostos!$C$65*G4993/365</f>
        <v>0.000641095890410959</v>
      </c>
      <c r="H4996" s="2" t="s">
        <v>1130</v>
      </c>
    </row>
    <row r="4997" customFormat="false" ht="15" hidden="false" customHeight="false" outlineLevel="1" collapsed="false">
      <c r="A4997" s="7" t="s">
        <v>636</v>
      </c>
      <c r="B4997" s="8" t="s">
        <v>59</v>
      </c>
      <c r="C4997" s="60" t="n">
        <f aca="false">Pressupostos!$C$40*Pressupostos!$C$66/(Pressupostos!$C$39*1000)</f>
        <v>0.03</v>
      </c>
      <c r="D4997" s="60" t="n">
        <f aca="false">Pressupostos!$C$40*Pressupostos!$C$66/(Pressupostos!$C$39*1000)</f>
        <v>0.03</v>
      </c>
      <c r="E4997" s="60" t="n">
        <f aca="false">Pressupostos!$C$40*Pressupostos!$C$66/(Pressupostos!$C$39*1000)</f>
        <v>0.03</v>
      </c>
      <c r="F4997" s="60" t="n">
        <f aca="false">Pressupostos!$C$40*Pressupostos!$C$66/(Pressupostos!$C$39*1000)</f>
        <v>0.03</v>
      </c>
      <c r="G4997" s="60" t="n">
        <f aca="false">Pressupostos!$C$40*Pressupostos!$C$66/(Pressupostos!$C$39*1000)</f>
        <v>0.03</v>
      </c>
      <c r="H4997" s="2" t="s">
        <v>1131</v>
      </c>
    </row>
    <row r="4998" customFormat="false" ht="15" hidden="false" customHeight="false" outlineLevel="1" collapsed="false">
      <c r="A4998" s="7" t="s">
        <v>473</v>
      </c>
      <c r="B4998" s="8" t="s">
        <v>59</v>
      </c>
      <c r="C4998" s="60" t="n">
        <f aca="false">Pressupostos!$C$67*C4987</f>
        <v>0.013</v>
      </c>
      <c r="D4998" s="60" t="n">
        <f aca="false">Pressupostos!$C$67*D4987</f>
        <v>0.013</v>
      </c>
      <c r="E4998" s="60" t="n">
        <f aca="false">Pressupostos!$C$67*E4987</f>
        <v>0.013</v>
      </c>
      <c r="F4998" s="60" t="n">
        <f aca="false">Pressupostos!$C$67*F4987</f>
        <v>0.013</v>
      </c>
      <c r="G4998" s="60" t="n">
        <f aca="false">Pressupostos!$C$67*G4987</f>
        <v>0.013</v>
      </c>
      <c r="H4998" s="2" t="s">
        <v>1132</v>
      </c>
    </row>
    <row r="4999" customFormat="false" ht="15" hidden="false" customHeight="false" outlineLevel="1" collapsed="false">
      <c r="A4999" s="7" t="s">
        <v>474</v>
      </c>
      <c r="B4999" s="8" t="s">
        <v>59</v>
      </c>
      <c r="C4999" s="60" t="n">
        <f aca="false">Pressupostos!$C$68*Pressupostos!$C$69*C4993/90</f>
        <v>0.018</v>
      </c>
      <c r="D4999" s="60" t="n">
        <f aca="false">Pressupostos!$C$68*Pressupostos!$C$69*D4993/90</f>
        <v>0.018</v>
      </c>
      <c r="E4999" s="60" t="n">
        <f aca="false">Pressupostos!$C$68*Pressupostos!$C$69*E4993/90</f>
        <v>0.0045</v>
      </c>
      <c r="F4999" s="60" t="n">
        <f aca="false">Pressupostos!$C$68*Pressupostos!$C$69*F4993/90</f>
        <v>0.0045</v>
      </c>
      <c r="G4999" s="60" t="n">
        <f aca="false">Pressupostos!$C$68*Pressupostos!$C$69*G4993/90</f>
        <v>0.0045</v>
      </c>
      <c r="H4999" s="2" t="s">
        <v>1133</v>
      </c>
    </row>
    <row r="5000" customFormat="false" ht="15" hidden="false" customHeight="false" outlineLevel="1" collapsed="false">
      <c r="A5000" s="7" t="s">
        <v>637</v>
      </c>
      <c r="B5000" s="8" t="s">
        <v>59</v>
      </c>
      <c r="C5000" s="60" t="n">
        <f aca="false">Pressupostos!$C$41/(Pressupostos!$C$39*1000)</f>
        <v>0.1</v>
      </c>
      <c r="D5000" s="60" t="n">
        <f aca="false">Pressupostos!$C$41/(Pressupostos!$C$39*1000)</f>
        <v>0.1</v>
      </c>
      <c r="E5000" s="60" t="n">
        <f aca="false">Pressupostos!$C$41/(Pressupostos!$C$39*1000)</f>
        <v>0.1</v>
      </c>
      <c r="F5000" s="60" t="n">
        <f aca="false">Pressupostos!$C$41/(Pressupostos!$C$39*1000)</f>
        <v>0.1</v>
      </c>
      <c r="G5000" s="60" t="n">
        <f aca="false">Pressupostos!$C$41/(Pressupostos!$C$39*1000)</f>
        <v>0.1</v>
      </c>
      <c r="H5000" s="2" t="s">
        <v>1134</v>
      </c>
    </row>
    <row r="5001" customFormat="false" ht="15" hidden="false" customHeight="false" outlineLevel="1" collapsed="false">
      <c r="A5001" s="7" t="s">
        <v>131</v>
      </c>
      <c r="B5001" s="8" t="s">
        <v>59</v>
      </c>
      <c r="C5001" s="63" t="n">
        <f aca="false">Pressupostos!$C$42</f>
        <v>0.01</v>
      </c>
      <c r="D5001" s="63" t="n">
        <f aca="false">Pressupostos!$C$42</f>
        <v>0.01</v>
      </c>
      <c r="E5001" s="63" t="n">
        <f aca="false">Pressupostos!$C$42</f>
        <v>0.01</v>
      </c>
      <c r="F5001" s="63" t="n">
        <f aca="false">Pressupostos!$C$42</f>
        <v>0.01</v>
      </c>
      <c r="G5001" s="63" t="n">
        <f aca="false">Pressupostos!$C$42</f>
        <v>0.01</v>
      </c>
      <c r="H5001" s="2" t="s">
        <v>1135</v>
      </c>
    </row>
    <row r="5002" customFormat="false" ht="15" hidden="false" customHeight="false" outlineLevel="1" collapsed="false">
      <c r="A5002" s="7" t="s">
        <v>76</v>
      </c>
      <c r="B5002" s="8" t="s">
        <v>59</v>
      </c>
      <c r="C5002" s="60" t="n">
        <f aca="false">Pressupostos!$F$18*C4989</f>
        <v>0.02268</v>
      </c>
      <c r="D5002" s="60" t="n">
        <f aca="false">Pressupostos!$F$18*D4989</f>
        <v>0.02268</v>
      </c>
      <c r="E5002" s="60" t="n">
        <f aca="false">Pressupostos!$F$18*E4989</f>
        <v>0.02268</v>
      </c>
      <c r="F5002" s="60" t="n">
        <f aca="false">Pressupostos!$F$18*F4989</f>
        <v>0.02268</v>
      </c>
      <c r="G5002" s="60" t="n">
        <f aca="false">Pressupostos!$F$18*G4989</f>
        <v>0.02268</v>
      </c>
      <c r="H5002" s="2" t="s">
        <v>1136</v>
      </c>
    </row>
    <row r="5003" customFormat="false" ht="15" hidden="false" customHeight="false" outlineLevel="1" collapsed="false">
      <c r="A5003" s="7" t="s">
        <v>638</v>
      </c>
      <c r="B5003" s="8" t="s">
        <v>59</v>
      </c>
      <c r="C5003" s="60" t="n">
        <f aca="false">Pressupostos!$C$71*C4989</f>
        <v>0</v>
      </c>
      <c r="D5003" s="60" t="n">
        <f aca="false">Pressupostos!$C$71*D4989</f>
        <v>0</v>
      </c>
      <c r="E5003" s="60" t="n">
        <f aca="false">Pressupostos!$C$71*E4989</f>
        <v>0</v>
      </c>
      <c r="F5003" s="60" t="n">
        <f aca="false">Pressupostos!$C$71*F4989</f>
        <v>0</v>
      </c>
      <c r="G5003" s="60" t="n">
        <f aca="false">Pressupostos!$C$71*G4989</f>
        <v>0</v>
      </c>
      <c r="H5003" s="2" t="s">
        <v>1137</v>
      </c>
    </row>
    <row r="5004" customFormat="false" ht="15" hidden="false" customHeight="false" outlineLevel="1" collapsed="false">
      <c r="A5004" s="7" t="s">
        <v>639</v>
      </c>
      <c r="B5004" s="8" t="s">
        <v>59</v>
      </c>
      <c r="C5004" s="60" t="n">
        <f aca="false">Pressupostos!$C$285*(C4987+C4990)*(C4993+C4994-Pressupostos!$C$70)/365*Pressupostos!$C$279/Pressupostos!$F$31</f>
        <v>0</v>
      </c>
      <c r="D5004" s="60" t="n">
        <f aca="false">Pressupostos!$D$285*(D4987+D4990)*(D4993+D4994-Pressupostos!$C$70)/365*Pressupostos!$D$279/Pressupostos!$F$31</f>
        <v>0.143691780821918</v>
      </c>
      <c r="E5004" s="60" t="n">
        <f aca="false">Pressupostos!$E$285*(E4987+E4990)*(E4993+E4994-Pressupostos!$C$70)/365*Pressupostos!$E$279/Pressupostos!$F$31</f>
        <v>0.0364083904109589</v>
      </c>
      <c r="F5004" s="60" t="n">
        <f aca="false">Pressupostos!$F$285*(F4987+F4990)*(F4993+F4994-Pressupostos!$C$70)/365*Pressupostos!$F$279/Pressupostos!$F$31</f>
        <v>0.0339811643835616</v>
      </c>
      <c r="G5004" s="60" t="n">
        <f aca="false">Pressupostos!$G$285*(G4987+G4990)*(G4993+G4994-Pressupostos!$C$70)/365*Pressupostos!$G$279/Pressupostos!$F$31</f>
        <v>0.0339811643835616</v>
      </c>
      <c r="H5004" s="2" t="s">
        <v>1138</v>
      </c>
    </row>
    <row r="5005" customFormat="false" ht="15" hidden="false" customHeight="false" outlineLevel="1" collapsed="false">
      <c r="A5005" s="7" t="s">
        <v>640</v>
      </c>
      <c r="B5005" s="8" t="s">
        <v>59</v>
      </c>
      <c r="C5005" s="60" t="n">
        <f aca="false">C4987+C4990+C4991+C4992+C4995+C4996+C4997+C4998+C4999+C5000+C5001+C5002+C5003+C5004</f>
        <v>3.73024438356164</v>
      </c>
      <c r="D5005" s="60" t="n">
        <f aca="false">D4987+D4990+D4991+D4992+D4995+D4996+D4997+D4998+D4999+D5000+D5001+D5002+D5003+D5004</f>
        <v>3.87393616438356</v>
      </c>
      <c r="E5005" s="60" t="n">
        <f aca="false">E4987+E4990+E4991+E4992+E4995+E4996+E4997+E4998+E4999+E5000+E5001+E5002+E5003+E5004</f>
        <v>3.71322948630137</v>
      </c>
      <c r="F5005" s="60" t="n">
        <f aca="false">F4987+F4990+F4991+F4992+F4995+F4996+F4997+F4998+F4999+F5000+F5001+F5002+F5003+F5004</f>
        <v>3.70080226027397</v>
      </c>
      <c r="G5005" s="60" t="n">
        <f aca="false">G4987+G4990+G4991+G4992+G4995+G4996+G4997+G4998+G4999+G5000+G5001+G5002+G5003+G5004</f>
        <v>3.70080226027397</v>
      </c>
      <c r="H5005" s="2" t="s">
        <v>1139</v>
      </c>
    </row>
    <row r="5006" customFormat="false" ht="15" hidden="false" customHeight="false" outlineLevel="1" collapsed="false">
      <c r="A5006" s="52" t="s">
        <v>641</v>
      </c>
      <c r="B5006" s="53" t="s">
        <v>59</v>
      </c>
      <c r="C5006" s="64" t="n">
        <f aca="false">C4989-C5005</f>
        <v>0.049755616438357</v>
      </c>
      <c r="D5006" s="64" t="n">
        <f aca="false">D4989-D5005</f>
        <v>-0.0939361643835608</v>
      </c>
      <c r="E5006" s="64" t="n">
        <f aca="false">E4989-E5005</f>
        <v>0.0667705136986303</v>
      </c>
      <c r="F5006" s="64" t="n">
        <f aca="false">F4989-F5005</f>
        <v>0.0791977397260277</v>
      </c>
      <c r="G5006" s="64" t="n">
        <f aca="false">G4989-G5005</f>
        <v>0.0791977397260277</v>
      </c>
      <c r="H5006" s="2" t="s">
        <v>1140</v>
      </c>
    </row>
    <row r="5007" customFormat="false" ht="15" hidden="false" customHeight="false" outlineLevel="1" collapsed="false">
      <c r="A5007" s="7" t="s">
        <v>642</v>
      </c>
      <c r="B5007" s="8" t="s">
        <v>71</v>
      </c>
      <c r="C5007" s="55" t="n">
        <f aca="false">IF(C4989&gt;0,C5006/C4989,0)</f>
        <v>0.0131628614916288</v>
      </c>
      <c r="D5007" s="55" t="n">
        <f aca="false">IF(D4989&gt;0,D5006/D4989,0)</f>
        <v>-0.0248508371385081</v>
      </c>
      <c r="E5007" s="55" t="n">
        <f aca="false">IF(E4989&gt;0,E5006/E4989,0)</f>
        <v>0.0176641570631297</v>
      </c>
      <c r="F5007" s="55" t="n">
        <f aca="false">IF(F4989&gt;0,F5006/F4989,0)</f>
        <v>0.0209517829963036</v>
      </c>
      <c r="G5007" s="55" t="n">
        <f aca="false">IF(G4989&gt;0,G5006/G4989,0)</f>
        <v>0.0209517829963036</v>
      </c>
      <c r="H5007" s="2" t="s">
        <v>1141</v>
      </c>
    </row>
    <row r="5008" customFormat="false" ht="15" hidden="false" customHeight="false" outlineLevel="1" collapsed="false">
      <c r="A5008" s="7" t="s">
        <v>643</v>
      </c>
      <c r="B5008" s="8" t="s">
        <v>59</v>
      </c>
      <c r="C5008" s="60" t="n">
        <f aca="false">(C4987+C4990)*(C4993-Pressupostos!$C$70)/365+C4989*C4994/365</f>
        <v>1.65698630136986</v>
      </c>
      <c r="D5008" s="60" t="n">
        <f aca="false">(D4987+D4990)*(D4993-Pressupostos!$C$70)/365+D4989*D4994/365</f>
        <v>1.65698630136986</v>
      </c>
      <c r="E5008" s="60" t="n">
        <f aca="false">(E4987+E4990)*(E4993-Pressupostos!$C$70)/365+E4989*E4994/365</f>
        <v>0.491917808219178</v>
      </c>
      <c r="F5008" s="60" t="n">
        <f aca="false">(F4987+F4990)*(F4993-Pressupostos!$C$70)/365+F4989*F4994/365</f>
        <v>0.491917808219178</v>
      </c>
      <c r="G5008" s="60" t="n">
        <f aca="false">(G4987+G4990)*(G4993-Pressupostos!$C$70)/365+G4989*G4994/365</f>
        <v>0.491917808219178</v>
      </c>
      <c r="H5008" s="2" t="s">
        <v>1142</v>
      </c>
    </row>
    <row r="5009" customFormat="false" ht="15" hidden="false" customHeight="false" outlineLevel="0" collapsed="false">
      <c r="A5009" s="3" t="s">
        <v>1143</v>
      </c>
      <c r="B5009" s="4"/>
      <c r="C5009" s="4"/>
      <c r="D5009" s="4"/>
      <c r="E5009" s="4"/>
      <c r="F5009" s="4"/>
      <c r="G5009" s="4"/>
      <c r="H5009" s="4"/>
    </row>
    <row r="5010" customFormat="false" ht="15" hidden="false" customHeight="false" outlineLevel="1" collapsed="false">
      <c r="A5010" s="7" t="s">
        <v>633</v>
      </c>
      <c r="B5010" s="8" t="s">
        <v>59</v>
      </c>
      <c r="C5010" s="60" t="n">
        <f aca="false">(Pressupostos!$F$10*(1+Pressupostos!$C$195))+Pressupostos!$F$12</f>
        <v>2.55</v>
      </c>
      <c r="D5010" s="60" t="n">
        <f aca="false">(Pressupostos!$F$10*(1+Pressupostos!$C$195))+Pressupostos!$F$12</f>
        <v>2.55</v>
      </c>
      <c r="E5010" s="60" t="n">
        <f aca="false">(Pressupostos!$F$10*(1+Pressupostos!$C$195))+Pressupostos!$F$12</f>
        <v>2.55</v>
      </c>
      <c r="F5010" s="60" t="n">
        <f aca="false">(Pressupostos!$F$10*(1+Pressupostos!$C$195))+Pressupostos!$F$12</f>
        <v>2.55</v>
      </c>
      <c r="G5010" s="60" t="n">
        <f aca="false">(Pressupostos!$F$10*(1+Pressupostos!$C$195))+Pressupostos!$F$12</f>
        <v>2.55</v>
      </c>
      <c r="H5010" s="2" t="s">
        <v>1144</v>
      </c>
    </row>
    <row r="5011" customFormat="false" ht="15" hidden="false" customHeight="false" outlineLevel="1" collapsed="false">
      <c r="A5011" s="7" t="s">
        <v>634</v>
      </c>
      <c r="B5011" s="8" t="s">
        <v>59</v>
      </c>
      <c r="C5011" s="60" t="n">
        <f aca="false">(Pressupostos!$F$20*(1+Pressupostos!$C$195))+Pressupostos!$F$21</f>
        <v>3.145</v>
      </c>
      <c r="D5011" s="60" t="n">
        <f aca="false">(Pressupostos!$F$20*(1+Pressupostos!$C$195))+Pressupostos!$F$21</f>
        <v>3.145</v>
      </c>
      <c r="E5011" s="60" t="n">
        <f aca="false">(Pressupostos!$F$20*(1+Pressupostos!$C$195))+Pressupostos!$F$21</f>
        <v>3.145</v>
      </c>
      <c r="F5011" s="60" t="n">
        <f aca="false">(Pressupostos!$F$20*(1+Pressupostos!$C$195))+Pressupostos!$F$21</f>
        <v>3.145</v>
      </c>
      <c r="G5011" s="60" t="n">
        <f aca="false">(Pressupostos!$F$20*(1+Pressupostos!$C$195))+Pressupostos!$F$21</f>
        <v>3.145</v>
      </c>
      <c r="H5011" s="2" t="s">
        <v>1145</v>
      </c>
    </row>
    <row r="5012" customFormat="false" ht="15" hidden="false" customHeight="false" outlineLevel="1" collapsed="false">
      <c r="A5012" s="52" t="s">
        <v>635</v>
      </c>
      <c r="B5012" s="53" t="s">
        <v>59</v>
      </c>
      <c r="C5012" s="64" t="n">
        <f aca="false">C5011*(1-Pressupostos!$F$22)</f>
        <v>3.145</v>
      </c>
      <c r="D5012" s="64" t="n">
        <f aca="false">D5011*(1-Pressupostos!$F$22)</f>
        <v>3.145</v>
      </c>
      <c r="E5012" s="64" t="n">
        <f aca="false">E5011*(1-Pressupostos!$F$22)</f>
        <v>3.145</v>
      </c>
      <c r="F5012" s="64" t="n">
        <f aca="false">F5011*(1-Pressupostos!$F$22)</f>
        <v>3.145</v>
      </c>
      <c r="G5012" s="64" t="n">
        <f aca="false">G5011*(1-Pressupostos!$F$22)</f>
        <v>3.145</v>
      </c>
      <c r="H5012" s="2" t="s">
        <v>1146</v>
      </c>
    </row>
    <row r="5013" customFormat="false" ht="15" hidden="false" customHeight="false" outlineLevel="1" collapsed="false">
      <c r="A5013" s="7" t="s">
        <v>136</v>
      </c>
      <c r="B5013" s="8" t="s">
        <v>59</v>
      </c>
      <c r="C5013" s="63" t="n">
        <f aca="false">Pressupostos!$C$44</f>
        <v>0.45</v>
      </c>
      <c r="D5013" s="63" t="n">
        <f aca="false">Pressupostos!$C$44</f>
        <v>0.45</v>
      </c>
      <c r="E5013" s="63" t="n">
        <f aca="false">Pressupostos!$C$44</f>
        <v>0.45</v>
      </c>
      <c r="F5013" s="63" t="n">
        <f aca="false">Pressupostos!$C$44</f>
        <v>0.45</v>
      </c>
      <c r="G5013" s="63" t="n">
        <f aca="false">Pressupostos!$C$44</f>
        <v>0.45</v>
      </c>
      <c r="H5013" s="2" t="s">
        <v>1147</v>
      </c>
    </row>
    <row r="5014" customFormat="false" ht="15" hidden="false" customHeight="false" outlineLevel="1" collapsed="false">
      <c r="A5014" s="7" t="s">
        <v>205</v>
      </c>
      <c r="B5014" s="8" t="s">
        <v>59</v>
      </c>
      <c r="C5014" s="63" t="n">
        <f aca="false">Pressupostos!$C$247</f>
        <v>0.1</v>
      </c>
      <c r="D5014" s="63" t="n">
        <f aca="false">Pressupostos!$D$247</f>
        <v>0.1</v>
      </c>
      <c r="E5014" s="63" t="n">
        <f aca="false">Pressupostos!$E$247</f>
        <v>0.09</v>
      </c>
      <c r="F5014" s="63" t="n">
        <f aca="false">Pressupostos!$F$247</f>
        <v>0.09</v>
      </c>
      <c r="G5014" s="63" t="n">
        <f aca="false">Pressupostos!$G$247</f>
        <v>0.09</v>
      </c>
      <c r="H5014" s="2" t="s">
        <v>1148</v>
      </c>
    </row>
    <row r="5015" customFormat="false" ht="15" hidden="false" customHeight="false" outlineLevel="1" collapsed="false">
      <c r="A5015" s="7" t="s">
        <v>109</v>
      </c>
      <c r="B5015" s="8" t="s">
        <v>59</v>
      </c>
      <c r="C5015" s="63" t="n">
        <f aca="false">Pressupostos!$C$45</f>
        <v>0</v>
      </c>
      <c r="D5015" s="63" t="n">
        <f aca="false">Pressupostos!$C$45</f>
        <v>0</v>
      </c>
      <c r="E5015" s="63" t="n">
        <f aca="false">Pressupostos!$C$45</f>
        <v>0</v>
      </c>
      <c r="F5015" s="63" t="n">
        <f aca="false">Pressupostos!$C$45</f>
        <v>0</v>
      </c>
      <c r="G5015" s="63" t="n">
        <f aca="false">Pressupostos!$C$45</f>
        <v>0</v>
      </c>
      <c r="H5015" s="2" t="s">
        <v>1149</v>
      </c>
    </row>
    <row r="5016" customFormat="false" ht="15" hidden="false" customHeight="false" outlineLevel="1" collapsed="false">
      <c r="A5016" s="7" t="s">
        <v>86</v>
      </c>
      <c r="B5016" s="8" t="s">
        <v>74</v>
      </c>
      <c r="C5016" s="65" t="n">
        <f aca="false">Pressupostos!$F$23</f>
        <v>30</v>
      </c>
      <c r="D5016" s="65" t="n">
        <f aca="false">Pressupostos!$F$23</f>
        <v>30</v>
      </c>
      <c r="E5016" s="65" t="n">
        <f aca="false">Pressupostos!$F$23</f>
        <v>30</v>
      </c>
      <c r="F5016" s="65" t="n">
        <f aca="false">Pressupostos!$F$23</f>
        <v>30</v>
      </c>
      <c r="G5016" s="65" t="n">
        <f aca="false">Pressupostos!$F$23</f>
        <v>30</v>
      </c>
      <c r="H5016" s="2" t="s">
        <v>1150</v>
      </c>
    </row>
    <row r="5017" customFormat="false" ht="15" hidden="false" customHeight="false" outlineLevel="1" collapsed="false">
      <c r="A5017" s="7" t="s">
        <v>73</v>
      </c>
      <c r="B5017" s="8" t="s">
        <v>74</v>
      </c>
      <c r="C5017" s="65" t="n">
        <f aca="false">Pressupostos!$F$24</f>
        <v>55</v>
      </c>
      <c r="D5017" s="65" t="n">
        <f aca="false">Pressupostos!$F$24</f>
        <v>55</v>
      </c>
      <c r="E5017" s="65" t="n">
        <f aca="false">Pressupostos!$F$24</f>
        <v>55</v>
      </c>
      <c r="F5017" s="65" t="n">
        <f aca="false">Pressupostos!$F$24</f>
        <v>55</v>
      </c>
      <c r="G5017" s="65" t="n">
        <f aca="false">Pressupostos!$F$24</f>
        <v>55</v>
      </c>
      <c r="H5017" s="2" t="s">
        <v>1151</v>
      </c>
    </row>
    <row r="5018" customFormat="false" ht="15" hidden="false" customHeight="false" outlineLevel="1" collapsed="false">
      <c r="A5018" s="7" t="s">
        <v>471</v>
      </c>
      <c r="B5018" s="8" t="s">
        <v>59</v>
      </c>
      <c r="C5018" s="60" t="n">
        <f aca="false">Pressupostos!$C$64*C5016/30/1000</f>
        <v>0.004</v>
      </c>
      <c r="D5018" s="60" t="n">
        <f aca="false">Pressupostos!$C$64*D5016/30/1000</f>
        <v>0.004</v>
      </c>
      <c r="E5018" s="60" t="n">
        <f aca="false">Pressupostos!$C$64*E5016/30/1000</f>
        <v>0.004</v>
      </c>
      <c r="F5018" s="60" t="n">
        <f aca="false">Pressupostos!$C$64*F5016/30/1000</f>
        <v>0.004</v>
      </c>
      <c r="G5018" s="60" t="n">
        <f aca="false">Pressupostos!$C$64*G5016/30/1000</f>
        <v>0.004</v>
      </c>
      <c r="H5018" s="2" t="s">
        <v>1152</v>
      </c>
    </row>
    <row r="5019" customFormat="false" ht="15" hidden="false" customHeight="false" outlineLevel="1" collapsed="false">
      <c r="A5019" s="7" t="s">
        <v>154</v>
      </c>
      <c r="B5019" s="8" t="s">
        <v>59</v>
      </c>
      <c r="C5019" s="60" t="n">
        <f aca="false">C5010*Pressupostos!$C$65*C5016/365</f>
        <v>0.000419178082191781</v>
      </c>
      <c r="D5019" s="60" t="n">
        <f aca="false">D5010*Pressupostos!$C$65*D5016/365</f>
        <v>0.000419178082191781</v>
      </c>
      <c r="E5019" s="60" t="n">
        <f aca="false">E5010*Pressupostos!$C$65*E5016/365</f>
        <v>0.000419178082191781</v>
      </c>
      <c r="F5019" s="60" t="n">
        <f aca="false">F5010*Pressupostos!$C$65*F5016/365</f>
        <v>0.000419178082191781</v>
      </c>
      <c r="G5019" s="60" t="n">
        <f aca="false">G5010*Pressupostos!$C$65*G5016/365</f>
        <v>0.000419178082191781</v>
      </c>
      <c r="H5019" s="2" t="s">
        <v>1153</v>
      </c>
    </row>
    <row r="5020" customFormat="false" ht="15" hidden="false" customHeight="false" outlineLevel="1" collapsed="false">
      <c r="A5020" s="7" t="s">
        <v>636</v>
      </c>
      <c r="B5020" s="8" t="s">
        <v>59</v>
      </c>
      <c r="C5020" s="60" t="n">
        <f aca="false">Pressupostos!$C$47*Pressupostos!$C$66/(Pressupostos!$C$46*1000)</f>
        <v>0.02</v>
      </c>
      <c r="D5020" s="60" t="n">
        <f aca="false">Pressupostos!$C$47*Pressupostos!$C$66/(Pressupostos!$C$46*1000)</f>
        <v>0.02</v>
      </c>
      <c r="E5020" s="60" t="n">
        <f aca="false">Pressupostos!$C$47*Pressupostos!$C$66/(Pressupostos!$C$46*1000)</f>
        <v>0.02</v>
      </c>
      <c r="F5020" s="60" t="n">
        <f aca="false">Pressupostos!$C$47*Pressupostos!$C$66/(Pressupostos!$C$46*1000)</f>
        <v>0.02</v>
      </c>
      <c r="G5020" s="60" t="n">
        <f aca="false">Pressupostos!$C$47*Pressupostos!$C$66/(Pressupostos!$C$46*1000)</f>
        <v>0.02</v>
      </c>
      <c r="H5020" s="2" t="s">
        <v>1154</v>
      </c>
    </row>
    <row r="5021" customFormat="false" ht="15" hidden="false" customHeight="false" outlineLevel="1" collapsed="false">
      <c r="A5021" s="7" t="s">
        <v>473</v>
      </c>
      <c r="B5021" s="8" t="s">
        <v>59</v>
      </c>
      <c r="C5021" s="60" t="n">
        <f aca="false">Pressupostos!$C$67*C5010</f>
        <v>0.01275</v>
      </c>
      <c r="D5021" s="60" t="n">
        <f aca="false">Pressupostos!$C$67*D5010</f>
        <v>0.01275</v>
      </c>
      <c r="E5021" s="60" t="n">
        <f aca="false">Pressupostos!$C$67*E5010</f>
        <v>0.01275</v>
      </c>
      <c r="F5021" s="60" t="n">
        <f aca="false">Pressupostos!$C$67*F5010</f>
        <v>0.01275</v>
      </c>
      <c r="G5021" s="60" t="n">
        <f aca="false">Pressupostos!$C$67*G5010</f>
        <v>0.01275</v>
      </c>
      <c r="H5021" s="2" t="s">
        <v>1155</v>
      </c>
    </row>
    <row r="5022" customFormat="false" ht="15" hidden="false" customHeight="false" outlineLevel="1" collapsed="false">
      <c r="A5022" s="7" t="s">
        <v>474</v>
      </c>
      <c r="B5022" s="8" t="s">
        <v>59</v>
      </c>
      <c r="C5022" s="60" t="n">
        <f aca="false">Pressupostos!$C$68*Pressupostos!$C$69*C5016/90</f>
        <v>0.003</v>
      </c>
      <c r="D5022" s="60" t="n">
        <f aca="false">Pressupostos!$C$68*Pressupostos!$C$69*D5016/90</f>
        <v>0.003</v>
      </c>
      <c r="E5022" s="60" t="n">
        <f aca="false">Pressupostos!$C$68*Pressupostos!$C$69*E5016/90</f>
        <v>0.003</v>
      </c>
      <c r="F5022" s="60" t="n">
        <f aca="false">Pressupostos!$C$68*Pressupostos!$C$69*F5016/90</f>
        <v>0.003</v>
      </c>
      <c r="G5022" s="60" t="n">
        <f aca="false">Pressupostos!$C$68*Pressupostos!$C$69*G5016/90</f>
        <v>0.003</v>
      </c>
      <c r="H5022" s="2" t="s">
        <v>1156</v>
      </c>
    </row>
    <row r="5023" customFormat="false" ht="15" hidden="false" customHeight="false" outlineLevel="1" collapsed="false">
      <c r="A5023" s="7" t="s">
        <v>637</v>
      </c>
      <c r="B5023" s="8" t="s">
        <v>59</v>
      </c>
      <c r="C5023" s="60" t="n">
        <f aca="false">Pressupostos!$C$48/(Pressupostos!$C$46*1000)</f>
        <v>0.04</v>
      </c>
      <c r="D5023" s="60" t="n">
        <f aca="false">Pressupostos!$C$48/(Pressupostos!$C$46*1000)</f>
        <v>0.04</v>
      </c>
      <c r="E5023" s="60" t="n">
        <f aca="false">Pressupostos!$C$48/(Pressupostos!$C$46*1000)</f>
        <v>0.04</v>
      </c>
      <c r="F5023" s="60" t="n">
        <f aca="false">Pressupostos!$C$48/(Pressupostos!$C$46*1000)</f>
        <v>0.04</v>
      </c>
      <c r="G5023" s="60" t="n">
        <f aca="false">Pressupostos!$C$48/(Pressupostos!$C$46*1000)</f>
        <v>0.04</v>
      </c>
      <c r="H5023" s="2" t="s">
        <v>1157</v>
      </c>
    </row>
    <row r="5024" customFormat="false" ht="15" hidden="false" customHeight="false" outlineLevel="1" collapsed="false">
      <c r="A5024" s="7" t="s">
        <v>131</v>
      </c>
      <c r="B5024" s="8" t="s">
        <v>59</v>
      </c>
      <c r="C5024" s="63" t="n">
        <f aca="false">Pressupostos!$C$49</f>
        <v>0.005</v>
      </c>
      <c r="D5024" s="63" t="n">
        <f aca="false">Pressupostos!$C$49</f>
        <v>0.005</v>
      </c>
      <c r="E5024" s="63" t="n">
        <f aca="false">Pressupostos!$C$49</f>
        <v>0.005</v>
      </c>
      <c r="F5024" s="63" t="n">
        <f aca="false">Pressupostos!$C$49</f>
        <v>0.005</v>
      </c>
      <c r="G5024" s="63" t="n">
        <f aca="false">Pressupostos!$C$49</f>
        <v>0.005</v>
      </c>
      <c r="H5024" s="2" t="s">
        <v>1158</v>
      </c>
    </row>
    <row r="5025" customFormat="false" ht="15" hidden="false" customHeight="false" outlineLevel="1" collapsed="false">
      <c r="A5025" s="7" t="s">
        <v>76</v>
      </c>
      <c r="B5025" s="8" t="s">
        <v>59</v>
      </c>
      <c r="C5025" s="60" t="n">
        <f aca="false">Pressupostos!$F$25*C5012</f>
        <v>0.009435</v>
      </c>
      <c r="D5025" s="60" t="n">
        <f aca="false">Pressupostos!$F$25*D5012</f>
        <v>0.009435</v>
      </c>
      <c r="E5025" s="60" t="n">
        <f aca="false">Pressupostos!$F$25*E5012</f>
        <v>0.009435</v>
      </c>
      <c r="F5025" s="60" t="n">
        <f aca="false">Pressupostos!$F$25*F5012</f>
        <v>0.009435</v>
      </c>
      <c r="G5025" s="60" t="n">
        <f aca="false">Pressupostos!$F$25*G5012</f>
        <v>0.009435</v>
      </c>
      <c r="H5025" s="2" t="s">
        <v>1159</v>
      </c>
    </row>
    <row r="5026" customFormat="false" ht="15" hidden="false" customHeight="false" outlineLevel="1" collapsed="false">
      <c r="A5026" s="7" t="s">
        <v>638</v>
      </c>
      <c r="B5026" s="8" t="s">
        <v>59</v>
      </c>
      <c r="C5026" s="60" t="n">
        <f aca="false">Pressupostos!$C$71*C5012</f>
        <v>0</v>
      </c>
      <c r="D5026" s="60" t="n">
        <f aca="false">Pressupostos!$C$71*D5012</f>
        <v>0</v>
      </c>
      <c r="E5026" s="60" t="n">
        <f aca="false">Pressupostos!$C$71*E5012</f>
        <v>0</v>
      </c>
      <c r="F5026" s="60" t="n">
        <f aca="false">Pressupostos!$C$71*F5012</f>
        <v>0</v>
      </c>
      <c r="G5026" s="60" t="n">
        <f aca="false">Pressupostos!$C$71*G5012</f>
        <v>0</v>
      </c>
      <c r="H5026" s="2" t="s">
        <v>1160</v>
      </c>
    </row>
    <row r="5027" customFormat="false" ht="15" hidden="false" customHeight="false" outlineLevel="1" collapsed="false">
      <c r="A5027" s="7" t="s">
        <v>639</v>
      </c>
      <c r="B5027" s="8" t="s">
        <v>59</v>
      </c>
      <c r="C5027" s="60" t="n">
        <f aca="false">Pressupostos!$C$285*(C5010+C5013)*(C5016+C5017-Pressupostos!$C$70)/365*Pressupostos!$C$279/Pressupostos!$F$31</f>
        <v>0</v>
      </c>
      <c r="D5027" s="60" t="n">
        <f aca="false">Pressupostos!$D$285*(D5010+D5013)*(D5016+D5017-Pressupostos!$C$70)/365*Pressupostos!$D$279/Pressupostos!$F$31</f>
        <v>0.0406849315068493</v>
      </c>
      <c r="E5027" s="60" t="n">
        <f aca="false">Pressupostos!$E$285*(E5010+E5013)*(E5016+E5017-Pressupostos!$C$70)/365*Pressupostos!$E$279/Pressupostos!$F$31</f>
        <v>0.0381421232876712</v>
      </c>
      <c r="F5027" s="60" t="n">
        <f aca="false">Pressupostos!$F$285*(F5010+F5013)*(F5016+F5017-Pressupostos!$C$70)/365*Pressupostos!$F$279/Pressupostos!$F$31</f>
        <v>0.0355993150684932</v>
      </c>
      <c r="G5027" s="60" t="n">
        <f aca="false">Pressupostos!$G$285*(G5010+G5013)*(G5016+G5017-Pressupostos!$C$70)/365*Pressupostos!$G$279/Pressupostos!$F$31</f>
        <v>0.0355993150684932</v>
      </c>
      <c r="H5027" s="2" t="s">
        <v>1161</v>
      </c>
    </row>
    <row r="5028" customFormat="false" ht="15" hidden="false" customHeight="false" outlineLevel="1" collapsed="false">
      <c r="A5028" s="7" t="s">
        <v>640</v>
      </c>
      <c r="B5028" s="8" t="s">
        <v>59</v>
      </c>
      <c r="C5028" s="60" t="n">
        <f aca="false">C5010+C5013+C5014+C5015+C5018+C5019+C5020+C5021+C5022+C5023+C5024+C5025+C5026+C5027</f>
        <v>3.19460417808219</v>
      </c>
      <c r="D5028" s="60" t="n">
        <f aca="false">D5010+D5013+D5014+D5015+D5018+D5019+D5020+D5021+D5022+D5023+D5024+D5025+D5026+D5027</f>
        <v>3.23528910958904</v>
      </c>
      <c r="E5028" s="60" t="n">
        <f aca="false">E5010+E5013+E5014+E5015+E5018+E5019+E5020+E5021+E5022+E5023+E5024+E5025+E5026+E5027</f>
        <v>3.22274630136986</v>
      </c>
      <c r="F5028" s="60" t="n">
        <f aca="false">F5010+F5013+F5014+F5015+F5018+F5019+F5020+F5021+F5022+F5023+F5024+F5025+F5026+F5027</f>
        <v>3.22020349315068</v>
      </c>
      <c r="G5028" s="60" t="n">
        <f aca="false">G5010+G5013+G5014+G5015+G5018+G5019+G5020+G5021+G5022+G5023+G5024+G5025+G5026+G5027</f>
        <v>3.22020349315068</v>
      </c>
      <c r="H5028" s="2" t="s">
        <v>1162</v>
      </c>
    </row>
    <row r="5029" customFormat="false" ht="15" hidden="false" customHeight="false" outlineLevel="1" collapsed="false">
      <c r="A5029" s="52" t="s">
        <v>641</v>
      </c>
      <c r="B5029" s="53" t="s">
        <v>59</v>
      </c>
      <c r="C5029" s="64" t="n">
        <f aca="false">C5012-C5028</f>
        <v>-0.0496041780821921</v>
      </c>
      <c r="D5029" s="64" t="n">
        <f aca="false">D5012-D5028</f>
        <v>-0.0902891095890412</v>
      </c>
      <c r="E5029" s="64" t="n">
        <f aca="false">E5012-E5028</f>
        <v>-0.0777463013698632</v>
      </c>
      <c r="F5029" s="64" t="n">
        <f aca="false">F5012-F5028</f>
        <v>-0.0752034931506849</v>
      </c>
      <c r="G5029" s="64" t="n">
        <f aca="false">G5012-G5028</f>
        <v>-0.0752034931506849</v>
      </c>
      <c r="H5029" s="2" t="s">
        <v>1163</v>
      </c>
    </row>
    <row r="5030" customFormat="false" ht="15" hidden="false" customHeight="false" outlineLevel="1" collapsed="false">
      <c r="A5030" s="7" t="s">
        <v>642</v>
      </c>
      <c r="B5030" s="8" t="s">
        <v>71</v>
      </c>
      <c r="C5030" s="55" t="n">
        <f aca="false">IF(C5012&gt;0,C5029/C5012,0)</f>
        <v>-0.0157723936668337</v>
      </c>
      <c r="D5030" s="55" t="n">
        <f aca="false">IF(D5012&gt;0,D5029/D5012,0)</f>
        <v>-0.0287087788836379</v>
      </c>
      <c r="E5030" s="55" t="n">
        <f aca="false">IF(E5012&gt;0,E5029/E5012,0)</f>
        <v>-0.0247206045691139</v>
      </c>
      <c r="F5030" s="55" t="n">
        <f aca="false">IF(F5012&gt;0,F5029/F5012,0)</f>
        <v>-0.0239120804930636</v>
      </c>
      <c r="G5030" s="55" t="n">
        <f aca="false">IF(G5012&gt;0,G5029/G5012,0)</f>
        <v>-0.0239120804930636</v>
      </c>
      <c r="H5030" s="2" t="s">
        <v>1164</v>
      </c>
    </row>
    <row r="5031" customFormat="false" ht="15" hidden="false" customHeight="false" outlineLevel="1" collapsed="false">
      <c r="A5031" s="7" t="s">
        <v>643</v>
      </c>
      <c r="B5031" s="8" t="s">
        <v>59</v>
      </c>
      <c r="C5031" s="60" t="n">
        <f aca="false">(C5010+C5013)*(C5016-Pressupostos!$C$70)/365+C5012*C5017/365</f>
        <v>0.473904109589041</v>
      </c>
      <c r="D5031" s="60" t="n">
        <f aca="false">(D5010+D5013)*(D5016-Pressupostos!$C$70)/365+D5012*D5017/365</f>
        <v>0.473904109589041</v>
      </c>
      <c r="E5031" s="60" t="n">
        <f aca="false">(E5010+E5013)*(E5016-Pressupostos!$C$70)/365+E5012*E5017/365</f>
        <v>0.473904109589041</v>
      </c>
      <c r="F5031" s="60" t="n">
        <f aca="false">(F5010+F5013)*(F5016-Pressupostos!$C$70)/365+F5012*F5017/365</f>
        <v>0.473904109589041</v>
      </c>
      <c r="G5031" s="60" t="n">
        <f aca="false">(G5010+G5013)*(G5016-Pressupostos!$C$70)/365+G5012*G5017/365</f>
        <v>0.473904109589041</v>
      </c>
      <c r="H5031" s="2" t="s">
        <v>1165</v>
      </c>
    </row>
    <row r="5032" customFormat="false" ht="15" hidden="false" customHeight="false" outlineLevel="0" collapsed="false">
      <c r="A5032" s="3" t="s">
        <v>1166</v>
      </c>
      <c r="B5032" s="4"/>
      <c r="C5032" s="4"/>
      <c r="D5032" s="4"/>
      <c r="E5032" s="4"/>
      <c r="F5032" s="4"/>
      <c r="G5032" s="4"/>
      <c r="H5032" s="4"/>
    </row>
    <row r="5033" customFormat="false" ht="15" hidden="false" customHeight="false" outlineLevel="1" collapsed="false">
      <c r="A5033" s="7" t="s">
        <v>633</v>
      </c>
      <c r="B5033" s="8" t="s">
        <v>59</v>
      </c>
      <c r="C5033" s="60" t="n">
        <f aca="false">(Pressupostos!$F$10*(1+Pressupostos!$C$195))+Pressupostos!$F$13</f>
        <v>2.45</v>
      </c>
      <c r="D5033" s="60" t="n">
        <f aca="false">(Pressupostos!$F$10*(1+Pressupostos!$C$195))+Pressupostos!$F$13</f>
        <v>2.45</v>
      </c>
      <c r="E5033" s="60" t="n">
        <f aca="false">(Pressupostos!$F$10*(1+Pressupostos!$C$195))+Pressupostos!$F$13</f>
        <v>2.45</v>
      </c>
      <c r="F5033" s="60" t="n">
        <f aca="false">(Pressupostos!$F$10*(1+Pressupostos!$C$195))+Pressupostos!$F$13</f>
        <v>2.45</v>
      </c>
      <c r="G5033" s="60" t="n">
        <f aca="false">(Pressupostos!$F$10*(1+Pressupostos!$C$195))+Pressupostos!$F$13</f>
        <v>2.45</v>
      </c>
      <c r="H5033" s="2" t="s">
        <v>1167</v>
      </c>
    </row>
    <row r="5034" customFormat="false" ht="15" hidden="false" customHeight="false" outlineLevel="1" collapsed="false">
      <c r="A5034" s="7" t="s">
        <v>634</v>
      </c>
      <c r="B5034" s="8" t="s">
        <v>59</v>
      </c>
      <c r="C5034" s="60" t="n">
        <f aca="false">(Pressupostos!$F$10*(1+Pressupostos!$C$195))+Pressupostos!$C$51</f>
        <v>2.6</v>
      </c>
      <c r="D5034" s="60" t="n">
        <f aca="false">(Pressupostos!$F$10*(1+Pressupostos!$C$195))+Pressupostos!$C$51</f>
        <v>2.6</v>
      </c>
      <c r="E5034" s="60" t="n">
        <f aca="false">(Pressupostos!$F$10*(1+Pressupostos!$C$195))+Pressupostos!$C$51</f>
        <v>2.6</v>
      </c>
      <c r="F5034" s="60" t="n">
        <f aca="false">(Pressupostos!$F$10*(1+Pressupostos!$C$195))+Pressupostos!$C$51</f>
        <v>2.6</v>
      </c>
      <c r="G5034" s="60" t="n">
        <f aca="false">(Pressupostos!$F$10*(1+Pressupostos!$C$195))+Pressupostos!$C$51</f>
        <v>2.6</v>
      </c>
      <c r="H5034" s="2" t="s">
        <v>1168</v>
      </c>
    </row>
    <row r="5035" customFormat="false" ht="15" hidden="false" customHeight="false" outlineLevel="1" collapsed="false">
      <c r="A5035" s="52" t="s">
        <v>635</v>
      </c>
      <c r="B5035" s="53" t="s">
        <v>59</v>
      </c>
      <c r="C5035" s="64" t="n">
        <f aca="false">C5034*(1-Pressupostos!$C$52)</f>
        <v>2.6</v>
      </c>
      <c r="D5035" s="64" t="n">
        <f aca="false">D5034*(1-Pressupostos!$C$52)</f>
        <v>2.6</v>
      </c>
      <c r="E5035" s="64" t="n">
        <f aca="false">E5034*(1-Pressupostos!$C$52)</f>
        <v>2.6</v>
      </c>
      <c r="F5035" s="64" t="n">
        <f aca="false">F5034*(1-Pressupostos!$C$52)</f>
        <v>2.6</v>
      </c>
      <c r="G5035" s="64" t="n">
        <f aca="false">G5034*(1-Pressupostos!$C$52)</f>
        <v>2.6</v>
      </c>
      <c r="H5035" s="2" t="s">
        <v>1169</v>
      </c>
    </row>
    <row r="5036" customFormat="false" ht="15" hidden="false" customHeight="false" outlineLevel="1" collapsed="false">
      <c r="A5036" s="7" t="s">
        <v>136</v>
      </c>
      <c r="B5036" s="8" t="s">
        <v>59</v>
      </c>
      <c r="C5036" s="63" t="n">
        <f aca="false">Pressupostos!$C$53</f>
        <v>0</v>
      </c>
      <c r="D5036" s="63" t="n">
        <f aca="false">Pressupostos!$C$53</f>
        <v>0</v>
      </c>
      <c r="E5036" s="63" t="n">
        <f aca="false">Pressupostos!$C$53</f>
        <v>0</v>
      </c>
      <c r="F5036" s="63" t="n">
        <f aca="false">Pressupostos!$C$53</f>
        <v>0</v>
      </c>
      <c r="G5036" s="63" t="n">
        <f aca="false">Pressupostos!$C$53</f>
        <v>0</v>
      </c>
      <c r="H5036" s="2" t="s">
        <v>1170</v>
      </c>
    </row>
    <row r="5037" customFormat="false" ht="15" hidden="false" customHeight="false" outlineLevel="1" collapsed="false">
      <c r="A5037" s="7" t="s">
        <v>205</v>
      </c>
      <c r="B5037" s="8" t="s">
        <v>59</v>
      </c>
      <c r="C5037" s="63" t="n">
        <f aca="false">Pressupostos!$C$54</f>
        <v>0.04</v>
      </c>
      <c r="D5037" s="63" t="n">
        <f aca="false">Pressupostos!$C$54</f>
        <v>0.04</v>
      </c>
      <c r="E5037" s="63" t="n">
        <f aca="false">Pressupostos!$C$54</f>
        <v>0.04</v>
      </c>
      <c r="F5037" s="63" t="n">
        <f aca="false">Pressupostos!$C$54</f>
        <v>0.04</v>
      </c>
      <c r="G5037" s="63" t="n">
        <f aca="false">Pressupostos!$C$54</f>
        <v>0.04</v>
      </c>
      <c r="H5037" s="2" t="s">
        <v>1171</v>
      </c>
    </row>
    <row r="5038" customFormat="false" ht="15" hidden="false" customHeight="false" outlineLevel="1" collapsed="false">
      <c r="A5038" s="7" t="s">
        <v>109</v>
      </c>
      <c r="B5038" s="8" t="s">
        <v>59</v>
      </c>
      <c r="C5038" s="63" t="n">
        <f aca="false">Pressupostos!$C$55</f>
        <v>0</v>
      </c>
      <c r="D5038" s="63" t="n">
        <f aca="false">Pressupostos!$C$55</f>
        <v>0</v>
      </c>
      <c r="E5038" s="63" t="n">
        <f aca="false">Pressupostos!$C$55</f>
        <v>0</v>
      </c>
      <c r="F5038" s="63" t="n">
        <f aca="false">Pressupostos!$C$55</f>
        <v>0</v>
      </c>
      <c r="G5038" s="63" t="n">
        <f aca="false">Pressupostos!$C$55</f>
        <v>0</v>
      </c>
      <c r="H5038" s="2" t="s">
        <v>1172</v>
      </c>
    </row>
    <row r="5039" customFormat="false" ht="15" hidden="false" customHeight="false" outlineLevel="1" collapsed="false">
      <c r="A5039" s="7" t="s">
        <v>86</v>
      </c>
      <c r="B5039" s="8" t="s">
        <v>74</v>
      </c>
      <c r="C5039" s="65" t="n">
        <f aca="false">Pressupostos!$C$56</f>
        <v>15</v>
      </c>
      <c r="D5039" s="65" t="n">
        <f aca="false">Pressupostos!$C$56</f>
        <v>15</v>
      </c>
      <c r="E5039" s="65" t="n">
        <f aca="false">Pressupostos!$C$56</f>
        <v>15</v>
      </c>
      <c r="F5039" s="65" t="n">
        <f aca="false">Pressupostos!$C$56</f>
        <v>15</v>
      </c>
      <c r="G5039" s="65" t="n">
        <f aca="false">Pressupostos!$C$56</f>
        <v>15</v>
      </c>
      <c r="H5039" s="2" t="s">
        <v>1173</v>
      </c>
    </row>
    <row r="5040" customFormat="false" ht="15" hidden="false" customHeight="false" outlineLevel="1" collapsed="false">
      <c r="A5040" s="7" t="s">
        <v>73</v>
      </c>
      <c r="B5040" s="8" t="s">
        <v>74</v>
      </c>
      <c r="C5040" s="65" t="n">
        <f aca="false">Pressupostos!$C$57</f>
        <v>45</v>
      </c>
      <c r="D5040" s="65" t="n">
        <f aca="false">Pressupostos!$C$57</f>
        <v>45</v>
      </c>
      <c r="E5040" s="65" t="n">
        <f aca="false">Pressupostos!$C$57</f>
        <v>45</v>
      </c>
      <c r="F5040" s="65" t="n">
        <f aca="false">Pressupostos!$C$57</f>
        <v>45</v>
      </c>
      <c r="G5040" s="65" t="n">
        <f aca="false">Pressupostos!$C$57</f>
        <v>45</v>
      </c>
      <c r="H5040" s="2" t="s">
        <v>1174</v>
      </c>
    </row>
    <row r="5041" customFormat="false" ht="15" hidden="false" customHeight="false" outlineLevel="1" collapsed="false">
      <c r="A5041" s="7" t="s">
        <v>471</v>
      </c>
      <c r="B5041" s="8" t="s">
        <v>59</v>
      </c>
      <c r="C5041" s="60" t="n">
        <f aca="false">Pressupostos!$C$64*C5039/30/1000</f>
        <v>0.002</v>
      </c>
      <c r="D5041" s="60" t="n">
        <f aca="false">Pressupostos!$C$64*D5039/30/1000</f>
        <v>0.002</v>
      </c>
      <c r="E5041" s="60" t="n">
        <f aca="false">Pressupostos!$C$64*E5039/30/1000</f>
        <v>0.002</v>
      </c>
      <c r="F5041" s="60" t="n">
        <f aca="false">Pressupostos!$C$64*F5039/30/1000</f>
        <v>0.002</v>
      </c>
      <c r="G5041" s="60" t="n">
        <f aca="false">Pressupostos!$C$64*G5039/30/1000</f>
        <v>0.002</v>
      </c>
      <c r="H5041" s="2" t="s">
        <v>1175</v>
      </c>
    </row>
    <row r="5042" customFormat="false" ht="15" hidden="false" customHeight="false" outlineLevel="1" collapsed="false">
      <c r="A5042" s="7" t="s">
        <v>154</v>
      </c>
      <c r="B5042" s="8" t="s">
        <v>59</v>
      </c>
      <c r="C5042" s="60" t="n">
        <f aca="false">C5033*Pressupostos!$C$65*C5039/365</f>
        <v>0.000201369863013699</v>
      </c>
      <c r="D5042" s="60" t="n">
        <f aca="false">D5033*Pressupostos!$C$65*D5039/365</f>
        <v>0.000201369863013699</v>
      </c>
      <c r="E5042" s="60" t="n">
        <f aca="false">E5033*Pressupostos!$C$65*E5039/365</f>
        <v>0.000201369863013699</v>
      </c>
      <c r="F5042" s="60" t="n">
        <f aca="false">F5033*Pressupostos!$C$65*F5039/365</f>
        <v>0.000201369863013699</v>
      </c>
      <c r="G5042" s="60" t="n">
        <f aca="false">G5033*Pressupostos!$C$65*G5039/365</f>
        <v>0.000201369863013699</v>
      </c>
      <c r="H5042" s="2" t="s">
        <v>1176</v>
      </c>
    </row>
    <row r="5043" customFormat="false" ht="15" hidden="false" customHeight="false" outlineLevel="1" collapsed="false">
      <c r="A5043" s="7" t="s">
        <v>636</v>
      </c>
      <c r="B5043" s="8" t="s">
        <v>59</v>
      </c>
      <c r="C5043" s="60" t="n">
        <f aca="false">Pressupostos!$C$59*Pressupostos!$C$66/(Pressupostos!$C$58*1000)</f>
        <v>0.006</v>
      </c>
      <c r="D5043" s="60" t="n">
        <f aca="false">Pressupostos!$C$59*Pressupostos!$C$66/(Pressupostos!$C$58*1000)</f>
        <v>0.006</v>
      </c>
      <c r="E5043" s="60" t="n">
        <f aca="false">Pressupostos!$C$59*Pressupostos!$C$66/(Pressupostos!$C$58*1000)</f>
        <v>0.006</v>
      </c>
      <c r="F5043" s="60" t="n">
        <f aca="false">Pressupostos!$C$59*Pressupostos!$C$66/(Pressupostos!$C$58*1000)</f>
        <v>0.006</v>
      </c>
      <c r="G5043" s="60" t="n">
        <f aca="false">Pressupostos!$C$59*Pressupostos!$C$66/(Pressupostos!$C$58*1000)</f>
        <v>0.006</v>
      </c>
      <c r="H5043" s="2" t="s">
        <v>1177</v>
      </c>
    </row>
    <row r="5044" customFormat="false" ht="15" hidden="false" customHeight="false" outlineLevel="1" collapsed="false">
      <c r="A5044" s="7" t="s">
        <v>473</v>
      </c>
      <c r="B5044" s="8" t="s">
        <v>59</v>
      </c>
      <c r="C5044" s="60" t="n">
        <f aca="false">Pressupostos!$C$67*C5033</f>
        <v>0.01225</v>
      </c>
      <c r="D5044" s="60" t="n">
        <f aca="false">Pressupostos!$C$67*D5033</f>
        <v>0.01225</v>
      </c>
      <c r="E5044" s="60" t="n">
        <f aca="false">Pressupostos!$C$67*E5033</f>
        <v>0.01225</v>
      </c>
      <c r="F5044" s="60" t="n">
        <f aca="false">Pressupostos!$C$67*F5033</f>
        <v>0.01225</v>
      </c>
      <c r="G5044" s="60" t="n">
        <f aca="false">Pressupostos!$C$67*G5033</f>
        <v>0.01225</v>
      </c>
      <c r="H5044" s="2" t="s">
        <v>1178</v>
      </c>
    </row>
    <row r="5045" customFormat="false" ht="15" hidden="false" customHeight="false" outlineLevel="1" collapsed="false">
      <c r="A5045" s="7" t="s">
        <v>474</v>
      </c>
      <c r="B5045" s="8" t="s">
        <v>59</v>
      </c>
      <c r="C5045" s="60" t="n">
        <f aca="false">Pressupostos!$C$68*Pressupostos!$C$69*C5039/90</f>
        <v>0.0015</v>
      </c>
      <c r="D5045" s="60" t="n">
        <f aca="false">Pressupostos!$C$68*Pressupostos!$C$69*D5039/90</f>
        <v>0.0015</v>
      </c>
      <c r="E5045" s="60" t="n">
        <f aca="false">Pressupostos!$C$68*Pressupostos!$C$69*E5039/90</f>
        <v>0.0015</v>
      </c>
      <c r="F5045" s="60" t="n">
        <f aca="false">Pressupostos!$C$68*Pressupostos!$C$69*F5039/90</f>
        <v>0.0015</v>
      </c>
      <c r="G5045" s="60" t="n">
        <f aca="false">Pressupostos!$C$68*Pressupostos!$C$69*G5039/90</f>
        <v>0.0015</v>
      </c>
      <c r="H5045" s="2" t="s">
        <v>1179</v>
      </c>
    </row>
    <row r="5046" customFormat="false" ht="15" hidden="false" customHeight="false" outlineLevel="1" collapsed="false">
      <c r="A5046" s="7" t="s">
        <v>637</v>
      </c>
      <c r="B5046" s="8" t="s">
        <v>59</v>
      </c>
      <c r="C5046" s="60" t="n">
        <f aca="false">Pressupostos!$C$60/(Pressupostos!$C$58*1000)</f>
        <v>0.012</v>
      </c>
      <c r="D5046" s="60" t="n">
        <f aca="false">Pressupostos!$C$60/(Pressupostos!$C$58*1000)</f>
        <v>0.012</v>
      </c>
      <c r="E5046" s="60" t="n">
        <f aca="false">Pressupostos!$C$60/(Pressupostos!$C$58*1000)</f>
        <v>0.012</v>
      </c>
      <c r="F5046" s="60" t="n">
        <f aca="false">Pressupostos!$C$60/(Pressupostos!$C$58*1000)</f>
        <v>0.012</v>
      </c>
      <c r="G5046" s="60" t="n">
        <f aca="false">Pressupostos!$C$60/(Pressupostos!$C$58*1000)</f>
        <v>0.012</v>
      </c>
      <c r="H5046" s="2" t="s">
        <v>1180</v>
      </c>
    </row>
    <row r="5047" customFormat="false" ht="15" hidden="false" customHeight="false" outlineLevel="1" collapsed="false">
      <c r="A5047" s="7" t="s">
        <v>131</v>
      </c>
      <c r="B5047" s="8" t="s">
        <v>59</v>
      </c>
      <c r="C5047" s="63" t="n">
        <f aca="false">Pressupostos!$C$61</f>
        <v>0.001</v>
      </c>
      <c r="D5047" s="63" t="n">
        <f aca="false">Pressupostos!$C$61</f>
        <v>0.001</v>
      </c>
      <c r="E5047" s="63" t="n">
        <f aca="false">Pressupostos!$C$61</f>
        <v>0.001</v>
      </c>
      <c r="F5047" s="63" t="n">
        <f aca="false">Pressupostos!$C$61</f>
        <v>0.001</v>
      </c>
      <c r="G5047" s="63" t="n">
        <f aca="false">Pressupostos!$C$61</f>
        <v>0.001</v>
      </c>
      <c r="H5047" s="2" t="s">
        <v>1181</v>
      </c>
    </row>
    <row r="5048" customFormat="false" ht="15" hidden="false" customHeight="false" outlineLevel="1" collapsed="false">
      <c r="A5048" s="7" t="s">
        <v>76</v>
      </c>
      <c r="B5048" s="8" t="s">
        <v>59</v>
      </c>
      <c r="C5048" s="60" t="n">
        <f aca="false">Pressupostos!$C$62*C5035</f>
        <v>0.0078</v>
      </c>
      <c r="D5048" s="60" t="n">
        <f aca="false">Pressupostos!$C$62*D5035</f>
        <v>0.0078</v>
      </c>
      <c r="E5048" s="60" t="n">
        <f aca="false">Pressupostos!$C$62*E5035</f>
        <v>0.0078</v>
      </c>
      <c r="F5048" s="60" t="n">
        <f aca="false">Pressupostos!$C$62*F5035</f>
        <v>0.0078</v>
      </c>
      <c r="G5048" s="60" t="n">
        <f aca="false">Pressupostos!$C$62*G5035</f>
        <v>0.0078</v>
      </c>
      <c r="H5048" s="2" t="s">
        <v>1182</v>
      </c>
    </row>
    <row r="5049" customFormat="false" ht="15" hidden="false" customHeight="false" outlineLevel="1" collapsed="false">
      <c r="A5049" s="7" t="s">
        <v>638</v>
      </c>
      <c r="B5049" s="8" t="s">
        <v>59</v>
      </c>
      <c r="C5049" s="60" t="n">
        <f aca="false">Pressupostos!$C$71*C5035</f>
        <v>0</v>
      </c>
      <c r="D5049" s="60" t="n">
        <f aca="false">Pressupostos!$C$71*D5035</f>
        <v>0</v>
      </c>
      <c r="E5049" s="60" t="n">
        <f aca="false">Pressupostos!$C$71*E5035</f>
        <v>0</v>
      </c>
      <c r="F5049" s="60" t="n">
        <f aca="false">Pressupostos!$C$71*F5035</f>
        <v>0</v>
      </c>
      <c r="G5049" s="60" t="n">
        <f aca="false">Pressupostos!$C$71*G5035</f>
        <v>0</v>
      </c>
      <c r="H5049" s="2" t="s">
        <v>1183</v>
      </c>
    </row>
    <row r="5050" customFormat="false" ht="15" hidden="false" customHeight="false" outlineLevel="1" collapsed="false">
      <c r="A5050" s="7" t="s">
        <v>639</v>
      </c>
      <c r="B5050" s="8" t="s">
        <v>59</v>
      </c>
      <c r="C5050" s="60" t="n">
        <f aca="false">Pressupostos!$C$285*(C5033+C5036)*(C5039+C5040-Pressupostos!$C$70)/365*Pressupostos!$C$279/Pressupostos!$F$31</f>
        <v>0</v>
      </c>
      <c r="D5050" s="60" t="n">
        <f aca="false">Pressupostos!$D$285*(D5033+D5036)*(D5039+D5040-Pressupostos!$C$70)/365*Pressupostos!$D$279/Pressupostos!$F$31</f>
        <v>0.0181232876712329</v>
      </c>
      <c r="E5050" s="60" t="n">
        <f aca="false">Pressupostos!$E$285*(E5033+E5036)*(E5039+E5040-Pressupostos!$C$70)/365*Pressupostos!$E$279/Pressupostos!$F$31</f>
        <v>0.0169905821917808</v>
      </c>
      <c r="F5050" s="60" t="n">
        <f aca="false">Pressupostos!$F$285*(F5033+F5036)*(F5039+F5040-Pressupostos!$C$70)/365*Pressupostos!$F$279/Pressupostos!$F$31</f>
        <v>0.0158578767123288</v>
      </c>
      <c r="G5050" s="60" t="n">
        <f aca="false">Pressupostos!$G$285*(G5033+G5036)*(G5039+G5040-Pressupostos!$C$70)/365*Pressupostos!$G$279/Pressupostos!$F$31</f>
        <v>0.0158578767123288</v>
      </c>
      <c r="H5050" s="2" t="s">
        <v>1184</v>
      </c>
    </row>
    <row r="5051" customFormat="false" ht="15" hidden="false" customHeight="false" outlineLevel="1" collapsed="false">
      <c r="A5051" s="7" t="s">
        <v>640</v>
      </c>
      <c r="B5051" s="8" t="s">
        <v>59</v>
      </c>
      <c r="C5051" s="60" t="n">
        <f aca="false">C5033+C5036+C5037+C5038+C5041+C5042+C5043+C5044+C5045+C5046+C5047+C5048+C5049+C5050</f>
        <v>2.53275136986301</v>
      </c>
      <c r="D5051" s="60" t="n">
        <f aca="false">D5033+D5036+D5037+D5038+D5041+D5042+D5043+D5044+D5045+D5046+D5047+D5048+D5049+D5050</f>
        <v>2.55087465753425</v>
      </c>
      <c r="E5051" s="60" t="n">
        <f aca="false">E5033+E5036+E5037+E5038+E5041+E5042+E5043+E5044+E5045+E5046+E5047+E5048+E5049+E5050</f>
        <v>2.54974195205479</v>
      </c>
      <c r="F5051" s="60" t="n">
        <f aca="false">F5033+F5036+F5037+F5038+F5041+F5042+F5043+F5044+F5045+F5046+F5047+F5048+F5049+F5050</f>
        <v>2.54860924657534</v>
      </c>
      <c r="G5051" s="60" t="n">
        <f aca="false">G5033+G5036+G5037+G5038+G5041+G5042+G5043+G5044+G5045+G5046+G5047+G5048+G5049+G5050</f>
        <v>2.54860924657534</v>
      </c>
      <c r="H5051" s="2" t="s">
        <v>1185</v>
      </c>
    </row>
    <row r="5052" customFormat="false" ht="15" hidden="false" customHeight="false" outlineLevel="1" collapsed="false">
      <c r="A5052" s="52" t="s">
        <v>641</v>
      </c>
      <c r="B5052" s="53" t="s">
        <v>59</v>
      </c>
      <c r="C5052" s="64" t="n">
        <f aca="false">C5035-C5051</f>
        <v>0.0672486301369868</v>
      </c>
      <c r="D5052" s="64" t="n">
        <f aca="false">D5035-D5051</f>
        <v>0.0491253424657541</v>
      </c>
      <c r="E5052" s="64" t="n">
        <f aca="false">E5035-E5051</f>
        <v>0.0502580479452059</v>
      </c>
      <c r="F5052" s="64" t="n">
        <f aca="false">F5035-F5051</f>
        <v>0.0513907534246578</v>
      </c>
      <c r="G5052" s="64" t="n">
        <f aca="false">G5035-G5051</f>
        <v>0.0513907534246578</v>
      </c>
      <c r="H5052" s="2" t="s">
        <v>1186</v>
      </c>
    </row>
    <row r="5053" customFormat="false" ht="15" hidden="false" customHeight="false" outlineLevel="1" collapsed="false">
      <c r="A5053" s="7" t="s">
        <v>642</v>
      </c>
      <c r="B5053" s="8" t="s">
        <v>71</v>
      </c>
      <c r="C5053" s="55" t="n">
        <f aca="false">IF(C5035&gt;0,C5052/C5035,0)</f>
        <v>0.0258648577449949</v>
      </c>
      <c r="D5053" s="55" t="n">
        <f aca="false">IF(D5035&gt;0,D5052/D5035,0)</f>
        <v>0.0188943624868285</v>
      </c>
      <c r="E5053" s="55" t="n">
        <f aca="false">IF(E5035&gt;0,E5052/E5035,0)</f>
        <v>0.0193300184404638</v>
      </c>
      <c r="F5053" s="55" t="n">
        <f aca="false">IF(F5035&gt;0,F5052/F5035,0)</f>
        <v>0.0197656743940992</v>
      </c>
      <c r="G5053" s="55" t="n">
        <f aca="false">IF(G5035&gt;0,G5052/G5035,0)</f>
        <v>0.0197656743940992</v>
      </c>
      <c r="H5053" s="2" t="s">
        <v>1187</v>
      </c>
    </row>
    <row r="5054" customFormat="false" ht="15" hidden="false" customHeight="false" outlineLevel="1" collapsed="false">
      <c r="A5054" s="7" t="s">
        <v>643</v>
      </c>
      <c r="B5054" s="8" t="s">
        <v>59</v>
      </c>
      <c r="C5054" s="60" t="n">
        <f aca="false">(C5033+C5036)*(C5039-Pressupostos!$C$70)/365+C5035*C5040/365</f>
        <v>0.21986301369863</v>
      </c>
      <c r="D5054" s="60" t="n">
        <f aca="false">(D5033+D5036)*(D5039-Pressupostos!$C$70)/365+D5035*D5040/365</f>
        <v>0.21986301369863</v>
      </c>
      <c r="E5054" s="60" t="n">
        <f aca="false">(E5033+E5036)*(E5039-Pressupostos!$C$70)/365+E5035*E5040/365</f>
        <v>0.21986301369863</v>
      </c>
      <c r="F5054" s="60" t="n">
        <f aca="false">(F5033+F5036)*(F5039-Pressupostos!$C$70)/365+F5035*F5040/365</f>
        <v>0.21986301369863</v>
      </c>
      <c r="G5054" s="60" t="n">
        <f aca="false">(G5033+G5036)*(G5039-Pressupostos!$C$70)/365+G5035*G5040/365</f>
        <v>0.21986301369863</v>
      </c>
      <c r="H5054" s="2" t="s">
        <v>1188</v>
      </c>
    </row>
    <row r="5055" customFormat="false" ht="15" hidden="false" customHeight="false" outlineLevel="0" collapsed="false">
      <c r="A5055" s="3" t="s">
        <v>1189</v>
      </c>
      <c r="B5055" s="4"/>
      <c r="C5055" s="4"/>
      <c r="D5055" s="4"/>
      <c r="E5055" s="4"/>
      <c r="F5055" s="4"/>
      <c r="G5055" s="4"/>
      <c r="H5055" s="4"/>
    </row>
    <row r="5056" customFormat="false" ht="15" hidden="false" customHeight="false" outlineLevel="1" collapsed="false">
      <c r="A5056" s="7" t="s">
        <v>575</v>
      </c>
      <c r="B5056" s="8" t="s">
        <v>10</v>
      </c>
      <c r="C5056" s="58" t="n">
        <f aca="false">C4971*1000*C4989</f>
        <v>30996</v>
      </c>
      <c r="D5056" s="58" t="n">
        <f aca="false">D4971*1000*D4989</f>
        <v>116235</v>
      </c>
      <c r="E5056" s="58" t="n">
        <f aca="false">E4971*1000*E4989</f>
        <v>309960</v>
      </c>
      <c r="F5056" s="58" t="n">
        <f aca="false">F4971*1000*F4989</f>
        <v>542430</v>
      </c>
      <c r="G5056" s="58" t="n">
        <f aca="false">G4971*1000*G4989</f>
        <v>774900</v>
      </c>
      <c r="H5056" s="2" t="s">
        <v>1190</v>
      </c>
    </row>
    <row r="5057" customFormat="false" ht="15" hidden="false" customHeight="false" outlineLevel="1" collapsed="false">
      <c r="A5057" s="7" t="s">
        <v>576</v>
      </c>
      <c r="B5057" s="8" t="s">
        <v>10</v>
      </c>
      <c r="C5057" s="58" t="n">
        <f aca="false">C4972*1000*C5012</f>
        <v>163540</v>
      </c>
      <c r="D5057" s="58" t="n">
        <f aca="false">D4972*1000*D5012</f>
        <v>1141635</v>
      </c>
      <c r="E5057" s="58" t="n">
        <f aca="false">E4972*1000*E5012</f>
        <v>2254965</v>
      </c>
      <c r="F5057" s="58" t="n">
        <f aca="false">F4972*1000*F5012</f>
        <v>3720535</v>
      </c>
      <c r="G5057" s="58" t="n">
        <f aca="false">G4972*1000*G5012</f>
        <v>5629550</v>
      </c>
      <c r="H5057" s="2" t="s">
        <v>1191</v>
      </c>
    </row>
    <row r="5058" customFormat="false" ht="15" hidden="false" customHeight="false" outlineLevel="1" collapsed="false">
      <c r="A5058" s="7" t="s">
        <v>577</v>
      </c>
      <c r="B5058" s="8" t="s">
        <v>10</v>
      </c>
      <c r="C5058" s="58" t="n">
        <f aca="false">C4973*1000*C5035</f>
        <v>0</v>
      </c>
      <c r="D5058" s="58" t="n">
        <f aca="false">D4973*1000*D5035</f>
        <v>1300000</v>
      </c>
      <c r="E5058" s="58" t="n">
        <f aca="false">E4973*1000*E5035</f>
        <v>3900000</v>
      </c>
      <c r="F5058" s="58" t="n">
        <f aca="false">F4973*1000*F5035</f>
        <v>6500000</v>
      </c>
      <c r="G5058" s="58" t="n">
        <f aca="false">G4973*1000*G5035</f>
        <v>9100000</v>
      </c>
      <c r="H5058" s="2" t="s">
        <v>1192</v>
      </c>
    </row>
    <row r="5059" customFormat="false" ht="15" hidden="false" customHeight="false" outlineLevel="1" collapsed="false">
      <c r="A5059" s="7" t="s">
        <v>578</v>
      </c>
      <c r="B5059" s="8" t="s">
        <v>10</v>
      </c>
      <c r="C5059" s="58" t="n">
        <f aca="false">C5056+C5057+C5058</f>
        <v>194536</v>
      </c>
      <c r="D5059" s="58" t="n">
        <f aca="false">D5056+D5057+D5058</f>
        <v>2557870</v>
      </c>
      <c r="E5059" s="58" t="n">
        <f aca="false">E5056+E5057+E5058</f>
        <v>6464925</v>
      </c>
      <c r="F5059" s="58" t="n">
        <f aca="false">F5056+F5057+F5058</f>
        <v>10762965</v>
      </c>
      <c r="G5059" s="58" t="n">
        <f aca="false">G5056+G5057+G5058</f>
        <v>15504450</v>
      </c>
      <c r="H5059" s="2" t="s">
        <v>1193</v>
      </c>
    </row>
    <row r="5060" customFormat="false" ht="15" hidden="false" customHeight="false" outlineLevel="1" collapsed="false">
      <c r="A5060" s="7" t="s">
        <v>579</v>
      </c>
      <c r="B5060" s="8" t="s">
        <v>10</v>
      </c>
      <c r="C5060" s="58" t="n">
        <f aca="false">C4982*1000*Pressupostos!$C$91</f>
        <v>0</v>
      </c>
      <c r="D5060" s="58" t="n">
        <f aca="false">D4982*1000*Pressupostos!$C$91</f>
        <v>0</v>
      </c>
      <c r="E5060" s="58" t="n">
        <f aca="false">E4982*1000*Pressupostos!$C$91</f>
        <v>0</v>
      </c>
      <c r="F5060" s="58" t="n">
        <f aca="false">F4982*1000*Pressupostos!$C$91</f>
        <v>157000</v>
      </c>
      <c r="G5060" s="58" t="n">
        <f aca="false">G4982*1000*Pressupostos!$C$91</f>
        <v>392500</v>
      </c>
      <c r="H5060" s="2" t="s">
        <v>1194</v>
      </c>
    </row>
    <row r="5061" customFormat="false" ht="15" hidden="false" customHeight="false" outlineLevel="1" collapsed="false">
      <c r="A5061" s="2" t="s">
        <v>580</v>
      </c>
      <c r="B5061" s="8" t="s">
        <v>10</v>
      </c>
      <c r="C5061" s="58" t="n">
        <f aca="false">C4980*Pressupostos!$C$78*(1-Pressupostos!$C$79)</f>
        <v>9720</v>
      </c>
      <c r="D5061" s="58" t="n">
        <f aca="false">D4980*Pressupostos!$C$78*(1-Pressupostos!$C$79)</f>
        <v>36450</v>
      </c>
      <c r="E5061" s="58" t="n">
        <f aca="false">E4980*Pressupostos!$C$78*(1-Pressupostos!$C$79)</f>
        <v>97200</v>
      </c>
      <c r="F5061" s="58" t="n">
        <f aca="false">F4980*Pressupostos!$C$78*(1-Pressupostos!$C$79)</f>
        <v>170100</v>
      </c>
      <c r="G5061" s="58" t="n">
        <f aca="false">G4980*Pressupostos!$C$78*(1-Pressupostos!$C$79)</f>
        <v>243000</v>
      </c>
      <c r="H5061" s="2" t="s">
        <v>1195</v>
      </c>
    </row>
    <row r="5062" customFormat="false" ht="15" hidden="false" customHeight="false" outlineLevel="1" collapsed="false">
      <c r="A5062" s="7" t="s">
        <v>581</v>
      </c>
      <c r="B5062" s="8" t="s">
        <v>10</v>
      </c>
      <c r="C5062" s="58" t="n">
        <f aca="false">C5061*Pressupostos!$F$27</f>
        <v>194.4</v>
      </c>
      <c r="D5062" s="58" t="n">
        <f aca="false">D5061*Pressupostos!$F$27</f>
        <v>729</v>
      </c>
      <c r="E5062" s="58" t="n">
        <f aca="false">E5061*Pressupostos!$F$27</f>
        <v>1944</v>
      </c>
      <c r="F5062" s="58" t="n">
        <f aca="false">F5061*Pressupostos!$F$27</f>
        <v>3402</v>
      </c>
      <c r="G5062" s="58" t="n">
        <f aca="false">G5061*Pressupostos!$F$27</f>
        <v>4860</v>
      </c>
      <c r="H5062" s="2" t="s">
        <v>1196</v>
      </c>
    </row>
    <row r="5063" customFormat="false" ht="15" hidden="false" customHeight="false" outlineLevel="1" collapsed="false">
      <c r="A5063" s="7" t="s">
        <v>582</v>
      </c>
      <c r="B5063" s="8" t="s">
        <v>10</v>
      </c>
      <c r="C5063" s="58" t="n">
        <f aca="false">C4984*(Pressupostos!$C$99*Pressupostos!$C$100+Pressupostos!$C$101)</f>
        <v>0</v>
      </c>
      <c r="D5063" s="58" t="n">
        <f aca="false">D4984*(Pressupostos!$C$99*Pressupostos!$C$100+Pressupostos!$C$101)</f>
        <v>10000</v>
      </c>
      <c r="E5063" s="58" t="n">
        <f aca="false">E4984*(Pressupostos!$C$99*Pressupostos!$C$100+Pressupostos!$C$101)</f>
        <v>30000</v>
      </c>
      <c r="F5063" s="58" t="n">
        <f aca="false">F4984*(Pressupostos!$C$99*Pressupostos!$C$100+Pressupostos!$C$101)</f>
        <v>60000</v>
      </c>
      <c r="G5063" s="58" t="n">
        <f aca="false">G4984*(Pressupostos!$C$99*Pressupostos!$C$100+Pressupostos!$C$101)</f>
        <v>100000</v>
      </c>
      <c r="H5063" s="2" t="s">
        <v>1197</v>
      </c>
    </row>
    <row r="5064" customFormat="false" ht="15" hidden="false" customHeight="false" outlineLevel="1" collapsed="false">
      <c r="A5064" s="7" t="s">
        <v>583</v>
      </c>
      <c r="B5064" s="8" t="s">
        <v>10</v>
      </c>
      <c r="C5064" s="50" t="n">
        <f aca="false">Pressupostos!$C$272</f>
        <v>0</v>
      </c>
      <c r="D5064" s="50" t="n">
        <f aca="false">Pressupostos!$D$272</f>
        <v>0</v>
      </c>
      <c r="E5064" s="50" t="n">
        <f aca="false">Pressupostos!$E$272</f>
        <v>0</v>
      </c>
      <c r="F5064" s="50" t="n">
        <f aca="false">Pressupostos!$F$272</f>
        <v>10000</v>
      </c>
      <c r="G5064" s="50" t="n">
        <f aca="false">Pressupostos!$G$272</f>
        <v>30000</v>
      </c>
      <c r="H5064" s="2" t="s">
        <v>1198</v>
      </c>
    </row>
    <row r="5065" customFormat="false" ht="15" hidden="false" customHeight="false" outlineLevel="1" collapsed="false">
      <c r="A5065" s="52" t="s">
        <v>584</v>
      </c>
      <c r="B5065" s="53" t="s">
        <v>10</v>
      </c>
      <c r="C5065" s="59" t="n">
        <f aca="false">C5059+C5060+C5062+C5063+C5064</f>
        <v>194730.4</v>
      </c>
      <c r="D5065" s="59" t="n">
        <f aca="false">D5059+D5060+D5062+D5063+D5064</f>
        <v>2568599</v>
      </c>
      <c r="E5065" s="59" t="n">
        <f aca="false">E5059+E5060+E5062+E5063+E5064</f>
        <v>6496869</v>
      </c>
      <c r="F5065" s="59" t="n">
        <f aca="false">F5059+F5060+F5062+F5063+F5064</f>
        <v>10993367</v>
      </c>
      <c r="G5065" s="59" t="n">
        <f aca="false">G5059+G5060+G5062+G5063+G5064</f>
        <v>16031810</v>
      </c>
      <c r="H5065" s="2" t="s">
        <v>1199</v>
      </c>
    </row>
    <row r="5066" customFormat="false" ht="15" hidden="false" customHeight="false" outlineLevel="0" collapsed="false">
      <c r="A5066" s="3" t="s">
        <v>1200</v>
      </c>
      <c r="B5066" s="4"/>
      <c r="C5066" s="4"/>
      <c r="D5066" s="4"/>
      <c r="E5066" s="4"/>
      <c r="F5066" s="4"/>
      <c r="G5066" s="4"/>
      <c r="H5066" s="4"/>
    </row>
    <row r="5067" customFormat="false" ht="15" hidden="false" customHeight="false" outlineLevel="1" collapsed="false">
      <c r="A5067" s="52" t="s">
        <v>586</v>
      </c>
      <c r="B5067" s="53" t="s">
        <v>10</v>
      </c>
      <c r="C5067" s="59" t="n">
        <f aca="false">C5059+C5060+C5061</f>
        <v>204256</v>
      </c>
      <c r="D5067" s="59" t="n">
        <f aca="false">D5059+D5060+D5061</f>
        <v>2594320</v>
      </c>
      <c r="E5067" s="59" t="n">
        <f aca="false">E5059+E5060+E5061</f>
        <v>6562125</v>
      </c>
      <c r="F5067" s="59" t="n">
        <f aca="false">F5059+F5060+F5061</f>
        <v>11090065</v>
      </c>
      <c r="G5067" s="59" t="n">
        <f aca="false">G5059+G5060+G5061</f>
        <v>16139950</v>
      </c>
      <c r="H5067" s="2" t="s">
        <v>1201</v>
      </c>
    </row>
    <row r="5068" customFormat="false" ht="15" hidden="false" customHeight="false" outlineLevel="1" collapsed="false">
      <c r="A5068" s="7" t="s">
        <v>587</v>
      </c>
      <c r="B5068" s="8" t="s">
        <v>10</v>
      </c>
      <c r="C5068" s="58" t="n">
        <f aca="false">C4971*1000*(C4987+C4990)+C4972*1000*(C5010+C5013)+C4973*1000*(C5033+C5036)+C4982*1000*Pressupostos!$C$90</f>
        <v>181830</v>
      </c>
      <c r="D5068" s="58" t="n">
        <f aca="false">D4971*1000*(D4987+D4990)+D4972*1000*(D5010+D5013)+D4973*1000*(D5033+D5036)+D4982*1000*Pressupostos!$C$90</f>
        <v>2410862.5</v>
      </c>
      <c r="E5068" s="58" t="n">
        <f aca="false">E4971*1000*(E4987+E4990)+E4972*1000*(E5010+E5013)+E4973*1000*(E5033+E5036)+E4982*1000*Pressupostos!$C$90</f>
        <v>6084300</v>
      </c>
      <c r="F5068" s="58" t="n">
        <f aca="false">F4971*1000*(F4987+F4990)+F4972*1000*(F5010+F5013)+F4973*1000*(F5033+F5036)+F4982*1000*Pressupostos!$C$90</f>
        <v>10266025</v>
      </c>
      <c r="G5068" s="58" t="n">
        <f aca="false">G4971*1000*(G4987+G4990)+G4972*1000*(G5010+G5013)+G4973*1000*(G5033+G5036)+G4982*1000*Pressupostos!$C$90</f>
        <v>14940750</v>
      </c>
      <c r="H5068" s="2" t="s">
        <v>1202</v>
      </c>
    </row>
    <row r="5069" customFormat="false" ht="15" hidden="false" customHeight="false" outlineLevel="1" collapsed="false">
      <c r="A5069" s="7" t="s">
        <v>588</v>
      </c>
      <c r="B5069" s="8" t="s">
        <v>10</v>
      </c>
      <c r="C5069" s="58" t="n">
        <f aca="false">C5068*Pressupostos!$C$279</f>
        <v>0</v>
      </c>
      <c r="D5069" s="58" t="n">
        <f aca="false">D5068*Pressupostos!$D$279</f>
        <v>2169776.25</v>
      </c>
      <c r="E5069" s="58" t="n">
        <f aca="false">E5068*Pressupostos!$E$279</f>
        <v>5475870</v>
      </c>
      <c r="F5069" s="58" t="n">
        <f aca="false">F5068*Pressupostos!$F$279</f>
        <v>9239422.5</v>
      </c>
      <c r="G5069" s="58" t="n">
        <f aca="false">G5068*Pressupostos!$G$279</f>
        <v>13446675</v>
      </c>
      <c r="H5069" s="2" t="s">
        <v>1203</v>
      </c>
    </row>
    <row r="5070" customFormat="false" ht="15" hidden="false" customHeight="false" outlineLevel="0" collapsed="false">
      <c r="A5070" s="3" t="s">
        <v>1204</v>
      </c>
      <c r="B5070" s="4"/>
      <c r="C5070" s="4"/>
      <c r="D5070" s="4"/>
      <c r="E5070" s="4"/>
      <c r="F5070" s="4"/>
      <c r="G5070" s="4"/>
      <c r="H5070" s="4"/>
    </row>
    <row r="5071" customFormat="false" ht="15" hidden="false" customHeight="false" outlineLevel="1" collapsed="false">
      <c r="A5071" s="7" t="s">
        <v>590</v>
      </c>
      <c r="B5071" s="8" t="s">
        <v>10</v>
      </c>
      <c r="C5071" s="58" t="n">
        <f aca="false">C4971*1000*C5006</f>
        <v>407.996054794528</v>
      </c>
      <c r="D5071" s="58" t="n">
        <f aca="false">D4971*1000*D5006</f>
        <v>-2888.53705479449</v>
      </c>
      <c r="E5071" s="58" t="n">
        <f aca="false">E4971*1000*E5006</f>
        <v>5475.18212328769</v>
      </c>
      <c r="F5071" s="58" t="n">
        <f aca="false">F4971*1000*F5006</f>
        <v>11364.875650685</v>
      </c>
      <c r="G5071" s="58" t="n">
        <f aca="false">G4971*1000*G5006</f>
        <v>16235.5366438357</v>
      </c>
      <c r="H5071" s="2" t="s">
        <v>1205</v>
      </c>
    </row>
    <row r="5072" customFormat="false" ht="15" hidden="false" customHeight="false" outlineLevel="1" collapsed="false">
      <c r="A5072" s="7" t="s">
        <v>591</v>
      </c>
      <c r="B5072" s="8" t="s">
        <v>10</v>
      </c>
      <c r="C5072" s="58" t="n">
        <f aca="false">C4972*1000*C5029</f>
        <v>-2579.41726027399</v>
      </c>
      <c r="D5072" s="58" t="n">
        <f aca="false">D4972*1000*D5029</f>
        <v>-32774.946780822</v>
      </c>
      <c r="E5072" s="58" t="n">
        <f aca="false">E4972*1000*E5029</f>
        <v>-55744.0980821919</v>
      </c>
      <c r="F5072" s="58" t="n">
        <f aca="false">F4972*1000*F5029</f>
        <v>-88965.7323972602</v>
      </c>
      <c r="G5072" s="58" t="n">
        <f aca="false">G4972*1000*G5029</f>
        <v>-134614.252739726</v>
      </c>
      <c r="H5072" s="2" t="s">
        <v>1206</v>
      </c>
    </row>
    <row r="5073" customFormat="false" ht="15" hidden="false" customHeight="false" outlineLevel="1" collapsed="false">
      <c r="A5073" s="7" t="s">
        <v>592</v>
      </c>
      <c r="B5073" s="8" t="s">
        <v>10</v>
      </c>
      <c r="C5073" s="58" t="n">
        <f aca="false">C4973*1000*C5052</f>
        <v>0</v>
      </c>
      <c r="D5073" s="58" t="n">
        <f aca="false">D4973*1000*D5052</f>
        <v>24562.671232877</v>
      </c>
      <c r="E5073" s="58" t="n">
        <f aca="false">E4973*1000*E5052</f>
        <v>75387.0719178089</v>
      </c>
      <c r="F5073" s="58" t="n">
        <f aca="false">F4973*1000*F5052</f>
        <v>128476.883561645</v>
      </c>
      <c r="G5073" s="58" t="n">
        <f aca="false">G4973*1000*G5052</f>
        <v>179867.636986302</v>
      </c>
      <c r="H5073" s="2" t="s">
        <v>1207</v>
      </c>
    </row>
    <row r="5074" customFormat="false" ht="15" hidden="false" customHeight="false" outlineLevel="1" collapsed="false">
      <c r="A5074" s="7" t="s">
        <v>593</v>
      </c>
      <c r="B5074" s="8" t="s">
        <v>10</v>
      </c>
      <c r="C5074" s="58" t="n">
        <f aca="false">C5071+C5072+C5073</f>
        <v>-2171.42120547946</v>
      </c>
      <c r="D5074" s="58" t="n">
        <f aca="false">D5071+D5072+D5073</f>
        <v>-11100.8126027394</v>
      </c>
      <c r="E5074" s="58" t="n">
        <f aca="false">E5071+E5072+E5073</f>
        <v>25118.1559589047</v>
      </c>
      <c r="F5074" s="58" t="n">
        <f aca="false">F5071+F5072+F5073</f>
        <v>50876.0268150693</v>
      </c>
      <c r="G5074" s="58" t="n">
        <f aca="false">G5071+G5072+G5073</f>
        <v>61488.9208904122</v>
      </c>
      <c r="H5074" s="2" t="s">
        <v>1208</v>
      </c>
    </row>
    <row r="5075" customFormat="false" ht="15" hidden="false" customHeight="false" outlineLevel="1" collapsed="false">
      <c r="A5075" s="7" t="s">
        <v>594</v>
      </c>
      <c r="B5075" s="8" t="s">
        <v>59</v>
      </c>
      <c r="C5075" s="60" t="n">
        <f aca="false">IF(C4974&gt;0,C5074/(C4974*1000),0)</f>
        <v>-0.0360701196923499</v>
      </c>
      <c r="D5075" s="60" t="n">
        <f aca="false">IF(D4974&gt;0,D5074/(D4974*1000),0)</f>
        <v>-0.0124204896254427</v>
      </c>
      <c r="E5075" s="60" t="n">
        <f aca="false">IF(E4974&gt;0,E5074/(E4974*1000),0)</f>
        <v>0.0109256876724248</v>
      </c>
      <c r="F5075" s="60" t="n">
        <f aca="false">IF(F4974&gt;0,F5074/(F4974*1000),0)</f>
        <v>0.0132957080400024</v>
      </c>
      <c r="G5075" s="60" t="n">
        <f aca="false">IF(G4974&gt;0,G5074/(G4974*1000),0)</f>
        <v>0.0111899765041696</v>
      </c>
      <c r="H5075" s="2" t="s">
        <v>1209</v>
      </c>
    </row>
    <row r="5076" customFormat="false" ht="15" hidden="false" customHeight="false" outlineLevel="1" collapsed="false">
      <c r="A5076" s="7" t="s">
        <v>595</v>
      </c>
      <c r="B5076" s="8" t="s">
        <v>71</v>
      </c>
      <c r="C5076" s="55" t="n">
        <f aca="false">IF(C5059&gt;0,C5074/C5059,0)</f>
        <v>-0.0111620533242149</v>
      </c>
      <c r="D5076" s="55" t="n">
        <f aca="false">IF(D5059&gt;0,D5074/D5059,0)</f>
        <v>-0.00433986582693391</v>
      </c>
      <c r="E5076" s="55" t="n">
        <f aca="false">IF(E5059&gt;0,E5074/E5059,0)</f>
        <v>0.00388529734821436</v>
      </c>
      <c r="F5076" s="55" t="n">
        <f aca="false">IF(F5059&gt;0,F5074/F5059,0)</f>
        <v>0.00472695273236226</v>
      </c>
      <c r="G5076" s="55" t="n">
        <f aca="false">IF(G5059&gt;0,G5074/G5059,0)</f>
        <v>0.00396588856040764</v>
      </c>
      <c r="H5076" s="2" t="s">
        <v>1210</v>
      </c>
    </row>
    <row r="5077" customFormat="false" ht="15" hidden="false" customHeight="false" outlineLevel="1" collapsed="false">
      <c r="A5077" s="2" t="s">
        <v>596</v>
      </c>
      <c r="B5077" s="8" t="s">
        <v>59</v>
      </c>
      <c r="C5077" s="60" t="n">
        <f aca="false">Pressupostos!$C$285*Pressupostos!$C$90*(Pressupostos!$C$93+Pressupostos!$C$94-Pressupostos!$C$95)/365*Pressupostos!$C$279/Pressupostos!$F$31</f>
        <v>0</v>
      </c>
      <c r="D5077" s="60" t="n">
        <f aca="false">Pressupostos!$D$285*Pressupostos!$C$90*(Pressupostos!$C$93+Pressupostos!$C$94-Pressupostos!$C$95)/365*Pressupostos!$D$279/Pressupostos!$F$31</f>
        <v>0.0776712328767123</v>
      </c>
      <c r="E5077" s="60" t="n">
        <f aca="false">Pressupostos!$E$285*Pressupostos!$C$90*(Pressupostos!$C$93+Pressupostos!$C$94-Pressupostos!$C$95)/365*Pressupostos!$E$279/Pressupostos!$F$31</f>
        <v>0.0728167808219178</v>
      </c>
      <c r="F5077" s="60" t="n">
        <f aca="false">Pressupostos!$F$285*Pressupostos!$C$90*(Pressupostos!$C$93+Pressupostos!$C$94-Pressupostos!$C$95)/365*Pressupostos!$F$279/Pressupostos!$F$31</f>
        <v>0.0679623287671233</v>
      </c>
      <c r="G5077" s="60" t="n">
        <f aca="false">Pressupostos!$G$285*Pressupostos!$C$90*(Pressupostos!$C$93+Pressupostos!$C$94-Pressupostos!$C$95)/365*Pressupostos!$G$279/Pressupostos!$F$31</f>
        <v>0.0679623287671233</v>
      </c>
      <c r="H5077" s="2" t="s">
        <v>1211</v>
      </c>
    </row>
    <row r="5078" customFormat="false" ht="15" hidden="false" customHeight="false" outlineLevel="1" collapsed="false">
      <c r="A5078" s="7" t="s">
        <v>567</v>
      </c>
      <c r="B5078" s="8" t="s">
        <v>10</v>
      </c>
      <c r="C5078" s="58" t="n">
        <f aca="false">C4982*1000*(Pressupostos!$C$91-Pressupostos!$C$90-Pressupostos!$C$92-C5077-Pressupostos!$C$96*Pressupostos!$C$91-Pressupostos!$C$97-Pressupostos!$F$29*Pressupostos!$C$90)</f>
        <v>0</v>
      </c>
      <c r="D5078" s="58" t="n">
        <f aca="false">D4982*1000*(Pressupostos!$C$91-Pressupostos!$C$90-Pressupostos!$C$92-D5077-Pressupostos!$C$96*Pressupostos!$C$91-Pressupostos!$C$97-Pressupostos!$F$29*Pressupostos!$C$90)</f>
        <v>0</v>
      </c>
      <c r="E5078" s="58" t="n">
        <f aca="false">E4982*1000*(Pressupostos!$C$91-Pressupostos!$C$90-Pressupostos!$C$92-E5077-Pressupostos!$C$96*Pressupostos!$C$91-Pressupostos!$C$97-Pressupostos!$F$29*Pressupostos!$C$90)</f>
        <v>0</v>
      </c>
      <c r="F5078" s="58" t="n">
        <f aca="false">F4982*1000*(Pressupostos!$C$91-Pressupostos!$C$90-Pressupostos!$C$92-F5077-Pressupostos!$C$96*Pressupostos!$C$91-Pressupostos!$C$97-Pressupostos!$F$29*Pressupostos!$C$90)</f>
        <v>10678.7534246575</v>
      </c>
      <c r="G5078" s="58" t="n">
        <f aca="false">G4982*1000*(Pressupostos!$C$91-Pressupostos!$C$90-Pressupostos!$C$92-G5077-Pressupostos!$C$96*Pressupostos!$C$91-Pressupostos!$C$97-Pressupostos!$F$29*Pressupostos!$C$90)</f>
        <v>26696.8835616438</v>
      </c>
      <c r="H5078" s="2" t="s">
        <v>1212</v>
      </c>
    </row>
    <row r="5079" customFormat="false" ht="15" hidden="false" customHeight="false" outlineLevel="1" collapsed="false">
      <c r="A5079" s="7" t="s">
        <v>597</v>
      </c>
      <c r="B5079" s="8" t="s">
        <v>10</v>
      </c>
      <c r="C5079" s="58" t="n">
        <f aca="false">C5062</f>
        <v>194.4</v>
      </c>
      <c r="D5079" s="58" t="n">
        <f aca="false">D5062</f>
        <v>729</v>
      </c>
      <c r="E5079" s="58" t="n">
        <f aca="false">E5062</f>
        <v>1944</v>
      </c>
      <c r="F5079" s="58" t="n">
        <f aca="false">F5062</f>
        <v>3402</v>
      </c>
      <c r="G5079" s="58" t="n">
        <f aca="false">G5062</f>
        <v>4860</v>
      </c>
      <c r="H5079" s="2" t="s">
        <v>1213</v>
      </c>
    </row>
    <row r="5080" customFormat="false" ht="15" hidden="false" customHeight="false" outlineLevel="1" collapsed="false">
      <c r="A5080" s="7" t="s">
        <v>598</v>
      </c>
      <c r="B5080" s="8" t="s">
        <v>10</v>
      </c>
      <c r="C5080" s="58" t="n">
        <f aca="false">C5063-C5095</f>
        <v>0</v>
      </c>
      <c r="D5080" s="58" t="n">
        <f aca="false">D5063-D5095</f>
        <v>10000</v>
      </c>
      <c r="E5080" s="58" t="n">
        <f aca="false">E5063-E5095</f>
        <v>30000</v>
      </c>
      <c r="F5080" s="58" t="n">
        <f aca="false">F5063-F5095</f>
        <v>60000</v>
      </c>
      <c r="G5080" s="58" t="n">
        <f aca="false">G5063-G5095</f>
        <v>100000</v>
      </c>
      <c r="H5080" s="2" t="s">
        <v>1214</v>
      </c>
    </row>
    <row r="5081" customFormat="false" ht="15" hidden="false" customHeight="false" outlineLevel="1" collapsed="false">
      <c r="A5081" s="7" t="s">
        <v>583</v>
      </c>
      <c r="B5081" s="8" t="s">
        <v>10</v>
      </c>
      <c r="C5081" s="58" t="n">
        <f aca="false">C5064</f>
        <v>0</v>
      </c>
      <c r="D5081" s="58" t="n">
        <f aca="false">D5064</f>
        <v>0</v>
      </c>
      <c r="E5081" s="58" t="n">
        <f aca="false">E5064</f>
        <v>0</v>
      </c>
      <c r="F5081" s="58" t="n">
        <f aca="false">F5064</f>
        <v>10000</v>
      </c>
      <c r="G5081" s="58" t="n">
        <f aca="false">G5064</f>
        <v>30000</v>
      </c>
      <c r="H5081" s="2" t="s">
        <v>1215</v>
      </c>
    </row>
    <row r="5082" customFormat="false" ht="15" hidden="false" customHeight="false" outlineLevel="1" collapsed="false">
      <c r="A5082" s="52" t="s">
        <v>599</v>
      </c>
      <c r="B5082" s="53" t="s">
        <v>10</v>
      </c>
      <c r="C5082" s="59" t="n">
        <f aca="false">C5074+C5078+C5079+C5080+C5081</f>
        <v>-1977.02120547946</v>
      </c>
      <c r="D5082" s="59" t="n">
        <f aca="false">D5074+D5078+D5079+D5080+D5081</f>
        <v>-371.812602739432</v>
      </c>
      <c r="E5082" s="59" t="n">
        <f aca="false">E5074+E5078+E5079+E5080+E5081</f>
        <v>57062.1559589047</v>
      </c>
      <c r="F5082" s="59" t="n">
        <f aca="false">F5074+F5078+F5079+F5080+F5081</f>
        <v>134956.780239727</v>
      </c>
      <c r="G5082" s="59" t="n">
        <f aca="false">G5074+G5078+G5079+G5080+G5081</f>
        <v>223045.804452056</v>
      </c>
      <c r="H5082" s="2" t="s">
        <v>1216</v>
      </c>
    </row>
    <row r="5083" customFormat="false" ht="15" hidden="false" customHeight="false" outlineLevel="0" collapsed="false">
      <c r="A5083" s="3" t="s">
        <v>1217</v>
      </c>
      <c r="B5083" s="4"/>
      <c r="C5083" s="4"/>
      <c r="D5083" s="4"/>
      <c r="E5083" s="4"/>
      <c r="F5083" s="4"/>
      <c r="G5083" s="4"/>
      <c r="H5083" s="4"/>
    </row>
    <row r="5084" customFormat="false" ht="15" hidden="false" customHeight="false" outlineLevel="1" collapsed="false">
      <c r="A5084" s="7" t="s">
        <v>647</v>
      </c>
      <c r="B5084" s="8" t="s">
        <v>10</v>
      </c>
      <c r="C5084" s="58" t="n">
        <f aca="false">C4971*1000*(C4987+C4990)+C4972*1000*(C5010+C5013)+C4973*1000*(C5033+C5036)</f>
        <v>181830</v>
      </c>
      <c r="D5084" s="58" t="n">
        <f aca="false">D4971*1000*(D4987+D4990)+D4972*1000*(D5010+D5013)+D4973*1000*(D5033+D5036)</f>
        <v>2410862.5</v>
      </c>
      <c r="E5084" s="58" t="n">
        <f aca="false">E4971*1000*(E4987+E4990)+E4972*1000*(E5010+E5013)+E4973*1000*(E5033+E5036)</f>
        <v>6084300</v>
      </c>
      <c r="F5084" s="58" t="n">
        <f aca="false">F4971*1000*(F4987+F4990)+F4972*1000*(F5010+F5013)+F4973*1000*(F5033+F5036)</f>
        <v>10126025</v>
      </c>
      <c r="G5084" s="58" t="n">
        <f aca="false">G4971*1000*(G4987+G4990)+G4972*1000*(G5010+G5013)+G4973*1000*(G5033+G5036)</f>
        <v>14590750</v>
      </c>
      <c r="H5084" s="2" t="s">
        <v>1218</v>
      </c>
    </row>
    <row r="5085" customFormat="false" ht="15" hidden="false" customHeight="false" outlineLevel="1" collapsed="false">
      <c r="A5085" s="7" t="s">
        <v>648</v>
      </c>
      <c r="B5085" s="8" t="s">
        <v>10</v>
      </c>
      <c r="C5085" s="58" t="n">
        <f aca="false">C4982*1000*Pressupostos!$C$90</f>
        <v>0</v>
      </c>
      <c r="D5085" s="58" t="n">
        <f aca="false">D4982*1000*Pressupostos!$C$90</f>
        <v>0</v>
      </c>
      <c r="E5085" s="58" t="n">
        <f aca="false">E4982*1000*Pressupostos!$C$90</f>
        <v>0</v>
      </c>
      <c r="F5085" s="58" t="n">
        <f aca="false">F4982*1000*Pressupostos!$C$90</f>
        <v>140000</v>
      </c>
      <c r="G5085" s="58" t="n">
        <f aca="false">G4982*1000*Pressupostos!$C$90</f>
        <v>350000</v>
      </c>
      <c r="H5085" s="2" t="s">
        <v>1219</v>
      </c>
    </row>
    <row r="5086" customFormat="false" ht="15" hidden="false" customHeight="false" outlineLevel="1" collapsed="false">
      <c r="A5086" s="7" t="s">
        <v>649</v>
      </c>
      <c r="B5086" s="8" t="s">
        <v>10</v>
      </c>
      <c r="C5086" s="58" t="n">
        <f aca="false">C5084+C5085</f>
        <v>181830</v>
      </c>
      <c r="D5086" s="58" t="n">
        <f aca="false">D5084+D5085</f>
        <v>2410862.5</v>
      </c>
      <c r="E5086" s="58" t="n">
        <f aca="false">E5084+E5085</f>
        <v>6084300</v>
      </c>
      <c r="F5086" s="58" t="n">
        <f aca="false">F5084+F5085</f>
        <v>10266025</v>
      </c>
      <c r="G5086" s="58" t="n">
        <f aca="false">G5084+G5085</f>
        <v>14940750</v>
      </c>
      <c r="H5086" s="2" t="s">
        <v>1220</v>
      </c>
    </row>
    <row r="5087" customFormat="false" ht="15" hidden="false" customHeight="false" outlineLevel="1" collapsed="false">
      <c r="A5087" s="7" t="s">
        <v>205</v>
      </c>
      <c r="B5087" s="8" t="s">
        <v>10</v>
      </c>
      <c r="C5087" s="58" t="n">
        <f aca="false">C4971*1000*(C4991)+C4972*1000*(C5014)+C4973*1000*(C5037)+C4982*1000*Pressupostos!$C$92</f>
        <v>7660</v>
      </c>
      <c r="D5087" s="58" t="n">
        <f aca="false">D4971*1000*(D4991)+D4972*1000*(D5014)+D4973*1000*(D5037)+D4982*1000*Pressupostos!$C$92</f>
        <v>65525</v>
      </c>
      <c r="E5087" s="58" t="n">
        <f aca="false">E4971*1000*(E4991)+E4972*1000*(E5014)+E4973*1000*(E5037)+E4982*1000*Pressupostos!$C$92</f>
        <v>147490</v>
      </c>
      <c r="F5087" s="58" t="n">
        <f aca="false">F4971*1000*(F4991)+F4972*1000*(F5014)+F4973*1000*(F5037)+F4982*1000*Pressupostos!$C$92</f>
        <v>248215</v>
      </c>
      <c r="G5087" s="58" t="n">
        <f aca="false">G4971*1000*(G4991)+G4972*1000*(G5014)+G4973*1000*(G5037)+G4982*1000*Pressupostos!$C$92</f>
        <v>363950</v>
      </c>
      <c r="H5087" s="2" t="s">
        <v>1221</v>
      </c>
    </row>
    <row r="5088" customFormat="false" ht="15" hidden="false" customHeight="false" outlineLevel="1" collapsed="false">
      <c r="A5088" s="7" t="s">
        <v>109</v>
      </c>
      <c r="B5088" s="8" t="s">
        <v>10</v>
      </c>
      <c r="C5088" s="58" t="n">
        <f aca="false">C4971*1000*(C4992)+C4972*1000*(C5015)+C4973*1000*(C5038)</f>
        <v>492</v>
      </c>
      <c r="D5088" s="58" t="n">
        <f aca="false">D4971*1000*(D4992)+D4972*1000*(D5015)+D4973*1000*(D5038)</f>
        <v>1845</v>
      </c>
      <c r="E5088" s="58" t="n">
        <f aca="false">E4971*1000*(E4992)+E4972*1000*(E5015)+E4973*1000*(E5038)</f>
        <v>4920</v>
      </c>
      <c r="F5088" s="58" t="n">
        <f aca="false">F4971*1000*(F4992)+F4972*1000*(F5015)+F4973*1000*(F5038)</f>
        <v>8610</v>
      </c>
      <c r="G5088" s="58" t="n">
        <f aca="false">G4971*1000*(G4992)+G4972*1000*(G5015)+G4973*1000*(G5038)</f>
        <v>12300</v>
      </c>
      <c r="H5088" s="2" t="s">
        <v>1222</v>
      </c>
    </row>
    <row r="5089" customFormat="false" ht="15" hidden="false" customHeight="false" outlineLevel="1" collapsed="false">
      <c r="A5089" s="7" t="s">
        <v>650</v>
      </c>
      <c r="B5089" s="8" t="s">
        <v>10</v>
      </c>
      <c r="C5089" s="58" t="n">
        <f aca="false">C4971*1000*(C4995+C4996)+C4972*1000*(C5018+C5019)+C4973*1000*(C5041+C5042)</f>
        <v>447.625205479452</v>
      </c>
      <c r="D5089" s="58" t="n">
        <f aca="false">D4971*1000*(D4995+D4996)+D4972*1000*(D5018+D5019)+D4973*1000*(D5041+D5042)</f>
        <v>3521.70136986301</v>
      </c>
      <c r="E5089" s="58" t="n">
        <f aca="false">E4971*1000*(E4995+E4996)+E4972*1000*(E5018+E5019)+E4973*1000*(E5041+E5042)</f>
        <v>7015.17534246575</v>
      </c>
      <c r="F5089" s="58" t="n">
        <f aca="false">F4971*1000*(F4995+F4996)+F4972*1000*(F5018+F5019)+F4973*1000*(F5041+F5042)</f>
        <v>11684.3095890411</v>
      </c>
      <c r="G5089" s="58" t="n">
        <f aca="false">G4971*1000*(G4995+G4996)+G4972*1000*(G5018+G5019)+G4973*1000*(G5041+G5042)</f>
        <v>16976.5479452055</v>
      </c>
      <c r="H5089" s="2" t="s">
        <v>1223</v>
      </c>
    </row>
    <row r="5090" customFormat="false" ht="15" hidden="false" customHeight="false" outlineLevel="1" collapsed="false">
      <c r="A5090" s="7" t="s">
        <v>651</v>
      </c>
      <c r="B5090" s="8" t="s">
        <v>10</v>
      </c>
      <c r="C5090" s="58" t="n">
        <f aca="false">C4971*1000*(C4997+C4998+C4999)+C4972*1000*(C5020+C5021+C5022)+C4973*1000*(C5043+C5044+C5045)</f>
        <v>2359.2</v>
      </c>
      <c r="D5090" s="58" t="n">
        <f aca="false">D4971*1000*(D4997+D4998+D4999)+D4972*1000*(D5020+D5021+D5022)+D4973*1000*(D5043+D5044+D5045)</f>
        <v>24728</v>
      </c>
      <c r="E5090" s="58" t="n">
        <f aca="false">E4971*1000*(E4997+E4998+E4999)+E4972*1000*(E5020+E5021+E5022)+E4973*1000*(E5043+E5044+E5045)</f>
        <v>59152.75</v>
      </c>
      <c r="F5090" s="58" t="n">
        <f aca="false">F4971*1000*(F4997+F4998+F4999)+F4972*1000*(F5020+F5021+F5022)+F4973*1000*(F5043+F5044+F5045)</f>
        <v>98483.5</v>
      </c>
      <c r="G5090" s="58" t="n">
        <f aca="false">G4971*1000*(G4997+G4998+G4999)+G4972*1000*(G5020+G5021+G5022)+G4973*1000*(G5043+G5044+G5045)</f>
        <v>142855</v>
      </c>
      <c r="H5090" s="2" t="s">
        <v>1224</v>
      </c>
    </row>
    <row r="5091" customFormat="false" ht="15" hidden="false" customHeight="false" outlineLevel="1" collapsed="false">
      <c r="A5091" s="7" t="s">
        <v>637</v>
      </c>
      <c r="B5091" s="8" t="s">
        <v>10</v>
      </c>
      <c r="C5091" s="58" t="n">
        <f aca="false">C4971*1000*(C5000)+C4972*1000*(C5023)+C4973*1000*(C5046)</f>
        <v>2900</v>
      </c>
      <c r="D5091" s="58" t="n">
        <f aca="false">D4971*1000*(D5000)+D4972*1000*(D5023)+D4973*1000*(D5046)</f>
        <v>23595</v>
      </c>
      <c r="E5091" s="58" t="n">
        <f aca="false">E4971*1000*(E5000)+E4972*1000*(E5023)+E4973*1000*(E5046)</f>
        <v>54880</v>
      </c>
      <c r="F5091" s="58" t="n">
        <f aca="false">F4971*1000*(F5000)+F4972*1000*(F5023)+F4973*1000*(F5046)</f>
        <v>91670</v>
      </c>
      <c r="G5091" s="58" t="n">
        <f aca="false">G4971*1000*(G5000)+G4972*1000*(G5023)+G4973*1000*(G5046)</f>
        <v>134100</v>
      </c>
      <c r="H5091" s="2" t="s">
        <v>1225</v>
      </c>
    </row>
    <row r="5092" customFormat="false" ht="15" hidden="false" customHeight="false" outlineLevel="1" collapsed="false">
      <c r="A5092" s="7" t="s">
        <v>652</v>
      </c>
      <c r="B5092" s="8" t="s">
        <v>10</v>
      </c>
      <c r="C5092" s="58" t="n">
        <f aca="false">C4971*1000*(C5001)+C4972*1000*(C5024)+C4973*1000*(C5047)+C4982*1000*Pressupostos!$C$97</f>
        <v>342</v>
      </c>
      <c r="D5092" s="58" t="n">
        <f aca="false">D4971*1000*(D5001)+D4972*1000*(D5024)+D4973*1000*(D5047)+D4982*1000*Pressupostos!$C$97</f>
        <v>2622.5</v>
      </c>
      <c r="E5092" s="58" t="n">
        <f aca="false">E4971*1000*(E5001)+E4972*1000*(E5024)+E4973*1000*(E5047)+E4982*1000*Pressupostos!$C$97</f>
        <v>5905</v>
      </c>
      <c r="F5092" s="58" t="n">
        <f aca="false">F4971*1000*(F5001)+F4972*1000*(F5024)+F4973*1000*(F5047)+F4982*1000*Pressupostos!$C$97</f>
        <v>10450</v>
      </c>
      <c r="G5092" s="58" t="n">
        <f aca="false">G4971*1000*(G5001)+G4972*1000*(G5024)+G4973*1000*(G5047)+G4982*1000*Pressupostos!$C$97</f>
        <v>16000</v>
      </c>
      <c r="H5092" s="2" t="s">
        <v>1226</v>
      </c>
    </row>
    <row r="5093" customFormat="false" ht="15" hidden="false" customHeight="false" outlineLevel="1" collapsed="false">
      <c r="A5093" s="7" t="s">
        <v>76</v>
      </c>
      <c r="B5093" s="8" t="s">
        <v>10</v>
      </c>
      <c r="C5093" s="58" t="n">
        <f aca="false">C4971*1000*(C5002)+C4972*1000*(C5025)+C4973*1000*(C5048)+C4982*1000*Pressupostos!$C$96*Pressupostos!$C$91</f>
        <v>676.596</v>
      </c>
      <c r="D5093" s="58" t="n">
        <f aca="false">D4971*1000*(D5002)+D4972*1000*(D5025)+D4973*1000*(D5048)+D4982*1000*Pressupostos!$C$96*Pressupostos!$C$91</f>
        <v>8022.315</v>
      </c>
      <c r="E5093" s="58" t="n">
        <f aca="false">E4971*1000*(E5002)+E4972*1000*(E5025)+E4973*1000*(E5048)+E4982*1000*Pressupostos!$C$96*Pressupostos!$C$91</f>
        <v>20324.655</v>
      </c>
      <c r="F5093" s="58" t="n">
        <f aca="false">F4971*1000*(F5002)+F4972*1000*(F5025)+F4973*1000*(F5048)+F4982*1000*Pressupostos!$C$96*Pressupostos!$C$91</f>
        <v>34858.185</v>
      </c>
      <c r="G5093" s="58" t="n">
        <f aca="false">G4971*1000*(G5002)+G4972*1000*(G5025)+G4973*1000*(G5048)+G4982*1000*Pressupostos!$C$96*Pressupostos!$C$91</f>
        <v>51193.05</v>
      </c>
      <c r="H5093" s="2" t="s">
        <v>1227</v>
      </c>
    </row>
    <row r="5094" customFormat="false" ht="15" hidden="false" customHeight="false" outlineLevel="1" collapsed="false">
      <c r="A5094" s="7" t="s">
        <v>653</v>
      </c>
      <c r="B5094" s="8" t="s">
        <v>10</v>
      </c>
      <c r="C5094" s="58" t="n">
        <f aca="false">C4971*1000*(C5003)+C4972*1000*(C5026)+C4973*1000*(C5049)+C4982*1000*Pressupostos!$F$29*Pressupostos!$C$90</f>
        <v>0</v>
      </c>
      <c r="D5094" s="58" t="n">
        <f aca="false">D4971*1000*(D5003)+D4972*1000*(D5026)+D4973*1000*(D5049)+D4982*1000*Pressupostos!$F$29*Pressupostos!$C$90</f>
        <v>0</v>
      </c>
      <c r="E5094" s="58" t="n">
        <f aca="false">E4971*1000*(E5003)+E4972*1000*(E5026)+E4973*1000*(E5049)+E4982*1000*Pressupostos!$F$29*Pressupostos!$C$90</f>
        <v>0</v>
      </c>
      <c r="F5094" s="58" t="n">
        <f aca="false">F4971*1000*(F5003)+F4972*1000*(F5026)+F4973*1000*(F5049)+F4982*1000*Pressupostos!$F$29*Pressupostos!$C$90</f>
        <v>420</v>
      </c>
      <c r="G5094" s="58" t="n">
        <f aca="false">G4971*1000*(G5003)+G4972*1000*(G5026)+G4973*1000*(G5049)+G4982*1000*Pressupostos!$F$29*Pressupostos!$C$90</f>
        <v>1050</v>
      </c>
      <c r="H5094" s="2" t="s">
        <v>1228</v>
      </c>
    </row>
    <row r="5095" customFormat="false" ht="15" hidden="false" customHeight="false" outlineLevel="1" collapsed="false">
      <c r="A5095" s="7" t="s">
        <v>654</v>
      </c>
      <c r="B5095" s="8" t="s">
        <v>10</v>
      </c>
      <c r="C5095" s="58" t="n">
        <f aca="false">C4985*1000*Pressupostos!$C$102*Pressupostos!$F$30</f>
        <v>0</v>
      </c>
      <c r="D5095" s="58" t="n">
        <f aca="false">D4985*1000*Pressupostos!$C$102*Pressupostos!$F$30</f>
        <v>0</v>
      </c>
      <c r="E5095" s="58" t="n">
        <f aca="false">E4985*1000*Pressupostos!$C$102*Pressupostos!$F$30</f>
        <v>0</v>
      </c>
      <c r="F5095" s="58" t="n">
        <f aca="false">F4985*1000*Pressupostos!$C$102*Pressupostos!$F$30</f>
        <v>0</v>
      </c>
      <c r="G5095" s="58" t="n">
        <f aca="false">G4985*1000*Pressupostos!$C$102*Pressupostos!$F$30</f>
        <v>0</v>
      </c>
      <c r="H5095" s="2" t="s">
        <v>1229</v>
      </c>
    </row>
    <row r="5096" customFormat="false" ht="15" hidden="false" customHeight="false" outlineLevel="1" collapsed="false">
      <c r="A5096" s="7" t="s">
        <v>655</v>
      </c>
      <c r="B5096" s="8" t="s">
        <v>10</v>
      </c>
      <c r="C5096" s="58" t="n">
        <f aca="false">C5087+C5088+C5089+C5090+C5091+C5092+C5093+C5094+C5095</f>
        <v>14877.4212054795</v>
      </c>
      <c r="D5096" s="58" t="n">
        <f aca="false">D5087+D5088+D5089+D5090+D5091+D5092+D5093+D5094+D5095</f>
        <v>129859.516369863</v>
      </c>
      <c r="E5096" s="58" t="n">
        <f aca="false">E5087+E5088+E5089+E5090+E5091+E5092+E5093+E5094+E5095</f>
        <v>299687.580342466</v>
      </c>
      <c r="F5096" s="58" t="n">
        <f aca="false">F5087+F5088+F5089+F5090+F5091+F5092+F5093+F5094+F5095</f>
        <v>504390.994589041</v>
      </c>
      <c r="G5096" s="58" t="n">
        <f aca="false">G5087+G5088+G5089+G5090+G5091+G5092+G5093+G5094+G5095</f>
        <v>738424.597945205</v>
      </c>
      <c r="H5096" s="2" t="s">
        <v>1230</v>
      </c>
    </row>
    <row r="5097" customFormat="false" ht="15" hidden="false" customHeight="false" outlineLevel="1" collapsed="false">
      <c r="A5097" s="7" t="s">
        <v>656</v>
      </c>
      <c r="B5097" s="8" t="s">
        <v>10</v>
      </c>
      <c r="C5097" s="58" t="n">
        <f aca="false">C4971*1000*(C5004)+C4972*1000*(C5027)+C4973*1000*(C5050)</f>
        <v>0</v>
      </c>
      <c r="D5097" s="58" t="n">
        <f aca="false">D4971*1000*(D5004)+D4972*1000*(D5027)+D4973*1000*(D5050)</f>
        <v>28248.7962328767</v>
      </c>
      <c r="E5097" s="58" t="n">
        <f aca="false">E4971*1000*(E5004)+E4972*1000*(E5027)+E4973*1000*(E5050)</f>
        <v>55819.2636986301</v>
      </c>
      <c r="F5097" s="58" t="n">
        <f aca="false">F4971*1000*(F5004)+F4972*1000*(F5027)+F4973*1000*(F5050)</f>
        <v>86634.9785958904</v>
      </c>
      <c r="G5097" s="58" t="n">
        <f aca="false">G4971*1000*(G5004)+G4972*1000*(G5027)+G4973*1000*(G5050)</f>
        <v>126191.481164384</v>
      </c>
      <c r="H5097" s="2" t="s">
        <v>1231</v>
      </c>
    </row>
    <row r="5098" customFormat="false" ht="15" hidden="false" customHeight="false" outlineLevel="1" collapsed="false">
      <c r="A5098" s="7" t="s">
        <v>657</v>
      </c>
      <c r="B5098" s="8" t="s">
        <v>10</v>
      </c>
      <c r="C5098" s="58" t="n">
        <f aca="false">C4982*1000*C5077</f>
        <v>0</v>
      </c>
      <c r="D5098" s="58" t="n">
        <f aca="false">D4982*1000*D5077</f>
        <v>0</v>
      </c>
      <c r="E5098" s="58" t="n">
        <f aca="false">E4982*1000*E5077</f>
        <v>0</v>
      </c>
      <c r="F5098" s="58" t="n">
        <f aca="false">F4982*1000*F5077</f>
        <v>1359.24657534247</v>
      </c>
      <c r="G5098" s="58" t="n">
        <f aca="false">G4982*1000*G5077</f>
        <v>3398.11643835617</v>
      </c>
      <c r="H5098" s="2" t="s">
        <v>1232</v>
      </c>
    </row>
    <row r="5099" customFormat="false" ht="15" hidden="false" customHeight="false" outlineLevel="1" collapsed="false">
      <c r="A5099" s="7" t="s">
        <v>658</v>
      </c>
      <c r="B5099" s="8" t="s">
        <v>10</v>
      </c>
      <c r="C5099" s="58" t="n">
        <f aca="false">C5097+C5098</f>
        <v>0</v>
      </c>
      <c r="D5099" s="58" t="n">
        <f aca="false">D5097+D5098</f>
        <v>28248.7962328767</v>
      </c>
      <c r="E5099" s="58" t="n">
        <f aca="false">E5097+E5098</f>
        <v>55819.2636986301</v>
      </c>
      <c r="F5099" s="58" t="n">
        <f aca="false">F5097+F5098</f>
        <v>87994.2251712329</v>
      </c>
      <c r="G5099" s="58" t="n">
        <f aca="false">G5097+G5098</f>
        <v>129589.59760274</v>
      </c>
      <c r="H5099" s="2" t="s">
        <v>1233</v>
      </c>
    </row>
    <row r="5100" customFormat="false" ht="15" hidden="false" customHeight="false" outlineLevel="1" collapsed="false">
      <c r="A5100" s="8" t="s">
        <v>659</v>
      </c>
      <c r="B5100" s="8" t="s">
        <v>10</v>
      </c>
      <c r="C5100" s="66" t="n">
        <f aca="false">ROUND(C5065-C5086-C5096-C5099-C5082,6)</f>
        <v>-0</v>
      </c>
      <c r="D5100" s="66" t="n">
        <f aca="false">ROUND(D5065-D5086-D5096-D5099-D5082,6)</f>
        <v>-0</v>
      </c>
      <c r="E5100" s="66" t="n">
        <f aca="false">ROUND(E5065-E5086-E5096-E5099-E5082,6)</f>
        <v>-0</v>
      </c>
      <c r="F5100" s="66" t="n">
        <f aca="false">ROUND(F5065-F5086-F5096-F5099-F5082,6)</f>
        <v>-0</v>
      </c>
      <c r="G5100" s="66" t="n">
        <f aca="false">ROUND(G5065-G5086-G5096-G5099-G5082,6)</f>
        <v>-0</v>
      </c>
      <c r="H5100" s="2" t="s">
        <v>1234</v>
      </c>
    </row>
    <row r="5101" customFormat="false" ht="15" hidden="false" customHeight="false" outlineLevel="0" collapsed="false">
      <c r="A5101" s="3" t="s">
        <v>1235</v>
      </c>
      <c r="B5101" s="4"/>
      <c r="C5101" s="4"/>
      <c r="D5101" s="4"/>
      <c r="E5101" s="4"/>
      <c r="F5101" s="4"/>
      <c r="G5101" s="4"/>
      <c r="H5101" s="4"/>
    </row>
    <row r="5102" customFormat="false" ht="15" hidden="false" customHeight="false" outlineLevel="1" collapsed="false">
      <c r="A5102" s="7" t="s">
        <v>602</v>
      </c>
      <c r="B5102" s="8" t="s">
        <v>413</v>
      </c>
      <c r="C5102" s="61" t="n">
        <f aca="false">Pressupostos!$C$317</f>
        <v>1</v>
      </c>
      <c r="D5102" s="61" t="n">
        <f aca="false">Pressupostos!$D$317</f>
        <v>1</v>
      </c>
      <c r="E5102" s="61" t="n">
        <f aca="false">Pressupostos!$E$317</f>
        <v>1</v>
      </c>
      <c r="F5102" s="61" t="n">
        <f aca="false">Pressupostos!$F$317</f>
        <v>1</v>
      </c>
      <c r="G5102" s="61" t="n">
        <f aca="false">Pressupostos!$G$317</f>
        <v>1</v>
      </c>
      <c r="H5102" s="2" t="s">
        <v>1236</v>
      </c>
    </row>
    <row r="5103" customFormat="false" ht="15" hidden="false" customHeight="false" outlineLevel="1" collapsed="false">
      <c r="A5103" s="7" t="s">
        <v>603</v>
      </c>
      <c r="B5103" s="8" t="s">
        <v>413</v>
      </c>
      <c r="C5103" s="61" t="n">
        <f aca="false">Pressupostos!$C$323</f>
        <v>1</v>
      </c>
      <c r="D5103" s="61" t="n">
        <f aca="false">Pressupostos!$D$323</f>
        <v>1</v>
      </c>
      <c r="E5103" s="61" t="n">
        <f aca="false">Pressupostos!$E$323</f>
        <v>1</v>
      </c>
      <c r="F5103" s="61" t="n">
        <f aca="false">Pressupostos!$F$323</f>
        <v>1</v>
      </c>
      <c r="G5103" s="61" t="n">
        <f aca="false">Pressupostos!$G$323</f>
        <v>1</v>
      </c>
      <c r="H5103" s="2" t="s">
        <v>1237</v>
      </c>
    </row>
    <row r="5104" customFormat="false" ht="15" hidden="false" customHeight="false" outlineLevel="1" collapsed="false">
      <c r="A5104" s="7" t="s">
        <v>604</v>
      </c>
      <c r="B5104" s="8" t="s">
        <v>413</v>
      </c>
      <c r="C5104" s="61" t="n">
        <f aca="false">Pressupostos!$C$329</f>
        <v>0</v>
      </c>
      <c r="D5104" s="61" t="n">
        <f aca="false">Pressupostos!$D$329</f>
        <v>1</v>
      </c>
      <c r="E5104" s="61" t="n">
        <f aca="false">Pressupostos!$E$329</f>
        <v>1</v>
      </c>
      <c r="F5104" s="61" t="n">
        <f aca="false">Pressupostos!$F$329</f>
        <v>1</v>
      </c>
      <c r="G5104" s="61" t="n">
        <f aca="false">Pressupostos!$G$329</f>
        <v>1</v>
      </c>
      <c r="H5104" s="2" t="s">
        <v>1238</v>
      </c>
    </row>
    <row r="5105" customFormat="false" ht="15" hidden="false" customHeight="false" outlineLevel="1" collapsed="false">
      <c r="A5105" s="7" t="s">
        <v>605</v>
      </c>
      <c r="B5105" s="8" t="s">
        <v>413</v>
      </c>
      <c r="C5105" s="61" t="n">
        <f aca="false">Pressupostos!$C$335</f>
        <v>0.5</v>
      </c>
      <c r="D5105" s="61" t="n">
        <f aca="false">Pressupostos!$D$335</f>
        <v>1</v>
      </c>
      <c r="E5105" s="61" t="n">
        <f aca="false">Pressupostos!$E$335</f>
        <v>1</v>
      </c>
      <c r="F5105" s="61" t="n">
        <f aca="false">Pressupostos!$F$335</f>
        <v>1</v>
      </c>
      <c r="G5105" s="61" t="n">
        <f aca="false">Pressupostos!$G$335</f>
        <v>1</v>
      </c>
      <c r="H5105" s="2" t="s">
        <v>1239</v>
      </c>
    </row>
    <row r="5106" customFormat="false" ht="15" hidden="false" customHeight="false" outlineLevel="1" collapsed="false">
      <c r="A5106" s="7" t="s">
        <v>606</v>
      </c>
      <c r="B5106" s="8" t="s">
        <v>413</v>
      </c>
      <c r="C5106" s="61" t="n">
        <f aca="false">Pressupostos!$C$341</f>
        <v>0.5</v>
      </c>
      <c r="D5106" s="61" t="n">
        <f aca="false">Pressupostos!$D$341</f>
        <v>0.5</v>
      </c>
      <c r="E5106" s="61" t="n">
        <f aca="false">Pressupostos!$E$341</f>
        <v>0.5</v>
      </c>
      <c r="F5106" s="61" t="n">
        <f aca="false">Pressupostos!$F$341</f>
        <v>1</v>
      </c>
      <c r="G5106" s="61" t="n">
        <f aca="false">Pressupostos!$G$341</f>
        <v>1</v>
      </c>
      <c r="H5106" s="2" t="s">
        <v>1240</v>
      </c>
    </row>
    <row r="5107" customFormat="false" ht="15" hidden="false" customHeight="false" outlineLevel="1" collapsed="false">
      <c r="A5107" s="7" t="s">
        <v>607</v>
      </c>
      <c r="B5107" s="8" t="s">
        <v>413</v>
      </c>
      <c r="C5107" s="61" t="n">
        <f aca="false">Pressupostos!$C$347</f>
        <v>1</v>
      </c>
      <c r="D5107" s="61" t="n">
        <f aca="false">Pressupostos!$D$347</f>
        <v>1</v>
      </c>
      <c r="E5107" s="61" t="n">
        <f aca="false">Pressupostos!$E$347</f>
        <v>1</v>
      </c>
      <c r="F5107" s="61" t="n">
        <f aca="false">Pressupostos!$F$347</f>
        <v>1</v>
      </c>
      <c r="G5107" s="61" t="n">
        <f aca="false">Pressupostos!$G$347</f>
        <v>1</v>
      </c>
      <c r="H5107" s="2" t="s">
        <v>1241</v>
      </c>
    </row>
    <row r="5108" customFormat="false" ht="15" hidden="false" customHeight="false" outlineLevel="1" collapsed="false">
      <c r="A5108" s="7" t="s">
        <v>608</v>
      </c>
      <c r="B5108" s="8" t="s">
        <v>413</v>
      </c>
      <c r="C5108" s="61" t="n">
        <f aca="false">Pressupostos!$C$353</f>
        <v>0.5</v>
      </c>
      <c r="D5108" s="61" t="n">
        <f aca="false">Pressupostos!$D$353</f>
        <v>1</v>
      </c>
      <c r="E5108" s="61" t="n">
        <f aca="false">Pressupostos!$E$353</f>
        <v>1</v>
      </c>
      <c r="F5108" s="61" t="n">
        <f aca="false">Pressupostos!$F$353</f>
        <v>1</v>
      </c>
      <c r="G5108" s="61" t="n">
        <f aca="false">Pressupostos!$G$353</f>
        <v>1</v>
      </c>
      <c r="H5108" s="2" t="s">
        <v>1242</v>
      </c>
    </row>
    <row r="5109" customFormat="false" ht="15" hidden="false" customHeight="false" outlineLevel="1" collapsed="false">
      <c r="A5109" s="7" t="s">
        <v>609</v>
      </c>
      <c r="B5109" s="8" t="s">
        <v>413</v>
      </c>
      <c r="C5109" s="61" t="n">
        <f aca="false">Pressupostos!$C$359</f>
        <v>1</v>
      </c>
      <c r="D5109" s="61" t="n">
        <f aca="false">Pressupostos!$D$359</f>
        <v>1</v>
      </c>
      <c r="E5109" s="61" t="n">
        <f aca="false">Pressupostos!$E$359</f>
        <v>1</v>
      </c>
      <c r="F5109" s="61" t="n">
        <f aca="false">Pressupostos!$F$359</f>
        <v>2</v>
      </c>
      <c r="G5109" s="61" t="n">
        <f aca="false">Pressupostos!$G$359</f>
        <v>3</v>
      </c>
      <c r="H5109" s="2" t="s">
        <v>1243</v>
      </c>
    </row>
    <row r="5110" customFormat="false" ht="15" hidden="false" customHeight="false" outlineLevel="1" collapsed="false">
      <c r="A5110" s="7" t="s">
        <v>610</v>
      </c>
      <c r="B5110" s="8" t="s">
        <v>413</v>
      </c>
      <c r="C5110" s="61" t="n">
        <f aca="false">Pressupostos!$C$365</f>
        <v>0</v>
      </c>
      <c r="D5110" s="61" t="n">
        <f aca="false">Pressupostos!$D$365</f>
        <v>0</v>
      </c>
      <c r="E5110" s="61" t="n">
        <f aca="false">Pressupostos!$E$365</f>
        <v>0</v>
      </c>
      <c r="F5110" s="61" t="n">
        <f aca="false">Pressupostos!$F$365</f>
        <v>0</v>
      </c>
      <c r="G5110" s="61" t="n">
        <f aca="false">Pressupostos!$G$365</f>
        <v>0</v>
      </c>
      <c r="H5110" s="2" t="s">
        <v>1244</v>
      </c>
    </row>
    <row r="5111" customFormat="false" ht="15" hidden="false" customHeight="false" outlineLevel="1" collapsed="false">
      <c r="A5111" s="7" t="s">
        <v>611</v>
      </c>
      <c r="B5111" s="8" t="s">
        <v>413</v>
      </c>
      <c r="C5111" s="61" t="n">
        <f aca="false">Pressupostos!$C$371</f>
        <v>0</v>
      </c>
      <c r="D5111" s="61" t="n">
        <f aca="false">Pressupostos!$D$371</f>
        <v>0</v>
      </c>
      <c r="E5111" s="61" t="n">
        <f aca="false">Pressupostos!$E$371</f>
        <v>0</v>
      </c>
      <c r="F5111" s="61" t="n">
        <f aca="false">Pressupostos!$F$371</f>
        <v>0</v>
      </c>
      <c r="G5111" s="61" t="n">
        <f aca="false">Pressupostos!$G$371</f>
        <v>0</v>
      </c>
      <c r="H5111" s="2" t="s">
        <v>1245</v>
      </c>
    </row>
    <row r="5112" customFormat="false" ht="15" hidden="false" customHeight="false" outlineLevel="1" collapsed="false">
      <c r="A5112" s="7" t="s">
        <v>612</v>
      </c>
      <c r="B5112" s="8" t="s">
        <v>413</v>
      </c>
      <c r="C5112" s="61" t="n">
        <f aca="false">Pressupostos!$C$377</f>
        <v>0</v>
      </c>
      <c r="D5112" s="61" t="n">
        <f aca="false">Pressupostos!$D$377</f>
        <v>0</v>
      </c>
      <c r="E5112" s="61" t="n">
        <f aca="false">Pressupostos!$E$377</f>
        <v>0</v>
      </c>
      <c r="F5112" s="61" t="n">
        <f aca="false">Pressupostos!$F$377</f>
        <v>1</v>
      </c>
      <c r="G5112" s="61" t="n">
        <f aca="false">Pressupostos!$G$377</f>
        <v>1</v>
      </c>
      <c r="H5112" s="2" t="s">
        <v>1246</v>
      </c>
    </row>
    <row r="5113" customFormat="false" ht="15" hidden="false" customHeight="false" outlineLevel="1" collapsed="false">
      <c r="A5113" s="7" t="s">
        <v>613</v>
      </c>
      <c r="B5113" s="8" t="s">
        <v>413</v>
      </c>
      <c r="C5113" s="61" t="n">
        <f aca="false">Pressupostos!$C$383</f>
        <v>0</v>
      </c>
      <c r="D5113" s="61" t="n">
        <f aca="false">Pressupostos!$D$383</f>
        <v>0</v>
      </c>
      <c r="E5113" s="61" t="n">
        <f aca="false">Pressupostos!$E$383</f>
        <v>1</v>
      </c>
      <c r="F5113" s="61" t="n">
        <f aca="false">Pressupostos!$F$383</f>
        <v>1</v>
      </c>
      <c r="G5113" s="61" t="n">
        <f aca="false">Pressupostos!$G$383</f>
        <v>1</v>
      </c>
      <c r="H5113" s="2" t="s">
        <v>1247</v>
      </c>
    </row>
    <row r="5114" customFormat="false" ht="15" hidden="false" customHeight="false" outlineLevel="1" collapsed="false">
      <c r="A5114" s="52" t="s">
        <v>614</v>
      </c>
      <c r="B5114" s="53" t="s">
        <v>413</v>
      </c>
      <c r="C5114" s="62" t="n">
        <f aca="false">C5102+C5103+C5104+C5105+C5106+C5107+C5108+C5109+C5110+C5111+C5112+C5113</f>
        <v>5.5</v>
      </c>
      <c r="D5114" s="62" t="n">
        <f aca="false">D5102+D5103+D5104+D5105+D5106+D5107+D5108+D5109+D5110+D5111+D5112+D5113</f>
        <v>7.5</v>
      </c>
      <c r="E5114" s="62" t="n">
        <f aca="false">E5102+E5103+E5104+E5105+E5106+E5107+E5108+E5109+E5110+E5111+E5112+E5113</f>
        <v>8.5</v>
      </c>
      <c r="F5114" s="62" t="n">
        <f aca="false">F5102+F5103+F5104+F5105+F5106+F5107+F5108+F5109+F5110+F5111+F5112+F5113</f>
        <v>11</v>
      </c>
      <c r="G5114" s="62" t="n">
        <f aca="false">G5102+G5103+G5104+G5105+G5106+G5107+G5108+G5109+G5110+G5111+G5112+G5113</f>
        <v>12</v>
      </c>
      <c r="H5114" s="2" t="s">
        <v>1248</v>
      </c>
    </row>
    <row r="5115" customFormat="false" ht="15" hidden="false" customHeight="false" outlineLevel="0" collapsed="false">
      <c r="A5115" s="3" t="s">
        <v>1249</v>
      </c>
      <c r="B5115" s="4"/>
      <c r="C5115" s="4"/>
      <c r="D5115" s="4"/>
      <c r="E5115" s="4"/>
      <c r="F5115" s="4"/>
      <c r="G5115" s="4"/>
      <c r="H5115" s="4"/>
    </row>
    <row r="5116" customFormat="false" ht="15" hidden="false" customHeight="false" outlineLevel="1" collapsed="false">
      <c r="A5116" s="7" t="s">
        <v>602</v>
      </c>
      <c r="B5116" s="8" t="s">
        <v>10</v>
      </c>
      <c r="C5116" s="58" t="n">
        <f aca="false">C5102*Pressupostos!$C$129*(1+Pressupostos!$C$125)^0*(1+Pressupostos!$C$130)*Pressupostos!$C$126</f>
        <v>43998</v>
      </c>
      <c r="D5116" s="58" t="n">
        <f aca="false">D5102*Pressupostos!$C$129*(1+Pressupostos!$C$125)^1*(1+Pressupostos!$C$130)</f>
        <v>61800</v>
      </c>
      <c r="E5116" s="58" t="n">
        <f aca="false">E5102*Pressupostos!$C$129*(1+Pressupostos!$C$125)^2*(1+Pressupostos!$C$130)</f>
        <v>63654</v>
      </c>
      <c r="F5116" s="58" t="n">
        <f aca="false">F5102*Pressupostos!$C$129*(1+Pressupostos!$C$125)^3*(1+Pressupostos!$C$130)</f>
        <v>65563.62</v>
      </c>
      <c r="G5116" s="58" t="n">
        <f aca="false">G5102*Pressupostos!$C$129*(1+Pressupostos!$C$125)^4*(1+Pressupostos!$C$130)</f>
        <v>67530.5286</v>
      </c>
      <c r="H5116" s="2" t="s">
        <v>1250</v>
      </c>
    </row>
    <row r="5117" customFormat="false" ht="15" hidden="false" customHeight="false" outlineLevel="1" collapsed="false">
      <c r="A5117" s="7" t="s">
        <v>603</v>
      </c>
      <c r="B5117" s="8" t="s">
        <v>10</v>
      </c>
      <c r="C5117" s="58" t="n">
        <f aca="false">C5103*Pressupostos!$C$131*(1+Pressupostos!$C$125)^0*(1+Pressupostos!$C$132)*Pressupostos!$C$126</f>
        <v>47664.5</v>
      </c>
      <c r="D5117" s="58" t="n">
        <f aca="false">D5103*Pressupostos!$C$131*(1+Pressupostos!$C$125)^1*(1+Pressupostos!$C$132)</f>
        <v>66950</v>
      </c>
      <c r="E5117" s="58" t="n">
        <f aca="false">E5103*Pressupostos!$C$131*(1+Pressupostos!$C$125)^2*(1+Pressupostos!$C$132)</f>
        <v>68958.5</v>
      </c>
      <c r="F5117" s="58" t="n">
        <f aca="false">F5103*Pressupostos!$C$131*(1+Pressupostos!$C$125)^3*(1+Pressupostos!$C$132)</f>
        <v>71027.255</v>
      </c>
      <c r="G5117" s="58" t="n">
        <f aca="false">G5103*Pressupostos!$C$131*(1+Pressupostos!$C$125)^4*(1+Pressupostos!$C$132)</f>
        <v>73158.07265</v>
      </c>
      <c r="H5117" s="2" t="s">
        <v>1251</v>
      </c>
    </row>
    <row r="5118" customFormat="false" ht="15" hidden="false" customHeight="false" outlineLevel="1" collapsed="false">
      <c r="A5118" s="7" t="s">
        <v>604</v>
      </c>
      <c r="B5118" s="8" t="s">
        <v>10</v>
      </c>
      <c r="C5118" s="58" t="n">
        <f aca="false">C5104*Pressupostos!$C$133*(1+Pressupostos!$C$125)^0*(1+Pressupostos!$C$134)</f>
        <v>0</v>
      </c>
      <c r="D5118" s="58" t="n">
        <f aca="false">D5104*Pressupostos!$C$133*(1+Pressupostos!$C$125)^1*(1+Pressupostos!$C$134)</f>
        <v>46350</v>
      </c>
      <c r="E5118" s="58" t="n">
        <f aca="false">E5104*Pressupostos!$C$133*(1+Pressupostos!$C$125)^2*(1+Pressupostos!$C$134)</f>
        <v>47740.5</v>
      </c>
      <c r="F5118" s="58" t="n">
        <f aca="false">F5104*Pressupostos!$C$133*(1+Pressupostos!$C$125)^3*(1+Pressupostos!$C$134)</f>
        <v>49172.715</v>
      </c>
      <c r="G5118" s="58" t="n">
        <f aca="false">G5104*Pressupostos!$C$133*(1+Pressupostos!$C$125)^4*(1+Pressupostos!$C$134)</f>
        <v>50647.89645</v>
      </c>
      <c r="H5118" s="2" t="s">
        <v>1252</v>
      </c>
    </row>
    <row r="5119" customFormat="false" ht="15" hidden="false" customHeight="false" outlineLevel="1" collapsed="false">
      <c r="A5119" s="7" t="s">
        <v>605</v>
      </c>
      <c r="B5119" s="8" t="s">
        <v>10</v>
      </c>
      <c r="C5119" s="58" t="n">
        <f aca="false">C5105*Pressupostos!$C$135*(1+Pressupostos!$C$125)^0*(1+Pressupostos!$C$136)</f>
        <v>30000</v>
      </c>
      <c r="D5119" s="58" t="n">
        <f aca="false">D5105*Pressupostos!$C$135*(1+Pressupostos!$C$125)^1*(1+Pressupostos!$C$136)</f>
        <v>61800</v>
      </c>
      <c r="E5119" s="58" t="n">
        <f aca="false">E5105*Pressupostos!$C$135*(1+Pressupostos!$C$125)^2*(1+Pressupostos!$C$136)</f>
        <v>63654</v>
      </c>
      <c r="F5119" s="58" t="n">
        <f aca="false">F5105*Pressupostos!$C$135*(1+Pressupostos!$C$125)^3*(1+Pressupostos!$C$136)</f>
        <v>65563.62</v>
      </c>
      <c r="G5119" s="58" t="n">
        <f aca="false">G5105*Pressupostos!$C$135*(1+Pressupostos!$C$125)^4*(1+Pressupostos!$C$136)</f>
        <v>67530.5286</v>
      </c>
      <c r="H5119" s="2" t="s">
        <v>1253</v>
      </c>
    </row>
    <row r="5120" customFormat="false" ht="15" hidden="false" customHeight="false" outlineLevel="1" collapsed="false">
      <c r="A5120" s="7" t="s">
        <v>606</v>
      </c>
      <c r="B5120" s="8" t="s">
        <v>10</v>
      </c>
      <c r="C5120" s="58" t="n">
        <f aca="false">C5106*Pressupostos!$C$137*(1+Pressupostos!$C$125)^0*(1+Pressupostos!$C$138)</f>
        <v>22500</v>
      </c>
      <c r="D5120" s="58" t="n">
        <f aca="false">D5106*Pressupostos!$C$137*(1+Pressupostos!$C$125)^1*(1+Pressupostos!$C$138)</f>
        <v>23175</v>
      </c>
      <c r="E5120" s="58" t="n">
        <f aca="false">E5106*Pressupostos!$C$137*(1+Pressupostos!$C$125)^2*(1+Pressupostos!$C$138)</f>
        <v>23870.25</v>
      </c>
      <c r="F5120" s="58" t="n">
        <f aca="false">F5106*Pressupostos!$C$137*(1+Pressupostos!$C$125)^3*(1+Pressupostos!$C$138)</f>
        <v>49172.715</v>
      </c>
      <c r="G5120" s="58" t="n">
        <f aca="false">G5106*Pressupostos!$C$137*(1+Pressupostos!$C$125)^4*(1+Pressupostos!$C$138)</f>
        <v>50647.89645</v>
      </c>
      <c r="H5120" s="2" t="s">
        <v>1254</v>
      </c>
    </row>
    <row r="5121" customFormat="false" ht="15" hidden="false" customHeight="false" outlineLevel="1" collapsed="false">
      <c r="A5121" s="7" t="s">
        <v>607</v>
      </c>
      <c r="B5121" s="8" t="s">
        <v>10</v>
      </c>
      <c r="C5121" s="58" t="n">
        <f aca="false">C5107*Pressupostos!$C$139*(1+Pressupostos!$C$125)^0*(1+Pressupostos!$C$140)</f>
        <v>38000</v>
      </c>
      <c r="D5121" s="58" t="n">
        <f aca="false">D5107*Pressupostos!$C$139*(1+Pressupostos!$C$125)^1*(1+Pressupostos!$C$140)</f>
        <v>39140</v>
      </c>
      <c r="E5121" s="58" t="n">
        <f aca="false">E5107*Pressupostos!$C$139*(1+Pressupostos!$C$125)^2*(1+Pressupostos!$C$140)</f>
        <v>40314.2</v>
      </c>
      <c r="F5121" s="58" t="n">
        <f aca="false">F5107*Pressupostos!$C$139*(1+Pressupostos!$C$125)^3*(1+Pressupostos!$C$140)</f>
        <v>41523.626</v>
      </c>
      <c r="G5121" s="58" t="n">
        <f aca="false">G5107*Pressupostos!$C$139*(1+Pressupostos!$C$125)^4*(1+Pressupostos!$C$140)</f>
        <v>42769.33478</v>
      </c>
      <c r="H5121" s="2" t="s">
        <v>1255</v>
      </c>
    </row>
    <row r="5122" customFormat="false" ht="15" hidden="false" customHeight="false" outlineLevel="1" collapsed="false">
      <c r="A5122" s="7" t="s">
        <v>608</v>
      </c>
      <c r="B5122" s="8" t="s">
        <v>10</v>
      </c>
      <c r="C5122" s="58" t="n">
        <f aca="false">C5108*Pressupostos!$C$141*(1+Pressupostos!$C$125)^0*(1+Pressupostos!$C$142)</f>
        <v>16000</v>
      </c>
      <c r="D5122" s="58" t="n">
        <f aca="false">D5108*Pressupostos!$C$141*(1+Pressupostos!$C$125)^1*(1+Pressupostos!$C$142)</f>
        <v>32960</v>
      </c>
      <c r="E5122" s="58" t="n">
        <f aca="false">E5108*Pressupostos!$C$141*(1+Pressupostos!$C$125)^2*(1+Pressupostos!$C$142)</f>
        <v>33948.8</v>
      </c>
      <c r="F5122" s="58" t="n">
        <f aca="false">F5108*Pressupostos!$C$141*(1+Pressupostos!$C$125)^3*(1+Pressupostos!$C$142)</f>
        <v>34967.264</v>
      </c>
      <c r="G5122" s="58" t="n">
        <f aca="false">G5108*Pressupostos!$C$141*(1+Pressupostos!$C$125)^4*(1+Pressupostos!$C$142)</f>
        <v>36016.28192</v>
      </c>
      <c r="H5122" s="2" t="s">
        <v>1256</v>
      </c>
    </row>
    <row r="5123" customFormat="false" ht="15" hidden="false" customHeight="false" outlineLevel="1" collapsed="false">
      <c r="A5123" s="7" t="s">
        <v>609</v>
      </c>
      <c r="B5123" s="8" t="s">
        <v>10</v>
      </c>
      <c r="C5123" s="58" t="n">
        <f aca="false">C5109*Pressupostos!$C$143*(1+Pressupostos!$C$125)^0*(1+Pressupostos!$C$144)</f>
        <v>34500</v>
      </c>
      <c r="D5123" s="58" t="n">
        <f aca="false">D5109*Pressupostos!$C$143*(1+Pressupostos!$C$125)^1*(1+Pressupostos!$C$144)</f>
        <v>35535</v>
      </c>
      <c r="E5123" s="58" t="n">
        <f aca="false">E5109*Pressupostos!$C$143*(1+Pressupostos!$C$125)^2*(1+Pressupostos!$C$144)</f>
        <v>36601.05</v>
      </c>
      <c r="F5123" s="58" t="n">
        <f aca="false">F5109*Pressupostos!$C$143*(1+Pressupostos!$C$125)^3*(1+Pressupostos!$C$144)</f>
        <v>75398.163</v>
      </c>
      <c r="G5123" s="58" t="n">
        <f aca="false">G5109*Pressupostos!$C$143*(1+Pressupostos!$C$125)^4*(1+Pressupostos!$C$144)</f>
        <v>116490.161835</v>
      </c>
      <c r="H5123" s="2" t="s">
        <v>1257</v>
      </c>
    </row>
    <row r="5124" customFormat="false" ht="15" hidden="false" customHeight="false" outlineLevel="1" collapsed="false">
      <c r="A5124" s="7" t="s">
        <v>610</v>
      </c>
      <c r="B5124" s="8" t="s">
        <v>10</v>
      </c>
      <c r="C5124" s="58" t="n">
        <f aca="false">C5110*Pressupostos!$C$145*(1+Pressupostos!$C$125)^0*(1+Pressupostos!$C$146)</f>
        <v>0</v>
      </c>
      <c r="D5124" s="58" t="n">
        <f aca="false">D5110*Pressupostos!$C$145*(1+Pressupostos!$C$125)^1*(1+Pressupostos!$C$146)</f>
        <v>0</v>
      </c>
      <c r="E5124" s="58" t="n">
        <f aca="false">E5110*Pressupostos!$C$145*(1+Pressupostos!$C$125)^2*(1+Pressupostos!$C$146)</f>
        <v>0</v>
      </c>
      <c r="F5124" s="58" t="n">
        <f aca="false">F5110*Pressupostos!$C$145*(1+Pressupostos!$C$125)^3*(1+Pressupostos!$C$146)</f>
        <v>0</v>
      </c>
      <c r="G5124" s="58" t="n">
        <f aca="false">G5110*Pressupostos!$C$145*(1+Pressupostos!$C$125)^4*(1+Pressupostos!$C$146)</f>
        <v>0</v>
      </c>
      <c r="H5124" s="2" t="s">
        <v>1258</v>
      </c>
    </row>
    <row r="5125" customFormat="false" ht="15" hidden="false" customHeight="false" outlineLevel="1" collapsed="false">
      <c r="A5125" s="7" t="s">
        <v>611</v>
      </c>
      <c r="B5125" s="8" t="s">
        <v>10</v>
      </c>
      <c r="C5125" s="58" t="n">
        <f aca="false">C5111*Pressupostos!$C$147*(1+Pressupostos!$C$125)^0*(1+Pressupostos!$C$148)</f>
        <v>0</v>
      </c>
      <c r="D5125" s="58" t="n">
        <f aca="false">D5111*Pressupostos!$C$147*(1+Pressupostos!$C$125)^1*(1+Pressupostos!$C$148)</f>
        <v>0</v>
      </c>
      <c r="E5125" s="58" t="n">
        <f aca="false">E5111*Pressupostos!$C$147*(1+Pressupostos!$C$125)^2*(1+Pressupostos!$C$148)</f>
        <v>0</v>
      </c>
      <c r="F5125" s="58" t="n">
        <f aca="false">F5111*Pressupostos!$C$147*(1+Pressupostos!$C$125)^3*(1+Pressupostos!$C$148)</f>
        <v>0</v>
      </c>
      <c r="G5125" s="58" t="n">
        <f aca="false">G5111*Pressupostos!$C$147*(1+Pressupostos!$C$125)^4*(1+Pressupostos!$C$148)</f>
        <v>0</v>
      </c>
      <c r="H5125" s="2" t="s">
        <v>1259</v>
      </c>
    </row>
    <row r="5126" customFormat="false" ht="15" hidden="false" customHeight="false" outlineLevel="1" collapsed="false">
      <c r="A5126" s="7" t="s">
        <v>612</v>
      </c>
      <c r="B5126" s="8" t="s">
        <v>10</v>
      </c>
      <c r="C5126" s="58" t="n">
        <f aca="false">C5112*Pressupostos!$C$149*(1+Pressupostos!$C$125)^0*(1+Pressupostos!$C$150)</f>
        <v>0</v>
      </c>
      <c r="D5126" s="58" t="n">
        <f aca="false">D5112*Pressupostos!$C$149*(1+Pressupostos!$C$125)^1*(1+Pressupostos!$C$150)</f>
        <v>0</v>
      </c>
      <c r="E5126" s="58" t="n">
        <f aca="false">E5112*Pressupostos!$C$149*(1+Pressupostos!$C$125)^2*(1+Pressupostos!$C$150)</f>
        <v>0</v>
      </c>
      <c r="F5126" s="58" t="n">
        <f aca="false">F5112*Pressupostos!$C$149*(1+Pressupostos!$C$125)^3*(1+Pressupostos!$C$150)</f>
        <v>26225.448</v>
      </c>
      <c r="G5126" s="58" t="n">
        <f aca="false">G5112*Pressupostos!$C$149*(1+Pressupostos!$C$125)^4*(1+Pressupostos!$C$150)</f>
        <v>27012.21144</v>
      </c>
      <c r="H5126" s="2" t="s">
        <v>1260</v>
      </c>
    </row>
    <row r="5127" customFormat="false" ht="15" hidden="false" customHeight="false" outlineLevel="1" collapsed="false">
      <c r="A5127" s="7" t="s">
        <v>613</v>
      </c>
      <c r="B5127" s="8" t="s">
        <v>10</v>
      </c>
      <c r="C5127" s="58" t="n">
        <f aca="false">C5113*Pressupostos!$C$151*(1+Pressupostos!$C$125)^0*(1+Pressupostos!$C$152)</f>
        <v>0</v>
      </c>
      <c r="D5127" s="58" t="n">
        <f aca="false">D5113*Pressupostos!$C$151*(1+Pressupostos!$C$125)^1*(1+Pressupostos!$C$152)</f>
        <v>0</v>
      </c>
      <c r="E5127" s="58" t="n">
        <f aca="false">E5113*Pressupostos!$C$151*(1+Pressupostos!$C$125)^2*(1+Pressupostos!$C$152)</f>
        <v>54901.575</v>
      </c>
      <c r="F5127" s="58" t="n">
        <f aca="false">F5113*Pressupostos!$C$151*(1+Pressupostos!$C$125)^3*(1+Pressupostos!$C$152)</f>
        <v>56548.62225</v>
      </c>
      <c r="G5127" s="58" t="n">
        <f aca="false">G5113*Pressupostos!$C$151*(1+Pressupostos!$C$125)^4*(1+Pressupostos!$C$152)</f>
        <v>58245.0809175</v>
      </c>
      <c r="H5127" s="2" t="s">
        <v>1261</v>
      </c>
    </row>
    <row r="5128" customFormat="false" ht="15" hidden="false" customHeight="false" outlineLevel="1" collapsed="false">
      <c r="A5128" s="7" t="s">
        <v>616</v>
      </c>
      <c r="B5128" s="8" t="s">
        <v>10</v>
      </c>
      <c r="C5128" s="58" t="n">
        <f aca="false">C5116+C5117+C5118+C5119+C5120+C5121+C5122+C5123+C5124+C5125+C5126+C5127</f>
        <v>232662.5</v>
      </c>
      <c r="D5128" s="58" t="n">
        <f aca="false">D5116+D5117+D5118+D5119+D5120+D5121+D5122+D5123+D5124+D5125+D5126+D5127</f>
        <v>367710</v>
      </c>
      <c r="E5128" s="58" t="n">
        <f aca="false">E5116+E5117+E5118+E5119+E5120+E5121+E5122+E5123+E5124+E5125+E5126+E5127</f>
        <v>433642.875</v>
      </c>
      <c r="F5128" s="58" t="n">
        <f aca="false">F5116+F5117+F5118+F5119+F5120+F5121+F5122+F5123+F5124+F5125+F5126+F5127</f>
        <v>535163.04825</v>
      </c>
      <c r="G5128" s="58" t="n">
        <f aca="false">G5116+G5117+G5118+G5119+G5120+G5121+G5122+G5123+G5124+G5125+G5126+G5127</f>
        <v>590047.9936425</v>
      </c>
      <c r="H5128" s="2" t="s">
        <v>1262</v>
      </c>
    </row>
    <row r="5129" customFormat="false" ht="15" hidden="false" customHeight="false" outlineLevel="1" collapsed="false">
      <c r="A5129" s="7" t="s">
        <v>617</v>
      </c>
      <c r="B5129" s="8" t="s">
        <v>10</v>
      </c>
      <c r="C5129" s="58" t="n">
        <f aca="false">C5128*(Pressupostos!$C$122+Pressupostos!$C$123)</f>
        <v>59910.59375</v>
      </c>
      <c r="D5129" s="58" t="n">
        <f aca="false">D5128*(Pressupostos!$C$122+Pressupostos!$C$123)</f>
        <v>94685.325</v>
      </c>
      <c r="E5129" s="58" t="n">
        <f aca="false">E5128*(Pressupostos!$C$122+Pressupostos!$C$123)</f>
        <v>111663.0403125</v>
      </c>
      <c r="F5129" s="58" t="n">
        <f aca="false">F5128*(Pressupostos!$C$122+Pressupostos!$C$123)</f>
        <v>137804.484924375</v>
      </c>
      <c r="G5129" s="58" t="n">
        <f aca="false">G5128*(Pressupostos!$C$122+Pressupostos!$C$123)</f>
        <v>151937.358362944</v>
      </c>
      <c r="H5129" s="2" t="s">
        <v>1263</v>
      </c>
    </row>
    <row r="5130" customFormat="false" ht="15" hidden="false" customHeight="false" outlineLevel="1" collapsed="false">
      <c r="A5130" s="7" t="s">
        <v>618</v>
      </c>
      <c r="B5130" s="8" t="s">
        <v>10</v>
      </c>
      <c r="C5130" s="58" t="n">
        <f aca="false">C5114*Pressupostos!$C$124*(1+Pressupostos!$C$125)^0</f>
        <v>11000</v>
      </c>
      <c r="D5130" s="58" t="n">
        <f aca="false">D5114*Pressupostos!$C$124*(1+Pressupostos!$C$125)^1</f>
        <v>15450</v>
      </c>
      <c r="E5130" s="58" t="n">
        <f aca="false">E5114*Pressupostos!$C$124*(1+Pressupostos!$C$125)^2</f>
        <v>18035.3</v>
      </c>
      <c r="F5130" s="58" t="n">
        <f aca="false">F5114*Pressupostos!$C$124*(1+Pressupostos!$C$125)^3</f>
        <v>24039.994</v>
      </c>
      <c r="G5130" s="58" t="n">
        <f aca="false">G5114*Pressupostos!$C$124*(1+Pressupostos!$C$125)^4</f>
        <v>27012.21144</v>
      </c>
      <c r="H5130" s="2" t="s">
        <v>1264</v>
      </c>
    </row>
    <row r="5131" customFormat="false" ht="15" hidden="false" customHeight="false" outlineLevel="1" collapsed="false">
      <c r="A5131" s="52" t="s">
        <v>619</v>
      </c>
      <c r="B5131" s="53" t="s">
        <v>10</v>
      </c>
      <c r="C5131" s="59" t="n">
        <f aca="false">C5128+C5129+C5130</f>
        <v>303573.09375</v>
      </c>
      <c r="D5131" s="59" t="n">
        <f aca="false">D5128+D5129+D5130</f>
        <v>477845.325</v>
      </c>
      <c r="E5131" s="59" t="n">
        <f aca="false">E5128+E5129+E5130</f>
        <v>563341.2153125</v>
      </c>
      <c r="F5131" s="59" t="n">
        <f aca="false">F5128+F5129+F5130</f>
        <v>697007.527174375</v>
      </c>
      <c r="G5131" s="59" t="n">
        <f aca="false">G5128+G5129+G5130</f>
        <v>768997.563445444</v>
      </c>
      <c r="H5131" s="2" t="s">
        <v>1265</v>
      </c>
    </row>
    <row r="5132" customFormat="false" ht="15" hidden="false" customHeight="false" outlineLevel="1" collapsed="false">
      <c r="A5132" s="2" t="s">
        <v>620</v>
      </c>
      <c r="B5132" s="8" t="s">
        <v>10</v>
      </c>
      <c r="C5132" s="58" t="n">
        <f aca="false">IF(C5114&gt;0,C5131/C5114,0)</f>
        <v>55195.1079545455</v>
      </c>
      <c r="D5132" s="58" t="n">
        <f aca="false">IF(D5114&gt;0,D5131/D5114,0)</f>
        <v>63712.71</v>
      </c>
      <c r="E5132" s="58" t="n">
        <f aca="false">IF(E5114&gt;0,E5131/E5114,0)</f>
        <v>66275.4370955882</v>
      </c>
      <c r="F5132" s="58" t="n">
        <f aca="false">IF(F5114&gt;0,F5131/F5114,0)</f>
        <v>63364.3206522159</v>
      </c>
      <c r="G5132" s="58" t="n">
        <f aca="false">IF(G5114&gt;0,G5131/G5114,0)</f>
        <v>64083.1302871203</v>
      </c>
      <c r="H5132" s="2" t="s">
        <v>1266</v>
      </c>
    </row>
    <row r="5133" customFormat="false" ht="15" hidden="false" customHeight="false" outlineLevel="0" collapsed="false">
      <c r="A5133" s="3" t="s">
        <v>1267</v>
      </c>
      <c r="B5133" s="4"/>
      <c r="C5133" s="4"/>
      <c r="D5133" s="4"/>
      <c r="E5133" s="4"/>
      <c r="F5133" s="4"/>
      <c r="G5133" s="4"/>
      <c r="H5133" s="4"/>
    </row>
    <row r="5134" customFormat="false" ht="15" hidden="false" customHeight="false" outlineLevel="1" collapsed="false">
      <c r="A5134" s="7" t="s">
        <v>430</v>
      </c>
      <c r="B5134" s="8" t="s">
        <v>10</v>
      </c>
      <c r="C5134" s="58" t="n">
        <f aca="false">Pressupostos!$C$390*(1+Pressupostos!$C$154)*(1+Pressupostos!$C$155)^0</f>
        <v>94500</v>
      </c>
      <c r="D5134" s="58" t="n">
        <f aca="false">Pressupostos!$D$390*(1+Pressupostos!$C$154)*(1+Pressupostos!$C$155)^1</f>
        <v>53550</v>
      </c>
      <c r="E5134" s="58" t="n">
        <f aca="false">Pressupostos!$E$390*(1+Pressupostos!$C$154)*(1+Pressupostos!$C$155)^2</f>
        <v>49158.9</v>
      </c>
      <c r="F5134" s="58" t="n">
        <f aca="false">Pressupostos!$F$390*(1+Pressupostos!$C$154)*(1+Pressupostos!$C$155)^3</f>
        <v>50142.078</v>
      </c>
      <c r="G5134" s="58" t="n">
        <f aca="false">Pressupostos!$G$390*(1+Pressupostos!$C$154)*(1+Pressupostos!$C$155)^4</f>
        <v>51144.91956</v>
      </c>
      <c r="H5134" s="2" t="s">
        <v>1268</v>
      </c>
    </row>
    <row r="5135" customFormat="false" ht="15" hidden="false" customHeight="false" outlineLevel="1" collapsed="false">
      <c r="A5135" s="7" t="s">
        <v>432</v>
      </c>
      <c r="B5135" s="8" t="s">
        <v>10</v>
      </c>
      <c r="C5135" s="58" t="n">
        <f aca="false">Pressupostos!$C$396*(1+Pressupostos!$C$154)*(1+Pressupostos!$C$155)^0</f>
        <v>10500</v>
      </c>
      <c r="D5135" s="58" t="n">
        <f aca="false">Pressupostos!$D$396*(1+Pressupostos!$C$154)*(1+Pressupostos!$C$155)^1</f>
        <v>10710</v>
      </c>
      <c r="E5135" s="58" t="n">
        <f aca="false">Pressupostos!$E$396*(1+Pressupostos!$C$154)*(1+Pressupostos!$C$155)^2</f>
        <v>10924.2</v>
      </c>
      <c r="F5135" s="58" t="n">
        <f aca="false">Pressupostos!$F$396*(1+Pressupostos!$C$154)*(1+Pressupostos!$C$155)^3</f>
        <v>11142.684</v>
      </c>
      <c r="G5135" s="58" t="n">
        <f aca="false">Pressupostos!$G$396*(1+Pressupostos!$C$154)*(1+Pressupostos!$C$155)^4</f>
        <v>11365.53768</v>
      </c>
      <c r="H5135" s="2" t="s">
        <v>1269</v>
      </c>
    </row>
    <row r="5136" customFormat="false" ht="15" hidden="false" customHeight="false" outlineLevel="1" collapsed="false">
      <c r="A5136" s="7" t="s">
        <v>433</v>
      </c>
      <c r="B5136" s="8" t="s">
        <v>10</v>
      </c>
      <c r="C5136" s="58" t="n">
        <f aca="false">Pressupostos!$C$402*(1+Pressupostos!$C$154)*(1+Pressupostos!$C$155)^0</f>
        <v>12600</v>
      </c>
      <c r="D5136" s="58" t="n">
        <f aca="false">Pressupostos!$D$402*(1+Pressupostos!$C$154)*(1+Pressupostos!$C$155)^1</f>
        <v>12852</v>
      </c>
      <c r="E5136" s="58" t="n">
        <f aca="false">Pressupostos!$E$402*(1+Pressupostos!$C$154)*(1+Pressupostos!$C$155)^2</f>
        <v>13109.04</v>
      </c>
      <c r="F5136" s="58" t="n">
        <f aca="false">Pressupostos!$F$402*(1+Pressupostos!$C$154)*(1+Pressupostos!$C$155)^3</f>
        <v>13371.2208</v>
      </c>
      <c r="G5136" s="58" t="n">
        <f aca="false">Pressupostos!$G$402*(1+Pressupostos!$C$154)*(1+Pressupostos!$C$155)^4</f>
        <v>13638.645216</v>
      </c>
      <c r="H5136" s="2" t="s">
        <v>1270</v>
      </c>
    </row>
    <row r="5137" customFormat="false" ht="15" hidden="false" customHeight="false" outlineLevel="1" collapsed="false">
      <c r="A5137" s="7" t="s">
        <v>435</v>
      </c>
      <c r="B5137" s="8" t="s">
        <v>10</v>
      </c>
      <c r="C5137" s="58" t="n">
        <f aca="false">Pressupostos!$C$408*(1+Pressupostos!$C$154)*(1+Pressupostos!$C$155)^0</f>
        <v>31500</v>
      </c>
      <c r="D5137" s="58" t="n">
        <f aca="false">Pressupostos!$D$408*(1+Pressupostos!$C$154)*(1+Pressupostos!$C$155)^1</f>
        <v>37485</v>
      </c>
      <c r="E5137" s="58" t="n">
        <f aca="false">Pressupostos!$E$408*(1+Pressupostos!$C$154)*(1+Pressupostos!$C$155)^2</f>
        <v>49158.9</v>
      </c>
      <c r="F5137" s="58" t="n">
        <f aca="false">Pressupostos!$F$408*(1+Pressupostos!$C$154)*(1+Pressupostos!$C$155)^3</f>
        <v>55713.42</v>
      </c>
      <c r="G5137" s="58" t="n">
        <f aca="false">Pressupostos!$G$408*(1+Pressupostos!$C$154)*(1+Pressupostos!$C$155)^4</f>
        <v>62510.45724</v>
      </c>
      <c r="H5137" s="2" t="s">
        <v>1271</v>
      </c>
    </row>
    <row r="5138" customFormat="false" ht="15" hidden="false" customHeight="false" outlineLevel="1" collapsed="false">
      <c r="A5138" s="7" t="s">
        <v>437</v>
      </c>
      <c r="B5138" s="8" t="s">
        <v>10</v>
      </c>
      <c r="C5138" s="58" t="n">
        <f aca="false">Pressupostos!$C$414*(1+Pressupostos!$C$154)*(1+Pressupostos!$C$155)^0</f>
        <v>15750</v>
      </c>
      <c r="D5138" s="58" t="n">
        <f aca="false">Pressupostos!$D$414*(1+Pressupostos!$C$154)*(1+Pressupostos!$C$155)^1</f>
        <v>16065</v>
      </c>
      <c r="E5138" s="58" t="n">
        <f aca="false">Pressupostos!$E$414*(1+Pressupostos!$C$154)*(1+Pressupostos!$C$155)^2</f>
        <v>38234.7</v>
      </c>
      <c r="F5138" s="58" t="n">
        <f aca="false">Pressupostos!$F$414*(1+Pressupostos!$C$154)*(1+Pressupostos!$C$155)^3</f>
        <v>22285.368</v>
      </c>
      <c r="G5138" s="58" t="n">
        <f aca="false">Pressupostos!$G$414*(1+Pressupostos!$C$154)*(1+Pressupostos!$C$155)^4</f>
        <v>22731.07536</v>
      </c>
      <c r="H5138" s="2" t="s">
        <v>1272</v>
      </c>
    </row>
    <row r="5139" customFormat="false" ht="15" hidden="false" customHeight="false" outlineLevel="1" collapsed="false">
      <c r="A5139" s="7" t="s">
        <v>439</v>
      </c>
      <c r="B5139" s="8" t="s">
        <v>10</v>
      </c>
      <c r="C5139" s="58" t="n">
        <f aca="false">Pressupostos!$C$420*(1+Pressupostos!$C$154)*(1+Pressupostos!$C$155)^0</f>
        <v>10500</v>
      </c>
      <c r="D5139" s="58" t="n">
        <f aca="false">Pressupostos!$D$420*(1+Pressupostos!$C$154)*(1+Pressupostos!$C$155)^1</f>
        <v>12852</v>
      </c>
      <c r="E5139" s="58" t="n">
        <f aca="false">Pressupostos!$E$420*(1+Pressupostos!$C$154)*(1+Pressupostos!$C$155)^2</f>
        <v>16386.3</v>
      </c>
      <c r="F5139" s="58" t="n">
        <f aca="false">Pressupostos!$F$420*(1+Pressupostos!$C$154)*(1+Pressupostos!$C$155)^3</f>
        <v>20056.8312</v>
      </c>
      <c r="G5139" s="58" t="n">
        <f aca="false">Pressupostos!$G$420*(1+Pressupostos!$C$154)*(1+Pressupostos!$C$155)^4</f>
        <v>22731.07536</v>
      </c>
      <c r="H5139" s="2" t="s">
        <v>1273</v>
      </c>
    </row>
    <row r="5140" customFormat="false" ht="15" hidden="false" customHeight="false" outlineLevel="1" collapsed="false">
      <c r="A5140" s="7" t="s">
        <v>440</v>
      </c>
      <c r="B5140" s="8" t="s">
        <v>10</v>
      </c>
      <c r="C5140" s="58" t="n">
        <f aca="false">Pressupostos!$C$426*(1+Pressupostos!$C$154)*(1+Pressupostos!$C$155)^0</f>
        <v>31500</v>
      </c>
      <c r="D5140" s="58" t="n">
        <f aca="false">Pressupostos!$D$426*(1+Pressupostos!$C$154)*(1+Pressupostos!$C$155)^1</f>
        <v>37485</v>
      </c>
      <c r="E5140" s="58" t="n">
        <f aca="false">Pressupostos!$E$426*(1+Pressupostos!$C$154)*(1+Pressupostos!$C$155)^2</f>
        <v>49158.9</v>
      </c>
      <c r="F5140" s="58" t="n">
        <f aca="false">Pressupostos!$F$426*(1+Pressupostos!$C$154)*(1+Pressupostos!$C$155)^3</f>
        <v>55713.42</v>
      </c>
      <c r="G5140" s="58" t="n">
        <f aca="false">Pressupostos!$G$426*(1+Pressupostos!$C$154)*(1+Pressupostos!$C$155)^4</f>
        <v>62510.45724</v>
      </c>
      <c r="H5140" s="2" t="s">
        <v>1274</v>
      </c>
    </row>
    <row r="5141" customFormat="false" ht="15" hidden="false" customHeight="false" outlineLevel="1" collapsed="false">
      <c r="A5141" s="7" t="s">
        <v>442</v>
      </c>
      <c r="B5141" s="8" t="s">
        <v>10</v>
      </c>
      <c r="C5141" s="58" t="n">
        <f aca="false">Pressupostos!$C$432*(1+Pressupostos!$C$154)*(1+Pressupostos!$C$155)^0</f>
        <v>6300</v>
      </c>
      <c r="D5141" s="58" t="n">
        <f aca="false">Pressupostos!$D$432*(1+Pressupostos!$C$154)*(1+Pressupostos!$C$155)^1</f>
        <v>8568</v>
      </c>
      <c r="E5141" s="58" t="n">
        <f aca="false">Pressupostos!$E$432*(1+Pressupostos!$C$154)*(1+Pressupostos!$C$155)^2</f>
        <v>13109.04</v>
      </c>
      <c r="F5141" s="58" t="n">
        <f aca="false">Pressupostos!$F$432*(1+Pressupostos!$C$154)*(1+Pressupostos!$C$155)^3</f>
        <v>16714.026</v>
      </c>
      <c r="G5141" s="58" t="n">
        <f aca="false">Pressupostos!$G$432*(1+Pressupostos!$C$154)*(1+Pressupostos!$C$155)^4</f>
        <v>20457.967824</v>
      </c>
      <c r="H5141" s="2" t="s">
        <v>1275</v>
      </c>
    </row>
    <row r="5142" customFormat="false" ht="15" hidden="false" customHeight="false" outlineLevel="1" collapsed="false">
      <c r="A5142" s="7" t="s">
        <v>444</v>
      </c>
      <c r="B5142" s="8" t="s">
        <v>10</v>
      </c>
      <c r="C5142" s="58" t="n">
        <f aca="false">Pressupostos!$C$438*(1+Pressupostos!$C$154)*(1+Pressupostos!$C$155)^0</f>
        <v>15750</v>
      </c>
      <c r="D5142" s="58" t="n">
        <f aca="false">Pressupostos!$D$438*(1+Pressupostos!$C$154)*(1+Pressupostos!$C$155)^1</f>
        <v>21420</v>
      </c>
      <c r="E5142" s="58" t="n">
        <f aca="false">Pressupostos!$E$438*(1+Pressupostos!$C$154)*(1+Pressupostos!$C$155)^2</f>
        <v>30587.76</v>
      </c>
      <c r="F5142" s="58" t="n">
        <f aca="false">Pressupostos!$F$438*(1+Pressupostos!$C$154)*(1+Pressupostos!$C$155)^3</f>
        <v>35656.5888</v>
      </c>
      <c r="G5142" s="58" t="n">
        <f aca="false">Pressupostos!$G$438*(1+Pressupostos!$C$154)*(1+Pressupostos!$C$155)^4</f>
        <v>40915.935648</v>
      </c>
      <c r="H5142" s="2" t="s">
        <v>1276</v>
      </c>
    </row>
    <row r="5143" customFormat="false" ht="15" hidden="false" customHeight="false" outlineLevel="1" collapsed="false">
      <c r="A5143" s="7" t="s">
        <v>445</v>
      </c>
      <c r="B5143" s="8" t="s">
        <v>10</v>
      </c>
      <c r="C5143" s="58" t="n">
        <f aca="false">Pressupostos!$C$444*(1+Pressupostos!$C$154)*(1+Pressupostos!$C$155)^0</f>
        <v>4200</v>
      </c>
      <c r="D5143" s="58" t="n">
        <f aca="false">Pressupostos!$D$444*(1+Pressupostos!$C$154)*(1+Pressupostos!$C$155)^1</f>
        <v>6426</v>
      </c>
      <c r="E5143" s="58" t="n">
        <f aca="false">Pressupostos!$E$444*(1+Pressupostos!$C$154)*(1+Pressupostos!$C$155)^2</f>
        <v>8739.36</v>
      </c>
      <c r="F5143" s="58" t="n">
        <f aca="false">Pressupostos!$F$444*(1+Pressupostos!$C$154)*(1+Pressupostos!$C$155)^3</f>
        <v>8914.1472</v>
      </c>
      <c r="G5143" s="58" t="n">
        <f aca="false">Pressupostos!$G$444*(1+Pressupostos!$C$154)*(1+Pressupostos!$C$155)^4</f>
        <v>9092.430144</v>
      </c>
      <c r="H5143" s="2" t="s">
        <v>1277</v>
      </c>
    </row>
    <row r="5144" customFormat="false" ht="15" hidden="false" customHeight="false" outlineLevel="1" collapsed="false">
      <c r="A5144" s="7" t="s">
        <v>661</v>
      </c>
      <c r="B5144" s="8" t="s">
        <v>10</v>
      </c>
      <c r="C5144" s="58" t="n">
        <f aca="false">C5134+C5135+C5136+C5137+C5138+C5139+C5140+C5141+C5142+C5143</f>
        <v>233100</v>
      </c>
      <c r="D5144" s="58" t="n">
        <f aca="false">D5134+D5135+D5136+D5137+D5138+D5139+D5140+D5141+D5142+D5143</f>
        <v>217413</v>
      </c>
      <c r="E5144" s="58" t="n">
        <f aca="false">E5134+E5135+E5136+E5137+E5138+E5139+E5140+E5141+E5142+E5143</f>
        <v>278567.1</v>
      </c>
      <c r="F5144" s="58" t="n">
        <f aca="false">F5134+F5135+F5136+F5137+F5138+F5139+F5140+F5141+F5142+F5143</f>
        <v>289709.784</v>
      </c>
      <c r="G5144" s="58" t="n">
        <f aca="false">G5134+G5135+G5136+G5137+G5138+G5139+G5140+G5141+G5142+G5143</f>
        <v>317098.501272</v>
      </c>
      <c r="H5144" s="2" t="s">
        <v>1278</v>
      </c>
    </row>
    <row r="5145" customFormat="false" ht="15" hidden="false" customHeight="false" outlineLevel="1" collapsed="false">
      <c r="A5145" s="7" t="s">
        <v>662</v>
      </c>
      <c r="B5145" s="8" t="s">
        <v>10</v>
      </c>
      <c r="C5145" s="58" t="n">
        <f aca="false">Pressupostos!$C$112+Pressupostos!$C$113+Pressupostos!$C$114*Pressupostos!$C$291+Pressupostos!$C$449</f>
        <v>65000</v>
      </c>
      <c r="D5145" s="58" t="n">
        <f aca="false">Pressupostos!$C$113+Pressupostos!$C$114*Pressupostos!$D$291+Pressupostos!$D$449</f>
        <v>65000</v>
      </c>
      <c r="E5145" s="58" t="n">
        <f aca="false">Pressupostos!$C$113+Pressupostos!$C$114*Pressupostos!$E$291+Pressupostos!$E$449</f>
        <v>70000</v>
      </c>
      <c r="F5145" s="58" t="n">
        <f aca="false">Pressupostos!$C$113+Pressupostos!$C$114*Pressupostos!$F$291+Pressupostos!$F$449</f>
        <v>75000</v>
      </c>
      <c r="G5145" s="58" t="n">
        <f aca="false">Pressupostos!$C$113+Pressupostos!$C$114*Pressupostos!$G$291+Pressupostos!$G$449</f>
        <v>80000</v>
      </c>
      <c r="H5145" s="2" t="s">
        <v>1279</v>
      </c>
    </row>
    <row r="5146" customFormat="false" ht="15" hidden="false" customHeight="false" outlineLevel="1" collapsed="false">
      <c r="A5146" s="7" t="s">
        <v>663</v>
      </c>
      <c r="B5146" s="8" t="s">
        <v>10</v>
      </c>
      <c r="C5146" s="58" t="n">
        <f aca="false">IF(C4968&lt;Pressupostos!$C$118,0,MAX(Pressupostos!$C$297,Pressupostos!$C$116*(C5056+C5057)+Pressupostos!$C$117*C5058))</f>
        <v>0</v>
      </c>
      <c r="D5146" s="58" t="n">
        <f aca="false">IF(D4968&lt;Pressupostos!$C$118,0,MAX(Pressupostos!$D$297,Pressupostos!$C$116*(D5056+D5057)+Pressupostos!$C$117*D5058))</f>
        <v>7631.48</v>
      </c>
      <c r="E5146" s="58" t="n">
        <f aca="false">IF(E4968&lt;Pressupostos!$C$118,0,MAX(Pressupostos!$E$297,Pressupostos!$C$116*(E5056+E5057)+Pressupostos!$C$117*E5058))</f>
        <v>18059.7</v>
      </c>
      <c r="F5146" s="58" t="n">
        <f aca="false">IF(F4968&lt;Pressupostos!$C$118,0,MAX(Pressupostos!$F$297,Pressupostos!$C$116*(F5056+F5057)+Pressupostos!$C$117*F5058))</f>
        <v>30051.86</v>
      </c>
      <c r="G5146" s="58" t="n">
        <f aca="false">IF(G4968&lt;Pressupostos!$C$118,0,MAX(Pressupostos!$G$297,Pressupostos!$C$116*(G5056+G5057)+Pressupostos!$C$117*G5058))</f>
        <v>43817.8</v>
      </c>
      <c r="H5146" s="2" t="s">
        <v>1280</v>
      </c>
    </row>
    <row r="5147" customFormat="false" ht="15" hidden="false" customHeight="false" outlineLevel="1" collapsed="false">
      <c r="A5147" s="52" t="s">
        <v>664</v>
      </c>
      <c r="B5147" s="53" t="s">
        <v>10</v>
      </c>
      <c r="C5147" s="59" t="n">
        <f aca="false">C5144+C5145+C5146</f>
        <v>298100</v>
      </c>
      <c r="D5147" s="59" t="n">
        <f aca="false">D5144+D5145+D5146</f>
        <v>290044.48</v>
      </c>
      <c r="E5147" s="59" t="n">
        <f aca="false">E5144+E5145+E5146</f>
        <v>366626.8</v>
      </c>
      <c r="F5147" s="59" t="n">
        <f aca="false">F5144+F5145+F5146</f>
        <v>394761.644</v>
      </c>
      <c r="G5147" s="59" t="n">
        <f aca="false">G5144+G5145+G5146</f>
        <v>440916.301272</v>
      </c>
      <c r="H5147" s="2" t="s">
        <v>1281</v>
      </c>
    </row>
    <row r="5148" customFormat="false" ht="15" hidden="false" customHeight="false" outlineLevel="0" collapsed="false">
      <c r="A5148" s="3" t="s">
        <v>1282</v>
      </c>
      <c r="B5148" s="4"/>
      <c r="C5148" s="4"/>
      <c r="D5148" s="4"/>
      <c r="E5148" s="4"/>
      <c r="F5148" s="4"/>
      <c r="G5148" s="4"/>
      <c r="H5148" s="4"/>
    </row>
    <row r="5149" customFormat="false" ht="15" hidden="false" customHeight="false" outlineLevel="1" collapsed="false">
      <c r="A5149" s="7" t="s">
        <v>666</v>
      </c>
      <c r="B5149" s="8" t="s">
        <v>10</v>
      </c>
      <c r="C5149" s="58" t="n">
        <f aca="false">Pressupostos!$C$163*Pressupostos!$C$304</f>
        <v>18000</v>
      </c>
      <c r="D5149" s="58" t="n">
        <f aca="false">Pressupostos!$C$163*Pressupostos!$D$304</f>
        <v>12000</v>
      </c>
      <c r="E5149" s="58" t="n">
        <f aca="false">Pressupostos!$C$163*Pressupostos!$E$304</f>
        <v>12000</v>
      </c>
      <c r="F5149" s="58" t="n">
        <f aca="false">Pressupostos!$C$163*Pressupostos!$F$304</f>
        <v>12000</v>
      </c>
      <c r="G5149" s="58" t="n">
        <f aca="false">Pressupostos!$C$163*Pressupostos!$G$304</f>
        <v>12000</v>
      </c>
      <c r="H5149" s="2" t="s">
        <v>1283</v>
      </c>
    </row>
    <row r="5150" customFormat="false" ht="15" hidden="false" customHeight="false" outlineLevel="1" collapsed="false">
      <c r="A5150" s="7" t="s">
        <v>667</v>
      </c>
      <c r="B5150" s="8" t="s">
        <v>10</v>
      </c>
      <c r="C5150" s="50" t="n">
        <f aca="false">Pressupostos!$C$310</f>
        <v>60000</v>
      </c>
      <c r="D5150" s="50" t="n">
        <f aca="false">Pressupostos!$D$310</f>
        <v>30000</v>
      </c>
      <c r="E5150" s="50" t="n">
        <f aca="false">Pressupostos!$E$310</f>
        <v>30000</v>
      </c>
      <c r="F5150" s="50" t="n">
        <f aca="false">Pressupostos!$F$310</f>
        <v>20000</v>
      </c>
      <c r="G5150" s="50" t="n">
        <f aca="false">Pressupostos!$G$310</f>
        <v>20000</v>
      </c>
      <c r="H5150" s="2" t="s">
        <v>1284</v>
      </c>
    </row>
    <row r="5151" customFormat="false" ht="15" hidden="false" customHeight="false" outlineLevel="1" collapsed="false">
      <c r="A5151" s="7" t="s">
        <v>668</v>
      </c>
      <c r="B5151" s="8" t="s">
        <v>10</v>
      </c>
      <c r="C5151" s="58" t="n">
        <f aca="false">Pressupostos!$C$164*MAX(0,C5114)</f>
        <v>11000</v>
      </c>
      <c r="D5151" s="58" t="n">
        <f aca="false">Pressupostos!$C$164*MAX(0,D5114-C5114)</f>
        <v>4000</v>
      </c>
      <c r="E5151" s="58" t="n">
        <f aca="false">Pressupostos!$C$164*MAX(0,E5114-D5114)</f>
        <v>2000</v>
      </c>
      <c r="F5151" s="58" t="n">
        <f aca="false">Pressupostos!$C$164*MAX(0,F5114-E5114)</f>
        <v>5000</v>
      </c>
      <c r="G5151" s="58" t="n">
        <f aca="false">Pressupostos!$C$164*MAX(0,G5114-F5114)</f>
        <v>2000</v>
      </c>
      <c r="H5151" s="2" t="s">
        <v>1285</v>
      </c>
    </row>
    <row r="5152" customFormat="false" ht="15" hidden="false" customHeight="false" outlineLevel="1" collapsed="false">
      <c r="A5152" s="7" t="s">
        <v>407</v>
      </c>
      <c r="B5152" s="8" t="s">
        <v>10</v>
      </c>
      <c r="C5152" s="58" t="n">
        <f aca="false">C5149+C5150+C5151</f>
        <v>89000</v>
      </c>
      <c r="D5152" s="58" t="n">
        <f aca="false">D5149+D5150+D5151</f>
        <v>46000</v>
      </c>
      <c r="E5152" s="58" t="n">
        <f aca="false">E5149+E5150+E5151</f>
        <v>44000</v>
      </c>
      <c r="F5152" s="58" t="n">
        <f aca="false">F5149+F5150+F5151</f>
        <v>37000</v>
      </c>
      <c r="G5152" s="58" t="n">
        <f aca="false">G5149+G5150+G5151</f>
        <v>34000</v>
      </c>
      <c r="H5152" s="2" t="s">
        <v>1286</v>
      </c>
    </row>
    <row r="5153" customFormat="false" ht="15" hidden="false" customHeight="false" outlineLevel="1" collapsed="false">
      <c r="A5153" s="7" t="s">
        <v>669</v>
      </c>
      <c r="B5153" s="8" t="s">
        <v>10</v>
      </c>
      <c r="C5153" s="58" t="n">
        <f aca="false">(C5150*((0)&lt;Pressupostos!$C$165))/Pressupostos!$C$165</f>
        <v>20000</v>
      </c>
      <c r="D5153" s="58" t="n">
        <f aca="false">(C5150*((1)&lt;Pressupostos!$C$165)+D5150*((0)&lt;Pressupostos!$C$165))/Pressupostos!$C$165</f>
        <v>30000</v>
      </c>
      <c r="E5153" s="58" t="n">
        <f aca="false">(C5150*((2)&lt;Pressupostos!$C$165)+D5150*((1)&lt;Pressupostos!$C$165)+E5150*((0)&lt;Pressupostos!$C$165))/Pressupostos!$C$165</f>
        <v>40000</v>
      </c>
      <c r="F5153" s="58" t="n">
        <f aca="false">(C5150*((3)&lt;Pressupostos!$C$165)+D5150*((2)&lt;Pressupostos!$C$165)+E5150*((1)&lt;Pressupostos!$C$165)+F5150*((0)&lt;Pressupostos!$C$165))/Pressupostos!$C$165</f>
        <v>26666.6666666667</v>
      </c>
      <c r="G5153" s="58" t="n">
        <f aca="false">(C5150*((4)&lt;Pressupostos!$C$165)+D5150*((3)&lt;Pressupostos!$C$165)+E5150*((2)&lt;Pressupostos!$C$165)+F5150*((1)&lt;Pressupostos!$C$165)+G5150*((0)&lt;Pressupostos!$C$165))/Pressupostos!$C$165</f>
        <v>23333.3333333333</v>
      </c>
      <c r="H5153" s="2" t="s">
        <v>1287</v>
      </c>
    </row>
    <row r="5154" customFormat="false" ht="15" hidden="false" customHeight="false" outlineLevel="1" collapsed="false">
      <c r="A5154" s="7" t="s">
        <v>670</v>
      </c>
      <c r="B5154" s="8" t="s">
        <v>10</v>
      </c>
      <c r="C5154" s="58" t="n">
        <f aca="false">(C5149*((0)&lt;Pressupostos!$C$167))/Pressupostos!$C$167</f>
        <v>3600</v>
      </c>
      <c r="D5154" s="58" t="n">
        <f aca="false">(C5149*((1)&lt;Pressupostos!$C$167)+D5149*((0)&lt;Pressupostos!$C$167))/Pressupostos!$C$167</f>
        <v>6000</v>
      </c>
      <c r="E5154" s="58" t="n">
        <f aca="false">(C5149*((2)&lt;Pressupostos!$C$167)+D5149*((1)&lt;Pressupostos!$C$167)+E5149*((0)&lt;Pressupostos!$C$167))/Pressupostos!$C$167</f>
        <v>8400</v>
      </c>
      <c r="F5154" s="58" t="n">
        <f aca="false">(C5149*((3)&lt;Pressupostos!$C$167)+D5149*((2)&lt;Pressupostos!$C$167)+E5149*((1)&lt;Pressupostos!$C$167)+F5149*((0)&lt;Pressupostos!$C$167))/Pressupostos!$C$167</f>
        <v>10800</v>
      </c>
      <c r="G5154" s="58" t="n">
        <f aca="false">(C5149*((4)&lt;Pressupostos!$C$167)+D5149*((3)&lt;Pressupostos!$C$167)+E5149*((2)&lt;Pressupostos!$C$167)+F5149*((1)&lt;Pressupostos!$C$167)+G5149*((0)&lt;Pressupostos!$C$167))/Pressupostos!$C$167</f>
        <v>13200</v>
      </c>
      <c r="H5154" s="2" t="s">
        <v>1288</v>
      </c>
    </row>
    <row r="5155" customFormat="false" ht="15" hidden="false" customHeight="false" outlineLevel="1" collapsed="false">
      <c r="A5155" s="7" t="s">
        <v>671</v>
      </c>
      <c r="B5155" s="8" t="s">
        <v>10</v>
      </c>
      <c r="C5155" s="58" t="n">
        <f aca="false">(C5151*((0)&lt;Pressupostos!$C$166))/Pressupostos!$C$166</f>
        <v>2750</v>
      </c>
      <c r="D5155" s="58" t="n">
        <f aca="false">(C5151*((1)&lt;Pressupostos!$C$166)+D5151*((0)&lt;Pressupostos!$C$166))/Pressupostos!$C$166</f>
        <v>3750</v>
      </c>
      <c r="E5155" s="58" t="n">
        <f aca="false">(C5151*((2)&lt;Pressupostos!$C$166)+D5151*((1)&lt;Pressupostos!$C$166)+E5151*((0)&lt;Pressupostos!$C$166))/Pressupostos!$C$166</f>
        <v>4250</v>
      </c>
      <c r="F5155" s="58" t="n">
        <f aca="false">(C5151*((3)&lt;Pressupostos!$C$166)+D5151*((2)&lt;Pressupostos!$C$166)+E5151*((1)&lt;Pressupostos!$C$166)+F5151*((0)&lt;Pressupostos!$C$166))/Pressupostos!$C$166</f>
        <v>5500</v>
      </c>
      <c r="G5155" s="58" t="n">
        <f aca="false">(C5151*((4)&lt;Pressupostos!$C$166)+D5151*((3)&lt;Pressupostos!$C$166)+E5151*((2)&lt;Pressupostos!$C$166)+F5151*((1)&lt;Pressupostos!$C$166)+G5151*((0)&lt;Pressupostos!$C$166))/Pressupostos!$C$166</f>
        <v>3250</v>
      </c>
      <c r="H5155" s="2" t="s">
        <v>1289</v>
      </c>
    </row>
    <row r="5156" customFormat="false" ht="15" hidden="false" customHeight="false" outlineLevel="1" collapsed="false">
      <c r="A5156" s="7" t="s">
        <v>672</v>
      </c>
      <c r="B5156" s="8" t="s">
        <v>10</v>
      </c>
      <c r="C5156" s="58" t="n">
        <f aca="false">C5153+C5154+C5155</f>
        <v>26350</v>
      </c>
      <c r="D5156" s="58" t="n">
        <f aca="false">D5153+D5154+D5155</f>
        <v>39750</v>
      </c>
      <c r="E5156" s="58" t="n">
        <f aca="false">E5153+E5154+E5155</f>
        <v>52650</v>
      </c>
      <c r="F5156" s="58" t="n">
        <f aca="false">F5153+F5154+F5155</f>
        <v>42966.6666666667</v>
      </c>
      <c r="G5156" s="58" t="n">
        <f aca="false">G5153+G5154+G5155</f>
        <v>39783.3333333333</v>
      </c>
      <c r="H5156" s="2" t="s">
        <v>1290</v>
      </c>
    </row>
    <row r="5157" customFormat="false" ht="15" hidden="false" customHeight="false" outlineLevel="0" collapsed="false">
      <c r="A5157" s="3" t="s">
        <v>1291</v>
      </c>
      <c r="B5157" s="4"/>
      <c r="C5157" s="4"/>
      <c r="D5157" s="4"/>
      <c r="E5157" s="4"/>
      <c r="F5157" s="4"/>
      <c r="G5157" s="4"/>
      <c r="H5157" s="4"/>
    </row>
    <row r="5158" customFormat="false" ht="15" hidden="false" customHeight="false" outlineLevel="1" collapsed="false">
      <c r="A5158" s="52" t="s">
        <v>676</v>
      </c>
      <c r="B5158" s="53" t="s">
        <v>10</v>
      </c>
      <c r="C5158" s="59" t="n">
        <f aca="false">C5065</f>
        <v>194730.4</v>
      </c>
      <c r="D5158" s="59" t="n">
        <f aca="false">D5065</f>
        <v>2568599</v>
      </c>
      <c r="E5158" s="59" t="n">
        <f aca="false">E5065</f>
        <v>6496869</v>
      </c>
      <c r="F5158" s="59" t="n">
        <f aca="false">F5065</f>
        <v>10993367</v>
      </c>
      <c r="G5158" s="59" t="n">
        <f aca="false">G5065</f>
        <v>16031810</v>
      </c>
      <c r="H5158" s="2" t="s">
        <v>1292</v>
      </c>
    </row>
    <row r="5159" customFormat="false" ht="15" hidden="false" customHeight="false" outlineLevel="1" collapsed="false">
      <c r="A5159" s="7" t="s">
        <v>649</v>
      </c>
      <c r="B5159" s="8" t="s">
        <v>10</v>
      </c>
      <c r="C5159" s="58" t="n">
        <f aca="false">-C5086</f>
        <v>-181830</v>
      </c>
      <c r="D5159" s="58" t="n">
        <f aca="false">-D5086</f>
        <v>-2410862.5</v>
      </c>
      <c r="E5159" s="58" t="n">
        <f aca="false">-E5086</f>
        <v>-6084300</v>
      </c>
      <c r="F5159" s="58" t="n">
        <f aca="false">-F5086</f>
        <v>-10266025</v>
      </c>
      <c r="G5159" s="58" t="n">
        <f aca="false">-G5086</f>
        <v>-14940750</v>
      </c>
      <c r="H5159" s="2" t="s">
        <v>1293</v>
      </c>
    </row>
    <row r="5160" customFormat="false" ht="15" hidden="false" customHeight="false" outlineLevel="1" collapsed="false">
      <c r="A5160" s="52" t="s">
        <v>677</v>
      </c>
      <c r="B5160" s="53" t="s">
        <v>10</v>
      </c>
      <c r="C5160" s="59" t="n">
        <f aca="false">C5158+C5159</f>
        <v>12900.4</v>
      </c>
      <c r="D5160" s="59" t="n">
        <f aca="false">D5158+D5159</f>
        <v>157736.5</v>
      </c>
      <c r="E5160" s="59" t="n">
        <f aca="false">E5158+E5159</f>
        <v>412568.999999999</v>
      </c>
      <c r="F5160" s="59" t="n">
        <f aca="false">F5158+F5159</f>
        <v>727341.999999998</v>
      </c>
      <c r="G5160" s="59" t="n">
        <f aca="false">G5158+G5159</f>
        <v>1091060</v>
      </c>
      <c r="H5160" s="2" t="s">
        <v>1294</v>
      </c>
    </row>
    <row r="5161" customFormat="false" ht="15" hidden="false" customHeight="false" outlineLevel="1" collapsed="false">
      <c r="A5161" s="2" t="s">
        <v>678</v>
      </c>
      <c r="B5161" s="8" t="s">
        <v>71</v>
      </c>
      <c r="C5161" s="55" t="n">
        <f aca="false">IF(C5158&gt;0,C5160/C5158,0)</f>
        <v>0.0662474888358467</v>
      </c>
      <c r="D5161" s="55" t="n">
        <f aca="false">IF(D5158&gt;0,D5160/D5158,0)</f>
        <v>0.0614095466049779</v>
      </c>
      <c r="E5161" s="55" t="n">
        <f aca="false">IF(E5158&gt;0,E5160/E5158,0)</f>
        <v>0.0635027426287954</v>
      </c>
      <c r="F5161" s="55" t="n">
        <f aca="false">IF(F5158&gt;0,F5160/F5158,0)</f>
        <v>0.0661618956230606</v>
      </c>
      <c r="G5161" s="55" t="n">
        <f aca="false">IF(G5158&gt;0,G5160/G5158,0)</f>
        <v>0.0680559462718182</v>
      </c>
      <c r="H5161" s="2" t="s">
        <v>1295</v>
      </c>
    </row>
    <row r="5162" customFormat="false" ht="15" hidden="false" customHeight="false" outlineLevel="1" collapsed="false">
      <c r="A5162" s="7" t="s">
        <v>679</v>
      </c>
      <c r="B5162" s="8" t="s">
        <v>10</v>
      </c>
      <c r="C5162" s="58" t="n">
        <f aca="false">-C5096</f>
        <v>-14877.4212054795</v>
      </c>
      <c r="D5162" s="58" t="n">
        <f aca="false">-D5096</f>
        <v>-129859.516369863</v>
      </c>
      <c r="E5162" s="58" t="n">
        <f aca="false">-E5096</f>
        <v>-299687.580342466</v>
      </c>
      <c r="F5162" s="58" t="n">
        <f aca="false">-F5096</f>
        <v>-504390.994589041</v>
      </c>
      <c r="G5162" s="58" t="n">
        <f aca="false">-G5096</f>
        <v>-738424.597945205</v>
      </c>
      <c r="H5162" s="2" t="s">
        <v>1296</v>
      </c>
    </row>
    <row r="5163" customFormat="false" ht="15" hidden="false" customHeight="false" outlineLevel="1" collapsed="false">
      <c r="A5163" s="7" t="s">
        <v>658</v>
      </c>
      <c r="B5163" s="8" t="s">
        <v>10</v>
      </c>
      <c r="C5163" s="58" t="n">
        <f aca="false">-C5099</f>
        <v>-0</v>
      </c>
      <c r="D5163" s="58" t="n">
        <f aca="false">-D5099</f>
        <v>-28248.7962328767</v>
      </c>
      <c r="E5163" s="58" t="n">
        <f aca="false">-E5099</f>
        <v>-55819.2636986301</v>
      </c>
      <c r="F5163" s="58" t="n">
        <f aca="false">-F5099</f>
        <v>-87994.2251712329</v>
      </c>
      <c r="G5163" s="58" t="n">
        <f aca="false">-G5099</f>
        <v>-129589.59760274</v>
      </c>
      <c r="H5163" s="2" t="s">
        <v>1297</v>
      </c>
    </row>
    <row r="5164" customFormat="false" ht="15" hidden="false" customHeight="false" outlineLevel="1" collapsed="false">
      <c r="A5164" s="52" t="s">
        <v>641</v>
      </c>
      <c r="B5164" s="53" t="s">
        <v>10</v>
      </c>
      <c r="C5164" s="59" t="n">
        <f aca="false">C5160+C5162+C5163</f>
        <v>-1977.02120547949</v>
      </c>
      <c r="D5164" s="59" t="n">
        <f aca="false">D5160+D5162+D5163</f>
        <v>-371.812602740196</v>
      </c>
      <c r="E5164" s="59" t="n">
        <f aca="false">E5160+E5162+E5163</f>
        <v>57062.1559589032</v>
      </c>
      <c r="F5164" s="59" t="n">
        <f aca="false">F5160+F5162+F5163</f>
        <v>134956.780239724</v>
      </c>
      <c r="G5164" s="59" t="n">
        <f aca="false">G5160+G5162+G5163</f>
        <v>223045.804452053</v>
      </c>
      <c r="H5164" s="2" t="s">
        <v>1298</v>
      </c>
    </row>
    <row r="5165" customFormat="false" ht="15" hidden="false" customHeight="false" outlineLevel="1" collapsed="false">
      <c r="A5165" s="7" t="s">
        <v>251</v>
      </c>
      <c r="B5165" s="8" t="s">
        <v>10</v>
      </c>
      <c r="C5165" s="58" t="n">
        <f aca="false">-C5131</f>
        <v>-303573.09375</v>
      </c>
      <c r="D5165" s="58" t="n">
        <f aca="false">-D5131</f>
        <v>-477845.325</v>
      </c>
      <c r="E5165" s="58" t="n">
        <f aca="false">-E5131</f>
        <v>-563341.2153125</v>
      </c>
      <c r="F5165" s="58" t="n">
        <f aca="false">-F5131</f>
        <v>-697007.527174375</v>
      </c>
      <c r="G5165" s="58" t="n">
        <f aca="false">-G5131</f>
        <v>-768997.563445444</v>
      </c>
      <c r="H5165" s="2" t="s">
        <v>1299</v>
      </c>
    </row>
    <row r="5166" customFormat="false" ht="15" hidden="false" customHeight="false" outlineLevel="1" collapsed="false">
      <c r="A5166" s="7" t="s">
        <v>680</v>
      </c>
      <c r="B5166" s="8" t="s">
        <v>10</v>
      </c>
      <c r="C5166" s="58" t="n">
        <f aca="false">-C5147</f>
        <v>-298100</v>
      </c>
      <c r="D5166" s="58" t="n">
        <f aca="false">-D5147</f>
        <v>-290044.48</v>
      </c>
      <c r="E5166" s="58" t="n">
        <f aca="false">-E5147</f>
        <v>-366626.8</v>
      </c>
      <c r="F5166" s="58" t="n">
        <f aca="false">-F5147</f>
        <v>-394761.644</v>
      </c>
      <c r="G5166" s="58" t="n">
        <f aca="false">-G5147</f>
        <v>-440916.301272</v>
      </c>
      <c r="H5166" s="2" t="s">
        <v>1300</v>
      </c>
    </row>
    <row r="5167" customFormat="false" ht="15" hidden="false" customHeight="false" outlineLevel="1" collapsed="false">
      <c r="A5167" s="52" t="s">
        <v>681</v>
      </c>
      <c r="B5167" s="53" t="s">
        <v>10</v>
      </c>
      <c r="C5167" s="59" t="n">
        <f aca="false">C5164+C5165+C5166</f>
        <v>-603650.11495548</v>
      </c>
      <c r="D5167" s="59" t="n">
        <f aca="false">D5164+D5165+D5166</f>
        <v>-768261.61760274</v>
      </c>
      <c r="E5167" s="59" t="n">
        <f aca="false">E5164+E5165+E5166</f>
        <v>-872905.859353597</v>
      </c>
      <c r="F5167" s="59" t="n">
        <f aca="false">F5164+F5165+F5166</f>
        <v>-956812.390934651</v>
      </c>
      <c r="G5167" s="59" t="n">
        <f aca="false">G5164+G5165+G5166</f>
        <v>-986868.060265391</v>
      </c>
      <c r="H5167" s="2" t="s">
        <v>1301</v>
      </c>
    </row>
    <row r="5168" customFormat="false" ht="15" hidden="false" customHeight="false" outlineLevel="1" collapsed="false">
      <c r="A5168" s="2" t="s">
        <v>683</v>
      </c>
      <c r="B5168" s="8" t="s">
        <v>71</v>
      </c>
      <c r="C5168" s="55" t="n">
        <f aca="false">IF(C5158&gt;0,C5167/C5158,0)</f>
        <v>-3.09992746358802</v>
      </c>
      <c r="D5168" s="55" t="n">
        <f aca="false">IF(D5158&gt;0,D5167/D5158,0)</f>
        <v>-0.299097530444706</v>
      </c>
      <c r="E5168" s="55" t="n">
        <f aca="false">IF(E5158&gt;0,E5167/E5158,0)</f>
        <v>-0.134357928311868</v>
      </c>
      <c r="F5168" s="55" t="n">
        <f aca="false">IF(F5158&gt;0,F5167/F5158,0)</f>
        <v>-0.0870354269928995</v>
      </c>
      <c r="G5168" s="55" t="n">
        <f aca="false">IF(G5158&gt;0,G5167/G5158,0)</f>
        <v>-0.0615568710124054</v>
      </c>
      <c r="H5168" s="2" t="s">
        <v>1302</v>
      </c>
    </row>
    <row r="5169" customFormat="false" ht="15" hidden="false" customHeight="false" outlineLevel="1" collapsed="false">
      <c r="A5169" s="2" t="s">
        <v>684</v>
      </c>
      <c r="B5169" s="8" t="s">
        <v>10</v>
      </c>
      <c r="C5169" s="58" t="n">
        <f aca="false">C5167+C5099</f>
        <v>-603650.11495548</v>
      </c>
      <c r="D5169" s="58" t="n">
        <f aca="false">D5167+D5099</f>
        <v>-740012.821369864</v>
      </c>
      <c r="E5169" s="58" t="n">
        <f aca="false">E5167+E5099</f>
        <v>-817086.595654967</v>
      </c>
      <c r="F5169" s="58" t="n">
        <f aca="false">F5167+F5099</f>
        <v>-868818.165763418</v>
      </c>
      <c r="G5169" s="58" t="n">
        <f aca="false">G5167+G5099</f>
        <v>-857278.462662651</v>
      </c>
      <c r="H5169" s="2" t="s">
        <v>1303</v>
      </c>
    </row>
    <row r="5170" customFormat="false" ht="15" hidden="false" customHeight="false" outlineLevel="1" collapsed="false">
      <c r="A5170" s="7" t="s">
        <v>672</v>
      </c>
      <c r="B5170" s="8" t="s">
        <v>10</v>
      </c>
      <c r="C5170" s="58" t="n">
        <f aca="false">-C5156</f>
        <v>-26350</v>
      </c>
      <c r="D5170" s="58" t="n">
        <f aca="false">-D5156</f>
        <v>-39750</v>
      </c>
      <c r="E5170" s="58" t="n">
        <f aca="false">-E5156</f>
        <v>-52650</v>
      </c>
      <c r="F5170" s="58" t="n">
        <f aca="false">-F5156</f>
        <v>-42966.6666666667</v>
      </c>
      <c r="G5170" s="58" t="n">
        <f aca="false">-G5156</f>
        <v>-39783.3333333333</v>
      </c>
      <c r="H5170" s="2" t="s">
        <v>1304</v>
      </c>
    </row>
    <row r="5171" customFormat="false" ht="15" hidden="false" customHeight="false" outlineLevel="1" collapsed="false">
      <c r="A5171" s="52" t="s">
        <v>685</v>
      </c>
      <c r="B5171" s="53" t="s">
        <v>10</v>
      </c>
      <c r="C5171" s="59" t="n">
        <f aca="false">C5167+C5170</f>
        <v>-630000.11495548</v>
      </c>
      <c r="D5171" s="59" t="n">
        <f aca="false">D5167+D5170</f>
        <v>-808011.61760274</v>
      </c>
      <c r="E5171" s="59" t="n">
        <f aca="false">E5167+E5170</f>
        <v>-925555.859353597</v>
      </c>
      <c r="F5171" s="59" t="n">
        <f aca="false">F5167+F5170</f>
        <v>-999779.057601317</v>
      </c>
      <c r="G5171" s="59" t="n">
        <f aca="false">G5167+G5170</f>
        <v>-1026651.39359872</v>
      </c>
      <c r="H5171" s="2" t="s">
        <v>1305</v>
      </c>
    </row>
    <row r="5172" customFormat="false" ht="15" hidden="false" customHeight="false" outlineLevel="0" collapsed="false">
      <c r="A5172" s="3" t="s">
        <v>1306</v>
      </c>
      <c r="B5172" s="4"/>
      <c r="C5172" s="4"/>
      <c r="D5172" s="4"/>
      <c r="E5172" s="4"/>
      <c r="F5172" s="4"/>
      <c r="G5172" s="4"/>
      <c r="H5172" s="4"/>
    </row>
    <row r="5173" customFormat="false" ht="15" hidden="false" customHeight="false" outlineLevel="1" collapsed="false">
      <c r="A5173" s="7" t="s">
        <v>687</v>
      </c>
      <c r="B5173" s="8" t="s">
        <v>10</v>
      </c>
      <c r="C5173" s="58" t="n">
        <f aca="false">C5171</f>
        <v>-630000.11495548</v>
      </c>
      <c r="D5173" s="58" t="n">
        <f aca="false">D5171</f>
        <v>-808011.61760274</v>
      </c>
      <c r="E5173" s="58" t="n">
        <f aca="false">E5171</f>
        <v>-925555.859353597</v>
      </c>
      <c r="F5173" s="58" t="n">
        <f aca="false">F5171</f>
        <v>-999779.057601317</v>
      </c>
      <c r="G5173" s="58" t="n">
        <f aca="false">G5171</f>
        <v>-1026651.39359872</v>
      </c>
      <c r="H5173" s="2" t="s">
        <v>1307</v>
      </c>
    </row>
    <row r="5174" customFormat="false" ht="15" hidden="false" customHeight="false" outlineLevel="1" collapsed="false">
      <c r="A5174" s="7" t="s">
        <v>688</v>
      </c>
      <c r="B5174" s="8" t="s">
        <v>10</v>
      </c>
      <c r="C5174" s="58" t="n">
        <f aca="false">0</f>
        <v>0</v>
      </c>
      <c r="D5174" s="58" t="n">
        <f aca="false">C5177</f>
        <v>630000.11495548</v>
      </c>
      <c r="E5174" s="58" t="n">
        <f aca="false">D5177</f>
        <v>1438011.73255822</v>
      </c>
      <c r="F5174" s="58" t="n">
        <f aca="false">E5177</f>
        <v>2363567.59191182</v>
      </c>
      <c r="G5174" s="58" t="n">
        <f aca="false">F5177</f>
        <v>3363346.64951313</v>
      </c>
      <c r="H5174" s="2" t="s">
        <v>1308</v>
      </c>
    </row>
    <row r="5175" customFormat="false" ht="15" hidden="false" customHeight="false" outlineLevel="1" collapsed="false">
      <c r="A5175" s="7" t="s">
        <v>689</v>
      </c>
      <c r="B5175" s="8" t="s">
        <v>10</v>
      </c>
      <c r="C5175" s="58" t="n">
        <f aca="false">MAX(0,-C5173)</f>
        <v>630000.11495548</v>
      </c>
      <c r="D5175" s="58" t="n">
        <f aca="false">MAX(0,-D5173)</f>
        <v>808011.61760274</v>
      </c>
      <c r="E5175" s="58" t="n">
        <f aca="false">MAX(0,-E5173)</f>
        <v>925555.859353597</v>
      </c>
      <c r="F5175" s="58" t="n">
        <f aca="false">MAX(0,-F5173)</f>
        <v>999779.057601317</v>
      </c>
      <c r="G5175" s="58" t="n">
        <f aca="false">MAX(0,-G5173)</f>
        <v>1026651.39359872</v>
      </c>
      <c r="H5175" s="2" t="s">
        <v>1309</v>
      </c>
    </row>
    <row r="5176" customFormat="false" ht="15" hidden="false" customHeight="false" outlineLevel="1" collapsed="false">
      <c r="A5176" s="7" t="s">
        <v>690</v>
      </c>
      <c r="B5176" s="8" t="s">
        <v>10</v>
      </c>
      <c r="C5176" s="58" t="n">
        <f aca="false">MIN(C5174,Pressupostos!$C$179*MAX(0,C5173))</f>
        <v>0</v>
      </c>
      <c r="D5176" s="58" t="n">
        <f aca="false">MIN(D5174,Pressupostos!$C$179*MAX(0,D5173))</f>
        <v>0</v>
      </c>
      <c r="E5176" s="58" t="n">
        <f aca="false">MIN(E5174,Pressupostos!$C$179*MAX(0,E5173))</f>
        <v>0</v>
      </c>
      <c r="F5176" s="58" t="n">
        <f aca="false">MIN(F5174,Pressupostos!$C$179*MAX(0,F5173))</f>
        <v>0</v>
      </c>
      <c r="G5176" s="58" t="n">
        <f aca="false">MIN(G5174,Pressupostos!$C$179*MAX(0,G5173))</f>
        <v>0</v>
      </c>
      <c r="H5176" s="2" t="s">
        <v>1310</v>
      </c>
    </row>
    <row r="5177" customFormat="false" ht="15" hidden="false" customHeight="false" outlineLevel="1" collapsed="false">
      <c r="A5177" s="7" t="s">
        <v>691</v>
      </c>
      <c r="B5177" s="8" t="s">
        <v>10</v>
      </c>
      <c r="C5177" s="58" t="n">
        <f aca="false">C5174+C5175-C5176</f>
        <v>630000.11495548</v>
      </c>
      <c r="D5177" s="58" t="n">
        <f aca="false">D5174+D5175-D5176</f>
        <v>1438011.73255822</v>
      </c>
      <c r="E5177" s="58" t="n">
        <f aca="false">E5174+E5175-E5176</f>
        <v>2363567.59191182</v>
      </c>
      <c r="F5177" s="58" t="n">
        <f aca="false">F5174+F5175-F5176</f>
        <v>3363346.64951313</v>
      </c>
      <c r="G5177" s="58" t="n">
        <f aca="false">G5174+G5175-G5176</f>
        <v>4389998.04311186</v>
      </c>
      <c r="H5177" s="2" t="s">
        <v>1311</v>
      </c>
    </row>
    <row r="5178" customFormat="false" ht="15" hidden="false" customHeight="false" outlineLevel="1" collapsed="false">
      <c r="A5178" s="7" t="s">
        <v>692</v>
      </c>
      <c r="B5178" s="8" t="s">
        <v>10</v>
      </c>
      <c r="C5178" s="58" t="n">
        <f aca="false">MAX(0,C5173)-C5176</f>
        <v>0</v>
      </c>
      <c r="D5178" s="58" t="n">
        <f aca="false">MAX(0,D5173)-D5176</f>
        <v>0</v>
      </c>
      <c r="E5178" s="58" t="n">
        <f aca="false">MAX(0,E5173)-E5176</f>
        <v>0</v>
      </c>
      <c r="F5178" s="58" t="n">
        <f aca="false">MAX(0,F5173)-F5176</f>
        <v>0</v>
      </c>
      <c r="G5178" s="58" t="n">
        <f aca="false">MAX(0,G5173)-G5176</f>
        <v>0</v>
      </c>
      <c r="H5178" s="2" t="s">
        <v>1312</v>
      </c>
    </row>
    <row r="5179" customFormat="false" ht="15" hidden="false" customHeight="false" outlineLevel="1" collapsed="false">
      <c r="A5179" s="7" t="s">
        <v>693</v>
      </c>
      <c r="B5179" s="8" t="s">
        <v>10</v>
      </c>
      <c r="C5179" s="58" t="n">
        <f aca="false">Pressupostos!$C$170*MIN(C5178,Pressupostos!$C$171)+Pressupostos!$C$450*MAX(0,C5178-Pressupostos!$C$171)</f>
        <v>0</v>
      </c>
      <c r="D5179" s="58" t="n">
        <f aca="false">Pressupostos!$C$170*MIN(D5178,Pressupostos!$C$171)+Pressupostos!$D$450*MAX(0,D5178-Pressupostos!$C$171)</f>
        <v>0</v>
      </c>
      <c r="E5179" s="58" t="n">
        <f aca="false">Pressupostos!$C$170*MIN(E5178,Pressupostos!$C$171)+Pressupostos!$E$450*MAX(0,E5178-Pressupostos!$C$171)</f>
        <v>0</v>
      </c>
      <c r="F5179" s="58" t="n">
        <f aca="false">Pressupostos!$C$170*MIN(F5178,Pressupostos!$C$171)+Pressupostos!$F$450*MAX(0,F5178-Pressupostos!$C$171)</f>
        <v>0</v>
      </c>
      <c r="G5179" s="58" t="n">
        <f aca="false">Pressupostos!$C$170*MIN(G5178,Pressupostos!$C$171)+Pressupostos!$G$450*MAX(0,G5178-Pressupostos!$C$171)</f>
        <v>0</v>
      </c>
      <c r="H5179" s="2" t="s">
        <v>1313</v>
      </c>
    </row>
    <row r="5180" customFormat="false" ht="15" hidden="false" customHeight="false" outlineLevel="1" collapsed="false">
      <c r="A5180" s="7" t="s">
        <v>694</v>
      </c>
      <c r="B5180" s="8" t="s">
        <v>10</v>
      </c>
      <c r="C5180" s="58" t="n">
        <f aca="false">Pressupostos!$C$172*MAX(0,C5173)</f>
        <v>0</v>
      </c>
      <c r="D5180" s="58" t="n">
        <f aca="false">Pressupostos!$C$172*MAX(0,D5173)</f>
        <v>0</v>
      </c>
      <c r="E5180" s="58" t="n">
        <f aca="false">Pressupostos!$C$172*MAX(0,E5173)</f>
        <v>0</v>
      </c>
      <c r="F5180" s="58" t="n">
        <f aca="false">Pressupostos!$C$172*MAX(0,F5173)</f>
        <v>0</v>
      </c>
      <c r="G5180" s="58" t="n">
        <f aca="false">Pressupostos!$C$172*MAX(0,G5173)</f>
        <v>0</v>
      </c>
      <c r="H5180" s="2" t="s">
        <v>1314</v>
      </c>
    </row>
    <row r="5181" customFormat="false" ht="15" hidden="false" customHeight="false" outlineLevel="1" collapsed="false">
      <c r="A5181" s="7" t="s">
        <v>695</v>
      </c>
      <c r="B5181" s="8" t="s">
        <v>10</v>
      </c>
      <c r="C5181" s="58" t="n">
        <f aca="false">Pressupostos!$C$174*MAX(0,MIN(C5173,Pressupostos!$C$175)-Pressupostos!$C$173)+Pressupostos!$C$176*MAX(0,MIN(C5173,Pressupostos!$C$177)-Pressupostos!$C$175)+Pressupostos!$C$178*MAX(0,C5173-Pressupostos!$C$177)</f>
        <v>0</v>
      </c>
      <c r="D5181" s="58" t="n">
        <f aca="false">Pressupostos!$C$174*MAX(0,MIN(D5173,Pressupostos!$C$175)-Pressupostos!$C$173)+Pressupostos!$C$176*MAX(0,MIN(D5173,Pressupostos!$C$177)-Pressupostos!$C$175)+Pressupostos!$C$178*MAX(0,D5173-Pressupostos!$C$177)</f>
        <v>0</v>
      </c>
      <c r="E5181" s="58" t="n">
        <f aca="false">Pressupostos!$C$174*MAX(0,MIN(E5173,Pressupostos!$C$175)-Pressupostos!$C$173)+Pressupostos!$C$176*MAX(0,MIN(E5173,Pressupostos!$C$177)-Pressupostos!$C$175)+Pressupostos!$C$178*MAX(0,E5173-Pressupostos!$C$177)</f>
        <v>0</v>
      </c>
      <c r="F5181" s="58" t="n">
        <f aca="false">Pressupostos!$C$174*MAX(0,MIN(F5173,Pressupostos!$C$175)-Pressupostos!$C$173)+Pressupostos!$C$176*MAX(0,MIN(F5173,Pressupostos!$C$177)-Pressupostos!$C$175)+Pressupostos!$C$178*MAX(0,F5173-Pressupostos!$C$177)</f>
        <v>0</v>
      </c>
      <c r="G5181" s="58" t="n">
        <f aca="false">Pressupostos!$C$174*MAX(0,MIN(G5173,Pressupostos!$C$175)-Pressupostos!$C$173)+Pressupostos!$C$176*MAX(0,MIN(G5173,Pressupostos!$C$177)-Pressupostos!$C$175)+Pressupostos!$C$178*MAX(0,G5173-Pressupostos!$C$177)</f>
        <v>0</v>
      </c>
      <c r="H5181" s="2" t="s">
        <v>1315</v>
      </c>
    </row>
    <row r="5182" customFormat="false" ht="15" hidden="false" customHeight="false" outlineLevel="1" collapsed="false">
      <c r="A5182" s="7" t="s">
        <v>696</v>
      </c>
      <c r="B5182" s="8" t="s">
        <v>10</v>
      </c>
      <c r="C5182" s="58" t="n">
        <f aca="false">C5179+C5180+C5181</f>
        <v>0</v>
      </c>
      <c r="D5182" s="58" t="n">
        <f aca="false">D5179+D5180+D5181</f>
        <v>0</v>
      </c>
      <c r="E5182" s="58" t="n">
        <f aca="false">E5179+E5180+E5181</f>
        <v>0</v>
      </c>
      <c r="F5182" s="58" t="n">
        <f aca="false">F5179+F5180+F5181</f>
        <v>0</v>
      </c>
      <c r="G5182" s="58" t="n">
        <f aca="false">G5179+G5180+G5181</f>
        <v>0</v>
      </c>
      <c r="H5182" s="2" t="s">
        <v>1316</v>
      </c>
    </row>
    <row r="5183" customFormat="false" ht="15" hidden="false" customHeight="false" outlineLevel="0" collapsed="false">
      <c r="A5183" s="3" t="s">
        <v>1317</v>
      </c>
      <c r="B5183" s="4"/>
      <c r="C5183" s="4"/>
      <c r="D5183" s="4"/>
      <c r="E5183" s="4"/>
      <c r="F5183" s="4"/>
      <c r="G5183" s="4"/>
      <c r="H5183" s="4"/>
    </row>
    <row r="5184" customFormat="false" ht="15" hidden="false" customHeight="false" outlineLevel="1" collapsed="false">
      <c r="A5184" s="7" t="s">
        <v>696</v>
      </c>
      <c r="B5184" s="8" t="s">
        <v>10</v>
      </c>
      <c r="C5184" s="58" t="n">
        <f aca="false">-C5182</f>
        <v>-0</v>
      </c>
      <c r="D5184" s="58" t="n">
        <f aca="false">-D5182</f>
        <v>-0</v>
      </c>
      <c r="E5184" s="58" t="n">
        <f aca="false">-E5182</f>
        <v>-0</v>
      </c>
      <c r="F5184" s="58" t="n">
        <f aca="false">-F5182</f>
        <v>-0</v>
      </c>
      <c r="G5184" s="58" t="n">
        <f aca="false">-G5182</f>
        <v>-0</v>
      </c>
      <c r="H5184" s="2" t="s">
        <v>1318</v>
      </c>
    </row>
    <row r="5185" customFormat="false" ht="15" hidden="false" customHeight="false" outlineLevel="1" collapsed="false">
      <c r="A5185" s="52" t="s">
        <v>698</v>
      </c>
      <c r="B5185" s="53" t="s">
        <v>10</v>
      </c>
      <c r="C5185" s="59" t="n">
        <f aca="false">C5171+C5184</f>
        <v>-630000.11495548</v>
      </c>
      <c r="D5185" s="59" t="n">
        <f aca="false">D5171+D5184</f>
        <v>-808011.61760274</v>
      </c>
      <c r="E5185" s="59" t="n">
        <f aca="false">E5171+E5184</f>
        <v>-925555.859353597</v>
      </c>
      <c r="F5185" s="59" t="n">
        <f aca="false">F5171+F5184</f>
        <v>-999779.057601317</v>
      </c>
      <c r="G5185" s="59" t="n">
        <f aca="false">G5171+G5184</f>
        <v>-1026651.39359872</v>
      </c>
      <c r="H5185" s="2" t="s">
        <v>1319</v>
      </c>
    </row>
    <row r="5186" customFormat="false" ht="15" hidden="false" customHeight="false" outlineLevel="0" collapsed="false">
      <c r="A5186" s="3" t="s">
        <v>1320</v>
      </c>
      <c r="B5186" s="4"/>
      <c r="C5186" s="4"/>
      <c r="D5186" s="4"/>
      <c r="E5186" s="4"/>
      <c r="F5186" s="4"/>
      <c r="G5186" s="4"/>
      <c r="H5186" s="4"/>
    </row>
    <row r="5187" customFormat="false" ht="15" hidden="false" customHeight="false" outlineLevel="1" collapsed="false">
      <c r="A5187" s="7" t="s">
        <v>702</v>
      </c>
      <c r="B5187" s="8" t="s">
        <v>10</v>
      </c>
      <c r="C5187" s="58" t="n">
        <f aca="false">C4971*1000*((C4987+C4990)*C4993/365)+C4972*1000*((C5010+C5013)*C5016/365)+C4973*1000*((C5033+C5036)*C5039/365)</f>
        <v>25560</v>
      </c>
      <c r="D5187" s="58" t="n">
        <f aca="false">D4971*1000*((D4987+D4990)*D4993/365)+D4972*1000*((D5010+D5013)*D5016/365)+D4973*1000*((D5033+D5036)*D5039/365)</f>
        <v>187617.123287671</v>
      </c>
      <c r="E5187" s="58" t="n">
        <f aca="false">E4971*1000*((E4987+E4990)*E4993/365)+E4972*1000*((E5010+E5013)*E5016/365)+E4973*1000*((E5033+E5036)*E5039/365)</f>
        <v>359667.123287671</v>
      </c>
      <c r="F5187" s="58" t="n">
        <f aca="false">F4971*1000*((F4987+F4990)*F4993/365)+F4972*1000*((F5010+F5013)*F5016/365)+F4973*1000*((F5033+F5036)*F5039/365)</f>
        <v>599140.068493151</v>
      </c>
      <c r="G5187" s="58" t="n">
        <f aca="false">G4971*1000*((G4987+G4990)*G4993/365)+G4972*1000*((G5010+G5013)*G5016/365)+G4973*1000*((G5033+G5036)*G5039/365)</f>
        <v>873380.136986301</v>
      </c>
      <c r="H5187" s="2" t="s">
        <v>1321</v>
      </c>
    </row>
    <row r="5188" customFormat="false" ht="15" hidden="false" customHeight="false" outlineLevel="1" collapsed="false">
      <c r="A5188" s="7" t="s">
        <v>703</v>
      </c>
      <c r="B5188" s="8" t="s">
        <v>10</v>
      </c>
      <c r="C5188" s="58" t="n">
        <f aca="false">C5187+C4982*1000*Pressupostos!$C$90*Pressupostos!$C$93/365</f>
        <v>25560</v>
      </c>
      <c r="D5188" s="58" t="n">
        <f aca="false">D5187+D4982*1000*Pressupostos!$C$90*Pressupostos!$C$93/365</f>
        <v>187617.123287671</v>
      </c>
      <c r="E5188" s="58" t="n">
        <f aca="false">E5187+E4982*1000*Pressupostos!$C$90*Pressupostos!$C$93/365</f>
        <v>359667.123287671</v>
      </c>
      <c r="F5188" s="58" t="n">
        <f aca="false">F5187+F4982*1000*Pressupostos!$C$90*Pressupostos!$C$93/365</f>
        <v>616400.342465753</v>
      </c>
      <c r="G5188" s="58" t="n">
        <f aca="false">G5187+G4982*1000*Pressupostos!$C$90*Pressupostos!$C$93/365</f>
        <v>916530.821917808</v>
      </c>
      <c r="H5188" s="2" t="s">
        <v>1322</v>
      </c>
    </row>
    <row r="5189" customFormat="false" ht="15" hidden="false" customHeight="false" outlineLevel="1" collapsed="false">
      <c r="A5189" s="7" t="s">
        <v>704</v>
      </c>
      <c r="B5189" s="8" t="s">
        <v>10</v>
      </c>
      <c r="C5189" s="58" t="n">
        <f aca="false">C4971*1000*(C4989*C4994/365)+C4972*1000*(C5012*C5017/365)+C4973*1000*(C5035*C5040/365)+C5060*Pressupostos!$C$94/365+C5062*Pressupostos!$C$80/365</f>
        <v>27631.2109589041</v>
      </c>
      <c r="D5189" s="58" t="n">
        <f aca="false">D4971*1000*(D4989*D4994/365)+D4972*1000*(D5012*D5017/365)+D4973*1000*(D5035*D5040/365)+D5060*Pressupostos!$C$94/365+D5062*Pressupostos!$C$80/365</f>
        <v>343506.904109589</v>
      </c>
      <c r="E5189" s="58" t="n">
        <f aca="false">E4971*1000*(E4989*E4994/365)+E4972*1000*(E5012*E5017/365)+E4973*1000*(E5035*E5040/365)+E5060*Pressupostos!$C$94/365+E5062*Pressupostos!$C$80/365</f>
        <v>850493.136986301</v>
      </c>
      <c r="F5189" s="58" t="n">
        <f aca="false">F4971*1000*(F4989*F4994/365)+F4972*1000*(F5012*F5017/365)+F4973*1000*(F5035*F5040/365)+F5060*Pressupostos!$C$94/365+F5062*Pressupostos!$C$80/365</f>
        <v>1427195.98630137</v>
      </c>
      <c r="G5189" s="58" t="n">
        <f aca="false">G4971*1000*(G4989*G4994/365)+G4972*1000*(G5012*G5017/365)+G4973*1000*(G5035*G5040/365)+G5060*Pressupostos!$C$94/365+G5062*Pressupostos!$C$80/365</f>
        <v>2077171.36986301</v>
      </c>
      <c r="H5189" s="2" t="s">
        <v>1323</v>
      </c>
    </row>
    <row r="5190" customFormat="false" ht="15" hidden="false" customHeight="false" outlineLevel="1" collapsed="false">
      <c r="A5190" s="7" t="s">
        <v>705</v>
      </c>
      <c r="B5190" s="8" t="s">
        <v>10</v>
      </c>
      <c r="C5190" s="58" t="n">
        <f aca="false">C4971*1000*((C4987+C4990)*Pressupostos!$C$70/365)+C4972*1000*((C5010+C5013)*Pressupostos!$C$70/365)+C4973*1000*((C5033+C5036)*Pressupostos!$C$70/365)+C4982*1000*Pressupostos!$C$90*Pressupostos!$C$95/365</f>
        <v>14944.9315068493</v>
      </c>
      <c r="D5190" s="58" t="n">
        <f aca="false">D4971*1000*((D4987+D4990)*Pressupostos!$C$70/365)+D4972*1000*((D5010+D5013)*Pressupostos!$C$70/365)+D4973*1000*((D5033+D5036)*Pressupostos!$C$70/365)+D4982*1000*Pressupostos!$C$90*Pressupostos!$C$95/365</f>
        <v>198153.082191781</v>
      </c>
      <c r="E5190" s="58" t="n">
        <f aca="false">E4971*1000*((E4987+E4990)*Pressupostos!$C$70/365)+E4972*1000*((E5010+E5013)*Pressupostos!$C$70/365)+E4973*1000*((E5033+E5036)*Pressupostos!$C$70/365)+E4982*1000*Pressupostos!$C$90*Pressupostos!$C$95/365</f>
        <v>500079.452054794</v>
      </c>
      <c r="F5190" s="58" t="n">
        <f aca="false">F4971*1000*((F4987+F4990)*Pressupostos!$C$70/365)+F4972*1000*((F5010+F5013)*Pressupostos!$C$70/365)+F4973*1000*((F5033+F5036)*Pressupostos!$C$70/365)+F4982*1000*Pressupostos!$C$90*Pressupostos!$C$95/365</f>
        <v>843782.876712329</v>
      </c>
      <c r="G5190" s="58" t="n">
        <f aca="false">G4971*1000*((G4987+G4990)*Pressupostos!$C$70/365)+G4972*1000*((G5010+G5013)*Pressupostos!$C$70/365)+G4973*1000*((G5033+G5036)*Pressupostos!$C$70/365)+G4982*1000*Pressupostos!$C$90*Pressupostos!$C$95/365</f>
        <v>1228006.84931507</v>
      </c>
      <c r="H5190" s="2" t="s">
        <v>1324</v>
      </c>
    </row>
    <row r="5191" customFormat="false" ht="15" hidden="false" customHeight="false" outlineLevel="1" collapsed="false">
      <c r="A5191" s="52" t="s">
        <v>706</v>
      </c>
      <c r="B5191" s="53" t="s">
        <v>10</v>
      </c>
      <c r="C5191" s="59" t="n">
        <f aca="false">C5188+C5189-C5190</f>
        <v>38246.2794520548</v>
      </c>
      <c r="D5191" s="59" t="n">
        <f aca="false">D5188+D5189-D5190</f>
        <v>332970.945205479</v>
      </c>
      <c r="E5191" s="59" t="n">
        <f aca="false">E5188+E5189-E5190</f>
        <v>710080.808219178</v>
      </c>
      <c r="F5191" s="59" t="n">
        <f aca="false">F5188+F5189-F5190</f>
        <v>1199813.45205479</v>
      </c>
      <c r="G5191" s="59" t="n">
        <f aca="false">G5188+G5189-G5190</f>
        <v>1765695.34246575</v>
      </c>
      <c r="H5191" s="2" t="s">
        <v>1325</v>
      </c>
    </row>
    <row r="5192" customFormat="false" ht="15" hidden="false" customHeight="false" outlineLevel="0" collapsed="false">
      <c r="A5192" s="3" t="s">
        <v>1326</v>
      </c>
      <c r="B5192" s="4"/>
      <c r="C5192" s="4"/>
      <c r="D5192" s="4"/>
      <c r="E5192" s="4"/>
      <c r="F5192" s="4"/>
      <c r="G5192" s="4"/>
      <c r="H5192" s="4"/>
    </row>
    <row r="5193" customFormat="false" ht="15" hidden="false" customHeight="false" outlineLevel="1" collapsed="false">
      <c r="A5193" s="52" t="s">
        <v>708</v>
      </c>
      <c r="B5193" s="53" t="s">
        <v>10</v>
      </c>
      <c r="C5193" s="59" t="n">
        <f aca="false">Pressupostos!$C$279*C5191/Pressupostos!$F$31</f>
        <v>0</v>
      </c>
      <c r="D5193" s="59" t="n">
        <f aca="false">Pressupostos!$D$279*D5191/Pressupostos!$F$31</f>
        <v>374592.313356164</v>
      </c>
      <c r="E5193" s="59" t="n">
        <f aca="false">Pressupostos!$E$279*E5191/Pressupostos!$F$31</f>
        <v>798840.909246575</v>
      </c>
      <c r="F5193" s="59" t="n">
        <f aca="false">Pressupostos!$F$279*F5191/Pressupostos!$F$31</f>
        <v>1349790.13356164</v>
      </c>
      <c r="G5193" s="59" t="n">
        <f aca="false">Pressupostos!$G$279*G5191/Pressupostos!$F$31</f>
        <v>1986407.26027397</v>
      </c>
      <c r="H5193" s="2" t="s">
        <v>1327</v>
      </c>
    </row>
    <row r="5194" customFormat="false" ht="15" hidden="false" customHeight="false" outlineLevel="1" collapsed="false">
      <c r="A5194" s="7" t="s">
        <v>709</v>
      </c>
      <c r="B5194" s="8" t="s">
        <v>10</v>
      </c>
      <c r="C5194" s="58" t="n">
        <f aca="false">Pressupostos!$C$279*C5191</f>
        <v>0</v>
      </c>
      <c r="D5194" s="58" t="n">
        <f aca="false">Pressupostos!$D$279*D5191</f>
        <v>299673.850684931</v>
      </c>
      <c r="E5194" s="58" t="n">
        <f aca="false">Pressupostos!$E$279*E5191</f>
        <v>639072.72739726</v>
      </c>
      <c r="F5194" s="58" t="n">
        <f aca="false">Pressupostos!$F$279*F5191</f>
        <v>1079832.10684932</v>
      </c>
      <c r="G5194" s="58" t="n">
        <f aca="false">Pressupostos!$G$279*G5191</f>
        <v>1589125.80821918</v>
      </c>
      <c r="H5194" s="2" t="s">
        <v>1328</v>
      </c>
    </row>
    <row r="5195" customFormat="false" ht="15" hidden="false" customHeight="false" outlineLevel="1" collapsed="false">
      <c r="A5195" s="7" t="s">
        <v>710</v>
      </c>
      <c r="B5195" s="8" t="s">
        <v>10</v>
      </c>
      <c r="C5195" s="58" t="n">
        <f aca="false">C5193-C5194</f>
        <v>0</v>
      </c>
      <c r="D5195" s="58" t="n">
        <f aca="false">D5193-D5194</f>
        <v>74918.4626712328</v>
      </c>
      <c r="E5195" s="58" t="n">
        <f aca="false">E5193-E5194</f>
        <v>159768.181849315</v>
      </c>
      <c r="F5195" s="58" t="n">
        <f aca="false">F5193-F5194</f>
        <v>269958.026712329</v>
      </c>
      <c r="G5195" s="58" t="n">
        <f aca="false">G5193-G5194</f>
        <v>397281.452054794</v>
      </c>
      <c r="H5195" s="2" t="s">
        <v>1329</v>
      </c>
    </row>
    <row r="5196" customFormat="false" ht="15" hidden="false" customHeight="false" outlineLevel="1" collapsed="false">
      <c r="A5196" s="7" t="s">
        <v>711</v>
      </c>
      <c r="B5196" s="8" t="s">
        <v>10</v>
      </c>
      <c r="C5196" s="58" t="n">
        <f aca="false">C5191-C5194</f>
        <v>38246.2794520548</v>
      </c>
      <c r="D5196" s="58" t="n">
        <f aca="false">D5191-D5194</f>
        <v>33297.094520548</v>
      </c>
      <c r="E5196" s="58" t="n">
        <f aca="false">E5191-E5194</f>
        <v>71008.0808219177</v>
      </c>
      <c r="F5196" s="58" t="n">
        <f aca="false">F5191-F5194</f>
        <v>119981.34520548</v>
      </c>
      <c r="G5196" s="58" t="n">
        <f aca="false">G5191-G5194</f>
        <v>176569.534246575</v>
      </c>
      <c r="H5196" s="2" t="s">
        <v>1330</v>
      </c>
    </row>
    <row r="5197" customFormat="false" ht="15" hidden="false" customHeight="false" outlineLevel="1" collapsed="false">
      <c r="A5197" s="7" t="s">
        <v>712</v>
      </c>
      <c r="B5197" s="8" t="s">
        <v>10</v>
      </c>
      <c r="C5197" s="58" t="n">
        <f aca="false">MAX(0,Pressupostos!$C$106-C5196)</f>
        <v>11753.7205479452</v>
      </c>
      <c r="D5197" s="58" t="n">
        <f aca="false">MAX(0,Pressupostos!$C$106-D5196)</f>
        <v>16702.9054794521</v>
      </c>
      <c r="E5197" s="58" t="n">
        <f aca="false">MAX(0,Pressupostos!$C$106-E5196)</f>
        <v>0</v>
      </c>
      <c r="F5197" s="58" t="n">
        <f aca="false">MAX(0,Pressupostos!$C$106-F5196)</f>
        <v>0</v>
      </c>
      <c r="G5197" s="58" t="n">
        <f aca="false">MAX(0,Pressupostos!$C$106-G5196)</f>
        <v>0</v>
      </c>
      <c r="H5197" s="2" t="s">
        <v>1331</v>
      </c>
    </row>
    <row r="5198" customFormat="false" ht="15" hidden="false" customHeight="false" outlineLevel="1" collapsed="false">
      <c r="A5198" s="7" t="s">
        <v>713</v>
      </c>
      <c r="B5198" s="8" t="s">
        <v>10</v>
      </c>
      <c r="C5198" s="58" t="n">
        <f aca="false">Pressupostos!$C$107*C5193</f>
        <v>0</v>
      </c>
      <c r="D5198" s="58" t="n">
        <f aca="false">Pressupostos!$C$107*D5193</f>
        <v>18729.6156678082</v>
      </c>
      <c r="E5198" s="58" t="n">
        <f aca="false">Pressupostos!$C$107*E5193</f>
        <v>39942.0454623288</v>
      </c>
      <c r="F5198" s="58" t="n">
        <f aca="false">Pressupostos!$C$107*F5193</f>
        <v>67489.5066780822</v>
      </c>
      <c r="G5198" s="58" t="n">
        <f aca="false">Pressupostos!$C$107*G5193</f>
        <v>99320.3630136986</v>
      </c>
      <c r="H5198" s="2" t="s">
        <v>1332</v>
      </c>
    </row>
    <row r="5199" customFormat="false" ht="15" hidden="false" customHeight="false" outlineLevel="1" collapsed="false">
      <c r="A5199" s="2" t="s">
        <v>714</v>
      </c>
      <c r="B5199" s="8" t="s">
        <v>115</v>
      </c>
      <c r="C5199" s="58" t="n">
        <f aca="false">C5193/Pressupostos!$C$110</f>
        <v>0</v>
      </c>
      <c r="D5199" s="58" t="n">
        <f aca="false">D5193/Pressupostos!$C$110</f>
        <v>7.49184626712329</v>
      </c>
      <c r="E5199" s="58" t="n">
        <f aca="false">E5193/Pressupostos!$C$110</f>
        <v>15.9768181849315</v>
      </c>
      <c r="F5199" s="58" t="n">
        <f aca="false">F5193/Pressupostos!$C$110</f>
        <v>26.9958026712329</v>
      </c>
      <c r="G5199" s="58" t="n">
        <f aca="false">G5193/Pressupostos!$C$110</f>
        <v>39.7281452054794</v>
      </c>
      <c r="H5199" s="2" t="s">
        <v>1333</v>
      </c>
    </row>
    <row r="5200" customFormat="false" ht="15" hidden="false" customHeight="false" outlineLevel="0" collapsed="false">
      <c r="A5200" s="3" t="s">
        <v>1334</v>
      </c>
      <c r="B5200" s="4"/>
      <c r="C5200" s="4"/>
      <c r="D5200" s="4"/>
      <c r="E5200" s="4"/>
      <c r="F5200" s="4"/>
      <c r="G5200" s="4"/>
      <c r="H5200" s="4"/>
    </row>
    <row r="5201" customFormat="false" ht="15" hidden="false" customHeight="false" outlineLevel="1" collapsed="false">
      <c r="A5201" s="7" t="s">
        <v>681</v>
      </c>
      <c r="B5201" s="8" t="s">
        <v>10</v>
      </c>
      <c r="C5201" s="58" t="n">
        <f aca="false">C5167</f>
        <v>-603650.11495548</v>
      </c>
      <c r="D5201" s="58" t="n">
        <f aca="false">D5167</f>
        <v>-768261.61760274</v>
      </c>
      <c r="E5201" s="58" t="n">
        <f aca="false">E5167</f>
        <v>-872905.859353597</v>
      </c>
      <c r="F5201" s="58" t="n">
        <f aca="false">F5167</f>
        <v>-956812.390934651</v>
      </c>
      <c r="G5201" s="58" t="n">
        <f aca="false">G5167</f>
        <v>-986868.060265391</v>
      </c>
      <c r="H5201" s="2" t="s">
        <v>1335</v>
      </c>
    </row>
    <row r="5202" customFormat="false" ht="15" hidden="false" customHeight="false" outlineLevel="1" collapsed="false">
      <c r="A5202" s="7" t="s">
        <v>716</v>
      </c>
      <c r="B5202" s="8" t="s">
        <v>10</v>
      </c>
      <c r="C5202" s="58" t="n">
        <f aca="false">-C5182</f>
        <v>-0</v>
      </c>
      <c r="D5202" s="58" t="n">
        <f aca="false">-D5182</f>
        <v>-0</v>
      </c>
      <c r="E5202" s="58" t="n">
        <f aca="false">-E5182</f>
        <v>-0</v>
      </c>
      <c r="F5202" s="58" t="n">
        <f aca="false">-F5182</f>
        <v>-0</v>
      </c>
      <c r="G5202" s="58" t="n">
        <f aca="false">-G5182</f>
        <v>-0</v>
      </c>
      <c r="H5202" s="2" t="s">
        <v>1336</v>
      </c>
    </row>
    <row r="5203" customFormat="false" ht="15" hidden="false" customHeight="false" outlineLevel="1" collapsed="false">
      <c r="A5203" s="7" t="s">
        <v>717</v>
      </c>
      <c r="B5203" s="8" t="s">
        <v>10</v>
      </c>
      <c r="C5203" s="58" t="n">
        <f aca="false">-C5191</f>
        <v>-38246.2794520548</v>
      </c>
      <c r="D5203" s="58" t="n">
        <f aca="false">-(D5191-C5191)</f>
        <v>-294724.665753425</v>
      </c>
      <c r="E5203" s="58" t="n">
        <f aca="false">-(E5191-D5191)</f>
        <v>-377109.863013699</v>
      </c>
      <c r="F5203" s="58" t="n">
        <f aca="false">-(F5191-E5191)</f>
        <v>-489732.643835617</v>
      </c>
      <c r="G5203" s="58" t="n">
        <f aca="false">-(G5191-F5191)</f>
        <v>-565881.890410959</v>
      </c>
      <c r="H5203" s="2" t="s">
        <v>1337</v>
      </c>
    </row>
    <row r="5204" customFormat="false" ht="15" hidden="false" customHeight="false" outlineLevel="1" collapsed="false">
      <c r="A5204" s="7" t="s">
        <v>407</v>
      </c>
      <c r="B5204" s="8" t="s">
        <v>10</v>
      </c>
      <c r="C5204" s="58" t="n">
        <f aca="false">-C5152</f>
        <v>-89000</v>
      </c>
      <c r="D5204" s="58" t="n">
        <f aca="false">-D5152</f>
        <v>-46000</v>
      </c>
      <c r="E5204" s="58" t="n">
        <f aca="false">-E5152</f>
        <v>-44000</v>
      </c>
      <c r="F5204" s="58" t="n">
        <f aca="false">-F5152</f>
        <v>-37000</v>
      </c>
      <c r="G5204" s="58" t="n">
        <f aca="false">-G5152</f>
        <v>-34000</v>
      </c>
      <c r="H5204" s="2" t="s">
        <v>1338</v>
      </c>
    </row>
    <row r="5205" customFormat="false" ht="15" hidden="false" customHeight="false" outlineLevel="1" collapsed="false">
      <c r="A5205" s="7" t="s">
        <v>718</v>
      </c>
      <c r="B5205" s="8" t="s">
        <v>10</v>
      </c>
      <c r="C5205" s="58" t="n">
        <f aca="false">C5201+C5202+C5203+C5204</f>
        <v>-730896.394407534</v>
      </c>
      <c r="D5205" s="58" t="n">
        <f aca="false">D5201+D5202+D5203+D5204</f>
        <v>-1108986.28335616</v>
      </c>
      <c r="E5205" s="58" t="n">
        <f aca="false">E5201+E5202+E5203+E5204</f>
        <v>-1294015.7223673</v>
      </c>
      <c r="F5205" s="58" t="n">
        <f aca="false">F5201+F5202+F5203+F5204</f>
        <v>-1483545.03477027</v>
      </c>
      <c r="G5205" s="58" t="n">
        <f aca="false">G5201+G5202+G5203+G5204</f>
        <v>-1586749.95067635</v>
      </c>
      <c r="H5205" s="2" t="s">
        <v>1339</v>
      </c>
    </row>
    <row r="5206" customFormat="false" ht="15" hidden="false" customHeight="false" outlineLevel="1" collapsed="false">
      <c r="A5206" s="7" t="s">
        <v>719</v>
      </c>
      <c r="B5206" s="8" t="s">
        <v>10</v>
      </c>
      <c r="C5206" s="58" t="n">
        <f aca="false">C5193</f>
        <v>0</v>
      </c>
      <c r="D5206" s="58" t="n">
        <f aca="false">D5193-C5193</f>
        <v>374592.313356164</v>
      </c>
      <c r="E5206" s="58" t="n">
        <f aca="false">E5193-D5193</f>
        <v>424248.595890411</v>
      </c>
      <c r="F5206" s="58" t="n">
        <f aca="false">F5193-E5193</f>
        <v>550949.224315069</v>
      </c>
      <c r="G5206" s="58" t="n">
        <f aca="false">G5193-F5193</f>
        <v>636617.126712329</v>
      </c>
      <c r="H5206" s="2" t="s">
        <v>1340</v>
      </c>
    </row>
    <row r="5207" customFormat="false" ht="15" hidden="false" customHeight="false" outlineLevel="1" collapsed="false">
      <c r="A5207" s="7" t="s">
        <v>720</v>
      </c>
      <c r="B5207" s="8" t="s">
        <v>10</v>
      </c>
      <c r="C5207" s="58" t="n">
        <f aca="false">-C5195</f>
        <v>-0</v>
      </c>
      <c r="D5207" s="58" t="n">
        <f aca="false">-(D5195-C5195)</f>
        <v>-74918.4626712328</v>
      </c>
      <c r="E5207" s="58" t="n">
        <f aca="false">-(E5195-D5195)</f>
        <v>-84849.7191780821</v>
      </c>
      <c r="F5207" s="58" t="n">
        <f aca="false">-(F5195-E5195)</f>
        <v>-110189.844863014</v>
      </c>
      <c r="G5207" s="58" t="n">
        <f aca="false">-(G5195-F5195)</f>
        <v>-127323.425342466</v>
      </c>
      <c r="H5207" s="2" t="s">
        <v>1341</v>
      </c>
    </row>
    <row r="5208" customFormat="false" ht="15" hidden="false" customHeight="false" outlineLevel="1" collapsed="false">
      <c r="A5208" s="7" t="s">
        <v>721</v>
      </c>
      <c r="B5208" s="8" t="s">
        <v>10</v>
      </c>
      <c r="C5208" s="58" t="n">
        <f aca="false">-C5198</f>
        <v>-0</v>
      </c>
      <c r="D5208" s="58" t="n">
        <f aca="false">-(D5198-C5198)</f>
        <v>-18729.6156678082</v>
      </c>
      <c r="E5208" s="58" t="n">
        <f aca="false">-(E5198-D5198)</f>
        <v>-21212.4297945205</v>
      </c>
      <c r="F5208" s="58" t="n">
        <f aca="false">-(F5198-E5198)</f>
        <v>-27547.4612157534</v>
      </c>
      <c r="G5208" s="58" t="n">
        <f aca="false">-(G5198-F5198)</f>
        <v>-31830.8563356164</v>
      </c>
      <c r="H5208" s="2" t="s">
        <v>1342</v>
      </c>
    </row>
    <row r="5209" customFormat="false" ht="15" hidden="false" customHeight="false" outlineLevel="1" collapsed="false">
      <c r="A5209" s="7" t="s">
        <v>722</v>
      </c>
      <c r="B5209" s="8" t="s">
        <v>10</v>
      </c>
      <c r="C5209" s="58" t="n">
        <f aca="false">-(C5197-Pressupostos!$C$106)</f>
        <v>38246.2794520548</v>
      </c>
      <c r="D5209" s="58" t="n">
        <f aca="false">-(D5197-C5197)</f>
        <v>-4949.18493150684</v>
      </c>
      <c r="E5209" s="58" t="n">
        <f aca="false">-(E5197-D5197)</f>
        <v>16702.9054794521</v>
      </c>
      <c r="F5209" s="58" t="n">
        <f aca="false">-(F5197-E5197)</f>
        <v>-0</v>
      </c>
      <c r="G5209" s="58" t="n">
        <f aca="false">-(G5197-F5197)</f>
        <v>-0</v>
      </c>
      <c r="H5209" s="2" t="s">
        <v>1343</v>
      </c>
    </row>
    <row r="5210" customFormat="false" ht="15" hidden="false" customHeight="false" outlineLevel="1" collapsed="false">
      <c r="A5210" s="52" t="s">
        <v>723</v>
      </c>
      <c r="B5210" s="53" t="s">
        <v>10</v>
      </c>
      <c r="C5210" s="59" t="n">
        <f aca="false">C5205+C5206+C5207+C5208+C5209</f>
        <v>-692650.11495548</v>
      </c>
      <c r="D5210" s="59" t="n">
        <f aca="false">D5205+D5206+D5207+D5208+D5209</f>
        <v>-832991.233270548</v>
      </c>
      <c r="E5210" s="59" t="n">
        <f aca="false">E5205+E5206+E5207+E5208+E5209</f>
        <v>-959126.369970035</v>
      </c>
      <c r="F5210" s="59" t="n">
        <f aca="false">F5205+F5206+F5207+F5208+F5209</f>
        <v>-1070333.11653397</v>
      </c>
      <c r="G5210" s="59" t="n">
        <f aca="false">G5205+G5206+G5207+G5208+G5209</f>
        <v>-1109287.1056421</v>
      </c>
      <c r="H5210" s="2" t="s">
        <v>1344</v>
      </c>
    </row>
    <row r="5211" customFormat="false" ht="15" hidden="false" customHeight="false" outlineLevel="1" collapsed="false">
      <c r="A5211" s="52" t="s">
        <v>724</v>
      </c>
      <c r="B5211" s="53" t="s">
        <v>10</v>
      </c>
      <c r="C5211" s="59" t="n">
        <f aca="false">C5210</f>
        <v>-692650.11495548</v>
      </c>
      <c r="D5211" s="59" t="n">
        <f aca="false">C5211+D5210</f>
        <v>-1525641.34822603</v>
      </c>
      <c r="E5211" s="59" t="n">
        <f aca="false">D5211+E5210</f>
        <v>-2484767.71819606</v>
      </c>
      <c r="F5211" s="59" t="n">
        <f aca="false">E5211+F5210</f>
        <v>-3555100.83473003</v>
      </c>
      <c r="G5211" s="59" t="n">
        <f aca="false">F5211+G5210</f>
        <v>-4664387.94037213</v>
      </c>
      <c r="H5211" s="2" t="s">
        <v>1345</v>
      </c>
    </row>
    <row r="5212" customFormat="false" ht="15" hidden="false" customHeight="false" outlineLevel="1" collapsed="false">
      <c r="A5212" s="8" t="s">
        <v>725</v>
      </c>
      <c r="B5212" s="8" t="s">
        <v>10</v>
      </c>
      <c r="C5212" s="66" t="n">
        <f aca="false">ROUND(C5167-C5152-C5182-(MAX(C5196,Pressupostos!$C$106)-Pressupostos!$C$106)-(C5198)-C5210,6)</f>
        <v>0</v>
      </c>
      <c r="D5212" s="66" t="n">
        <f aca="false">ROUND(D5167-D5152-D5182-(MAX(D5196,Pressupostos!$C$106)-MAX(C5196,Pressupostos!$C$106))-(D5198-C5198)-D5210,6)</f>
        <v>0</v>
      </c>
      <c r="E5212" s="66" t="n">
        <f aca="false">ROUND(E5167-E5152-E5182-(MAX(E5196,Pressupostos!$C$106)-MAX(D5196,Pressupostos!$C$106))-(E5198-D5198)-E5210,6)</f>
        <v>0</v>
      </c>
      <c r="F5212" s="66" t="n">
        <f aca="false">ROUND(F5167-F5152-F5182-(MAX(F5196,Pressupostos!$C$106)-MAX(E5196,Pressupostos!$C$106))-(F5198-E5198)-F5210,6)</f>
        <v>0</v>
      </c>
      <c r="G5212" s="66" t="n">
        <f aca="false">ROUND(G5167-G5152-G5182-(MAX(G5196,Pressupostos!$C$106)-MAX(F5196,Pressupostos!$C$106))-(G5198-F5198)-G5210,6)</f>
        <v>0</v>
      </c>
      <c r="H5212" s="2" t="s">
        <v>1346</v>
      </c>
    </row>
    <row r="5213" customFormat="false" ht="15" hidden="false" customHeight="false" outlineLevel="0" collapsed="false">
      <c r="A5213" s="3" t="s">
        <v>1347</v>
      </c>
      <c r="B5213" s="4"/>
      <c r="C5213" s="4"/>
      <c r="D5213" s="4"/>
      <c r="E5213" s="4"/>
      <c r="F5213" s="4"/>
      <c r="G5213" s="4"/>
      <c r="H5213" s="4"/>
    </row>
    <row r="5214" customFormat="false" ht="15" hidden="false" customHeight="false" outlineLevel="1" collapsed="false">
      <c r="A5214" s="7" t="s">
        <v>727</v>
      </c>
      <c r="B5214" s="8" t="s">
        <v>10</v>
      </c>
      <c r="C5214" s="58" t="n">
        <f aca="false">0</f>
        <v>0</v>
      </c>
      <c r="D5214" s="58" t="n">
        <f aca="false">C5219</f>
        <v>262349.885044521</v>
      </c>
      <c r="E5214" s="58" t="n">
        <f aca="false">D5219</f>
        <v>150000</v>
      </c>
      <c r="F5214" s="58" t="n">
        <f aca="false">E5219</f>
        <v>150000</v>
      </c>
      <c r="G5214" s="58" t="n">
        <f aca="false">F5219</f>
        <v>150000</v>
      </c>
      <c r="H5214" s="2" t="s">
        <v>1348</v>
      </c>
    </row>
    <row r="5215" customFormat="false" ht="15" hidden="false" customHeight="false" outlineLevel="1" collapsed="false">
      <c r="A5215" s="7" t="s">
        <v>728</v>
      </c>
      <c r="B5215" s="8" t="s">
        <v>10</v>
      </c>
      <c r="C5215" s="58" t="n">
        <f aca="false">-(Pressupostos!$C$157+Pressupostos!$C$158+Pressupostos!$C$159+Pressupostos!$C$160+Pressupostos!$C$161+Pressupostos!$C$106)</f>
        <v>-145000</v>
      </c>
      <c r="D5215" s="58" t="n">
        <f aca="false">0</f>
        <v>0</v>
      </c>
      <c r="E5215" s="58" t="n">
        <f aca="false">0</f>
        <v>0</v>
      </c>
      <c r="F5215" s="58" t="n">
        <f aca="false">0</f>
        <v>0</v>
      </c>
      <c r="G5215" s="58" t="n">
        <f aca="false">0</f>
        <v>0</v>
      </c>
      <c r="H5215" s="2" t="s">
        <v>1349</v>
      </c>
    </row>
    <row r="5216" customFormat="false" ht="15" hidden="false" customHeight="false" outlineLevel="1" collapsed="false">
      <c r="A5216" s="7" t="s">
        <v>729</v>
      </c>
      <c r="B5216" s="8" t="s">
        <v>10</v>
      </c>
      <c r="C5216" s="50" t="n">
        <f aca="false">Pressupostos!$F$32</f>
        <v>1100000</v>
      </c>
      <c r="D5216" s="58" t="n">
        <f aca="false">0</f>
        <v>0</v>
      </c>
      <c r="E5216" s="58" t="n">
        <f aca="false">0</f>
        <v>0</v>
      </c>
      <c r="F5216" s="58" t="n">
        <f aca="false">0</f>
        <v>0</v>
      </c>
      <c r="G5216" s="58" t="n">
        <f aca="false">0</f>
        <v>0</v>
      </c>
      <c r="H5216" s="2" t="s">
        <v>1350</v>
      </c>
    </row>
    <row r="5217" customFormat="false" ht="15" hidden="false" customHeight="false" outlineLevel="1" collapsed="false">
      <c r="A5217" s="7" t="s">
        <v>730</v>
      </c>
      <c r="B5217" s="8" t="s">
        <v>10</v>
      </c>
      <c r="C5217" s="58" t="n">
        <f aca="false">C5214+C5215+C5216+C5210</f>
        <v>262349.885044521</v>
      </c>
      <c r="D5217" s="58" t="n">
        <f aca="false">D5214+D5215+D5216+D5210</f>
        <v>-570641.348226028</v>
      </c>
      <c r="E5217" s="58" t="n">
        <f aca="false">E5214+E5215+E5216+E5210</f>
        <v>-809126.369970035</v>
      </c>
      <c r="F5217" s="58" t="n">
        <f aca="false">F5214+F5215+F5216+F5210</f>
        <v>-920333.116533966</v>
      </c>
      <c r="G5217" s="58" t="n">
        <f aca="false">G5214+G5215+G5216+G5210</f>
        <v>-959287.105642103</v>
      </c>
      <c r="H5217" s="2" t="s">
        <v>1351</v>
      </c>
    </row>
    <row r="5218" customFormat="false" ht="15" hidden="false" customHeight="false" outlineLevel="1" collapsed="false">
      <c r="A5218" s="52" t="s">
        <v>731</v>
      </c>
      <c r="B5218" s="53" t="s">
        <v>10</v>
      </c>
      <c r="C5218" s="59" t="n">
        <f aca="false">MAX(0,Pressupostos!$C$168-C5217)</f>
        <v>0</v>
      </c>
      <c r="D5218" s="59" t="n">
        <f aca="false">MAX(0,Pressupostos!$C$168-D5217)</f>
        <v>720641.348226028</v>
      </c>
      <c r="E5218" s="59" t="n">
        <f aca="false">MAX(0,Pressupostos!$C$168-E5217)</f>
        <v>959126.369970035</v>
      </c>
      <c r="F5218" s="59" t="n">
        <f aca="false">MAX(0,Pressupostos!$C$168-F5217)</f>
        <v>1070333.11653397</v>
      </c>
      <c r="G5218" s="59" t="n">
        <f aca="false">MAX(0,Pressupostos!$C$168-G5217)</f>
        <v>1109287.1056421</v>
      </c>
      <c r="H5218" s="2" t="s">
        <v>1352</v>
      </c>
    </row>
    <row r="5219" customFormat="false" ht="15" hidden="false" customHeight="false" outlineLevel="1" collapsed="false">
      <c r="A5219" s="52" t="s">
        <v>732</v>
      </c>
      <c r="B5219" s="53" t="s">
        <v>10</v>
      </c>
      <c r="C5219" s="59" t="n">
        <f aca="false">C5217+C5218</f>
        <v>262349.885044521</v>
      </c>
      <c r="D5219" s="59" t="n">
        <f aca="false">D5217+D5218</f>
        <v>150000</v>
      </c>
      <c r="E5219" s="59" t="n">
        <f aca="false">E5217+E5218</f>
        <v>150000</v>
      </c>
      <c r="F5219" s="59" t="n">
        <f aca="false">F5217+F5218</f>
        <v>150000</v>
      </c>
      <c r="G5219" s="59" t="n">
        <f aca="false">G5217+G5218</f>
        <v>150000</v>
      </c>
      <c r="H5219" s="2" t="s">
        <v>1353</v>
      </c>
    </row>
    <row r="5220" customFormat="false" ht="15" hidden="false" customHeight="false" outlineLevel="1" collapsed="false">
      <c r="A5220" s="7" t="s">
        <v>733</v>
      </c>
      <c r="B5220" s="8" t="s">
        <v>10</v>
      </c>
      <c r="C5220" s="58" t="n">
        <f aca="false">C5195+C5198+C5197</f>
        <v>11753.7205479452</v>
      </c>
      <c r="D5220" s="58" t="n">
        <f aca="false">D5195+D5198+D5197</f>
        <v>110350.983818493</v>
      </c>
      <c r="E5220" s="58" t="n">
        <f aca="false">E5195+E5198+E5197</f>
        <v>199710.227311644</v>
      </c>
      <c r="F5220" s="58" t="n">
        <f aca="false">F5195+F5198+F5197</f>
        <v>337447.533390411</v>
      </c>
      <c r="G5220" s="58" t="n">
        <f aca="false">G5195+G5198+G5197</f>
        <v>496601.815068493</v>
      </c>
      <c r="H5220" s="2" t="s">
        <v>1354</v>
      </c>
    </row>
    <row r="5221" customFormat="false" ht="15" hidden="false" customHeight="false" outlineLevel="1" collapsed="false">
      <c r="A5221" s="7" t="s">
        <v>734</v>
      </c>
      <c r="B5221" s="8" t="s">
        <v>10</v>
      </c>
      <c r="C5221" s="58" t="n">
        <f aca="false">C5219+C5220</f>
        <v>274103.605592466</v>
      </c>
      <c r="D5221" s="58" t="n">
        <f aca="false">D5219+D5220</f>
        <v>260350.983818493</v>
      </c>
      <c r="E5221" s="58" t="n">
        <f aca="false">E5219+E5220</f>
        <v>349710.227311644</v>
      </c>
      <c r="F5221" s="58" t="n">
        <f aca="false">F5219+F5220</f>
        <v>487447.533390411</v>
      </c>
      <c r="G5221" s="58" t="n">
        <f aca="false">G5219+G5220</f>
        <v>646601.815068493</v>
      </c>
      <c r="H5221" s="2" t="s">
        <v>1355</v>
      </c>
    </row>
    <row r="5222" customFormat="false" ht="15" hidden="false" customHeight="false" outlineLevel="1" collapsed="false">
      <c r="A5222" s="7" t="s">
        <v>735</v>
      </c>
      <c r="B5222" s="8" t="s">
        <v>10</v>
      </c>
      <c r="C5222" s="58" t="n">
        <f aca="false">C5216+C5218</f>
        <v>1100000</v>
      </c>
      <c r="D5222" s="58" t="n">
        <f aca="false">C5222+D5216+D5218</f>
        <v>1820641.34822603</v>
      </c>
      <c r="E5222" s="58" t="n">
        <f aca="false">D5222+E5216+E5218</f>
        <v>2779767.71819606</v>
      </c>
      <c r="F5222" s="58" t="n">
        <f aca="false">E5222+F5216+F5218</f>
        <v>3850100.83473003</v>
      </c>
      <c r="G5222" s="58" t="n">
        <f aca="false">F5222+G5216+G5218</f>
        <v>4959387.94037213</v>
      </c>
      <c r="H5222" s="2" t="s">
        <v>1356</v>
      </c>
    </row>
    <row r="5223" customFormat="false" ht="15" hidden="false" customHeight="false" outlineLevel="0" collapsed="false">
      <c r="A5223" s="3" t="s">
        <v>1357</v>
      </c>
      <c r="B5223" s="4"/>
      <c r="C5223" s="4"/>
      <c r="D5223" s="4"/>
      <c r="E5223" s="4"/>
      <c r="F5223" s="4"/>
      <c r="G5223" s="4"/>
      <c r="H5223" s="4"/>
    </row>
    <row r="5224" customFormat="false" ht="15" hidden="false" customHeight="false" outlineLevel="1" collapsed="false">
      <c r="A5224" s="7" t="s">
        <v>739</v>
      </c>
      <c r="B5224" s="8" t="s">
        <v>10</v>
      </c>
      <c r="C5224" s="68" t="n">
        <f aca="false">Pressupostos!$C$157+Pressupostos!$C$158+Pressupostos!$C$159+Pressupostos!$C$160+Pressupostos!$C$161</f>
        <v>95000</v>
      </c>
      <c r="H5224" s="2" t="s">
        <v>1358</v>
      </c>
    </row>
    <row r="5225" customFormat="false" ht="15" hidden="false" customHeight="false" outlineLevel="1" collapsed="false">
      <c r="A5225" s="7" t="s">
        <v>740</v>
      </c>
      <c r="B5225" s="8" t="s">
        <v>10</v>
      </c>
      <c r="C5225" s="69" t="n">
        <f aca="false">Pressupostos!$C$106</f>
        <v>50000</v>
      </c>
      <c r="H5225" s="2" t="s">
        <v>1359</v>
      </c>
    </row>
    <row r="5226" customFormat="false" ht="15" hidden="false" customHeight="false" outlineLevel="1" collapsed="false">
      <c r="A5226" s="7" t="s">
        <v>312</v>
      </c>
      <c r="B5226" s="8" t="s">
        <v>10</v>
      </c>
      <c r="C5226" s="69" t="n">
        <f aca="false">Pressupostos!$C$168</f>
        <v>150000</v>
      </c>
      <c r="H5226" s="2" t="s">
        <v>1360</v>
      </c>
    </row>
    <row r="5227" customFormat="false" ht="15" hidden="false" customHeight="false" outlineLevel="1" collapsed="false">
      <c r="A5227" s="7" t="s">
        <v>741</v>
      </c>
      <c r="B5227" s="8" t="s">
        <v>10</v>
      </c>
      <c r="C5227" s="68" t="n">
        <f aca="false">MAX(0,-MIN($C$5211:$G$5211))</f>
        <v>4664387.94037213</v>
      </c>
      <c r="H5227" s="2" t="s">
        <v>1361</v>
      </c>
    </row>
    <row r="5228" customFormat="false" ht="15" hidden="false" customHeight="false" outlineLevel="1" collapsed="false">
      <c r="A5228" s="52" t="s">
        <v>14</v>
      </c>
      <c r="B5228" s="53" t="s">
        <v>10</v>
      </c>
      <c r="C5228" s="70" t="n">
        <f aca="false">C5224+C5225+C5226+C5227</f>
        <v>4959387.94037213</v>
      </c>
      <c r="H5228" s="2" t="s">
        <v>1362</v>
      </c>
    </row>
    <row r="5229" customFormat="false" ht="15" hidden="false" customHeight="false" outlineLevel="1" collapsed="false">
      <c r="A5229" s="7" t="s">
        <v>742</v>
      </c>
      <c r="B5229" s="8" t="s">
        <v>18</v>
      </c>
      <c r="C5229" s="71" t="n">
        <f aca="false">INDEX($C$4968:$G$4968,1,MATCH(MIN($C$5211:$G$5211),$C$5211:$G$5211,0))</f>
        <v>2031</v>
      </c>
      <c r="H5229" s="2" t="s">
        <v>1363</v>
      </c>
    </row>
    <row r="5230" customFormat="false" ht="15" hidden="false" customHeight="false" outlineLevel="1" collapsed="false">
      <c r="A5230" s="7" t="s">
        <v>743</v>
      </c>
      <c r="B5230" s="8"/>
      <c r="C5230" s="72" t="str">
        <f aca="false">IF(G5210&lt;0,"sim","não")</f>
        <v>sim</v>
      </c>
      <c r="H5230" s="2" t="s">
        <v>1364</v>
      </c>
    </row>
    <row r="5231" customFormat="false" ht="15" hidden="false" customHeight="false" outlineLevel="1" collapsed="false">
      <c r="A5231" s="7" t="s">
        <v>744</v>
      </c>
      <c r="B5231" s="8" t="s">
        <v>10</v>
      </c>
      <c r="C5231" s="68" t="n">
        <f aca="false">G5222</f>
        <v>4959387.94037213</v>
      </c>
      <c r="H5231" s="2" t="s">
        <v>1365</v>
      </c>
    </row>
    <row r="5232" customFormat="false" ht="15" hidden="false" customHeight="false" outlineLevel="0" collapsed="false">
      <c r="A5232" s="3" t="s">
        <v>1366</v>
      </c>
      <c r="B5232" s="4"/>
      <c r="C5232" s="4"/>
      <c r="D5232" s="4"/>
      <c r="E5232" s="4"/>
      <c r="F5232" s="4"/>
      <c r="G5232" s="4"/>
      <c r="H5232" s="4"/>
    </row>
    <row r="5233" customFormat="false" ht="15" hidden="false" customHeight="false" outlineLevel="1" collapsed="false">
      <c r="A5233" s="7" t="s">
        <v>746</v>
      </c>
      <c r="B5233" s="8" t="s">
        <v>10</v>
      </c>
      <c r="C5233" s="68" t="n">
        <f aca="false">C5224+C5225</f>
        <v>145000</v>
      </c>
      <c r="H5233" s="2" t="s">
        <v>1367</v>
      </c>
    </row>
    <row r="5234" customFormat="false" ht="15" hidden="false" customHeight="false" outlineLevel="1" collapsed="false">
      <c r="A5234" s="7" t="s">
        <v>747</v>
      </c>
      <c r="B5234" s="8" t="s">
        <v>10</v>
      </c>
      <c r="C5234" s="68" t="n">
        <f aca="false">-SUMPRODUCT(($C$4968:$G$4968&lt;=C5229)*$C$5167:$G$5167)</f>
        <v>4188498.04311186</v>
      </c>
      <c r="H5234" s="2" t="s">
        <v>1368</v>
      </c>
    </row>
    <row r="5235" customFormat="false" ht="15" hidden="false" customHeight="false" outlineLevel="1" collapsed="false">
      <c r="A5235" s="7" t="s">
        <v>407</v>
      </c>
      <c r="B5235" s="8" t="s">
        <v>10</v>
      </c>
      <c r="C5235" s="68" t="n">
        <f aca="false">SUMPRODUCT(($C$4968:$G$4968&lt;=C5229)*$C$5152:$G$5152)</f>
        <v>250000</v>
      </c>
      <c r="H5235" s="2" t="s">
        <v>1369</v>
      </c>
    </row>
    <row r="5236" customFormat="false" ht="15" hidden="false" customHeight="false" outlineLevel="1" collapsed="false">
      <c r="A5236" s="7" t="s">
        <v>748</v>
      </c>
      <c r="B5236" s="8" t="s">
        <v>10</v>
      </c>
      <c r="C5236" s="68" t="n">
        <f aca="false">SUMPRODUCT(($C$4968:$G$4968&lt;=C5229)*$C$5182:$G$5182)</f>
        <v>0</v>
      </c>
      <c r="H5236" s="2" t="s">
        <v>1370</v>
      </c>
    </row>
    <row r="5237" customFormat="false" ht="15" hidden="false" customHeight="false" outlineLevel="1" collapsed="false">
      <c r="A5237" s="7" t="s">
        <v>749</v>
      </c>
      <c r="B5237" s="8" t="s">
        <v>10</v>
      </c>
      <c r="C5237" s="68" t="n">
        <f aca="false">C5227-C5234-C5235-C5236</f>
        <v>225889.897260274</v>
      </c>
      <c r="H5237" s="2" t="s">
        <v>1371</v>
      </c>
    </row>
    <row r="5238" customFormat="false" ht="15" hidden="false" customHeight="false" outlineLevel="1" collapsed="false">
      <c r="A5238" s="7" t="s">
        <v>312</v>
      </c>
      <c r="B5238" s="8" t="s">
        <v>10</v>
      </c>
      <c r="C5238" s="68" t="n">
        <f aca="false">C5226</f>
        <v>150000</v>
      </c>
      <c r="H5238" s="2" t="s">
        <v>1372</v>
      </c>
    </row>
    <row r="5239" customFormat="false" ht="15" hidden="false" customHeight="false" outlineLevel="1" collapsed="false">
      <c r="A5239" s="52" t="s">
        <v>750</v>
      </c>
      <c r="B5239" s="53" t="s">
        <v>10</v>
      </c>
      <c r="C5239" s="70" t="n">
        <f aca="false">C5233+C5234+C5235+C5236+C5237+C5238</f>
        <v>4959387.94037213</v>
      </c>
      <c r="H5239" s="2" t="s">
        <v>1373</v>
      </c>
    </row>
    <row r="5240" customFormat="false" ht="15" hidden="false" customHeight="false" outlineLevel="0" collapsed="false">
      <c r="A5240" s="3" t="s">
        <v>1374</v>
      </c>
      <c r="B5240" s="4"/>
      <c r="C5240" s="4"/>
      <c r="D5240" s="4"/>
      <c r="E5240" s="4"/>
      <c r="F5240" s="4"/>
      <c r="G5240" s="4"/>
      <c r="H5240" s="4"/>
    </row>
    <row r="5241" customFormat="false" ht="15" hidden="false" customHeight="false" outlineLevel="1" collapsed="false">
      <c r="A5241" s="7" t="s">
        <v>729</v>
      </c>
      <c r="B5241" s="8" t="s">
        <v>10</v>
      </c>
      <c r="C5241" s="69" t="n">
        <f aca="false">Pressupostos!$F$32</f>
        <v>1100000</v>
      </c>
      <c r="H5241" s="2" t="s">
        <v>1375</v>
      </c>
    </row>
    <row r="5242" customFormat="false" ht="15" hidden="false" customHeight="false" outlineLevel="1" collapsed="false">
      <c r="A5242" s="7" t="s">
        <v>752</v>
      </c>
      <c r="B5242" s="8" t="s">
        <v>10</v>
      </c>
      <c r="C5242" s="68" t="n">
        <f aca="false">C5224+Pressupostos!$C$106+Pressupostos!$C$128/12*((C5128-C5116-C5117+(C5116+C5117)/Pressupostos!$C$126*Pressupostos!$C$127)*(1+Pressupostos!$C$122+Pressupostos!$C$123)+C5114*Pressupostos!$C$124+C5147)+C5152+MAX(0,Pressupostos!$C$181*1000*(C4987+C4990)+Pressupostos!$C$182*1000*(C5010+C5013)-Pressupostos!$C$106)</f>
        <v>631746.666666667</v>
      </c>
      <c r="H5242" s="2" t="s">
        <v>1376</v>
      </c>
    </row>
    <row r="5243" customFormat="false" ht="15" hidden="false" customHeight="false" outlineLevel="1" collapsed="false">
      <c r="A5243" s="7" t="s">
        <v>754</v>
      </c>
      <c r="B5243" s="8" t="s">
        <v>10</v>
      </c>
      <c r="C5243" s="68" t="n">
        <f aca="false">C5224+Pressupostos!$C$106-C5210</f>
        <v>837650.11495548</v>
      </c>
      <c r="H5243" s="2" t="s">
        <v>1377</v>
      </c>
    </row>
    <row r="5244" customFormat="false" ht="15" hidden="false" customHeight="false" outlineLevel="1" collapsed="false">
      <c r="A5244" s="7" t="s">
        <v>755</v>
      </c>
      <c r="B5244" s="8" t="s">
        <v>10</v>
      </c>
      <c r="C5244" s="58" t="n">
        <f aca="false">Pressupostos!$F$32-C5224-Pressupostos!$C$106+C5211</f>
        <v>262349.885044521</v>
      </c>
      <c r="D5244" s="58" t="n">
        <f aca="false">Pressupostos!$F$32-C5224-Pressupostos!$C$106+D5211</f>
        <v>-570641.348226028</v>
      </c>
      <c r="E5244" s="58" t="n">
        <f aca="false">Pressupostos!$F$32-C5224-Pressupostos!$C$106+E5211</f>
        <v>-1529767.71819606</v>
      </c>
      <c r="F5244" s="58" t="n">
        <f aca="false">Pressupostos!$F$32-C5224-Pressupostos!$C$106+F5211</f>
        <v>-2600100.83473003</v>
      </c>
      <c r="G5244" s="58" t="n">
        <f aca="false">Pressupostos!$F$32-C5224-Pressupostos!$C$106+G5211</f>
        <v>-3709387.94037213</v>
      </c>
      <c r="H5244" s="2" t="s">
        <v>1378</v>
      </c>
    </row>
    <row r="5245" customFormat="false" ht="15" hidden="false" customHeight="false" outlineLevel="1" collapsed="false">
      <c r="A5245" s="7" t="s">
        <v>756</v>
      </c>
      <c r="B5245" s="8" t="s">
        <v>16</v>
      </c>
      <c r="C5245" s="73" t="str">
        <f aca="false">IF(AND(Pressupostos!$F$32-C5224-Pressupostos!$C$106&gt;0,C5244&lt;=0),12*(Pressupostos!$F$32-C5224-Pressupostos!$C$106)/(Pressupostos!$F$32-C5224-Pressupostos!$C$106-C5244),"")</f>
        <v/>
      </c>
      <c r="D5245" s="73" t="n">
        <f aca="false">IF(AND(C5244&gt;0,D5244&lt;=0),12+12*C5244/(C5244-D5244),"")</f>
        <v>15.7793898600512</v>
      </c>
      <c r="E5245" s="73" t="str">
        <f aca="false">IF(AND(D5244&gt;0,E5244&lt;=0),24+12*D5244/(D5244-E5244),"")</f>
        <v/>
      </c>
      <c r="F5245" s="73" t="str">
        <f aca="false">IF(AND(E5244&gt;0,F5244&lt;=0),36+12*E5244/(E5244-F5244),"")</f>
        <v/>
      </c>
      <c r="G5245" s="73" t="str">
        <f aca="false">IF(AND(F5244&gt;0,G5244&lt;=0),48+12*F5244/(F5244-G5244),"")</f>
        <v/>
      </c>
      <c r="H5245" s="2" t="s">
        <v>1379</v>
      </c>
    </row>
    <row r="5246" customFormat="false" ht="15" hidden="false" customHeight="false" outlineLevel="1" collapsed="false">
      <c r="A5246" s="52" t="s">
        <v>757</v>
      </c>
      <c r="B5246" s="53" t="s">
        <v>264</v>
      </c>
      <c r="C5246" s="74" t="n">
        <f aca="false">IF(COUNT($C$5245:$G$5245)=0,"&gt; 60",MIN($C$5245:$G$5245))</f>
        <v>15.7793898600512</v>
      </c>
      <c r="H5246" s="2" t="s">
        <v>1380</v>
      </c>
    </row>
    <row r="5247" customFormat="false" ht="15" hidden="false" customHeight="false" outlineLevel="0" collapsed="false">
      <c r="A5247" s="3" t="s">
        <v>1381</v>
      </c>
      <c r="B5247" s="4"/>
      <c r="C5247" s="4"/>
      <c r="D5247" s="4"/>
      <c r="E5247" s="4"/>
      <c r="F5247" s="4"/>
      <c r="G5247" s="4"/>
      <c r="H5247" s="4"/>
    </row>
    <row r="5248" customFormat="false" ht="15" hidden="false" customHeight="false" outlineLevel="1" collapsed="false">
      <c r="A5248" s="7" t="s">
        <v>759</v>
      </c>
      <c r="B5248" s="8" t="s">
        <v>16</v>
      </c>
      <c r="C5248" s="73" t="str">
        <f aca="false">IF(C5167&gt;=0,1,"")</f>
        <v/>
      </c>
      <c r="D5248" s="73" t="str">
        <f aca="false">IF(AND(C5167&lt;0,D5167&gt;=0),6.5+12*(-C5167)/(D5167-C5167),"")</f>
        <v/>
      </c>
      <c r="E5248" s="73" t="str">
        <f aca="false">IF(AND(D5167&lt;0,E5167&gt;=0),18.5+12*(-D5167)/(E5167-D5167),"")</f>
        <v/>
      </c>
      <c r="F5248" s="73" t="str">
        <f aca="false">IF(AND(E5167&lt;0,F5167&gt;=0),30.5+12*(-E5167)/(F5167-E5167),"")</f>
        <v/>
      </c>
      <c r="G5248" s="73" t="str">
        <f aca="false">IF(AND(F5167&lt;0,G5167&gt;=0),42.5+12*(-F5167)/(G5167-F5167),"")</f>
        <v/>
      </c>
      <c r="H5248" s="2" t="s">
        <v>1382</v>
      </c>
    </row>
    <row r="5249" customFormat="false" ht="15" hidden="false" customHeight="false" outlineLevel="1" collapsed="false">
      <c r="A5249" s="7" t="s">
        <v>760</v>
      </c>
      <c r="B5249" s="8" t="s">
        <v>16</v>
      </c>
      <c r="C5249" s="75" t="str">
        <f aca="false">IF(COUNT($C$5248:$G$5248)=0,"não atinge até 2031",ROUNDUP(MIN($C$5248:$G$5248),0))</f>
        <v>não atinge até 2031</v>
      </c>
      <c r="H5249" s="2" t="s">
        <v>1383</v>
      </c>
    </row>
    <row r="5250" customFormat="false" ht="15" hidden="false" customHeight="false" outlineLevel="1" collapsed="false">
      <c r="A5250" s="52" t="s">
        <v>761</v>
      </c>
      <c r="B5250" s="53" t="s">
        <v>762</v>
      </c>
      <c r="C5250" s="76" t="str">
        <f aca="false">IF(ISNUMBER(C5249),DATE(2027,C5249,1),"não atinge até 2031")</f>
        <v>não atinge até 2031</v>
      </c>
      <c r="H5250" s="2" t="s">
        <v>1384</v>
      </c>
    </row>
    <row r="5251" customFormat="false" ht="15" hidden="false" customHeight="false" outlineLevel="1" collapsed="false">
      <c r="A5251" s="7" t="s">
        <v>763</v>
      </c>
      <c r="B5251" s="8" t="s">
        <v>18</v>
      </c>
      <c r="C5251" s="77" t="str">
        <f aca="false">IF(C5167&gt;=0,C4968,"")</f>
        <v/>
      </c>
      <c r="D5251" s="77" t="str">
        <f aca="false">IF(D5167&gt;=0,D4968,"")</f>
        <v/>
      </c>
      <c r="E5251" s="77" t="str">
        <f aca="false">IF(E5167&gt;=0,E4968,"")</f>
        <v/>
      </c>
      <c r="F5251" s="77" t="str">
        <f aca="false">IF(F5167&gt;=0,F4968,"")</f>
        <v/>
      </c>
      <c r="G5251" s="77" t="str">
        <f aca="false">IF(G5167&gt;=0,G4968,"")</f>
        <v/>
      </c>
      <c r="H5251" s="2" t="s">
        <v>1385</v>
      </c>
    </row>
    <row r="5252" customFormat="false" ht="15" hidden="false" customHeight="false" outlineLevel="1" collapsed="false">
      <c r="A5252" s="7" t="s">
        <v>764</v>
      </c>
      <c r="B5252" s="8" t="s">
        <v>18</v>
      </c>
      <c r="C5252" s="71" t="str">
        <f aca="false">IF(COUNT($C$5251:$G$5251)=0,"não atinge até 2031",MIN($C$5251:$G$5251))</f>
        <v>não atinge até 2031</v>
      </c>
      <c r="H5252" s="2" t="s">
        <v>1386</v>
      </c>
    </row>
    <row r="5253" customFormat="false" ht="15" hidden="false" customHeight="false" outlineLevel="1" collapsed="false">
      <c r="A5253" s="7" t="s">
        <v>765</v>
      </c>
      <c r="B5253" s="8" t="s">
        <v>18</v>
      </c>
      <c r="C5253" s="77" t="str">
        <f aca="false">IF(C5185&gt;=0,C4968,"")</f>
        <v/>
      </c>
      <c r="D5253" s="77" t="str">
        <f aca="false">IF(D5185&gt;=0,D4968,"")</f>
        <v/>
      </c>
      <c r="E5253" s="77" t="str">
        <f aca="false">IF(E5185&gt;=0,E4968,"")</f>
        <v/>
      </c>
      <c r="F5253" s="77" t="str">
        <f aca="false">IF(F5185&gt;=0,F4968,"")</f>
        <v/>
      </c>
      <c r="G5253" s="77" t="str">
        <f aca="false">IF(G5185&gt;=0,G4968,"")</f>
        <v/>
      </c>
      <c r="H5253" s="2" t="s">
        <v>1387</v>
      </c>
    </row>
    <row r="5254" customFormat="false" ht="15" hidden="false" customHeight="false" outlineLevel="1" collapsed="false">
      <c r="A5254" s="7" t="s">
        <v>766</v>
      </c>
      <c r="B5254" s="8" t="s">
        <v>18</v>
      </c>
      <c r="C5254" s="71" t="str">
        <f aca="false">IF(COUNT($C$5253:$G$5253)=0,"não atinge até 2031",MIN($C$5253:$G$5253))</f>
        <v>não atinge até 2031</v>
      </c>
      <c r="H5254" s="2" t="s">
        <v>1388</v>
      </c>
    </row>
    <row r="5255" customFormat="false" ht="15" hidden="false" customHeight="false" outlineLevel="1" collapsed="false">
      <c r="A5255" s="7" t="s">
        <v>767</v>
      </c>
      <c r="B5255" s="8" t="s">
        <v>18</v>
      </c>
      <c r="C5255" s="77" t="str">
        <f aca="false">IF(C5210&gt;=0,C4968,"")</f>
        <v/>
      </c>
      <c r="D5255" s="77" t="str">
        <f aca="false">IF(D5210&gt;=0,D4968,"")</f>
        <v/>
      </c>
      <c r="E5255" s="77" t="str">
        <f aca="false">IF(E5210&gt;=0,E4968,"")</f>
        <v/>
      </c>
      <c r="F5255" s="77" t="str">
        <f aca="false">IF(F5210&gt;=0,F4968,"")</f>
        <v/>
      </c>
      <c r="G5255" s="77" t="str">
        <f aca="false">IF(G5210&gt;=0,G4968,"")</f>
        <v/>
      </c>
      <c r="H5255" s="2" t="s">
        <v>1389</v>
      </c>
    </row>
    <row r="5256" customFormat="false" ht="15" hidden="false" customHeight="false" outlineLevel="1" collapsed="false">
      <c r="A5256" s="7" t="s">
        <v>17</v>
      </c>
      <c r="B5256" s="8" t="s">
        <v>18</v>
      </c>
      <c r="C5256" s="71" t="str">
        <f aca="false">IF(COUNT($C$5255:$G$5255)=0,"não atinge até 2031",MIN($C$5255:$G$5255))</f>
        <v>não atinge até 2031</v>
      </c>
      <c r="H5256" s="2" t="s">
        <v>1390</v>
      </c>
    </row>
    <row r="5257" customFormat="false" ht="15" hidden="false" customHeight="false" outlineLevel="0" collapsed="false">
      <c r="A5257" s="3" t="s">
        <v>1391</v>
      </c>
      <c r="B5257" s="4"/>
      <c r="C5257" s="4"/>
      <c r="D5257" s="4"/>
      <c r="E5257" s="4"/>
      <c r="F5257" s="4"/>
      <c r="G5257" s="4"/>
      <c r="H5257" s="4"/>
    </row>
    <row r="5258" customFormat="false" ht="15" hidden="false" customHeight="false" outlineLevel="1" collapsed="false">
      <c r="A5258" s="7" t="s">
        <v>769</v>
      </c>
      <c r="B5258" s="8" t="s">
        <v>10</v>
      </c>
      <c r="C5258" s="58" t="n">
        <f aca="false">C5193</f>
        <v>0</v>
      </c>
      <c r="D5258" s="58" t="n">
        <f aca="false">D5193</f>
        <v>374592.313356164</v>
      </c>
      <c r="E5258" s="58" t="n">
        <f aca="false">E5193</f>
        <v>798840.909246575</v>
      </c>
      <c r="F5258" s="58" t="n">
        <f aca="false">F5193</f>
        <v>1349790.13356164</v>
      </c>
      <c r="G5258" s="58" t="n">
        <f aca="false">G5193</f>
        <v>1986407.26027397</v>
      </c>
      <c r="H5258" s="2" t="s">
        <v>1392</v>
      </c>
    </row>
    <row r="5259" customFormat="false" ht="15" hidden="false" customHeight="false" outlineLevel="1" collapsed="false">
      <c r="A5259" s="7" t="s">
        <v>487</v>
      </c>
      <c r="B5259" s="8" t="s">
        <v>71</v>
      </c>
      <c r="C5259" s="78" t="n">
        <f aca="false">Pressupostos!$C$285</f>
        <v>0.08</v>
      </c>
      <c r="D5259" s="78" t="n">
        <f aca="false">Pressupostos!$D$285</f>
        <v>0.08</v>
      </c>
      <c r="E5259" s="78" t="n">
        <f aca="false">Pressupostos!$E$285</f>
        <v>0.075</v>
      </c>
      <c r="F5259" s="78" t="n">
        <f aca="false">Pressupostos!$F$285</f>
        <v>0.07</v>
      </c>
      <c r="G5259" s="78" t="n">
        <f aca="false">Pressupostos!$G$285</f>
        <v>0.07</v>
      </c>
      <c r="H5259" s="2" t="s">
        <v>1393</v>
      </c>
    </row>
    <row r="5260" customFormat="false" ht="15" hidden="false" customHeight="false" outlineLevel="1" collapsed="false">
      <c r="A5260" s="7" t="s">
        <v>770</v>
      </c>
      <c r="B5260" s="8" t="s">
        <v>71</v>
      </c>
      <c r="C5260" s="56" t="n">
        <f aca="false">Pressupostos!$C$285*(1-Pressupostos!$C$109)</f>
        <v>0.0576</v>
      </c>
      <c r="D5260" s="56" t="n">
        <f aca="false">Pressupostos!$D$285*(1-Pressupostos!$C$109)</f>
        <v>0.0576</v>
      </c>
      <c r="E5260" s="56" t="n">
        <f aca="false">Pressupostos!$E$285*(1-Pressupostos!$C$109)</f>
        <v>0.054</v>
      </c>
      <c r="F5260" s="56" t="n">
        <f aca="false">Pressupostos!$F$285*(1-Pressupostos!$C$109)</f>
        <v>0.0504</v>
      </c>
      <c r="G5260" s="56" t="n">
        <f aca="false">Pressupostos!$G$285*(1-Pressupostos!$C$109)</f>
        <v>0.0504</v>
      </c>
      <c r="H5260" s="2" t="s">
        <v>1394</v>
      </c>
    </row>
    <row r="5261" customFormat="false" ht="15" hidden="false" customHeight="false" outlineLevel="1" collapsed="false">
      <c r="A5261" s="7" t="s">
        <v>771</v>
      </c>
      <c r="B5261" s="8" t="s">
        <v>10</v>
      </c>
      <c r="C5261" s="58" t="n">
        <f aca="false">C5099</f>
        <v>0</v>
      </c>
      <c r="D5261" s="58" t="n">
        <f aca="false">D5099</f>
        <v>28248.7962328767</v>
      </c>
      <c r="E5261" s="58" t="n">
        <f aca="false">E5099</f>
        <v>55819.2636986301</v>
      </c>
      <c r="F5261" s="58" t="n">
        <f aca="false">F5099</f>
        <v>87994.2251712329</v>
      </c>
      <c r="G5261" s="58" t="n">
        <f aca="false">G5099</f>
        <v>129589.59760274</v>
      </c>
      <c r="H5261" s="2" t="s">
        <v>1395</v>
      </c>
    </row>
    <row r="5262" customFormat="false" ht="15" hidden="false" customHeight="false" outlineLevel="1" collapsed="false">
      <c r="A5262" s="7" t="s">
        <v>772</v>
      </c>
      <c r="B5262" s="8" t="s">
        <v>71</v>
      </c>
      <c r="C5262" s="55" t="n">
        <f aca="false">IF(C5193&gt;0,(C5196+C5198)/C5193,0)</f>
        <v>0</v>
      </c>
      <c r="D5262" s="55" t="n">
        <f aca="false">IF(D5193&gt;0,(D5196+D5198)/D5193,0)</f>
        <v>0.138888888888889</v>
      </c>
      <c r="E5262" s="55" t="n">
        <f aca="false">IF(E5193&gt;0,(E5196+E5198)/E5193,0)</f>
        <v>0.138888888888889</v>
      </c>
      <c r="F5262" s="55" t="n">
        <f aca="false">IF(F5193&gt;0,(F5196+F5198)/F5193,0)</f>
        <v>0.138888888888889</v>
      </c>
      <c r="G5262" s="55" t="n">
        <f aca="false">IF(G5193&gt;0,(G5196+G5198)/G5193,0)</f>
        <v>0.138888888888889</v>
      </c>
      <c r="H5262" s="2" t="s">
        <v>1396</v>
      </c>
    </row>
    <row r="5263" customFormat="false" ht="15" hidden="false" customHeight="false" outlineLevel="1" collapsed="false">
      <c r="A5263" s="7" t="s">
        <v>773</v>
      </c>
      <c r="B5263" s="8" t="s">
        <v>115</v>
      </c>
      <c r="C5263" s="58" t="n">
        <f aca="false">C5199</f>
        <v>0</v>
      </c>
      <c r="D5263" s="58" t="n">
        <f aca="false">D5199</f>
        <v>7.49184626712329</v>
      </c>
      <c r="E5263" s="58" t="n">
        <f aca="false">E5199</f>
        <v>15.9768181849315</v>
      </c>
      <c r="F5263" s="58" t="n">
        <f aca="false">F5199</f>
        <v>26.9958026712329</v>
      </c>
      <c r="G5263" s="58" t="n">
        <f aca="false">G5199</f>
        <v>39.7281452054794</v>
      </c>
      <c r="H5263" s="2" t="s">
        <v>1397</v>
      </c>
    </row>
    <row r="5264" customFormat="false" ht="15" hidden="false" customHeight="false" outlineLevel="0" collapsed="false">
      <c r="A5264" s="3" t="s">
        <v>1398</v>
      </c>
      <c r="B5264" s="4"/>
      <c r="C5264" s="4"/>
      <c r="D5264" s="4"/>
      <c r="E5264" s="4"/>
      <c r="F5264" s="4"/>
      <c r="G5264" s="4"/>
      <c r="H5264" s="4"/>
    </row>
    <row r="5265" customFormat="false" ht="15" hidden="false" customHeight="false" outlineLevel="1" collapsed="false">
      <c r="A5265" s="7" t="s">
        <v>775</v>
      </c>
      <c r="B5265" s="8" t="s">
        <v>10</v>
      </c>
      <c r="C5265" s="58" t="n">
        <f aca="false">MAX(0,-C5167)</f>
        <v>603650.11495548</v>
      </c>
      <c r="D5265" s="58" t="n">
        <f aca="false">MAX(0,-D5167)</f>
        <v>768261.61760274</v>
      </c>
      <c r="E5265" s="58" t="n">
        <f aca="false">MAX(0,-E5167)</f>
        <v>872905.859353597</v>
      </c>
      <c r="F5265" s="58" t="n">
        <f aca="false">MAX(0,-F5167)</f>
        <v>956812.390934651</v>
      </c>
      <c r="G5265" s="58" t="n">
        <f aca="false">MAX(0,-G5167)</f>
        <v>986868.060265391</v>
      </c>
      <c r="H5265" s="2" t="s">
        <v>1399</v>
      </c>
    </row>
    <row r="5266" customFormat="false" ht="15" hidden="false" customHeight="false" outlineLevel="1" collapsed="false">
      <c r="A5266" s="2" t="s">
        <v>776</v>
      </c>
      <c r="B5266" s="8"/>
      <c r="C5266" s="58" t="n">
        <f aca="false">IF(AND(C4968&gt;=Pressupostos!$C$118,Pressupostos!$C$116*(C5056+C5057)+Pressupostos!$C$117*C5058&gt;Pressupostos!$C$297),1,0)</f>
        <v>0</v>
      </c>
      <c r="D5266" s="58" t="n">
        <f aca="false">IF(AND(D4968&gt;=Pressupostos!$C$118,Pressupostos!$C$116*(D5056+D5057)+Pressupostos!$C$117*D5058&gt;Pressupostos!$D$297),1,0)</f>
        <v>1</v>
      </c>
      <c r="E5266" s="58" t="n">
        <f aca="false">IF(AND(E4968&gt;=Pressupostos!$C$118,Pressupostos!$C$116*(E5056+E5057)+Pressupostos!$C$117*E5058&gt;Pressupostos!$E$297),1,0)</f>
        <v>1</v>
      </c>
      <c r="F5266" s="58" t="n">
        <f aca="false">IF(AND(F4968&gt;=Pressupostos!$C$118,Pressupostos!$C$116*(F5056+F5057)+Pressupostos!$C$117*F5058&gt;Pressupostos!$F$297),1,0)</f>
        <v>1</v>
      </c>
      <c r="G5266" s="58" t="n">
        <f aca="false">IF(AND(G4968&gt;=Pressupostos!$C$118,Pressupostos!$C$116*(G5056+G5057)+Pressupostos!$C$117*G5058&gt;Pressupostos!$G$297),1,0)</f>
        <v>1</v>
      </c>
      <c r="H5266" s="2" t="s">
        <v>1400</v>
      </c>
    </row>
    <row r="5267" customFormat="false" ht="15" hidden="false" customHeight="false" outlineLevel="1" collapsed="false">
      <c r="A5267" s="7" t="s">
        <v>777</v>
      </c>
      <c r="B5267" s="8" t="s">
        <v>59</v>
      </c>
      <c r="C5267" s="60" t="n">
        <f aca="false">IF(C4972&gt;0,C5265/(C4972*1000*(1-Pressupostos!$F$22)*(1-Pressupostos!$F$25-C5266*Pressupostos!$C$116)),"n/a")</f>
        <v>11.643586817288</v>
      </c>
      <c r="D5267" s="60" t="n">
        <f aca="false">IF(D4972&gt;0,D5265/(D4972*1000*(1-Pressupostos!$F$22)*(1-Pressupostos!$F$25-D5266*Pressupostos!$C$116)),"n/a")</f>
        <v>2.13134258709795</v>
      </c>
      <c r="E5267" s="60" t="n">
        <f aca="false">IF(E4972&gt;0,E5265/(E4972*1000*(1-Pressupostos!$F$22)*(1-Pressupostos!$F$25-E5266*Pressupostos!$C$116)),"n/a")</f>
        <v>1.22602409243168</v>
      </c>
      <c r="F5267" s="60" t="n">
        <f aca="false">IF(F4972&gt;0,F5265/(F4972*1000*(1-Pressupostos!$F$22)*(1-Pressupostos!$F$25-F5266*Pressupostos!$C$116)),"n/a")</f>
        <v>0.814503205391801</v>
      </c>
      <c r="G5267" s="60" t="n">
        <f aca="false">IF(G4972&gt;0,G5265/(G4972*1000*(1-Pressupostos!$F$22)*(1-Pressupostos!$F$25-G5266*Pressupostos!$C$116)),"n/a")</f>
        <v>0.555209404527441</v>
      </c>
      <c r="H5267" s="2" t="s">
        <v>1401</v>
      </c>
    </row>
    <row r="5268" customFormat="false" ht="15" hidden="false" customHeight="false" outlineLevel="1" collapsed="false">
      <c r="A5268" s="7" t="s">
        <v>778</v>
      </c>
      <c r="B5268" s="8" t="s">
        <v>59</v>
      </c>
      <c r="C5268" s="60" t="n">
        <f aca="false">IF(C4971&gt;0,(Pressupostos!$F$15*(1+Pressupostos!$C$195))+C5265/(C4971*1000*(1-Pressupostos!$F$16)*(1-Pressupostos!$F$18-C5266*Pressupostos!$C$116)),"n/a")</f>
        <v>86.4891433908982</v>
      </c>
      <c r="D5268" s="60" t="n">
        <f aca="false">IF(D4971&gt;0,(Pressupostos!$F$15*(1+Pressupostos!$C$195))+D5265/(D4971*1000*(1-Pressupostos!$F$16)*(1-Pressupostos!$F$18-D5266*Pressupostos!$C$116)),"n/a")</f>
        <v>32.2405360781342</v>
      </c>
      <c r="E5268" s="60" t="n">
        <f aca="false">IF(E4971&gt;0,(Pressupostos!$F$15*(1+Pressupostos!$C$195))+E5265/(E4971*1000*(1-Pressupostos!$F$16)*(1-Pressupostos!$F$18-E5266*Pressupostos!$C$116)),"n/a")</f>
        <v>16.1474673476444</v>
      </c>
      <c r="F5268" s="60" t="n">
        <f aca="false">IF(F4971&gt;0,(Pressupostos!$F$15*(1+Pressupostos!$C$195))+F5265/(F4971*1000*(1-Pressupostos!$F$16)*(1-Pressupostos!$F$18-F5266*Pressupostos!$C$116)),"n/a")</f>
        <v>11.6833694352323</v>
      </c>
      <c r="G5268" s="60" t="n">
        <f aca="false">IF(G4971&gt;0,(Pressupostos!$F$15*(1+Pressupostos!$C$195))+G5265/(G4971*1000*(1-Pressupostos!$F$16)*(1-Pressupostos!$F$18-G5266*Pressupostos!$C$116)),"n/a")</f>
        <v>9.60290744992139</v>
      </c>
      <c r="H5268" s="2" t="s">
        <v>1402</v>
      </c>
    </row>
    <row r="5269" customFormat="false" ht="15" hidden="false" customHeight="false" outlineLevel="1" collapsed="false">
      <c r="A5269" s="7" t="s">
        <v>779</v>
      </c>
      <c r="B5269" s="8" t="s">
        <v>59</v>
      </c>
      <c r="C5269" s="60" t="n">
        <f aca="false">C5052-C5266*Pressupostos!$C$117*C5035</f>
        <v>0.0672486301369868</v>
      </c>
      <c r="D5269" s="60" t="n">
        <f aca="false">D5052-D5266*Pressupostos!$C$117*D5035</f>
        <v>0.0439253424657541</v>
      </c>
      <c r="E5269" s="60" t="n">
        <f aca="false">E5052-E5266*Pressupostos!$C$117*E5035</f>
        <v>0.0450580479452059</v>
      </c>
      <c r="F5269" s="60" t="n">
        <f aca="false">F5052-F5266*Pressupostos!$C$117*F5035</f>
        <v>0.0461907534246578</v>
      </c>
      <c r="G5269" s="60" t="n">
        <f aca="false">G5052-G5266*Pressupostos!$C$117*G5035</f>
        <v>0.0461907534246578</v>
      </c>
      <c r="H5269" s="2" t="s">
        <v>1403</v>
      </c>
    </row>
    <row r="5270" customFormat="false" ht="15" hidden="false" customHeight="false" outlineLevel="1" collapsed="false">
      <c r="A5270" s="7" t="s">
        <v>780</v>
      </c>
      <c r="B5270" s="8" t="s">
        <v>112</v>
      </c>
      <c r="C5270" s="57" t="n">
        <f aca="false">IF(C5269&gt;0,C4973+C5265/(C5269*1000),"n/a")</f>
        <v>8976.39273433276</v>
      </c>
      <c r="D5270" s="57" t="n">
        <f aca="false">IF(D5269&gt;0,D4973+D5265/(D5269*1000),"n/a")</f>
        <v>17990.1679640109</v>
      </c>
      <c r="E5270" s="57" t="n">
        <f aca="false">IF(E5269&gt;0,E4973+E5265/(E5269*1000),"n/a")</f>
        <v>20872.9178062733</v>
      </c>
      <c r="F5270" s="57" t="n">
        <f aca="false">IF(F5269&gt;0,F4973+F5265/(F5269*1000),"n/a")</f>
        <v>23214.3707342925</v>
      </c>
      <c r="G5270" s="57" t="n">
        <f aca="false">IF(G5269&gt;0,G4973+G5265/(G5269*1000),"n/a")</f>
        <v>24865.0565772884</v>
      </c>
      <c r="H5270" s="2" t="s">
        <v>1404</v>
      </c>
    </row>
    <row r="5271" customFormat="false" ht="15" hidden="false" customHeight="false" outlineLevel="1" collapsed="false">
      <c r="A5271" s="7" t="s">
        <v>781</v>
      </c>
      <c r="B5271" s="8" t="s">
        <v>71</v>
      </c>
      <c r="C5271" s="55" t="n">
        <f aca="false">C5265/(C5131+C5144+C5145)</f>
        <v>1.00328587272061</v>
      </c>
      <c r="D5271" s="55" t="n">
        <f aca="false">D5265/(D5131+D5144+D5145)</f>
        <v>1.01052706999656</v>
      </c>
      <c r="E5271" s="55" t="n">
        <f aca="false">E5265/(E5131+E5144+E5145)</f>
        <v>0.957229849422376</v>
      </c>
      <c r="F5271" s="55" t="n">
        <f aca="false">F5265/(F5131+F5144+F5145)</f>
        <v>0.901193171538582</v>
      </c>
      <c r="G5271" s="55" t="n">
        <f aca="false">G5265/(G5131+G5144+G5145)</f>
        <v>0.84630082385581</v>
      </c>
      <c r="H5271" s="2" t="s">
        <v>1405</v>
      </c>
    </row>
    <row r="5272" customFormat="false" ht="15" hidden="false" customHeight="false" outlineLevel="1" collapsed="false">
      <c r="A5272" s="2" t="s">
        <v>782</v>
      </c>
      <c r="B5272" s="8" t="s">
        <v>71</v>
      </c>
      <c r="C5272" s="56" t="n">
        <f aca="false">Pressupostos!$C$99*Pressupostos!$C$100+Pressupostos!$C$101-Pressupostos!$F$30*Pressupostos!$C$102*Pressupostos!$C$100/(Pressupostos!$C$103*Pressupostos!$C$104)</f>
        <v>0.02</v>
      </c>
      <c r="D5272" s="56" t="n">
        <f aca="false">Pressupostos!$C$99*Pressupostos!$C$100+Pressupostos!$C$101-Pressupostos!$F$30*Pressupostos!$C$102*Pressupostos!$C$100/(Pressupostos!$C$103*Pressupostos!$C$104)</f>
        <v>0.02</v>
      </c>
      <c r="E5272" s="56" t="n">
        <f aca="false">Pressupostos!$C$99*Pressupostos!$C$100+Pressupostos!$C$101-Pressupostos!$F$30*Pressupostos!$C$102*Pressupostos!$C$100/(Pressupostos!$C$103*Pressupostos!$C$104)</f>
        <v>0.02</v>
      </c>
      <c r="F5272" s="56" t="n">
        <f aca="false">Pressupostos!$C$99*Pressupostos!$C$100+Pressupostos!$C$101-Pressupostos!$F$30*Pressupostos!$C$102*Pressupostos!$C$100/(Pressupostos!$C$103*Pressupostos!$C$104)</f>
        <v>0.02</v>
      </c>
      <c r="G5272" s="56" t="n">
        <f aca="false">Pressupostos!$C$99*Pressupostos!$C$100+Pressupostos!$C$101-Pressupostos!$F$30*Pressupostos!$C$102*Pressupostos!$C$100/(Pressupostos!$C$103*Pressupostos!$C$104)</f>
        <v>0.02</v>
      </c>
      <c r="H5272" s="2" t="s">
        <v>1406</v>
      </c>
    </row>
    <row r="5273" customFormat="false" ht="15" hidden="false" customHeight="false" outlineLevel="1" collapsed="false">
      <c r="A5273" s="7" t="s">
        <v>783</v>
      </c>
      <c r="B5273" s="8" t="s">
        <v>10</v>
      </c>
      <c r="C5273" s="58" t="n">
        <f aca="false">IF(C5272&gt;0,C4984+C5265/C5272,"n/a")</f>
        <v>30182505.747774</v>
      </c>
      <c r="D5273" s="58" t="n">
        <f aca="false">IF(D5272&gt;0,D4984+D5265/D5272,"n/a")</f>
        <v>38913080.880137</v>
      </c>
      <c r="E5273" s="58" t="n">
        <f aca="false">IF(E5272&gt;0,E4984+E5265/E5272,"n/a")</f>
        <v>45145292.9676798</v>
      </c>
      <c r="F5273" s="58" t="n">
        <f aca="false">IF(F5272&gt;0,F4984+F5265/F5272,"n/a")</f>
        <v>50840619.5467325</v>
      </c>
      <c r="G5273" s="58" t="n">
        <f aca="false">IF(G5272&gt;0,G4984+G5265/G5272,"n/a")</f>
        <v>54343403.0132695</v>
      </c>
      <c r="H5273" s="2" t="s">
        <v>1407</v>
      </c>
    </row>
    <row r="5276" customFormat="false" ht="15" hidden="false" customHeight="false" outlineLevel="0" collapsed="false">
      <c r="A5276" s="104" t="s">
        <v>1424</v>
      </c>
      <c r="B5276" s="105"/>
      <c r="C5276" s="105"/>
      <c r="D5276" s="105"/>
      <c r="E5276" s="105"/>
      <c r="F5276" s="105"/>
      <c r="G5276" s="105"/>
      <c r="H5276" s="105"/>
    </row>
    <row r="5277" customFormat="false" ht="15" hidden="false" customHeight="false" outlineLevel="0" collapsed="false">
      <c r="A5277" s="3" t="s">
        <v>1102</v>
      </c>
      <c r="B5277" s="4"/>
      <c r="C5277" s="4"/>
      <c r="D5277" s="4"/>
      <c r="E5277" s="4"/>
      <c r="F5277" s="4"/>
      <c r="G5277" s="4"/>
      <c r="H5277" s="4"/>
    </row>
    <row r="5278" customFormat="false" ht="15" hidden="false" customHeight="false" outlineLevel="1" collapsed="false">
      <c r="A5278" s="7" t="s">
        <v>557</v>
      </c>
      <c r="B5278" s="8"/>
      <c r="C5278" s="49" t="n">
        <v>2027</v>
      </c>
      <c r="D5278" s="49" t="n">
        <v>2028</v>
      </c>
      <c r="E5278" s="49" t="n">
        <v>2029</v>
      </c>
      <c r="F5278" s="49" t="n">
        <v>2030</v>
      </c>
      <c r="G5278" s="49" t="n">
        <v>2031</v>
      </c>
      <c r="H5278" s="2" t="s">
        <v>18</v>
      </c>
    </row>
    <row r="5279" customFormat="false" ht="15" hidden="false" customHeight="false" outlineLevel="0" collapsed="false">
      <c r="A5279" s="3" t="s">
        <v>1103</v>
      </c>
      <c r="B5279" s="4"/>
      <c r="C5279" s="4"/>
      <c r="D5279" s="4"/>
      <c r="E5279" s="4"/>
      <c r="F5279" s="4"/>
      <c r="G5279" s="4"/>
      <c r="H5279" s="4"/>
    </row>
    <row r="5280" customFormat="false" ht="15" hidden="false" customHeight="false" outlineLevel="1" collapsed="false">
      <c r="A5280" s="7" t="s">
        <v>372</v>
      </c>
      <c r="B5280" s="8" t="s">
        <v>115</v>
      </c>
      <c r="C5280" s="58" t="n">
        <f aca="false">(Pressupostos!$C$210*(1+Pressupostos!$C$193))</f>
        <v>52</v>
      </c>
      <c r="D5280" s="58" t="n">
        <f aca="false">(Pressupostos!$D$210*(1+Pressupostos!$C$193))</f>
        <v>195</v>
      </c>
      <c r="E5280" s="58" t="n">
        <f aca="false">(Pressupostos!$E$210*(1+Pressupostos!$C$193))</f>
        <v>520</v>
      </c>
      <c r="F5280" s="58" t="n">
        <f aca="false">(Pressupostos!$F$210*(1+Pressupostos!$C$193))</f>
        <v>910</v>
      </c>
      <c r="G5280" s="58" t="n">
        <f aca="false">(Pressupostos!$G$210*(1+Pressupostos!$C$193))</f>
        <v>1300</v>
      </c>
      <c r="H5280" s="2" t="s">
        <v>1104</v>
      </c>
    </row>
    <row r="5281" customFormat="false" ht="15" hidden="false" customHeight="false" outlineLevel="1" collapsed="false">
      <c r="A5281" s="7" t="s">
        <v>559</v>
      </c>
      <c r="B5281" s="8" t="s">
        <v>112</v>
      </c>
      <c r="C5281" s="57" t="n">
        <f aca="false">(Pressupostos!$C$216*(1+Pressupostos!$C$193))</f>
        <v>10.66</v>
      </c>
      <c r="D5281" s="57" t="n">
        <f aca="false">(Pressupostos!$D$216*(1+Pressupostos!$C$193))</f>
        <v>39.975</v>
      </c>
      <c r="E5281" s="57" t="n">
        <f aca="false">(Pressupostos!$E$216*(1+Pressupostos!$C$193))</f>
        <v>106.6</v>
      </c>
      <c r="F5281" s="57" t="n">
        <f aca="false">(Pressupostos!$F$216*(1+Pressupostos!$C$193))</f>
        <v>186.55</v>
      </c>
      <c r="G5281" s="57" t="n">
        <f aca="false">(Pressupostos!$G$216*(1+Pressupostos!$C$193))</f>
        <v>266.5</v>
      </c>
      <c r="H5281" s="2" t="s">
        <v>1105</v>
      </c>
    </row>
    <row r="5282" customFormat="false" ht="15" hidden="false" customHeight="false" outlineLevel="1" collapsed="false">
      <c r="A5282" s="7" t="s">
        <v>560</v>
      </c>
      <c r="B5282" s="8" t="s">
        <v>112</v>
      </c>
      <c r="C5282" s="57" t="n">
        <f aca="false">(Pressupostos!$C$222*(1+Pressupostos!$C$193))</f>
        <v>67.6</v>
      </c>
      <c r="D5282" s="57" t="n">
        <f aca="false">(Pressupostos!$D$222*(1+Pressupostos!$C$193))</f>
        <v>471.9</v>
      </c>
      <c r="E5282" s="57" t="n">
        <f aca="false">(Pressupostos!$E$222*(1+Pressupostos!$C$193))</f>
        <v>932.1</v>
      </c>
      <c r="F5282" s="57" t="n">
        <f aca="false">(Pressupostos!$F$222*(1+Pressupostos!$C$193))</f>
        <v>1537.9</v>
      </c>
      <c r="G5282" s="57" t="n">
        <f aca="false">(Pressupostos!$G$222*(1+Pressupostos!$C$193))</f>
        <v>2327</v>
      </c>
      <c r="H5282" s="2" t="s">
        <v>1106</v>
      </c>
    </row>
    <row r="5283" customFormat="false" ht="15" hidden="false" customHeight="false" outlineLevel="1" collapsed="false">
      <c r="A5283" s="7" t="s">
        <v>383</v>
      </c>
      <c r="B5283" s="8" t="s">
        <v>112</v>
      </c>
      <c r="C5283" s="57" t="n">
        <f aca="false">(Pressupostos!$C$228*(1+Pressupostos!$C$193))</f>
        <v>0</v>
      </c>
      <c r="D5283" s="57" t="n">
        <f aca="false">(Pressupostos!$D$228*(1+Pressupostos!$C$193))</f>
        <v>650</v>
      </c>
      <c r="E5283" s="57" t="n">
        <f aca="false">(Pressupostos!$E$228*(1+Pressupostos!$C$193))</f>
        <v>1950</v>
      </c>
      <c r="F5283" s="57" t="n">
        <f aca="false">(Pressupostos!$F$228*(1+Pressupostos!$C$193))</f>
        <v>3250</v>
      </c>
      <c r="G5283" s="57" t="n">
        <f aca="false">(Pressupostos!$G$228*(1+Pressupostos!$C$193))</f>
        <v>4550</v>
      </c>
      <c r="H5283" s="2" t="s">
        <v>1107</v>
      </c>
    </row>
    <row r="5284" customFormat="false" ht="15" hidden="false" customHeight="false" outlineLevel="1" collapsed="false">
      <c r="A5284" s="52" t="s">
        <v>561</v>
      </c>
      <c r="B5284" s="53" t="s">
        <v>112</v>
      </c>
      <c r="C5284" s="54" t="n">
        <f aca="false">C5281+C5282+C5283</f>
        <v>78.26</v>
      </c>
      <c r="D5284" s="54" t="n">
        <f aca="false">D5281+D5282+D5283</f>
        <v>1161.875</v>
      </c>
      <c r="E5284" s="54" t="n">
        <f aca="false">E5281+E5282+E5283</f>
        <v>2988.7</v>
      </c>
      <c r="F5284" s="54" t="n">
        <f aca="false">F5281+F5282+F5283</f>
        <v>4974.45</v>
      </c>
      <c r="G5284" s="54" t="n">
        <f aca="false">G5281+G5282+G5283</f>
        <v>7143.5</v>
      </c>
      <c r="H5284" s="2" t="s">
        <v>1108</v>
      </c>
    </row>
    <row r="5285" customFormat="false" ht="15" hidden="false" customHeight="false" outlineLevel="1" collapsed="false">
      <c r="A5285" s="7" t="s">
        <v>562</v>
      </c>
      <c r="B5285" s="8" t="s">
        <v>71</v>
      </c>
      <c r="C5285" s="55" t="n">
        <f aca="false">IF(C5284&gt;0,C5281/C5284,0)</f>
        <v>0.136212624584718</v>
      </c>
      <c r="D5285" s="55" t="n">
        <f aca="false">IF(D5284&gt;0,D5281/D5284,0)</f>
        <v>0.0344055944055944</v>
      </c>
      <c r="E5285" s="55" t="n">
        <f aca="false">IF(E5284&gt;0,E5281/E5284,0)</f>
        <v>0.035667681600696</v>
      </c>
      <c r="F5285" s="55" t="n">
        <f aca="false">IF(F5284&gt;0,F5281/F5284,0)</f>
        <v>0.0375016333464001</v>
      </c>
      <c r="G5285" s="55" t="n">
        <f aca="false">IF(G5284&gt;0,G5281/G5284,0)</f>
        <v>0.0373066424021838</v>
      </c>
      <c r="H5285" s="2" t="s">
        <v>1109</v>
      </c>
    </row>
    <row r="5286" customFormat="false" ht="15" hidden="false" customHeight="false" outlineLevel="1" collapsed="false">
      <c r="A5286" s="7" t="s">
        <v>563</v>
      </c>
      <c r="B5286" s="8" t="s">
        <v>71</v>
      </c>
      <c r="C5286" s="56" t="n">
        <f aca="false">C5284/(Pressupostos!$C$74*1000)</f>
        <v>0.0004472</v>
      </c>
      <c r="D5286" s="56" t="n">
        <f aca="false">D5284/(Pressupostos!$C$74*1000)</f>
        <v>0.00663928571428571</v>
      </c>
      <c r="E5286" s="56" t="n">
        <f aca="false">E5284/(Pressupostos!$C$74*1000)</f>
        <v>0.0170782857142857</v>
      </c>
      <c r="F5286" s="56" t="n">
        <f aca="false">F5284/(Pressupostos!$C$74*1000)</f>
        <v>0.0284254285714286</v>
      </c>
      <c r="G5286" s="56" t="n">
        <f aca="false">G5284/(Pressupostos!$C$74*1000)</f>
        <v>0.04082</v>
      </c>
      <c r="H5286" s="2" t="s">
        <v>1110</v>
      </c>
    </row>
    <row r="5287" customFormat="false" ht="15" hidden="false" customHeight="false" outlineLevel="1" collapsed="false">
      <c r="A5287" s="7" t="s">
        <v>564</v>
      </c>
      <c r="B5287" s="8" t="s">
        <v>115</v>
      </c>
      <c r="C5287" s="57" t="n">
        <f aca="false">C5281/Pressupostos!$C$39+C5282/Pressupostos!$C$46+C5283/Pressupostos!$C$58</f>
        <v>2.78633333333333</v>
      </c>
      <c r="D5287" s="57" t="n">
        <f aca="false">D5281/Pressupostos!$C$39+D5282/Pressupostos!$C$46+D5283/Pressupostos!$C$58</f>
        <v>24.22875</v>
      </c>
      <c r="E5287" s="57" t="n">
        <f aca="false">E5281/Pressupostos!$C$39+E5282/Pressupostos!$C$46+E5283/Pressupostos!$C$58</f>
        <v>55.9</v>
      </c>
      <c r="F5287" s="57" t="n">
        <f aca="false">F5281/Pressupostos!$C$39+F5282/Pressupostos!$C$46+F5283/Pressupostos!$C$58</f>
        <v>93.0908333333333</v>
      </c>
      <c r="G5287" s="57" t="n">
        <f aca="false">G5281/Pressupostos!$C$39+G5282/Pressupostos!$C$46+G5283/Pressupostos!$C$58</f>
        <v>136.391666666667</v>
      </c>
      <c r="H5287" s="2" t="s">
        <v>1111</v>
      </c>
    </row>
    <row r="5288" customFormat="false" ht="15" hidden="false" customHeight="false" outlineLevel="0" collapsed="false">
      <c r="A5288" s="3" t="s">
        <v>1112</v>
      </c>
      <c r="B5288" s="4"/>
      <c r="C5288" s="4"/>
      <c r="D5288" s="4"/>
      <c r="E5288" s="4"/>
      <c r="F5288" s="4"/>
      <c r="G5288" s="4"/>
      <c r="H5288" s="4"/>
    </row>
    <row r="5289" customFormat="false" ht="15" hidden="false" customHeight="false" outlineLevel="1" collapsed="false">
      <c r="A5289" s="7" t="s">
        <v>566</v>
      </c>
      <c r="B5289" s="8" t="s">
        <v>192</v>
      </c>
      <c r="C5289" s="58" t="n">
        <f aca="false">(Pressupostos!$C$254*(1+Pressupostos!$C$193))</f>
        <v>46.8</v>
      </c>
      <c r="D5289" s="58" t="n">
        <f aca="false">(Pressupostos!$D$254*(1+Pressupostos!$C$193))</f>
        <v>175.5</v>
      </c>
      <c r="E5289" s="58" t="n">
        <f aca="false">(Pressupostos!$E$254*(1+Pressupostos!$C$193))</f>
        <v>468</v>
      </c>
      <c r="F5289" s="58" t="n">
        <f aca="false">(Pressupostos!$F$254*(1+Pressupostos!$C$193))</f>
        <v>819</v>
      </c>
      <c r="G5289" s="58" t="n">
        <f aca="false">(Pressupostos!$G$254*(1+Pressupostos!$C$193))</f>
        <v>1170</v>
      </c>
      <c r="H5289" s="2" t="s">
        <v>1113</v>
      </c>
    </row>
    <row r="5290" customFormat="false" ht="15" hidden="false" customHeight="false" outlineLevel="1" collapsed="false">
      <c r="A5290" s="7" t="s">
        <v>566</v>
      </c>
      <c r="B5290" s="8" t="s">
        <v>179</v>
      </c>
      <c r="C5290" s="58" t="n">
        <f aca="false">C5289*Pressupostos!$C$76</f>
        <v>35100</v>
      </c>
      <c r="D5290" s="58" t="n">
        <f aca="false">D5289*Pressupostos!$C$76</f>
        <v>131625</v>
      </c>
      <c r="E5290" s="58" t="n">
        <f aca="false">E5289*Pressupostos!$C$76</f>
        <v>351000</v>
      </c>
      <c r="F5290" s="58" t="n">
        <f aca="false">F5289*Pressupostos!$C$76</f>
        <v>614250</v>
      </c>
      <c r="G5290" s="58" t="n">
        <f aca="false">G5289*Pressupostos!$C$76</f>
        <v>877500</v>
      </c>
      <c r="H5290" s="2" t="s">
        <v>1114</v>
      </c>
    </row>
    <row r="5291" customFormat="false" ht="15" hidden="false" customHeight="false" outlineLevel="0" collapsed="false">
      <c r="A5291" s="3" t="s">
        <v>1115</v>
      </c>
      <c r="B5291" s="4"/>
      <c r="C5291" s="4"/>
      <c r="D5291" s="4"/>
      <c r="E5291" s="4"/>
      <c r="F5291" s="4"/>
      <c r="G5291" s="4"/>
      <c r="H5291" s="4"/>
    </row>
    <row r="5292" customFormat="false" ht="15" hidden="false" customHeight="false" outlineLevel="1" collapsed="false">
      <c r="A5292" s="7" t="s">
        <v>568</v>
      </c>
      <c r="B5292" s="8" t="s">
        <v>112</v>
      </c>
      <c r="C5292" s="57" t="n">
        <f aca="false">IF(C5278&lt;Pressupostos!$F$28,0,(Pressupostos!$C$260*(1+Pressupostos!$C$193)))</f>
        <v>0</v>
      </c>
      <c r="D5292" s="57" t="n">
        <f aca="false">IF(D5278&lt;Pressupostos!$F$28,0,(Pressupostos!$D$260*(1+Pressupostos!$C$193)))</f>
        <v>0</v>
      </c>
      <c r="E5292" s="57" t="n">
        <f aca="false">IF(E5278&lt;Pressupostos!$F$28,0,(Pressupostos!$E$260*(1+Pressupostos!$C$193)))</f>
        <v>0</v>
      </c>
      <c r="F5292" s="57" t="n">
        <f aca="false">IF(F5278&lt;Pressupostos!$F$28,0,(Pressupostos!$F$260*(1+Pressupostos!$C$193)))</f>
        <v>26</v>
      </c>
      <c r="G5292" s="57" t="n">
        <f aca="false">IF(G5278&lt;Pressupostos!$F$28,0,(Pressupostos!$G$260*(1+Pressupostos!$C$193)))</f>
        <v>65</v>
      </c>
      <c r="H5292" s="2" t="s">
        <v>1116</v>
      </c>
    </row>
    <row r="5293" customFormat="false" ht="15" hidden="false" customHeight="false" outlineLevel="0" collapsed="false">
      <c r="A5293" s="3" t="s">
        <v>1117</v>
      </c>
      <c r="B5293" s="4"/>
      <c r="C5293" s="4"/>
      <c r="D5293" s="4"/>
      <c r="E5293" s="4"/>
      <c r="F5293" s="4"/>
      <c r="G5293" s="4"/>
      <c r="H5293" s="4"/>
    </row>
    <row r="5294" customFormat="false" ht="15" hidden="false" customHeight="false" outlineLevel="1" collapsed="false">
      <c r="A5294" s="7" t="s">
        <v>570</v>
      </c>
      <c r="B5294" s="8" t="s">
        <v>10</v>
      </c>
      <c r="C5294" s="58" t="n">
        <f aca="false">(Pressupostos!$C$265)</f>
        <v>0</v>
      </c>
      <c r="D5294" s="58" t="n">
        <f aca="false">(Pressupostos!$D$265)</f>
        <v>1000000</v>
      </c>
      <c r="E5294" s="58" t="n">
        <f aca="false">(Pressupostos!$E$265)</f>
        <v>3000000</v>
      </c>
      <c r="F5294" s="58" t="n">
        <f aca="false">(Pressupostos!$F$265)</f>
        <v>6000000</v>
      </c>
      <c r="G5294" s="58" t="n">
        <f aca="false">(Pressupostos!$G$265)</f>
        <v>10000000</v>
      </c>
      <c r="H5294" s="2" t="s">
        <v>1118</v>
      </c>
    </row>
    <row r="5295" customFormat="false" ht="15" hidden="false" customHeight="false" outlineLevel="1" collapsed="false">
      <c r="A5295" s="7" t="s">
        <v>571</v>
      </c>
      <c r="B5295" s="8" t="s">
        <v>112</v>
      </c>
      <c r="C5295" s="57" t="n">
        <f aca="false">C5294/(Pressupostos!$C$103*Pressupostos!$C$104)*Pressupostos!$C$100/1000</f>
        <v>0</v>
      </c>
      <c r="D5295" s="57" t="n">
        <f aca="false">D5294/(Pressupostos!$C$103*Pressupostos!$C$104)*Pressupostos!$C$100/1000</f>
        <v>914.285714285714</v>
      </c>
      <c r="E5295" s="57" t="n">
        <f aca="false">E5294/(Pressupostos!$C$103*Pressupostos!$C$104)*Pressupostos!$C$100/1000</f>
        <v>2742.85714285714</v>
      </c>
      <c r="F5295" s="57" t="n">
        <f aca="false">F5294/(Pressupostos!$C$103*Pressupostos!$C$104)*Pressupostos!$C$100/1000</f>
        <v>5485.71428571429</v>
      </c>
      <c r="G5295" s="57" t="n">
        <f aca="false">G5294/(Pressupostos!$C$103*Pressupostos!$C$104)*Pressupostos!$C$100/1000</f>
        <v>9142.85714285714</v>
      </c>
      <c r="H5295" s="2" t="s">
        <v>1119</v>
      </c>
    </row>
    <row r="5296" customFormat="false" ht="15" hidden="false" customHeight="false" outlineLevel="0" collapsed="false">
      <c r="A5296" s="3" t="s">
        <v>1120</v>
      </c>
      <c r="B5296" s="4"/>
      <c r="C5296" s="4"/>
      <c r="D5296" s="4"/>
      <c r="E5296" s="4"/>
      <c r="F5296" s="4"/>
      <c r="G5296" s="4"/>
      <c r="H5296" s="4"/>
    </row>
    <row r="5297" customFormat="false" ht="15" hidden="false" customHeight="false" outlineLevel="1" collapsed="false">
      <c r="A5297" s="7" t="s">
        <v>633</v>
      </c>
      <c r="B5297" s="8" t="s">
        <v>59</v>
      </c>
      <c r="C5297" s="60" t="n">
        <f aca="false">Pressupostos!$F$10+Pressupostos!$F$11</f>
        <v>3.65</v>
      </c>
      <c r="D5297" s="60" t="n">
        <f aca="false">Pressupostos!$F$10+Pressupostos!$F$11</f>
        <v>3.65</v>
      </c>
      <c r="E5297" s="60" t="n">
        <f aca="false">Pressupostos!$F$10+Pressupostos!$F$11</f>
        <v>3.65</v>
      </c>
      <c r="F5297" s="60" t="n">
        <f aca="false">Pressupostos!$F$10+Pressupostos!$F$11</f>
        <v>3.65</v>
      </c>
      <c r="G5297" s="60" t="n">
        <f aca="false">Pressupostos!$F$10+Pressupostos!$F$11</f>
        <v>3.65</v>
      </c>
      <c r="H5297" s="2" t="s">
        <v>1121</v>
      </c>
    </row>
    <row r="5298" customFormat="false" ht="15" hidden="false" customHeight="false" outlineLevel="1" collapsed="false">
      <c r="A5298" s="7" t="s">
        <v>634</v>
      </c>
      <c r="B5298" s="8" t="s">
        <v>59</v>
      </c>
      <c r="C5298" s="63" t="n">
        <f aca="false">Pressupostos!$F$15</f>
        <v>6</v>
      </c>
      <c r="D5298" s="63" t="n">
        <f aca="false">Pressupostos!$F$15</f>
        <v>6</v>
      </c>
      <c r="E5298" s="63" t="n">
        <f aca="false">Pressupostos!$F$15</f>
        <v>6</v>
      </c>
      <c r="F5298" s="63" t="n">
        <f aca="false">Pressupostos!$F$15</f>
        <v>6</v>
      </c>
      <c r="G5298" s="63" t="n">
        <f aca="false">Pressupostos!$F$15</f>
        <v>6</v>
      </c>
      <c r="H5298" s="2" t="s">
        <v>1122</v>
      </c>
    </row>
    <row r="5299" customFormat="false" ht="15" hidden="false" customHeight="false" outlineLevel="1" collapsed="false">
      <c r="A5299" s="52" t="s">
        <v>635</v>
      </c>
      <c r="B5299" s="53" t="s">
        <v>59</v>
      </c>
      <c r="C5299" s="64" t="n">
        <f aca="false">C5298*(1-Pressupostos!$F$16)</f>
        <v>5.4</v>
      </c>
      <c r="D5299" s="64" t="n">
        <f aca="false">D5298*(1-Pressupostos!$F$16)</f>
        <v>5.4</v>
      </c>
      <c r="E5299" s="64" t="n">
        <f aca="false">E5298*(1-Pressupostos!$F$16)</f>
        <v>5.4</v>
      </c>
      <c r="F5299" s="64" t="n">
        <f aca="false">F5298*(1-Pressupostos!$F$16)</f>
        <v>5.4</v>
      </c>
      <c r="G5299" s="64" t="n">
        <f aca="false">G5298*(1-Pressupostos!$F$16)</f>
        <v>5.4</v>
      </c>
      <c r="H5299" s="2" t="s">
        <v>1123</v>
      </c>
    </row>
    <row r="5300" customFormat="false" ht="15" hidden="false" customHeight="false" outlineLevel="1" collapsed="false">
      <c r="A5300" s="7" t="s">
        <v>136</v>
      </c>
      <c r="B5300" s="8" t="s">
        <v>59</v>
      </c>
      <c r="C5300" s="63" t="n">
        <f aca="false">Pressupostos!$C$37</f>
        <v>0.55</v>
      </c>
      <c r="D5300" s="63" t="n">
        <f aca="false">Pressupostos!$C$37</f>
        <v>0.55</v>
      </c>
      <c r="E5300" s="63" t="n">
        <f aca="false">Pressupostos!$C$37</f>
        <v>0.55</v>
      </c>
      <c r="F5300" s="63" t="n">
        <f aca="false">Pressupostos!$C$37</f>
        <v>0.55</v>
      </c>
      <c r="G5300" s="63" t="n">
        <f aca="false">Pressupostos!$C$37</f>
        <v>0.55</v>
      </c>
      <c r="H5300" s="2" t="s">
        <v>1124</v>
      </c>
    </row>
    <row r="5301" customFormat="false" ht="15" hidden="false" customHeight="false" outlineLevel="1" collapsed="false">
      <c r="A5301" s="7" t="s">
        <v>205</v>
      </c>
      <c r="B5301" s="8" t="s">
        <v>59</v>
      </c>
      <c r="C5301" s="63" t="n">
        <f aca="false">Pressupostos!$C$235</f>
        <v>0.3</v>
      </c>
      <c r="D5301" s="63" t="n">
        <f aca="false">Pressupostos!$D$235</f>
        <v>0.3</v>
      </c>
      <c r="E5301" s="63" t="n">
        <f aca="false">Pressupostos!$E$235</f>
        <v>0.28</v>
      </c>
      <c r="F5301" s="63" t="n">
        <f aca="false">Pressupostos!$F$235</f>
        <v>0.27</v>
      </c>
      <c r="G5301" s="63" t="n">
        <f aca="false">Pressupostos!$G$235</f>
        <v>0.27</v>
      </c>
      <c r="H5301" s="2" t="s">
        <v>1125</v>
      </c>
    </row>
    <row r="5302" customFormat="false" ht="15" hidden="false" customHeight="false" outlineLevel="1" collapsed="false">
      <c r="A5302" s="7" t="s">
        <v>109</v>
      </c>
      <c r="B5302" s="8" t="s">
        <v>59</v>
      </c>
      <c r="C5302" s="63" t="n">
        <f aca="false">Pressupostos!$C$38</f>
        <v>0.06</v>
      </c>
      <c r="D5302" s="63" t="n">
        <f aca="false">Pressupostos!$C$38</f>
        <v>0.06</v>
      </c>
      <c r="E5302" s="63" t="n">
        <f aca="false">Pressupostos!$C$38</f>
        <v>0.06</v>
      </c>
      <c r="F5302" s="63" t="n">
        <f aca="false">Pressupostos!$C$38</f>
        <v>0.06</v>
      </c>
      <c r="G5302" s="63" t="n">
        <f aca="false">Pressupostos!$C$38</f>
        <v>0.06</v>
      </c>
      <c r="H5302" s="2" t="s">
        <v>1126</v>
      </c>
    </row>
    <row r="5303" customFormat="false" ht="15" hidden="false" customHeight="false" outlineLevel="1" collapsed="false">
      <c r="A5303" s="7" t="s">
        <v>86</v>
      </c>
      <c r="B5303" s="8" t="s">
        <v>74</v>
      </c>
      <c r="C5303" s="65" t="n">
        <f aca="false">Pressupostos!$C$241</f>
        <v>180</v>
      </c>
      <c r="D5303" s="65" t="n">
        <f aca="false">Pressupostos!$D$241</f>
        <v>180</v>
      </c>
      <c r="E5303" s="65" t="n">
        <f aca="false">Pressupostos!$E$241</f>
        <v>45</v>
      </c>
      <c r="F5303" s="65" t="n">
        <f aca="false">Pressupostos!$F$241</f>
        <v>45</v>
      </c>
      <c r="G5303" s="65" t="n">
        <f aca="false">Pressupostos!$G$241</f>
        <v>45</v>
      </c>
      <c r="H5303" s="2" t="s">
        <v>1127</v>
      </c>
    </row>
    <row r="5304" customFormat="false" ht="15" hidden="false" customHeight="false" outlineLevel="1" collapsed="false">
      <c r="A5304" s="7" t="s">
        <v>73</v>
      </c>
      <c r="B5304" s="8" t="s">
        <v>74</v>
      </c>
      <c r="C5304" s="65" t="n">
        <f aca="false">Pressupostos!$F$17</f>
        <v>35</v>
      </c>
      <c r="D5304" s="65" t="n">
        <f aca="false">Pressupostos!$F$17</f>
        <v>35</v>
      </c>
      <c r="E5304" s="65" t="n">
        <f aca="false">Pressupostos!$F$17</f>
        <v>35</v>
      </c>
      <c r="F5304" s="65" t="n">
        <f aca="false">Pressupostos!$F$17</f>
        <v>35</v>
      </c>
      <c r="G5304" s="65" t="n">
        <f aca="false">Pressupostos!$F$17</f>
        <v>35</v>
      </c>
      <c r="H5304" s="2" t="s">
        <v>1128</v>
      </c>
    </row>
    <row r="5305" customFormat="false" ht="15" hidden="false" customHeight="false" outlineLevel="1" collapsed="false">
      <c r="A5305" s="7" t="s">
        <v>471</v>
      </c>
      <c r="B5305" s="8" t="s">
        <v>59</v>
      </c>
      <c r="C5305" s="60" t="n">
        <f aca="false">Pressupostos!$C$64*C5303/30/1000</f>
        <v>0.024</v>
      </c>
      <c r="D5305" s="60" t="n">
        <f aca="false">Pressupostos!$C$64*D5303/30/1000</f>
        <v>0.024</v>
      </c>
      <c r="E5305" s="60" t="n">
        <f aca="false">Pressupostos!$C$64*E5303/30/1000</f>
        <v>0.006</v>
      </c>
      <c r="F5305" s="60" t="n">
        <f aca="false">Pressupostos!$C$64*F5303/30/1000</f>
        <v>0.006</v>
      </c>
      <c r="G5305" s="60" t="n">
        <f aca="false">Pressupostos!$C$64*G5303/30/1000</f>
        <v>0.006</v>
      </c>
      <c r="H5305" s="2" t="s">
        <v>1129</v>
      </c>
    </row>
    <row r="5306" customFormat="false" ht="15" hidden="false" customHeight="false" outlineLevel="1" collapsed="false">
      <c r="A5306" s="7" t="s">
        <v>154</v>
      </c>
      <c r="B5306" s="8" t="s">
        <v>59</v>
      </c>
      <c r="C5306" s="60" t="n">
        <f aca="false">C5297*Pressupostos!$C$65*C5303/365</f>
        <v>0.0036</v>
      </c>
      <c r="D5306" s="60" t="n">
        <f aca="false">D5297*Pressupostos!$C$65*D5303/365</f>
        <v>0.0036</v>
      </c>
      <c r="E5306" s="60" t="n">
        <f aca="false">E5297*Pressupostos!$C$65*E5303/365</f>
        <v>0.0009</v>
      </c>
      <c r="F5306" s="60" t="n">
        <f aca="false">F5297*Pressupostos!$C$65*F5303/365</f>
        <v>0.0009</v>
      </c>
      <c r="G5306" s="60" t="n">
        <f aca="false">G5297*Pressupostos!$C$65*G5303/365</f>
        <v>0.0009</v>
      </c>
      <c r="H5306" s="2" t="s">
        <v>1130</v>
      </c>
    </row>
    <row r="5307" customFormat="false" ht="15" hidden="false" customHeight="false" outlineLevel="1" collapsed="false">
      <c r="A5307" s="7" t="s">
        <v>636</v>
      </c>
      <c r="B5307" s="8" t="s">
        <v>59</v>
      </c>
      <c r="C5307" s="60" t="n">
        <f aca="false">Pressupostos!$C$40*Pressupostos!$C$66/(Pressupostos!$C$39*1000)</f>
        <v>0.03</v>
      </c>
      <c r="D5307" s="60" t="n">
        <f aca="false">Pressupostos!$C$40*Pressupostos!$C$66/(Pressupostos!$C$39*1000)</f>
        <v>0.03</v>
      </c>
      <c r="E5307" s="60" t="n">
        <f aca="false">Pressupostos!$C$40*Pressupostos!$C$66/(Pressupostos!$C$39*1000)</f>
        <v>0.03</v>
      </c>
      <c r="F5307" s="60" t="n">
        <f aca="false">Pressupostos!$C$40*Pressupostos!$C$66/(Pressupostos!$C$39*1000)</f>
        <v>0.03</v>
      </c>
      <c r="G5307" s="60" t="n">
        <f aca="false">Pressupostos!$C$40*Pressupostos!$C$66/(Pressupostos!$C$39*1000)</f>
        <v>0.03</v>
      </c>
      <c r="H5307" s="2" t="s">
        <v>1131</v>
      </c>
    </row>
    <row r="5308" customFormat="false" ht="15" hidden="false" customHeight="false" outlineLevel="1" collapsed="false">
      <c r="A5308" s="7" t="s">
        <v>473</v>
      </c>
      <c r="B5308" s="8" t="s">
        <v>59</v>
      </c>
      <c r="C5308" s="60" t="n">
        <f aca="false">Pressupostos!$C$67*C5297</f>
        <v>0.01825</v>
      </c>
      <c r="D5308" s="60" t="n">
        <f aca="false">Pressupostos!$C$67*D5297</f>
        <v>0.01825</v>
      </c>
      <c r="E5308" s="60" t="n">
        <f aca="false">Pressupostos!$C$67*E5297</f>
        <v>0.01825</v>
      </c>
      <c r="F5308" s="60" t="n">
        <f aca="false">Pressupostos!$C$67*F5297</f>
        <v>0.01825</v>
      </c>
      <c r="G5308" s="60" t="n">
        <f aca="false">Pressupostos!$C$67*G5297</f>
        <v>0.01825</v>
      </c>
      <c r="H5308" s="2" t="s">
        <v>1132</v>
      </c>
    </row>
    <row r="5309" customFormat="false" ht="15" hidden="false" customHeight="false" outlineLevel="1" collapsed="false">
      <c r="A5309" s="7" t="s">
        <v>474</v>
      </c>
      <c r="B5309" s="8" t="s">
        <v>59</v>
      </c>
      <c r="C5309" s="60" t="n">
        <f aca="false">Pressupostos!$C$68*Pressupostos!$C$69*C5303/90</f>
        <v>0.018</v>
      </c>
      <c r="D5309" s="60" t="n">
        <f aca="false">Pressupostos!$C$68*Pressupostos!$C$69*D5303/90</f>
        <v>0.018</v>
      </c>
      <c r="E5309" s="60" t="n">
        <f aca="false">Pressupostos!$C$68*Pressupostos!$C$69*E5303/90</f>
        <v>0.0045</v>
      </c>
      <c r="F5309" s="60" t="n">
        <f aca="false">Pressupostos!$C$68*Pressupostos!$C$69*F5303/90</f>
        <v>0.0045</v>
      </c>
      <c r="G5309" s="60" t="n">
        <f aca="false">Pressupostos!$C$68*Pressupostos!$C$69*G5303/90</f>
        <v>0.0045</v>
      </c>
      <c r="H5309" s="2" t="s">
        <v>1133</v>
      </c>
    </row>
    <row r="5310" customFormat="false" ht="15" hidden="false" customHeight="false" outlineLevel="1" collapsed="false">
      <c r="A5310" s="7" t="s">
        <v>637</v>
      </c>
      <c r="B5310" s="8" t="s">
        <v>59</v>
      </c>
      <c r="C5310" s="60" t="n">
        <f aca="false">Pressupostos!$C$41/(Pressupostos!$C$39*1000)</f>
        <v>0.1</v>
      </c>
      <c r="D5310" s="60" t="n">
        <f aca="false">Pressupostos!$C$41/(Pressupostos!$C$39*1000)</f>
        <v>0.1</v>
      </c>
      <c r="E5310" s="60" t="n">
        <f aca="false">Pressupostos!$C$41/(Pressupostos!$C$39*1000)</f>
        <v>0.1</v>
      </c>
      <c r="F5310" s="60" t="n">
        <f aca="false">Pressupostos!$C$41/(Pressupostos!$C$39*1000)</f>
        <v>0.1</v>
      </c>
      <c r="G5310" s="60" t="n">
        <f aca="false">Pressupostos!$C$41/(Pressupostos!$C$39*1000)</f>
        <v>0.1</v>
      </c>
      <c r="H5310" s="2" t="s">
        <v>1134</v>
      </c>
    </row>
    <row r="5311" customFormat="false" ht="15" hidden="false" customHeight="false" outlineLevel="1" collapsed="false">
      <c r="A5311" s="7" t="s">
        <v>131</v>
      </c>
      <c r="B5311" s="8" t="s">
        <v>59</v>
      </c>
      <c r="C5311" s="63" t="n">
        <f aca="false">Pressupostos!$C$42</f>
        <v>0.01</v>
      </c>
      <c r="D5311" s="63" t="n">
        <f aca="false">Pressupostos!$C$42</f>
        <v>0.01</v>
      </c>
      <c r="E5311" s="63" t="n">
        <f aca="false">Pressupostos!$C$42</f>
        <v>0.01</v>
      </c>
      <c r="F5311" s="63" t="n">
        <f aca="false">Pressupostos!$C$42</f>
        <v>0.01</v>
      </c>
      <c r="G5311" s="63" t="n">
        <f aca="false">Pressupostos!$C$42</f>
        <v>0.01</v>
      </c>
      <c r="H5311" s="2" t="s">
        <v>1135</v>
      </c>
    </row>
    <row r="5312" customFormat="false" ht="15" hidden="false" customHeight="false" outlineLevel="1" collapsed="false">
      <c r="A5312" s="7" t="s">
        <v>76</v>
      </c>
      <c r="B5312" s="8" t="s">
        <v>59</v>
      </c>
      <c r="C5312" s="60" t="n">
        <f aca="false">Pressupostos!$F$18*C5299</f>
        <v>0.0324</v>
      </c>
      <c r="D5312" s="60" t="n">
        <f aca="false">Pressupostos!$F$18*D5299</f>
        <v>0.0324</v>
      </c>
      <c r="E5312" s="60" t="n">
        <f aca="false">Pressupostos!$F$18*E5299</f>
        <v>0.0324</v>
      </c>
      <c r="F5312" s="60" t="n">
        <f aca="false">Pressupostos!$F$18*F5299</f>
        <v>0.0324</v>
      </c>
      <c r="G5312" s="60" t="n">
        <f aca="false">Pressupostos!$F$18*G5299</f>
        <v>0.0324</v>
      </c>
      <c r="H5312" s="2" t="s">
        <v>1136</v>
      </c>
    </row>
    <row r="5313" customFormat="false" ht="15" hidden="false" customHeight="false" outlineLevel="1" collapsed="false">
      <c r="A5313" s="7" t="s">
        <v>638</v>
      </c>
      <c r="B5313" s="8" t="s">
        <v>59</v>
      </c>
      <c r="C5313" s="60" t="n">
        <f aca="false">Pressupostos!$C$71*C5299</f>
        <v>0</v>
      </c>
      <c r="D5313" s="60" t="n">
        <f aca="false">Pressupostos!$C$71*D5299</f>
        <v>0</v>
      </c>
      <c r="E5313" s="60" t="n">
        <f aca="false">Pressupostos!$C$71*E5299</f>
        <v>0</v>
      </c>
      <c r="F5313" s="60" t="n">
        <f aca="false">Pressupostos!$C$71*F5299</f>
        <v>0</v>
      </c>
      <c r="G5313" s="60" t="n">
        <f aca="false">Pressupostos!$C$71*G5299</f>
        <v>0</v>
      </c>
      <c r="H5313" s="2" t="s">
        <v>1137</v>
      </c>
    </row>
    <row r="5314" customFormat="false" ht="15" hidden="false" customHeight="false" outlineLevel="1" collapsed="false">
      <c r="A5314" s="7" t="s">
        <v>639</v>
      </c>
      <c r="B5314" s="8" t="s">
        <v>59</v>
      </c>
      <c r="C5314" s="60" t="n">
        <f aca="false">Pressupostos!$C$285*(C5297+C5300)*(C5303+C5304-Pressupostos!$C$70)/365*Pressupostos!$C$279/Pressupostos!$F$31</f>
        <v>0</v>
      </c>
      <c r="D5314" s="60" t="n">
        <f aca="false">Pressupostos!$D$285*(D5297+D5300)*(D5303+D5304-Pressupostos!$C$70)/365*Pressupostos!$D$279/Pressupostos!$F$31</f>
        <v>0.19158904109589</v>
      </c>
      <c r="E5314" s="60" t="n">
        <f aca="false">Pressupostos!$E$285*(E5297+E5300)*(E5303+E5304-Pressupostos!$C$70)/365*Pressupostos!$E$279/Pressupostos!$F$31</f>
        <v>0.0485445205479452</v>
      </c>
      <c r="F5314" s="60" t="n">
        <f aca="false">Pressupostos!$F$285*(F5297+F5300)*(F5303+F5304-Pressupostos!$C$70)/365*Pressupostos!$F$279/Pressupostos!$F$31</f>
        <v>0.0453082191780822</v>
      </c>
      <c r="G5314" s="60" t="n">
        <f aca="false">Pressupostos!$G$285*(G5297+G5300)*(G5303+G5304-Pressupostos!$C$70)/365*Pressupostos!$G$279/Pressupostos!$F$31</f>
        <v>0.0453082191780822</v>
      </c>
      <c r="H5314" s="2" t="s">
        <v>1138</v>
      </c>
    </row>
    <row r="5315" customFormat="false" ht="15" hidden="false" customHeight="false" outlineLevel="1" collapsed="false">
      <c r="A5315" s="7" t="s">
        <v>640</v>
      </c>
      <c r="B5315" s="8" t="s">
        <v>59</v>
      </c>
      <c r="C5315" s="60" t="n">
        <f aca="false">C5297+C5300+C5301+C5302+C5305+C5306+C5307+C5308+C5309+C5310+C5311+C5312+C5313+C5314</f>
        <v>4.79625</v>
      </c>
      <c r="D5315" s="60" t="n">
        <f aca="false">D5297+D5300+D5301+D5302+D5305+D5306+D5307+D5308+D5309+D5310+D5311+D5312+D5313+D5314</f>
        <v>4.98783904109589</v>
      </c>
      <c r="E5315" s="60" t="n">
        <f aca="false">E5297+E5300+E5301+E5302+E5305+E5306+E5307+E5308+E5309+E5310+E5311+E5312+E5313+E5314</f>
        <v>4.79059452054795</v>
      </c>
      <c r="F5315" s="60" t="n">
        <f aca="false">F5297+F5300+F5301+F5302+F5305+F5306+F5307+F5308+F5309+F5310+F5311+F5312+F5313+F5314</f>
        <v>4.77735821917808</v>
      </c>
      <c r="G5315" s="60" t="n">
        <f aca="false">G5297+G5300+G5301+G5302+G5305+G5306+G5307+G5308+G5309+G5310+G5311+G5312+G5313+G5314</f>
        <v>4.77735821917808</v>
      </c>
      <c r="H5315" s="2" t="s">
        <v>1139</v>
      </c>
    </row>
    <row r="5316" customFormat="false" ht="15" hidden="false" customHeight="false" outlineLevel="1" collapsed="false">
      <c r="A5316" s="52" t="s">
        <v>641</v>
      </c>
      <c r="B5316" s="53" t="s">
        <v>59</v>
      </c>
      <c r="C5316" s="64" t="n">
        <f aca="false">C5299-C5315</f>
        <v>0.603750000000002</v>
      </c>
      <c r="D5316" s="64" t="n">
        <f aca="false">D5299-D5315</f>
        <v>0.412160958904111</v>
      </c>
      <c r="E5316" s="64" t="n">
        <f aca="false">E5299-E5315</f>
        <v>0.609405479452056</v>
      </c>
      <c r="F5316" s="64" t="n">
        <f aca="false">F5299-F5315</f>
        <v>0.622641780821918</v>
      </c>
      <c r="G5316" s="64" t="n">
        <f aca="false">G5299-G5315</f>
        <v>0.622641780821918</v>
      </c>
      <c r="H5316" s="2" t="s">
        <v>1140</v>
      </c>
    </row>
    <row r="5317" customFormat="false" ht="15" hidden="false" customHeight="false" outlineLevel="1" collapsed="false">
      <c r="A5317" s="7" t="s">
        <v>642</v>
      </c>
      <c r="B5317" s="8" t="s">
        <v>71</v>
      </c>
      <c r="C5317" s="55" t="n">
        <f aca="false">IF(C5299&gt;0,C5316/C5299,0)</f>
        <v>0.111805555555556</v>
      </c>
      <c r="D5317" s="55" t="n">
        <f aca="false">IF(D5299&gt;0,D5316/D5299,0)</f>
        <v>0.0763261035007613</v>
      </c>
      <c r="E5317" s="55" t="n">
        <f aca="false">IF(E5299&gt;0,E5316/E5299,0)</f>
        <v>0.112852866565195</v>
      </c>
      <c r="F5317" s="55" t="n">
        <f aca="false">IF(F5299&gt;0,F5316/F5299,0)</f>
        <v>0.11530403348554</v>
      </c>
      <c r="G5317" s="55" t="n">
        <f aca="false">IF(G5299&gt;0,G5316/G5299,0)</f>
        <v>0.11530403348554</v>
      </c>
      <c r="H5317" s="2" t="s">
        <v>1141</v>
      </c>
    </row>
    <row r="5318" customFormat="false" ht="15" hidden="false" customHeight="false" outlineLevel="1" collapsed="false">
      <c r="A5318" s="7" t="s">
        <v>643</v>
      </c>
      <c r="B5318" s="8" t="s">
        <v>59</v>
      </c>
      <c r="C5318" s="60" t="n">
        <f aca="false">(C5297+C5300)*(C5303-Pressupostos!$C$70)/365+C5299*C5304/365</f>
        <v>2.24383561643836</v>
      </c>
      <c r="D5318" s="60" t="n">
        <f aca="false">(D5297+D5300)*(D5303-Pressupostos!$C$70)/365+D5299*D5304/365</f>
        <v>2.24383561643836</v>
      </c>
      <c r="E5318" s="60" t="n">
        <f aca="false">(E5297+E5300)*(E5303-Pressupostos!$C$70)/365+E5299*E5304/365</f>
        <v>0.69041095890411</v>
      </c>
      <c r="F5318" s="60" t="n">
        <f aca="false">(F5297+F5300)*(F5303-Pressupostos!$C$70)/365+F5299*F5304/365</f>
        <v>0.69041095890411</v>
      </c>
      <c r="G5318" s="60" t="n">
        <f aca="false">(G5297+G5300)*(G5303-Pressupostos!$C$70)/365+G5299*G5304/365</f>
        <v>0.69041095890411</v>
      </c>
      <c r="H5318" s="2" t="s">
        <v>1142</v>
      </c>
    </row>
    <row r="5319" customFormat="false" ht="15" hidden="false" customHeight="false" outlineLevel="0" collapsed="false">
      <c r="A5319" s="3" t="s">
        <v>1143</v>
      </c>
      <c r="B5319" s="4"/>
      <c r="C5319" s="4"/>
      <c r="D5319" s="4"/>
      <c r="E5319" s="4"/>
      <c r="F5319" s="4"/>
      <c r="G5319" s="4"/>
      <c r="H5319" s="4"/>
    </row>
    <row r="5320" customFormat="false" ht="15" hidden="false" customHeight="false" outlineLevel="1" collapsed="false">
      <c r="A5320" s="7" t="s">
        <v>633</v>
      </c>
      <c r="B5320" s="8" t="s">
        <v>59</v>
      </c>
      <c r="C5320" s="60" t="n">
        <f aca="false">Pressupostos!$F$10+Pressupostos!$F$12</f>
        <v>3.6</v>
      </c>
      <c r="D5320" s="60" t="n">
        <f aca="false">Pressupostos!$F$10+Pressupostos!$F$12</f>
        <v>3.6</v>
      </c>
      <c r="E5320" s="60" t="n">
        <f aca="false">Pressupostos!$F$10+Pressupostos!$F$12</f>
        <v>3.6</v>
      </c>
      <c r="F5320" s="60" t="n">
        <f aca="false">Pressupostos!$F$10+Pressupostos!$F$12</f>
        <v>3.6</v>
      </c>
      <c r="G5320" s="60" t="n">
        <f aca="false">Pressupostos!$F$10+Pressupostos!$F$12</f>
        <v>3.6</v>
      </c>
      <c r="H5320" s="2" t="s">
        <v>1144</v>
      </c>
    </row>
    <row r="5321" customFormat="false" ht="15" hidden="false" customHeight="false" outlineLevel="1" collapsed="false">
      <c r="A5321" s="7" t="s">
        <v>634</v>
      </c>
      <c r="B5321" s="8" t="s">
        <v>59</v>
      </c>
      <c r="C5321" s="60" t="n">
        <f aca="false">Pressupostos!$F$20+(Pressupostos!$C$194)</f>
        <v>4.55</v>
      </c>
      <c r="D5321" s="60" t="n">
        <f aca="false">Pressupostos!$F$20+(Pressupostos!$C$194)</f>
        <v>4.55</v>
      </c>
      <c r="E5321" s="60" t="n">
        <f aca="false">Pressupostos!$F$20+(Pressupostos!$C$194)</f>
        <v>4.55</v>
      </c>
      <c r="F5321" s="60" t="n">
        <f aca="false">Pressupostos!$F$20+(Pressupostos!$C$194)</f>
        <v>4.55</v>
      </c>
      <c r="G5321" s="60" t="n">
        <f aca="false">Pressupostos!$F$20+(Pressupostos!$C$194)</f>
        <v>4.55</v>
      </c>
      <c r="H5321" s="2" t="s">
        <v>1145</v>
      </c>
    </row>
    <row r="5322" customFormat="false" ht="15" hidden="false" customHeight="false" outlineLevel="1" collapsed="false">
      <c r="A5322" s="52" t="s">
        <v>635</v>
      </c>
      <c r="B5322" s="53" t="s">
        <v>59</v>
      </c>
      <c r="C5322" s="64" t="n">
        <f aca="false">C5321*(1-Pressupostos!$F$22)</f>
        <v>4.55</v>
      </c>
      <c r="D5322" s="64" t="n">
        <f aca="false">D5321*(1-Pressupostos!$F$22)</f>
        <v>4.55</v>
      </c>
      <c r="E5322" s="64" t="n">
        <f aca="false">E5321*(1-Pressupostos!$F$22)</f>
        <v>4.55</v>
      </c>
      <c r="F5322" s="64" t="n">
        <f aca="false">F5321*(1-Pressupostos!$F$22)</f>
        <v>4.55</v>
      </c>
      <c r="G5322" s="64" t="n">
        <f aca="false">G5321*(1-Pressupostos!$F$22)</f>
        <v>4.55</v>
      </c>
      <c r="H5322" s="2" t="s">
        <v>1146</v>
      </c>
    </row>
    <row r="5323" customFormat="false" ht="15" hidden="false" customHeight="false" outlineLevel="1" collapsed="false">
      <c r="A5323" s="7" t="s">
        <v>136</v>
      </c>
      <c r="B5323" s="8" t="s">
        <v>59</v>
      </c>
      <c r="C5323" s="63" t="n">
        <f aca="false">Pressupostos!$C$44</f>
        <v>0.45</v>
      </c>
      <c r="D5323" s="63" t="n">
        <f aca="false">Pressupostos!$C$44</f>
        <v>0.45</v>
      </c>
      <c r="E5323" s="63" t="n">
        <f aca="false">Pressupostos!$C$44</f>
        <v>0.45</v>
      </c>
      <c r="F5323" s="63" t="n">
        <f aca="false">Pressupostos!$C$44</f>
        <v>0.45</v>
      </c>
      <c r="G5323" s="63" t="n">
        <f aca="false">Pressupostos!$C$44</f>
        <v>0.45</v>
      </c>
      <c r="H5323" s="2" t="s">
        <v>1147</v>
      </c>
    </row>
    <row r="5324" customFormat="false" ht="15" hidden="false" customHeight="false" outlineLevel="1" collapsed="false">
      <c r="A5324" s="7" t="s">
        <v>205</v>
      </c>
      <c r="B5324" s="8" t="s">
        <v>59</v>
      </c>
      <c r="C5324" s="63" t="n">
        <f aca="false">Pressupostos!$C$247</f>
        <v>0.1</v>
      </c>
      <c r="D5324" s="63" t="n">
        <f aca="false">Pressupostos!$D$247</f>
        <v>0.1</v>
      </c>
      <c r="E5324" s="63" t="n">
        <f aca="false">Pressupostos!$E$247</f>
        <v>0.09</v>
      </c>
      <c r="F5324" s="63" t="n">
        <f aca="false">Pressupostos!$F$247</f>
        <v>0.09</v>
      </c>
      <c r="G5324" s="63" t="n">
        <f aca="false">Pressupostos!$G$247</f>
        <v>0.09</v>
      </c>
      <c r="H5324" s="2" t="s">
        <v>1148</v>
      </c>
    </row>
    <row r="5325" customFormat="false" ht="15" hidden="false" customHeight="false" outlineLevel="1" collapsed="false">
      <c r="A5325" s="7" t="s">
        <v>109</v>
      </c>
      <c r="B5325" s="8" t="s">
        <v>59</v>
      </c>
      <c r="C5325" s="63" t="n">
        <f aca="false">Pressupostos!$C$45</f>
        <v>0</v>
      </c>
      <c r="D5325" s="63" t="n">
        <f aca="false">Pressupostos!$C$45</f>
        <v>0</v>
      </c>
      <c r="E5325" s="63" t="n">
        <f aca="false">Pressupostos!$C$45</f>
        <v>0</v>
      </c>
      <c r="F5325" s="63" t="n">
        <f aca="false">Pressupostos!$C$45</f>
        <v>0</v>
      </c>
      <c r="G5325" s="63" t="n">
        <f aca="false">Pressupostos!$C$45</f>
        <v>0</v>
      </c>
      <c r="H5325" s="2" t="s">
        <v>1149</v>
      </c>
    </row>
    <row r="5326" customFormat="false" ht="15" hidden="false" customHeight="false" outlineLevel="1" collapsed="false">
      <c r="A5326" s="7" t="s">
        <v>86</v>
      </c>
      <c r="B5326" s="8" t="s">
        <v>74</v>
      </c>
      <c r="C5326" s="65" t="n">
        <f aca="false">Pressupostos!$F$23</f>
        <v>30</v>
      </c>
      <c r="D5326" s="65" t="n">
        <f aca="false">Pressupostos!$F$23</f>
        <v>30</v>
      </c>
      <c r="E5326" s="65" t="n">
        <f aca="false">Pressupostos!$F$23</f>
        <v>30</v>
      </c>
      <c r="F5326" s="65" t="n">
        <f aca="false">Pressupostos!$F$23</f>
        <v>30</v>
      </c>
      <c r="G5326" s="65" t="n">
        <f aca="false">Pressupostos!$F$23</f>
        <v>30</v>
      </c>
      <c r="H5326" s="2" t="s">
        <v>1150</v>
      </c>
    </row>
    <row r="5327" customFormat="false" ht="15" hidden="false" customHeight="false" outlineLevel="1" collapsed="false">
      <c r="A5327" s="7" t="s">
        <v>73</v>
      </c>
      <c r="B5327" s="8" t="s">
        <v>74</v>
      </c>
      <c r="C5327" s="65" t="n">
        <f aca="false">Pressupostos!$F$24</f>
        <v>55</v>
      </c>
      <c r="D5327" s="65" t="n">
        <f aca="false">Pressupostos!$F$24</f>
        <v>55</v>
      </c>
      <c r="E5327" s="65" t="n">
        <f aca="false">Pressupostos!$F$24</f>
        <v>55</v>
      </c>
      <c r="F5327" s="65" t="n">
        <f aca="false">Pressupostos!$F$24</f>
        <v>55</v>
      </c>
      <c r="G5327" s="65" t="n">
        <f aca="false">Pressupostos!$F$24</f>
        <v>55</v>
      </c>
      <c r="H5327" s="2" t="s">
        <v>1151</v>
      </c>
    </row>
    <row r="5328" customFormat="false" ht="15" hidden="false" customHeight="false" outlineLevel="1" collapsed="false">
      <c r="A5328" s="7" t="s">
        <v>471</v>
      </c>
      <c r="B5328" s="8" t="s">
        <v>59</v>
      </c>
      <c r="C5328" s="60" t="n">
        <f aca="false">Pressupostos!$C$64*C5326/30/1000</f>
        <v>0.004</v>
      </c>
      <c r="D5328" s="60" t="n">
        <f aca="false">Pressupostos!$C$64*D5326/30/1000</f>
        <v>0.004</v>
      </c>
      <c r="E5328" s="60" t="n">
        <f aca="false">Pressupostos!$C$64*E5326/30/1000</f>
        <v>0.004</v>
      </c>
      <c r="F5328" s="60" t="n">
        <f aca="false">Pressupostos!$C$64*F5326/30/1000</f>
        <v>0.004</v>
      </c>
      <c r="G5328" s="60" t="n">
        <f aca="false">Pressupostos!$C$64*G5326/30/1000</f>
        <v>0.004</v>
      </c>
      <c r="H5328" s="2" t="s">
        <v>1152</v>
      </c>
    </row>
    <row r="5329" customFormat="false" ht="15" hidden="false" customHeight="false" outlineLevel="1" collapsed="false">
      <c r="A5329" s="7" t="s">
        <v>154</v>
      </c>
      <c r="B5329" s="8" t="s">
        <v>59</v>
      </c>
      <c r="C5329" s="60" t="n">
        <f aca="false">C5320*Pressupostos!$C$65*C5326/365</f>
        <v>0.000591780821917808</v>
      </c>
      <c r="D5329" s="60" t="n">
        <f aca="false">D5320*Pressupostos!$C$65*D5326/365</f>
        <v>0.000591780821917808</v>
      </c>
      <c r="E5329" s="60" t="n">
        <f aca="false">E5320*Pressupostos!$C$65*E5326/365</f>
        <v>0.000591780821917808</v>
      </c>
      <c r="F5329" s="60" t="n">
        <f aca="false">F5320*Pressupostos!$C$65*F5326/365</f>
        <v>0.000591780821917808</v>
      </c>
      <c r="G5329" s="60" t="n">
        <f aca="false">G5320*Pressupostos!$C$65*G5326/365</f>
        <v>0.000591780821917808</v>
      </c>
      <c r="H5329" s="2" t="s">
        <v>1153</v>
      </c>
    </row>
    <row r="5330" customFormat="false" ht="15" hidden="false" customHeight="false" outlineLevel="1" collapsed="false">
      <c r="A5330" s="7" t="s">
        <v>636</v>
      </c>
      <c r="B5330" s="8" t="s">
        <v>59</v>
      </c>
      <c r="C5330" s="60" t="n">
        <f aca="false">Pressupostos!$C$47*Pressupostos!$C$66/(Pressupostos!$C$46*1000)</f>
        <v>0.02</v>
      </c>
      <c r="D5330" s="60" t="n">
        <f aca="false">Pressupostos!$C$47*Pressupostos!$C$66/(Pressupostos!$C$46*1000)</f>
        <v>0.02</v>
      </c>
      <c r="E5330" s="60" t="n">
        <f aca="false">Pressupostos!$C$47*Pressupostos!$C$66/(Pressupostos!$C$46*1000)</f>
        <v>0.02</v>
      </c>
      <c r="F5330" s="60" t="n">
        <f aca="false">Pressupostos!$C$47*Pressupostos!$C$66/(Pressupostos!$C$46*1000)</f>
        <v>0.02</v>
      </c>
      <c r="G5330" s="60" t="n">
        <f aca="false">Pressupostos!$C$47*Pressupostos!$C$66/(Pressupostos!$C$46*1000)</f>
        <v>0.02</v>
      </c>
      <c r="H5330" s="2" t="s">
        <v>1154</v>
      </c>
    </row>
    <row r="5331" customFormat="false" ht="15" hidden="false" customHeight="false" outlineLevel="1" collapsed="false">
      <c r="A5331" s="7" t="s">
        <v>473</v>
      </c>
      <c r="B5331" s="8" t="s">
        <v>59</v>
      </c>
      <c r="C5331" s="60" t="n">
        <f aca="false">Pressupostos!$C$67*C5320</f>
        <v>0.018</v>
      </c>
      <c r="D5331" s="60" t="n">
        <f aca="false">Pressupostos!$C$67*D5320</f>
        <v>0.018</v>
      </c>
      <c r="E5331" s="60" t="n">
        <f aca="false">Pressupostos!$C$67*E5320</f>
        <v>0.018</v>
      </c>
      <c r="F5331" s="60" t="n">
        <f aca="false">Pressupostos!$C$67*F5320</f>
        <v>0.018</v>
      </c>
      <c r="G5331" s="60" t="n">
        <f aca="false">Pressupostos!$C$67*G5320</f>
        <v>0.018</v>
      </c>
      <c r="H5331" s="2" t="s">
        <v>1155</v>
      </c>
    </row>
    <row r="5332" customFormat="false" ht="15" hidden="false" customHeight="false" outlineLevel="1" collapsed="false">
      <c r="A5332" s="7" t="s">
        <v>474</v>
      </c>
      <c r="B5332" s="8" t="s">
        <v>59</v>
      </c>
      <c r="C5332" s="60" t="n">
        <f aca="false">Pressupostos!$C$68*Pressupostos!$C$69*C5326/90</f>
        <v>0.003</v>
      </c>
      <c r="D5332" s="60" t="n">
        <f aca="false">Pressupostos!$C$68*Pressupostos!$C$69*D5326/90</f>
        <v>0.003</v>
      </c>
      <c r="E5332" s="60" t="n">
        <f aca="false">Pressupostos!$C$68*Pressupostos!$C$69*E5326/90</f>
        <v>0.003</v>
      </c>
      <c r="F5332" s="60" t="n">
        <f aca="false">Pressupostos!$C$68*Pressupostos!$C$69*F5326/90</f>
        <v>0.003</v>
      </c>
      <c r="G5332" s="60" t="n">
        <f aca="false">Pressupostos!$C$68*Pressupostos!$C$69*G5326/90</f>
        <v>0.003</v>
      </c>
      <c r="H5332" s="2" t="s">
        <v>1156</v>
      </c>
    </row>
    <row r="5333" customFormat="false" ht="15" hidden="false" customHeight="false" outlineLevel="1" collapsed="false">
      <c r="A5333" s="7" t="s">
        <v>637</v>
      </c>
      <c r="B5333" s="8" t="s">
        <v>59</v>
      </c>
      <c r="C5333" s="60" t="n">
        <f aca="false">Pressupostos!$C$48/(Pressupostos!$C$46*1000)</f>
        <v>0.04</v>
      </c>
      <c r="D5333" s="60" t="n">
        <f aca="false">Pressupostos!$C$48/(Pressupostos!$C$46*1000)</f>
        <v>0.04</v>
      </c>
      <c r="E5333" s="60" t="n">
        <f aca="false">Pressupostos!$C$48/(Pressupostos!$C$46*1000)</f>
        <v>0.04</v>
      </c>
      <c r="F5333" s="60" t="n">
        <f aca="false">Pressupostos!$C$48/(Pressupostos!$C$46*1000)</f>
        <v>0.04</v>
      </c>
      <c r="G5333" s="60" t="n">
        <f aca="false">Pressupostos!$C$48/(Pressupostos!$C$46*1000)</f>
        <v>0.04</v>
      </c>
      <c r="H5333" s="2" t="s">
        <v>1157</v>
      </c>
    </row>
    <row r="5334" customFormat="false" ht="15" hidden="false" customHeight="false" outlineLevel="1" collapsed="false">
      <c r="A5334" s="7" t="s">
        <v>131</v>
      </c>
      <c r="B5334" s="8" t="s">
        <v>59</v>
      </c>
      <c r="C5334" s="63" t="n">
        <f aca="false">Pressupostos!$C$49</f>
        <v>0.005</v>
      </c>
      <c r="D5334" s="63" t="n">
        <f aca="false">Pressupostos!$C$49</f>
        <v>0.005</v>
      </c>
      <c r="E5334" s="63" t="n">
        <f aca="false">Pressupostos!$C$49</f>
        <v>0.005</v>
      </c>
      <c r="F5334" s="63" t="n">
        <f aca="false">Pressupostos!$C$49</f>
        <v>0.005</v>
      </c>
      <c r="G5334" s="63" t="n">
        <f aca="false">Pressupostos!$C$49</f>
        <v>0.005</v>
      </c>
      <c r="H5334" s="2" t="s">
        <v>1158</v>
      </c>
    </row>
    <row r="5335" customFormat="false" ht="15" hidden="false" customHeight="false" outlineLevel="1" collapsed="false">
      <c r="A5335" s="7" t="s">
        <v>76</v>
      </c>
      <c r="B5335" s="8" t="s">
        <v>59</v>
      </c>
      <c r="C5335" s="60" t="n">
        <f aca="false">Pressupostos!$F$25*C5322</f>
        <v>0.01365</v>
      </c>
      <c r="D5335" s="60" t="n">
        <f aca="false">Pressupostos!$F$25*D5322</f>
        <v>0.01365</v>
      </c>
      <c r="E5335" s="60" t="n">
        <f aca="false">Pressupostos!$F$25*E5322</f>
        <v>0.01365</v>
      </c>
      <c r="F5335" s="60" t="n">
        <f aca="false">Pressupostos!$F$25*F5322</f>
        <v>0.01365</v>
      </c>
      <c r="G5335" s="60" t="n">
        <f aca="false">Pressupostos!$F$25*G5322</f>
        <v>0.01365</v>
      </c>
      <c r="H5335" s="2" t="s">
        <v>1159</v>
      </c>
    </row>
    <row r="5336" customFormat="false" ht="15" hidden="false" customHeight="false" outlineLevel="1" collapsed="false">
      <c r="A5336" s="7" t="s">
        <v>638</v>
      </c>
      <c r="B5336" s="8" t="s">
        <v>59</v>
      </c>
      <c r="C5336" s="60" t="n">
        <f aca="false">Pressupostos!$C$71*C5322</f>
        <v>0</v>
      </c>
      <c r="D5336" s="60" t="n">
        <f aca="false">Pressupostos!$C$71*D5322</f>
        <v>0</v>
      </c>
      <c r="E5336" s="60" t="n">
        <f aca="false">Pressupostos!$C$71*E5322</f>
        <v>0</v>
      </c>
      <c r="F5336" s="60" t="n">
        <f aca="false">Pressupostos!$C$71*F5322</f>
        <v>0</v>
      </c>
      <c r="G5336" s="60" t="n">
        <f aca="false">Pressupostos!$C$71*G5322</f>
        <v>0</v>
      </c>
      <c r="H5336" s="2" t="s">
        <v>1160</v>
      </c>
    </row>
    <row r="5337" customFormat="false" ht="15" hidden="false" customHeight="false" outlineLevel="1" collapsed="false">
      <c r="A5337" s="7" t="s">
        <v>639</v>
      </c>
      <c r="B5337" s="8" t="s">
        <v>59</v>
      </c>
      <c r="C5337" s="60" t="n">
        <f aca="false">Pressupostos!$C$285*(C5320+C5323)*(C5326+C5327-Pressupostos!$C$70)/365*Pressupostos!$C$279/Pressupostos!$F$31</f>
        <v>0</v>
      </c>
      <c r="D5337" s="60" t="n">
        <f aca="false">Pressupostos!$D$285*(D5320+D5323)*(D5326+D5327-Pressupostos!$C$70)/365*Pressupostos!$D$279/Pressupostos!$F$31</f>
        <v>0.0549246575342466</v>
      </c>
      <c r="E5337" s="60" t="n">
        <f aca="false">Pressupostos!$E$285*(E5320+E5323)*(E5326+E5327-Pressupostos!$C$70)/365*Pressupostos!$E$279/Pressupostos!$F$31</f>
        <v>0.0514918664383562</v>
      </c>
      <c r="F5337" s="60" t="n">
        <f aca="false">Pressupostos!$F$285*(F5320+F5323)*(F5326+F5327-Pressupostos!$C$70)/365*Pressupostos!$F$279/Pressupostos!$F$31</f>
        <v>0.0480590753424658</v>
      </c>
      <c r="G5337" s="60" t="n">
        <f aca="false">Pressupostos!$G$285*(G5320+G5323)*(G5326+G5327-Pressupostos!$C$70)/365*Pressupostos!$G$279/Pressupostos!$F$31</f>
        <v>0.0480590753424658</v>
      </c>
      <c r="H5337" s="2" t="s">
        <v>1161</v>
      </c>
    </row>
    <row r="5338" customFormat="false" ht="15" hidden="false" customHeight="false" outlineLevel="1" collapsed="false">
      <c r="A5338" s="7" t="s">
        <v>640</v>
      </c>
      <c r="B5338" s="8" t="s">
        <v>59</v>
      </c>
      <c r="C5338" s="60" t="n">
        <f aca="false">C5320+C5323+C5324+C5325+C5328+C5329+C5330+C5331+C5332+C5333+C5334+C5335+C5336+C5337</f>
        <v>4.25424178082192</v>
      </c>
      <c r="D5338" s="60" t="n">
        <f aca="false">D5320+D5323+D5324+D5325+D5328+D5329+D5330+D5331+D5332+D5333+D5334+D5335+D5336+D5337</f>
        <v>4.30916643835616</v>
      </c>
      <c r="E5338" s="60" t="n">
        <f aca="false">E5320+E5323+E5324+E5325+E5328+E5329+E5330+E5331+E5332+E5333+E5334+E5335+E5336+E5337</f>
        <v>4.29573364726027</v>
      </c>
      <c r="F5338" s="60" t="n">
        <f aca="false">F5320+F5323+F5324+F5325+F5328+F5329+F5330+F5331+F5332+F5333+F5334+F5335+F5336+F5337</f>
        <v>4.29230085616438</v>
      </c>
      <c r="G5338" s="60" t="n">
        <f aca="false">G5320+G5323+G5324+G5325+G5328+G5329+G5330+G5331+G5332+G5333+G5334+G5335+G5336+G5337</f>
        <v>4.29230085616438</v>
      </c>
      <c r="H5338" s="2" t="s">
        <v>1162</v>
      </c>
    </row>
    <row r="5339" customFormat="false" ht="15" hidden="false" customHeight="false" outlineLevel="1" collapsed="false">
      <c r="A5339" s="52" t="s">
        <v>641</v>
      </c>
      <c r="B5339" s="53" t="s">
        <v>59</v>
      </c>
      <c r="C5339" s="64" t="n">
        <f aca="false">C5322-C5338</f>
        <v>0.295758219178083</v>
      </c>
      <c r="D5339" s="64" t="n">
        <f aca="false">D5322-D5338</f>
        <v>0.240833561643837</v>
      </c>
      <c r="E5339" s="64" t="n">
        <f aca="false">E5322-E5338</f>
        <v>0.254266352739727</v>
      </c>
      <c r="F5339" s="64" t="n">
        <f aca="false">F5322-F5338</f>
        <v>0.257699143835617</v>
      </c>
      <c r="G5339" s="64" t="n">
        <f aca="false">G5322-G5338</f>
        <v>0.257699143835617</v>
      </c>
      <c r="H5339" s="2" t="s">
        <v>1163</v>
      </c>
    </row>
    <row r="5340" customFormat="false" ht="15" hidden="false" customHeight="false" outlineLevel="1" collapsed="false">
      <c r="A5340" s="7" t="s">
        <v>642</v>
      </c>
      <c r="B5340" s="8" t="s">
        <v>71</v>
      </c>
      <c r="C5340" s="55" t="n">
        <f aca="false">IF(C5322&gt;0,C5339/C5322,0)</f>
        <v>0.0650018064127655</v>
      </c>
      <c r="D5340" s="55" t="n">
        <f aca="false">IF(D5322&gt;0,D5339/D5322,0)</f>
        <v>0.0529304531085355</v>
      </c>
      <c r="E5340" s="55" t="n">
        <f aca="false">IF(E5322&gt;0,E5339/E5322,0)</f>
        <v>0.055882714887852</v>
      </c>
      <c r="F5340" s="55" t="n">
        <f aca="false">IF(F5322&gt;0,F5339/F5322,0)</f>
        <v>0.0566371744693664</v>
      </c>
      <c r="G5340" s="55" t="n">
        <f aca="false">IF(G5322&gt;0,G5339/G5322,0)</f>
        <v>0.0566371744693664</v>
      </c>
      <c r="H5340" s="2" t="s">
        <v>1164</v>
      </c>
    </row>
    <row r="5341" customFormat="false" ht="15" hidden="false" customHeight="false" outlineLevel="1" collapsed="false">
      <c r="A5341" s="7" t="s">
        <v>643</v>
      </c>
      <c r="B5341" s="8" t="s">
        <v>59</v>
      </c>
      <c r="C5341" s="60" t="n">
        <f aca="false">(C5320+C5323)*(C5326-Pressupostos!$C$70)/365+C5322*C5327/365</f>
        <v>0.685616438356164</v>
      </c>
      <c r="D5341" s="60" t="n">
        <f aca="false">(D5320+D5323)*(D5326-Pressupostos!$C$70)/365+D5322*D5327/365</f>
        <v>0.685616438356164</v>
      </c>
      <c r="E5341" s="60" t="n">
        <f aca="false">(E5320+E5323)*(E5326-Pressupostos!$C$70)/365+E5322*E5327/365</f>
        <v>0.685616438356164</v>
      </c>
      <c r="F5341" s="60" t="n">
        <f aca="false">(F5320+F5323)*(F5326-Pressupostos!$C$70)/365+F5322*F5327/365</f>
        <v>0.685616438356164</v>
      </c>
      <c r="G5341" s="60" t="n">
        <f aca="false">(G5320+G5323)*(G5326-Pressupostos!$C$70)/365+G5322*G5327/365</f>
        <v>0.685616438356164</v>
      </c>
      <c r="H5341" s="2" t="s">
        <v>1165</v>
      </c>
    </row>
    <row r="5342" customFormat="false" ht="15" hidden="false" customHeight="false" outlineLevel="0" collapsed="false">
      <c r="A5342" s="3" t="s">
        <v>1166</v>
      </c>
      <c r="B5342" s="4"/>
      <c r="C5342" s="4"/>
      <c r="D5342" s="4"/>
      <c r="E5342" s="4"/>
      <c r="F5342" s="4"/>
      <c r="G5342" s="4"/>
      <c r="H5342" s="4"/>
    </row>
    <row r="5343" customFormat="false" ht="15" hidden="false" customHeight="false" outlineLevel="1" collapsed="false">
      <c r="A5343" s="7" t="s">
        <v>633</v>
      </c>
      <c r="B5343" s="8" t="s">
        <v>59</v>
      </c>
      <c r="C5343" s="60" t="n">
        <f aca="false">Pressupostos!$F$10+Pressupostos!$F$13</f>
        <v>3.5</v>
      </c>
      <c r="D5343" s="60" t="n">
        <f aca="false">Pressupostos!$F$10+Pressupostos!$F$13</f>
        <v>3.5</v>
      </c>
      <c r="E5343" s="60" t="n">
        <f aca="false">Pressupostos!$F$10+Pressupostos!$F$13</f>
        <v>3.5</v>
      </c>
      <c r="F5343" s="60" t="n">
        <f aca="false">Pressupostos!$F$10+Pressupostos!$F$13</f>
        <v>3.5</v>
      </c>
      <c r="G5343" s="60" t="n">
        <f aca="false">Pressupostos!$F$10+Pressupostos!$F$13</f>
        <v>3.5</v>
      </c>
      <c r="H5343" s="2" t="s">
        <v>1167</v>
      </c>
    </row>
    <row r="5344" customFormat="false" ht="15" hidden="false" customHeight="false" outlineLevel="1" collapsed="false">
      <c r="A5344" s="7" t="s">
        <v>634</v>
      </c>
      <c r="B5344" s="8" t="s">
        <v>59</v>
      </c>
      <c r="C5344" s="60" t="n">
        <f aca="false">Pressupostos!$F$10+Pressupostos!$C$51</f>
        <v>3.65</v>
      </c>
      <c r="D5344" s="60" t="n">
        <f aca="false">Pressupostos!$F$10+Pressupostos!$C$51</f>
        <v>3.65</v>
      </c>
      <c r="E5344" s="60" t="n">
        <f aca="false">Pressupostos!$F$10+Pressupostos!$C$51</f>
        <v>3.65</v>
      </c>
      <c r="F5344" s="60" t="n">
        <f aca="false">Pressupostos!$F$10+Pressupostos!$C$51</f>
        <v>3.65</v>
      </c>
      <c r="G5344" s="60" t="n">
        <f aca="false">Pressupostos!$F$10+Pressupostos!$C$51</f>
        <v>3.65</v>
      </c>
      <c r="H5344" s="2" t="s">
        <v>1168</v>
      </c>
    </row>
    <row r="5345" customFormat="false" ht="15" hidden="false" customHeight="false" outlineLevel="1" collapsed="false">
      <c r="A5345" s="52" t="s">
        <v>635</v>
      </c>
      <c r="B5345" s="53" t="s">
        <v>59</v>
      </c>
      <c r="C5345" s="64" t="n">
        <f aca="false">C5344*(1-Pressupostos!$C$52)</f>
        <v>3.65</v>
      </c>
      <c r="D5345" s="64" t="n">
        <f aca="false">D5344*(1-Pressupostos!$C$52)</f>
        <v>3.65</v>
      </c>
      <c r="E5345" s="64" t="n">
        <f aca="false">E5344*(1-Pressupostos!$C$52)</f>
        <v>3.65</v>
      </c>
      <c r="F5345" s="64" t="n">
        <f aca="false">F5344*(1-Pressupostos!$C$52)</f>
        <v>3.65</v>
      </c>
      <c r="G5345" s="64" t="n">
        <f aca="false">G5344*(1-Pressupostos!$C$52)</f>
        <v>3.65</v>
      </c>
      <c r="H5345" s="2" t="s">
        <v>1169</v>
      </c>
    </row>
    <row r="5346" customFormat="false" ht="15" hidden="false" customHeight="false" outlineLevel="1" collapsed="false">
      <c r="A5346" s="7" t="s">
        <v>136</v>
      </c>
      <c r="B5346" s="8" t="s">
        <v>59</v>
      </c>
      <c r="C5346" s="63" t="n">
        <f aca="false">Pressupostos!$C$53</f>
        <v>0</v>
      </c>
      <c r="D5346" s="63" t="n">
        <f aca="false">Pressupostos!$C$53</f>
        <v>0</v>
      </c>
      <c r="E5346" s="63" t="n">
        <f aca="false">Pressupostos!$C$53</f>
        <v>0</v>
      </c>
      <c r="F5346" s="63" t="n">
        <f aca="false">Pressupostos!$C$53</f>
        <v>0</v>
      </c>
      <c r="G5346" s="63" t="n">
        <f aca="false">Pressupostos!$C$53</f>
        <v>0</v>
      </c>
      <c r="H5346" s="2" t="s">
        <v>1170</v>
      </c>
    </row>
    <row r="5347" customFormat="false" ht="15" hidden="false" customHeight="false" outlineLevel="1" collapsed="false">
      <c r="A5347" s="7" t="s">
        <v>205</v>
      </c>
      <c r="B5347" s="8" t="s">
        <v>59</v>
      </c>
      <c r="C5347" s="63" t="n">
        <f aca="false">Pressupostos!$C$54</f>
        <v>0.04</v>
      </c>
      <c r="D5347" s="63" t="n">
        <f aca="false">Pressupostos!$C$54</f>
        <v>0.04</v>
      </c>
      <c r="E5347" s="63" t="n">
        <f aca="false">Pressupostos!$C$54</f>
        <v>0.04</v>
      </c>
      <c r="F5347" s="63" t="n">
        <f aca="false">Pressupostos!$C$54</f>
        <v>0.04</v>
      </c>
      <c r="G5347" s="63" t="n">
        <f aca="false">Pressupostos!$C$54</f>
        <v>0.04</v>
      </c>
      <c r="H5347" s="2" t="s">
        <v>1171</v>
      </c>
    </row>
    <row r="5348" customFormat="false" ht="15" hidden="false" customHeight="false" outlineLevel="1" collapsed="false">
      <c r="A5348" s="7" t="s">
        <v>109</v>
      </c>
      <c r="B5348" s="8" t="s">
        <v>59</v>
      </c>
      <c r="C5348" s="63" t="n">
        <f aca="false">Pressupostos!$C$55</f>
        <v>0</v>
      </c>
      <c r="D5348" s="63" t="n">
        <f aca="false">Pressupostos!$C$55</f>
        <v>0</v>
      </c>
      <c r="E5348" s="63" t="n">
        <f aca="false">Pressupostos!$C$55</f>
        <v>0</v>
      </c>
      <c r="F5348" s="63" t="n">
        <f aca="false">Pressupostos!$C$55</f>
        <v>0</v>
      </c>
      <c r="G5348" s="63" t="n">
        <f aca="false">Pressupostos!$C$55</f>
        <v>0</v>
      </c>
      <c r="H5348" s="2" t="s">
        <v>1172</v>
      </c>
    </row>
    <row r="5349" customFormat="false" ht="15" hidden="false" customHeight="false" outlineLevel="1" collapsed="false">
      <c r="A5349" s="7" t="s">
        <v>86</v>
      </c>
      <c r="B5349" s="8" t="s">
        <v>74</v>
      </c>
      <c r="C5349" s="65" t="n">
        <f aca="false">Pressupostos!$C$56</f>
        <v>15</v>
      </c>
      <c r="D5349" s="65" t="n">
        <f aca="false">Pressupostos!$C$56</f>
        <v>15</v>
      </c>
      <c r="E5349" s="65" t="n">
        <f aca="false">Pressupostos!$C$56</f>
        <v>15</v>
      </c>
      <c r="F5349" s="65" t="n">
        <f aca="false">Pressupostos!$C$56</f>
        <v>15</v>
      </c>
      <c r="G5349" s="65" t="n">
        <f aca="false">Pressupostos!$C$56</f>
        <v>15</v>
      </c>
      <c r="H5349" s="2" t="s">
        <v>1173</v>
      </c>
    </row>
    <row r="5350" customFormat="false" ht="15" hidden="false" customHeight="false" outlineLevel="1" collapsed="false">
      <c r="A5350" s="7" t="s">
        <v>73</v>
      </c>
      <c r="B5350" s="8" t="s">
        <v>74</v>
      </c>
      <c r="C5350" s="65" t="n">
        <f aca="false">Pressupostos!$C$57</f>
        <v>45</v>
      </c>
      <c r="D5350" s="65" t="n">
        <f aca="false">Pressupostos!$C$57</f>
        <v>45</v>
      </c>
      <c r="E5350" s="65" t="n">
        <f aca="false">Pressupostos!$C$57</f>
        <v>45</v>
      </c>
      <c r="F5350" s="65" t="n">
        <f aca="false">Pressupostos!$C$57</f>
        <v>45</v>
      </c>
      <c r="G5350" s="65" t="n">
        <f aca="false">Pressupostos!$C$57</f>
        <v>45</v>
      </c>
      <c r="H5350" s="2" t="s">
        <v>1174</v>
      </c>
    </row>
    <row r="5351" customFormat="false" ht="15" hidden="false" customHeight="false" outlineLevel="1" collapsed="false">
      <c r="A5351" s="7" t="s">
        <v>471</v>
      </c>
      <c r="B5351" s="8" t="s">
        <v>59</v>
      </c>
      <c r="C5351" s="60" t="n">
        <f aca="false">Pressupostos!$C$64*C5349/30/1000</f>
        <v>0.002</v>
      </c>
      <c r="D5351" s="60" t="n">
        <f aca="false">Pressupostos!$C$64*D5349/30/1000</f>
        <v>0.002</v>
      </c>
      <c r="E5351" s="60" t="n">
        <f aca="false">Pressupostos!$C$64*E5349/30/1000</f>
        <v>0.002</v>
      </c>
      <c r="F5351" s="60" t="n">
        <f aca="false">Pressupostos!$C$64*F5349/30/1000</f>
        <v>0.002</v>
      </c>
      <c r="G5351" s="60" t="n">
        <f aca="false">Pressupostos!$C$64*G5349/30/1000</f>
        <v>0.002</v>
      </c>
      <c r="H5351" s="2" t="s">
        <v>1175</v>
      </c>
    </row>
    <row r="5352" customFormat="false" ht="15" hidden="false" customHeight="false" outlineLevel="1" collapsed="false">
      <c r="A5352" s="7" t="s">
        <v>154</v>
      </c>
      <c r="B5352" s="8" t="s">
        <v>59</v>
      </c>
      <c r="C5352" s="60" t="n">
        <f aca="false">C5343*Pressupostos!$C$65*C5349/365</f>
        <v>0.000287671232876712</v>
      </c>
      <c r="D5352" s="60" t="n">
        <f aca="false">D5343*Pressupostos!$C$65*D5349/365</f>
        <v>0.000287671232876712</v>
      </c>
      <c r="E5352" s="60" t="n">
        <f aca="false">E5343*Pressupostos!$C$65*E5349/365</f>
        <v>0.000287671232876712</v>
      </c>
      <c r="F5352" s="60" t="n">
        <f aca="false">F5343*Pressupostos!$C$65*F5349/365</f>
        <v>0.000287671232876712</v>
      </c>
      <c r="G5352" s="60" t="n">
        <f aca="false">G5343*Pressupostos!$C$65*G5349/365</f>
        <v>0.000287671232876712</v>
      </c>
      <c r="H5352" s="2" t="s">
        <v>1176</v>
      </c>
    </row>
    <row r="5353" customFormat="false" ht="15" hidden="false" customHeight="false" outlineLevel="1" collapsed="false">
      <c r="A5353" s="7" t="s">
        <v>636</v>
      </c>
      <c r="B5353" s="8" t="s">
        <v>59</v>
      </c>
      <c r="C5353" s="60" t="n">
        <f aca="false">Pressupostos!$C$59*Pressupostos!$C$66/(Pressupostos!$C$58*1000)</f>
        <v>0.006</v>
      </c>
      <c r="D5353" s="60" t="n">
        <f aca="false">Pressupostos!$C$59*Pressupostos!$C$66/(Pressupostos!$C$58*1000)</f>
        <v>0.006</v>
      </c>
      <c r="E5353" s="60" t="n">
        <f aca="false">Pressupostos!$C$59*Pressupostos!$C$66/(Pressupostos!$C$58*1000)</f>
        <v>0.006</v>
      </c>
      <c r="F5353" s="60" t="n">
        <f aca="false">Pressupostos!$C$59*Pressupostos!$C$66/(Pressupostos!$C$58*1000)</f>
        <v>0.006</v>
      </c>
      <c r="G5353" s="60" t="n">
        <f aca="false">Pressupostos!$C$59*Pressupostos!$C$66/(Pressupostos!$C$58*1000)</f>
        <v>0.006</v>
      </c>
      <c r="H5353" s="2" t="s">
        <v>1177</v>
      </c>
    </row>
    <row r="5354" customFormat="false" ht="15" hidden="false" customHeight="false" outlineLevel="1" collapsed="false">
      <c r="A5354" s="7" t="s">
        <v>473</v>
      </c>
      <c r="B5354" s="8" t="s">
        <v>59</v>
      </c>
      <c r="C5354" s="60" t="n">
        <f aca="false">Pressupostos!$C$67*C5343</f>
        <v>0.0175</v>
      </c>
      <c r="D5354" s="60" t="n">
        <f aca="false">Pressupostos!$C$67*D5343</f>
        <v>0.0175</v>
      </c>
      <c r="E5354" s="60" t="n">
        <f aca="false">Pressupostos!$C$67*E5343</f>
        <v>0.0175</v>
      </c>
      <c r="F5354" s="60" t="n">
        <f aca="false">Pressupostos!$C$67*F5343</f>
        <v>0.0175</v>
      </c>
      <c r="G5354" s="60" t="n">
        <f aca="false">Pressupostos!$C$67*G5343</f>
        <v>0.0175</v>
      </c>
      <c r="H5354" s="2" t="s">
        <v>1178</v>
      </c>
    </row>
    <row r="5355" customFormat="false" ht="15" hidden="false" customHeight="false" outlineLevel="1" collapsed="false">
      <c r="A5355" s="7" t="s">
        <v>474</v>
      </c>
      <c r="B5355" s="8" t="s">
        <v>59</v>
      </c>
      <c r="C5355" s="60" t="n">
        <f aca="false">Pressupostos!$C$68*Pressupostos!$C$69*C5349/90</f>
        <v>0.0015</v>
      </c>
      <c r="D5355" s="60" t="n">
        <f aca="false">Pressupostos!$C$68*Pressupostos!$C$69*D5349/90</f>
        <v>0.0015</v>
      </c>
      <c r="E5355" s="60" t="n">
        <f aca="false">Pressupostos!$C$68*Pressupostos!$C$69*E5349/90</f>
        <v>0.0015</v>
      </c>
      <c r="F5355" s="60" t="n">
        <f aca="false">Pressupostos!$C$68*Pressupostos!$C$69*F5349/90</f>
        <v>0.0015</v>
      </c>
      <c r="G5355" s="60" t="n">
        <f aca="false">Pressupostos!$C$68*Pressupostos!$C$69*G5349/90</f>
        <v>0.0015</v>
      </c>
      <c r="H5355" s="2" t="s">
        <v>1179</v>
      </c>
    </row>
    <row r="5356" customFormat="false" ht="15" hidden="false" customHeight="false" outlineLevel="1" collapsed="false">
      <c r="A5356" s="7" t="s">
        <v>637</v>
      </c>
      <c r="B5356" s="8" t="s">
        <v>59</v>
      </c>
      <c r="C5356" s="60" t="n">
        <f aca="false">Pressupostos!$C$60/(Pressupostos!$C$58*1000)</f>
        <v>0.012</v>
      </c>
      <c r="D5356" s="60" t="n">
        <f aca="false">Pressupostos!$C$60/(Pressupostos!$C$58*1000)</f>
        <v>0.012</v>
      </c>
      <c r="E5356" s="60" t="n">
        <f aca="false">Pressupostos!$C$60/(Pressupostos!$C$58*1000)</f>
        <v>0.012</v>
      </c>
      <c r="F5356" s="60" t="n">
        <f aca="false">Pressupostos!$C$60/(Pressupostos!$C$58*1000)</f>
        <v>0.012</v>
      </c>
      <c r="G5356" s="60" t="n">
        <f aca="false">Pressupostos!$C$60/(Pressupostos!$C$58*1000)</f>
        <v>0.012</v>
      </c>
      <c r="H5356" s="2" t="s">
        <v>1180</v>
      </c>
    </row>
    <row r="5357" customFormat="false" ht="15" hidden="false" customHeight="false" outlineLevel="1" collapsed="false">
      <c r="A5357" s="7" t="s">
        <v>131</v>
      </c>
      <c r="B5357" s="8" t="s">
        <v>59</v>
      </c>
      <c r="C5357" s="63" t="n">
        <f aca="false">Pressupostos!$C$61</f>
        <v>0.001</v>
      </c>
      <c r="D5357" s="63" t="n">
        <f aca="false">Pressupostos!$C$61</f>
        <v>0.001</v>
      </c>
      <c r="E5357" s="63" t="n">
        <f aca="false">Pressupostos!$C$61</f>
        <v>0.001</v>
      </c>
      <c r="F5357" s="63" t="n">
        <f aca="false">Pressupostos!$C$61</f>
        <v>0.001</v>
      </c>
      <c r="G5357" s="63" t="n">
        <f aca="false">Pressupostos!$C$61</f>
        <v>0.001</v>
      </c>
      <c r="H5357" s="2" t="s">
        <v>1181</v>
      </c>
    </row>
    <row r="5358" customFormat="false" ht="15" hidden="false" customHeight="false" outlineLevel="1" collapsed="false">
      <c r="A5358" s="7" t="s">
        <v>76</v>
      </c>
      <c r="B5358" s="8" t="s">
        <v>59</v>
      </c>
      <c r="C5358" s="60" t="n">
        <f aca="false">Pressupostos!$C$62*C5345</f>
        <v>0.01095</v>
      </c>
      <c r="D5358" s="60" t="n">
        <f aca="false">Pressupostos!$C$62*D5345</f>
        <v>0.01095</v>
      </c>
      <c r="E5358" s="60" t="n">
        <f aca="false">Pressupostos!$C$62*E5345</f>
        <v>0.01095</v>
      </c>
      <c r="F5358" s="60" t="n">
        <f aca="false">Pressupostos!$C$62*F5345</f>
        <v>0.01095</v>
      </c>
      <c r="G5358" s="60" t="n">
        <f aca="false">Pressupostos!$C$62*G5345</f>
        <v>0.01095</v>
      </c>
      <c r="H5358" s="2" t="s">
        <v>1182</v>
      </c>
    </row>
    <row r="5359" customFormat="false" ht="15" hidden="false" customHeight="false" outlineLevel="1" collapsed="false">
      <c r="A5359" s="7" t="s">
        <v>638</v>
      </c>
      <c r="B5359" s="8" t="s">
        <v>59</v>
      </c>
      <c r="C5359" s="60" t="n">
        <f aca="false">Pressupostos!$C$71*C5345</f>
        <v>0</v>
      </c>
      <c r="D5359" s="60" t="n">
        <f aca="false">Pressupostos!$C$71*D5345</f>
        <v>0</v>
      </c>
      <c r="E5359" s="60" t="n">
        <f aca="false">Pressupostos!$C$71*E5345</f>
        <v>0</v>
      </c>
      <c r="F5359" s="60" t="n">
        <f aca="false">Pressupostos!$C$71*F5345</f>
        <v>0</v>
      </c>
      <c r="G5359" s="60" t="n">
        <f aca="false">Pressupostos!$C$71*G5345</f>
        <v>0</v>
      </c>
      <c r="H5359" s="2" t="s">
        <v>1183</v>
      </c>
    </row>
    <row r="5360" customFormat="false" ht="15" hidden="false" customHeight="false" outlineLevel="1" collapsed="false">
      <c r="A5360" s="7" t="s">
        <v>639</v>
      </c>
      <c r="B5360" s="8" t="s">
        <v>59</v>
      </c>
      <c r="C5360" s="60" t="n">
        <f aca="false">Pressupostos!$C$285*(C5343+C5346)*(C5349+C5350-Pressupostos!$C$70)/365*Pressupostos!$C$279/Pressupostos!$F$31</f>
        <v>0</v>
      </c>
      <c r="D5360" s="60" t="n">
        <f aca="false">Pressupostos!$D$285*(D5343+D5346)*(D5349+D5350-Pressupostos!$C$70)/365*Pressupostos!$D$279/Pressupostos!$F$31</f>
        <v>0.0258904109589041</v>
      </c>
      <c r="E5360" s="60" t="n">
        <f aca="false">Pressupostos!$E$285*(E5343+E5346)*(E5349+E5350-Pressupostos!$C$70)/365*Pressupostos!$E$279/Pressupostos!$F$31</f>
        <v>0.0242722602739726</v>
      </c>
      <c r="F5360" s="60" t="n">
        <f aca="false">Pressupostos!$F$285*(F5343+F5346)*(F5349+F5350-Pressupostos!$C$70)/365*Pressupostos!$F$279/Pressupostos!$F$31</f>
        <v>0.0226541095890411</v>
      </c>
      <c r="G5360" s="60" t="n">
        <f aca="false">Pressupostos!$G$285*(G5343+G5346)*(G5349+G5350-Pressupostos!$C$70)/365*Pressupostos!$G$279/Pressupostos!$F$31</f>
        <v>0.0226541095890411</v>
      </c>
      <c r="H5360" s="2" t="s">
        <v>1184</v>
      </c>
    </row>
    <row r="5361" customFormat="false" ht="15" hidden="false" customHeight="false" outlineLevel="1" collapsed="false">
      <c r="A5361" s="7" t="s">
        <v>640</v>
      </c>
      <c r="B5361" s="8" t="s">
        <v>59</v>
      </c>
      <c r="C5361" s="60" t="n">
        <f aca="false">C5343+C5346+C5347+C5348+C5351+C5352+C5353+C5354+C5355+C5356+C5357+C5358+C5359+C5360</f>
        <v>3.59123767123288</v>
      </c>
      <c r="D5361" s="60" t="n">
        <f aca="false">D5343+D5346+D5347+D5348+D5351+D5352+D5353+D5354+D5355+D5356+D5357+D5358+D5359+D5360</f>
        <v>3.61712808219178</v>
      </c>
      <c r="E5361" s="60" t="n">
        <f aca="false">E5343+E5346+E5347+E5348+E5351+E5352+E5353+E5354+E5355+E5356+E5357+E5358+E5359+E5360</f>
        <v>3.61550993150685</v>
      </c>
      <c r="F5361" s="60" t="n">
        <f aca="false">F5343+F5346+F5347+F5348+F5351+F5352+F5353+F5354+F5355+F5356+F5357+F5358+F5359+F5360</f>
        <v>3.61389178082192</v>
      </c>
      <c r="G5361" s="60" t="n">
        <f aca="false">G5343+G5346+G5347+G5348+G5351+G5352+G5353+G5354+G5355+G5356+G5357+G5358+G5359+G5360</f>
        <v>3.61389178082192</v>
      </c>
      <c r="H5361" s="2" t="s">
        <v>1185</v>
      </c>
    </row>
    <row r="5362" customFormat="false" ht="15" hidden="false" customHeight="false" outlineLevel="1" collapsed="false">
      <c r="A5362" s="52" t="s">
        <v>641</v>
      </c>
      <c r="B5362" s="53" t="s">
        <v>59</v>
      </c>
      <c r="C5362" s="64" t="n">
        <f aca="false">C5345-C5361</f>
        <v>0.058762328767124</v>
      </c>
      <c r="D5362" s="64" t="n">
        <f aca="false">D5345-D5361</f>
        <v>0.0328719178082197</v>
      </c>
      <c r="E5362" s="64" t="n">
        <f aca="false">E5345-E5361</f>
        <v>0.0344900684931515</v>
      </c>
      <c r="F5362" s="64" t="n">
        <f aca="false">F5345-F5361</f>
        <v>0.0361082191780828</v>
      </c>
      <c r="G5362" s="64" t="n">
        <f aca="false">G5345-G5361</f>
        <v>0.0361082191780828</v>
      </c>
      <c r="H5362" s="2" t="s">
        <v>1186</v>
      </c>
    </row>
    <row r="5363" customFormat="false" ht="15" hidden="false" customHeight="false" outlineLevel="1" collapsed="false">
      <c r="A5363" s="7" t="s">
        <v>642</v>
      </c>
      <c r="B5363" s="8" t="s">
        <v>71</v>
      </c>
      <c r="C5363" s="55" t="n">
        <f aca="false">IF(C5345&gt;0,C5362/C5345,0)</f>
        <v>0.0160992681553764</v>
      </c>
      <c r="D5363" s="55" t="n">
        <f aca="false">IF(D5345&gt;0,D5362/D5345,0)</f>
        <v>0.00900600487896431</v>
      </c>
      <c r="E5363" s="55" t="n">
        <f aca="false">IF(E5345&gt;0,E5362/E5345,0)</f>
        <v>0.00944933383374014</v>
      </c>
      <c r="F5363" s="55" t="n">
        <f aca="false">IF(F5345&gt;0,F5362/F5345,0)</f>
        <v>0.00989266278851584</v>
      </c>
      <c r="G5363" s="55" t="n">
        <f aca="false">IF(G5345&gt;0,G5362/G5345,0)</f>
        <v>0.00989266278851584</v>
      </c>
      <c r="H5363" s="2" t="s">
        <v>1187</v>
      </c>
    </row>
    <row r="5364" customFormat="false" ht="15" hidden="false" customHeight="false" outlineLevel="1" collapsed="false">
      <c r="A5364" s="7" t="s">
        <v>643</v>
      </c>
      <c r="B5364" s="8" t="s">
        <v>59</v>
      </c>
      <c r="C5364" s="60" t="n">
        <f aca="false">(C5343+C5346)*(C5349-Pressupostos!$C$70)/365+C5345*C5350/365</f>
        <v>0.306164383561644</v>
      </c>
      <c r="D5364" s="60" t="n">
        <f aca="false">(D5343+D5346)*(D5349-Pressupostos!$C$70)/365+D5345*D5350/365</f>
        <v>0.306164383561644</v>
      </c>
      <c r="E5364" s="60" t="n">
        <f aca="false">(E5343+E5346)*(E5349-Pressupostos!$C$70)/365+E5345*E5350/365</f>
        <v>0.306164383561644</v>
      </c>
      <c r="F5364" s="60" t="n">
        <f aca="false">(F5343+F5346)*(F5349-Pressupostos!$C$70)/365+F5345*F5350/365</f>
        <v>0.306164383561644</v>
      </c>
      <c r="G5364" s="60" t="n">
        <f aca="false">(G5343+G5346)*(G5349-Pressupostos!$C$70)/365+G5345*G5350/365</f>
        <v>0.306164383561644</v>
      </c>
      <c r="H5364" s="2" t="s">
        <v>1188</v>
      </c>
    </row>
    <row r="5365" customFormat="false" ht="15" hidden="false" customHeight="false" outlineLevel="0" collapsed="false">
      <c r="A5365" s="3" t="s">
        <v>1189</v>
      </c>
      <c r="B5365" s="4"/>
      <c r="C5365" s="4"/>
      <c r="D5365" s="4"/>
      <c r="E5365" s="4"/>
      <c r="F5365" s="4"/>
      <c r="G5365" s="4"/>
      <c r="H5365" s="4"/>
    </row>
    <row r="5366" customFormat="false" ht="15" hidden="false" customHeight="false" outlineLevel="1" collapsed="false">
      <c r="A5366" s="7" t="s">
        <v>575</v>
      </c>
      <c r="B5366" s="8" t="s">
        <v>10</v>
      </c>
      <c r="C5366" s="58" t="n">
        <f aca="false">C5281*1000*C5299</f>
        <v>57564</v>
      </c>
      <c r="D5366" s="58" t="n">
        <f aca="false">D5281*1000*D5299</f>
        <v>215865</v>
      </c>
      <c r="E5366" s="58" t="n">
        <f aca="false">E5281*1000*E5299</f>
        <v>575640</v>
      </c>
      <c r="F5366" s="58" t="n">
        <f aca="false">F5281*1000*F5299</f>
        <v>1007370</v>
      </c>
      <c r="G5366" s="58" t="n">
        <f aca="false">G5281*1000*G5299</f>
        <v>1439100</v>
      </c>
      <c r="H5366" s="2" t="s">
        <v>1190</v>
      </c>
    </row>
    <row r="5367" customFormat="false" ht="15" hidden="false" customHeight="false" outlineLevel="1" collapsed="false">
      <c r="A5367" s="7" t="s">
        <v>576</v>
      </c>
      <c r="B5367" s="8" t="s">
        <v>10</v>
      </c>
      <c r="C5367" s="58" t="n">
        <f aca="false">C5282*1000*C5322</f>
        <v>307580</v>
      </c>
      <c r="D5367" s="58" t="n">
        <f aca="false">D5282*1000*D5322</f>
        <v>2147145</v>
      </c>
      <c r="E5367" s="58" t="n">
        <f aca="false">E5282*1000*E5322</f>
        <v>4241055</v>
      </c>
      <c r="F5367" s="58" t="n">
        <f aca="false">F5282*1000*F5322</f>
        <v>6997445</v>
      </c>
      <c r="G5367" s="58" t="n">
        <f aca="false">G5282*1000*G5322</f>
        <v>10587850</v>
      </c>
      <c r="H5367" s="2" t="s">
        <v>1191</v>
      </c>
    </row>
    <row r="5368" customFormat="false" ht="15" hidden="false" customHeight="false" outlineLevel="1" collapsed="false">
      <c r="A5368" s="7" t="s">
        <v>577</v>
      </c>
      <c r="B5368" s="8" t="s">
        <v>10</v>
      </c>
      <c r="C5368" s="58" t="n">
        <f aca="false">C5283*1000*C5345</f>
        <v>0</v>
      </c>
      <c r="D5368" s="58" t="n">
        <f aca="false">D5283*1000*D5345</f>
        <v>2372500</v>
      </c>
      <c r="E5368" s="58" t="n">
        <f aca="false">E5283*1000*E5345</f>
        <v>7117500</v>
      </c>
      <c r="F5368" s="58" t="n">
        <f aca="false">F5283*1000*F5345</f>
        <v>11862500</v>
      </c>
      <c r="G5368" s="58" t="n">
        <f aca="false">G5283*1000*G5345</f>
        <v>16607500</v>
      </c>
      <c r="H5368" s="2" t="s">
        <v>1192</v>
      </c>
    </row>
    <row r="5369" customFormat="false" ht="15" hidden="false" customHeight="false" outlineLevel="1" collapsed="false">
      <c r="A5369" s="7" t="s">
        <v>578</v>
      </c>
      <c r="B5369" s="8" t="s">
        <v>10</v>
      </c>
      <c r="C5369" s="58" t="n">
        <f aca="false">C5366+C5367+C5368</f>
        <v>365144</v>
      </c>
      <c r="D5369" s="58" t="n">
        <f aca="false">D5366+D5367+D5368</f>
        <v>4735510</v>
      </c>
      <c r="E5369" s="58" t="n">
        <f aca="false">E5366+E5367+E5368</f>
        <v>11934195</v>
      </c>
      <c r="F5369" s="58" t="n">
        <f aca="false">F5366+F5367+F5368</f>
        <v>19867315</v>
      </c>
      <c r="G5369" s="58" t="n">
        <f aca="false">G5366+G5367+G5368</f>
        <v>28634450</v>
      </c>
      <c r="H5369" s="2" t="s">
        <v>1193</v>
      </c>
    </row>
    <row r="5370" customFormat="false" ht="15" hidden="false" customHeight="false" outlineLevel="1" collapsed="false">
      <c r="A5370" s="7" t="s">
        <v>579</v>
      </c>
      <c r="B5370" s="8" t="s">
        <v>10</v>
      </c>
      <c r="C5370" s="58" t="n">
        <f aca="false">C5292*1000*Pressupostos!$C$91</f>
        <v>0</v>
      </c>
      <c r="D5370" s="58" t="n">
        <f aca="false">D5292*1000*Pressupostos!$C$91</f>
        <v>0</v>
      </c>
      <c r="E5370" s="58" t="n">
        <f aca="false">E5292*1000*Pressupostos!$C$91</f>
        <v>0</v>
      </c>
      <c r="F5370" s="58" t="n">
        <f aca="false">F5292*1000*Pressupostos!$C$91</f>
        <v>204100</v>
      </c>
      <c r="G5370" s="58" t="n">
        <f aca="false">G5292*1000*Pressupostos!$C$91</f>
        <v>510250</v>
      </c>
      <c r="H5370" s="2" t="s">
        <v>1194</v>
      </c>
    </row>
    <row r="5371" customFormat="false" ht="15" hidden="false" customHeight="false" outlineLevel="1" collapsed="false">
      <c r="A5371" s="2" t="s">
        <v>580</v>
      </c>
      <c r="B5371" s="8" t="s">
        <v>10</v>
      </c>
      <c r="C5371" s="58" t="n">
        <f aca="false">C5290*Pressupostos!$C$78*(1-Pressupostos!$C$79)</f>
        <v>12636</v>
      </c>
      <c r="D5371" s="58" t="n">
        <f aca="false">D5290*Pressupostos!$C$78*(1-Pressupostos!$C$79)</f>
        <v>47385</v>
      </c>
      <c r="E5371" s="58" t="n">
        <f aca="false">E5290*Pressupostos!$C$78*(1-Pressupostos!$C$79)</f>
        <v>126360</v>
      </c>
      <c r="F5371" s="58" t="n">
        <f aca="false">F5290*Pressupostos!$C$78*(1-Pressupostos!$C$79)</f>
        <v>221130</v>
      </c>
      <c r="G5371" s="58" t="n">
        <f aca="false">G5290*Pressupostos!$C$78*(1-Pressupostos!$C$79)</f>
        <v>315900</v>
      </c>
      <c r="H5371" s="2" t="s">
        <v>1195</v>
      </c>
    </row>
    <row r="5372" customFormat="false" ht="15" hidden="false" customHeight="false" outlineLevel="1" collapsed="false">
      <c r="A5372" s="7" t="s">
        <v>581</v>
      </c>
      <c r="B5372" s="8" t="s">
        <v>10</v>
      </c>
      <c r="C5372" s="58" t="n">
        <f aca="false">C5371*Pressupostos!$F$27</f>
        <v>252.72</v>
      </c>
      <c r="D5372" s="58" t="n">
        <f aca="false">D5371*Pressupostos!$F$27</f>
        <v>947.7</v>
      </c>
      <c r="E5372" s="58" t="n">
        <f aca="false">E5371*Pressupostos!$F$27</f>
        <v>2527.2</v>
      </c>
      <c r="F5372" s="58" t="n">
        <f aca="false">F5371*Pressupostos!$F$27</f>
        <v>4422.6</v>
      </c>
      <c r="G5372" s="58" t="n">
        <f aca="false">G5371*Pressupostos!$F$27</f>
        <v>6318</v>
      </c>
      <c r="H5372" s="2" t="s">
        <v>1196</v>
      </c>
    </row>
    <row r="5373" customFormat="false" ht="15" hidden="false" customHeight="false" outlineLevel="1" collapsed="false">
      <c r="A5373" s="7" t="s">
        <v>582</v>
      </c>
      <c r="B5373" s="8" t="s">
        <v>10</v>
      </c>
      <c r="C5373" s="58" t="n">
        <f aca="false">C5294*(Pressupostos!$C$99*Pressupostos!$C$100+Pressupostos!$C$101)</f>
        <v>0</v>
      </c>
      <c r="D5373" s="58" t="n">
        <f aca="false">D5294*(Pressupostos!$C$99*Pressupostos!$C$100+Pressupostos!$C$101)</f>
        <v>20000</v>
      </c>
      <c r="E5373" s="58" t="n">
        <f aca="false">E5294*(Pressupostos!$C$99*Pressupostos!$C$100+Pressupostos!$C$101)</f>
        <v>60000</v>
      </c>
      <c r="F5373" s="58" t="n">
        <f aca="false">F5294*(Pressupostos!$C$99*Pressupostos!$C$100+Pressupostos!$C$101)</f>
        <v>120000</v>
      </c>
      <c r="G5373" s="58" t="n">
        <f aca="false">G5294*(Pressupostos!$C$99*Pressupostos!$C$100+Pressupostos!$C$101)</f>
        <v>200000</v>
      </c>
      <c r="H5373" s="2" t="s">
        <v>1197</v>
      </c>
    </row>
    <row r="5374" customFormat="false" ht="15" hidden="false" customHeight="false" outlineLevel="1" collapsed="false">
      <c r="A5374" s="7" t="s">
        <v>583</v>
      </c>
      <c r="B5374" s="8" t="s">
        <v>10</v>
      </c>
      <c r="C5374" s="50" t="n">
        <f aca="false">Pressupostos!$C$272</f>
        <v>0</v>
      </c>
      <c r="D5374" s="50" t="n">
        <f aca="false">Pressupostos!$D$272</f>
        <v>0</v>
      </c>
      <c r="E5374" s="50" t="n">
        <f aca="false">Pressupostos!$E$272</f>
        <v>0</v>
      </c>
      <c r="F5374" s="50" t="n">
        <f aca="false">Pressupostos!$F$272</f>
        <v>10000</v>
      </c>
      <c r="G5374" s="50" t="n">
        <f aca="false">Pressupostos!$G$272</f>
        <v>30000</v>
      </c>
      <c r="H5374" s="2" t="s">
        <v>1198</v>
      </c>
    </row>
    <row r="5375" customFormat="false" ht="15" hidden="false" customHeight="false" outlineLevel="1" collapsed="false">
      <c r="A5375" s="52" t="s">
        <v>584</v>
      </c>
      <c r="B5375" s="53" t="s">
        <v>10</v>
      </c>
      <c r="C5375" s="59" t="n">
        <f aca="false">C5369+C5370+C5372+C5373+C5374</f>
        <v>365396.72</v>
      </c>
      <c r="D5375" s="59" t="n">
        <f aca="false">D5369+D5370+D5372+D5373+D5374</f>
        <v>4756457.7</v>
      </c>
      <c r="E5375" s="59" t="n">
        <f aca="false">E5369+E5370+E5372+E5373+E5374</f>
        <v>11996722.2</v>
      </c>
      <c r="F5375" s="59" t="n">
        <f aca="false">F5369+F5370+F5372+F5373+F5374</f>
        <v>20205837.6</v>
      </c>
      <c r="G5375" s="59" t="n">
        <f aca="false">G5369+G5370+G5372+G5373+G5374</f>
        <v>29381018</v>
      </c>
      <c r="H5375" s="2" t="s">
        <v>1199</v>
      </c>
    </row>
    <row r="5376" customFormat="false" ht="15" hidden="false" customHeight="false" outlineLevel="0" collapsed="false">
      <c r="A5376" s="3" t="s">
        <v>1200</v>
      </c>
      <c r="B5376" s="4"/>
      <c r="C5376" s="4"/>
      <c r="D5376" s="4"/>
      <c r="E5376" s="4"/>
      <c r="F5376" s="4"/>
      <c r="G5376" s="4"/>
      <c r="H5376" s="4"/>
    </row>
    <row r="5377" customFormat="false" ht="15" hidden="false" customHeight="false" outlineLevel="1" collapsed="false">
      <c r="A5377" s="52" t="s">
        <v>586</v>
      </c>
      <c r="B5377" s="53" t="s">
        <v>10</v>
      </c>
      <c r="C5377" s="59" t="n">
        <f aca="false">C5369+C5370+C5371</f>
        <v>377780</v>
      </c>
      <c r="D5377" s="59" t="n">
        <f aca="false">D5369+D5370+D5371</f>
        <v>4782895</v>
      </c>
      <c r="E5377" s="59" t="n">
        <f aca="false">E5369+E5370+E5371</f>
        <v>12060555</v>
      </c>
      <c r="F5377" s="59" t="n">
        <f aca="false">F5369+F5370+F5371</f>
        <v>20292545</v>
      </c>
      <c r="G5377" s="59" t="n">
        <f aca="false">G5369+G5370+G5371</f>
        <v>29460600</v>
      </c>
      <c r="H5377" s="2" t="s">
        <v>1201</v>
      </c>
    </row>
    <row r="5378" customFormat="false" ht="15" hidden="false" customHeight="false" outlineLevel="1" collapsed="false">
      <c r="A5378" s="7" t="s">
        <v>587</v>
      </c>
      <c r="B5378" s="8" t="s">
        <v>10</v>
      </c>
      <c r="C5378" s="58" t="n">
        <f aca="false">C5281*1000*(C5297+C5300)+C5282*1000*(C5320+C5323)+C5283*1000*(C5343+C5346)+C5292*1000*Pressupostos!$C$90</f>
        <v>318552</v>
      </c>
      <c r="D5378" s="58" t="n">
        <f aca="false">D5281*1000*(D5297+D5300)+D5282*1000*(D5320+D5323)+D5283*1000*(D5343+D5346)+D5292*1000*Pressupostos!$C$90</f>
        <v>4354090</v>
      </c>
      <c r="E5378" s="58" t="n">
        <f aca="false">E5281*1000*(E5297+E5300)+E5282*1000*(E5320+E5323)+E5283*1000*(E5343+E5346)+E5292*1000*Pressupostos!$C$90</f>
        <v>11047725</v>
      </c>
      <c r="F5378" s="58" t="n">
        <f aca="false">F5281*1000*(F5297+F5300)+F5282*1000*(F5320+F5323)+F5283*1000*(F5343+F5346)+F5292*1000*Pressupostos!$C$90</f>
        <v>18569005</v>
      </c>
      <c r="G5378" s="58" t="n">
        <f aca="false">G5281*1000*(G5297+G5300)+G5282*1000*(G5320+G5323)+G5283*1000*(G5343+G5346)+G5292*1000*Pressupostos!$C$90</f>
        <v>26923650</v>
      </c>
      <c r="H5378" s="2" t="s">
        <v>1202</v>
      </c>
    </row>
    <row r="5379" customFormat="false" ht="15" hidden="false" customHeight="false" outlineLevel="1" collapsed="false">
      <c r="A5379" s="7" t="s">
        <v>588</v>
      </c>
      <c r="B5379" s="8" t="s">
        <v>10</v>
      </c>
      <c r="C5379" s="58" t="n">
        <f aca="false">C5378*Pressupostos!$C$279</f>
        <v>0</v>
      </c>
      <c r="D5379" s="58" t="n">
        <f aca="false">D5378*Pressupostos!$D$279</f>
        <v>3918681</v>
      </c>
      <c r="E5379" s="58" t="n">
        <f aca="false">E5378*Pressupostos!$E$279</f>
        <v>9942952.5</v>
      </c>
      <c r="F5379" s="58" t="n">
        <f aca="false">F5378*Pressupostos!$F$279</f>
        <v>16712104.5</v>
      </c>
      <c r="G5379" s="58" t="n">
        <f aca="false">G5378*Pressupostos!$G$279</f>
        <v>24231285</v>
      </c>
      <c r="H5379" s="2" t="s">
        <v>1203</v>
      </c>
    </row>
    <row r="5380" customFormat="false" ht="15" hidden="false" customHeight="false" outlineLevel="0" collapsed="false">
      <c r="A5380" s="3" t="s">
        <v>1204</v>
      </c>
      <c r="B5380" s="4"/>
      <c r="C5380" s="4"/>
      <c r="D5380" s="4"/>
      <c r="E5380" s="4"/>
      <c r="F5380" s="4"/>
      <c r="G5380" s="4"/>
      <c r="H5380" s="4"/>
    </row>
    <row r="5381" customFormat="false" ht="15" hidden="false" customHeight="false" outlineLevel="1" collapsed="false">
      <c r="A5381" s="7" t="s">
        <v>590</v>
      </c>
      <c r="B5381" s="8" t="s">
        <v>10</v>
      </c>
      <c r="C5381" s="58" t="n">
        <f aca="false">C5281*1000*C5316</f>
        <v>6435.97500000002</v>
      </c>
      <c r="D5381" s="58" t="n">
        <f aca="false">D5281*1000*D5316</f>
        <v>16476.1343321918</v>
      </c>
      <c r="E5381" s="58" t="n">
        <f aca="false">E5281*1000*E5316</f>
        <v>64962.6241095891</v>
      </c>
      <c r="F5381" s="58" t="n">
        <f aca="false">F5281*1000*F5316</f>
        <v>116153.824212329</v>
      </c>
      <c r="G5381" s="58" t="n">
        <f aca="false">G5281*1000*G5316</f>
        <v>165934.034589041</v>
      </c>
      <c r="H5381" s="2" t="s">
        <v>1205</v>
      </c>
    </row>
    <row r="5382" customFormat="false" ht="15" hidden="false" customHeight="false" outlineLevel="1" collapsed="false">
      <c r="A5382" s="7" t="s">
        <v>591</v>
      </c>
      <c r="B5382" s="8" t="s">
        <v>10</v>
      </c>
      <c r="C5382" s="58" t="n">
        <f aca="false">C5282*1000*C5339</f>
        <v>19993.2556164384</v>
      </c>
      <c r="D5382" s="58" t="n">
        <f aca="false">D5282*1000*D5339</f>
        <v>113649.357739727</v>
      </c>
      <c r="E5382" s="58" t="n">
        <f aca="false">E5282*1000*E5339</f>
        <v>237001.667388699</v>
      </c>
      <c r="F5382" s="58" t="n">
        <f aca="false">F5282*1000*F5339</f>
        <v>396315.513304795</v>
      </c>
      <c r="G5382" s="58" t="n">
        <f aca="false">G5282*1000*G5339</f>
        <v>599665.907705481</v>
      </c>
      <c r="H5382" s="2" t="s">
        <v>1206</v>
      </c>
    </row>
    <row r="5383" customFormat="false" ht="15" hidden="false" customHeight="false" outlineLevel="1" collapsed="false">
      <c r="A5383" s="7" t="s">
        <v>592</v>
      </c>
      <c r="B5383" s="8" t="s">
        <v>10</v>
      </c>
      <c r="C5383" s="58" t="n">
        <f aca="false">C5283*1000*C5362</f>
        <v>0</v>
      </c>
      <c r="D5383" s="58" t="n">
        <f aca="false">D5283*1000*D5362</f>
        <v>21366.7465753428</v>
      </c>
      <c r="E5383" s="58" t="n">
        <f aca="false">E5283*1000*E5362</f>
        <v>67255.6335616454</v>
      </c>
      <c r="F5383" s="58" t="n">
        <f aca="false">F5283*1000*F5362</f>
        <v>117351.712328769</v>
      </c>
      <c r="G5383" s="58" t="n">
        <f aca="false">G5283*1000*G5362</f>
        <v>164292.397260277</v>
      </c>
      <c r="H5383" s="2" t="s">
        <v>1207</v>
      </c>
    </row>
    <row r="5384" customFormat="false" ht="15" hidden="false" customHeight="false" outlineLevel="1" collapsed="false">
      <c r="A5384" s="7" t="s">
        <v>593</v>
      </c>
      <c r="B5384" s="8" t="s">
        <v>10</v>
      </c>
      <c r="C5384" s="58" t="n">
        <f aca="false">C5381+C5382+C5383</f>
        <v>26429.2306164384</v>
      </c>
      <c r="D5384" s="58" t="n">
        <f aca="false">D5381+D5382+D5383</f>
        <v>151492.238647261</v>
      </c>
      <c r="E5384" s="58" t="n">
        <f aca="false">E5381+E5382+E5383</f>
        <v>369219.925059934</v>
      </c>
      <c r="F5384" s="58" t="n">
        <f aca="false">F5381+F5382+F5383</f>
        <v>629821.049845893</v>
      </c>
      <c r="G5384" s="58" t="n">
        <f aca="false">G5381+G5382+G5383</f>
        <v>929892.339554798</v>
      </c>
      <c r="H5384" s="2" t="s">
        <v>1208</v>
      </c>
    </row>
    <row r="5385" customFormat="false" ht="15" hidden="false" customHeight="false" outlineLevel="1" collapsed="false">
      <c r="A5385" s="7" t="s">
        <v>594</v>
      </c>
      <c r="B5385" s="8" t="s">
        <v>59</v>
      </c>
      <c r="C5385" s="60" t="n">
        <f aca="false">IF(C5284&gt;0,C5384/(C5284*1000),0)</f>
        <v>0.337710587994358</v>
      </c>
      <c r="D5385" s="60" t="n">
        <f aca="false">IF(D5284&gt;0,D5384/(D5284*1000),0)</f>
        <v>0.130386004214964</v>
      </c>
      <c r="E5385" s="60" t="n">
        <f aca="false">IF(E5284&gt;0,E5384/(E5284*1000),0)</f>
        <v>0.123538637220174</v>
      </c>
      <c r="F5385" s="60" t="n">
        <f aca="false">IF(F5284&gt;0,F5384/(F5284*1000),0)</f>
        <v>0.126611193166258</v>
      </c>
      <c r="G5385" s="60" t="n">
        <f aca="false">IF(G5284&gt;0,G5384/(G5284*1000),0)</f>
        <v>0.130173211948596</v>
      </c>
      <c r="H5385" s="2" t="s">
        <v>1209</v>
      </c>
    </row>
    <row r="5386" customFormat="false" ht="15" hidden="false" customHeight="false" outlineLevel="1" collapsed="false">
      <c r="A5386" s="7" t="s">
        <v>595</v>
      </c>
      <c r="B5386" s="8" t="s">
        <v>71</v>
      </c>
      <c r="C5386" s="55" t="n">
        <f aca="false">IF(C5369&gt;0,C5384/C5369,0)</f>
        <v>0.0723802954901037</v>
      </c>
      <c r="D5386" s="55" t="n">
        <f aca="false">IF(D5369&gt;0,D5384/D5369,0)</f>
        <v>0.031990691318836</v>
      </c>
      <c r="E5386" s="55" t="n">
        <f aca="false">IF(E5369&gt;0,E5384/E5369,0)</f>
        <v>0.0309379832539969</v>
      </c>
      <c r="F5386" s="55" t="n">
        <f aca="false">IF(F5369&gt;0,F5384/F5369,0)</f>
        <v>0.0317013672882266</v>
      </c>
      <c r="G5386" s="55" t="n">
        <f aca="false">IF(G5369&gt;0,G5384/G5369,0)</f>
        <v>0.032474601033189</v>
      </c>
      <c r="H5386" s="2" t="s">
        <v>1210</v>
      </c>
    </row>
    <row r="5387" customFormat="false" ht="15" hidden="false" customHeight="false" outlineLevel="1" collapsed="false">
      <c r="A5387" s="2" t="s">
        <v>596</v>
      </c>
      <c r="B5387" s="8" t="s">
        <v>59</v>
      </c>
      <c r="C5387" s="60" t="n">
        <f aca="false">Pressupostos!$C$285*Pressupostos!$C$90*(Pressupostos!$C$93+Pressupostos!$C$94-Pressupostos!$C$95)/365*Pressupostos!$C$279/Pressupostos!$F$31</f>
        <v>0</v>
      </c>
      <c r="D5387" s="60" t="n">
        <f aca="false">Pressupostos!$D$285*Pressupostos!$C$90*(Pressupostos!$C$93+Pressupostos!$C$94-Pressupostos!$C$95)/365*Pressupostos!$D$279/Pressupostos!$F$31</f>
        <v>0.0776712328767123</v>
      </c>
      <c r="E5387" s="60" t="n">
        <f aca="false">Pressupostos!$E$285*Pressupostos!$C$90*(Pressupostos!$C$93+Pressupostos!$C$94-Pressupostos!$C$95)/365*Pressupostos!$E$279/Pressupostos!$F$31</f>
        <v>0.0728167808219178</v>
      </c>
      <c r="F5387" s="60" t="n">
        <f aca="false">Pressupostos!$F$285*Pressupostos!$C$90*(Pressupostos!$C$93+Pressupostos!$C$94-Pressupostos!$C$95)/365*Pressupostos!$F$279/Pressupostos!$F$31</f>
        <v>0.0679623287671233</v>
      </c>
      <c r="G5387" s="60" t="n">
        <f aca="false">Pressupostos!$G$285*Pressupostos!$C$90*(Pressupostos!$C$93+Pressupostos!$C$94-Pressupostos!$C$95)/365*Pressupostos!$G$279/Pressupostos!$F$31</f>
        <v>0.0679623287671233</v>
      </c>
      <c r="H5387" s="2" t="s">
        <v>1211</v>
      </c>
    </row>
    <row r="5388" customFormat="false" ht="15" hidden="false" customHeight="false" outlineLevel="1" collapsed="false">
      <c r="A5388" s="7" t="s">
        <v>567</v>
      </c>
      <c r="B5388" s="8" t="s">
        <v>10</v>
      </c>
      <c r="C5388" s="58" t="n">
        <f aca="false">C5292*1000*(Pressupostos!$C$91-Pressupostos!$C$90-Pressupostos!$C$92-C5387-Pressupostos!$C$96*Pressupostos!$C$91-Pressupostos!$C$97-Pressupostos!$F$29*Pressupostos!$C$90)</f>
        <v>0</v>
      </c>
      <c r="D5388" s="58" t="n">
        <f aca="false">D5292*1000*(Pressupostos!$C$91-Pressupostos!$C$90-Pressupostos!$C$92-D5387-Pressupostos!$C$96*Pressupostos!$C$91-Pressupostos!$C$97-Pressupostos!$F$29*Pressupostos!$C$90)</f>
        <v>0</v>
      </c>
      <c r="E5388" s="58" t="n">
        <f aca="false">E5292*1000*(Pressupostos!$C$91-Pressupostos!$C$90-Pressupostos!$C$92-E5387-Pressupostos!$C$96*Pressupostos!$C$91-Pressupostos!$C$97-Pressupostos!$F$29*Pressupostos!$C$90)</f>
        <v>0</v>
      </c>
      <c r="F5388" s="58" t="n">
        <f aca="false">F5292*1000*(Pressupostos!$C$91-Pressupostos!$C$90-Pressupostos!$C$92-F5387-Pressupostos!$C$96*Pressupostos!$C$91-Pressupostos!$C$97-Pressupostos!$F$29*Pressupostos!$C$90)</f>
        <v>13882.3794520548</v>
      </c>
      <c r="G5388" s="58" t="n">
        <f aca="false">G5292*1000*(Pressupostos!$C$91-Pressupostos!$C$90-Pressupostos!$C$92-G5387-Pressupostos!$C$96*Pressupostos!$C$91-Pressupostos!$C$97-Pressupostos!$F$29*Pressupostos!$C$90)</f>
        <v>34705.948630137</v>
      </c>
      <c r="H5388" s="2" t="s">
        <v>1212</v>
      </c>
    </row>
    <row r="5389" customFormat="false" ht="15" hidden="false" customHeight="false" outlineLevel="1" collapsed="false">
      <c r="A5389" s="7" t="s">
        <v>597</v>
      </c>
      <c r="B5389" s="8" t="s">
        <v>10</v>
      </c>
      <c r="C5389" s="58" t="n">
        <f aca="false">C5372</f>
        <v>252.72</v>
      </c>
      <c r="D5389" s="58" t="n">
        <f aca="false">D5372</f>
        <v>947.7</v>
      </c>
      <c r="E5389" s="58" t="n">
        <f aca="false">E5372</f>
        <v>2527.2</v>
      </c>
      <c r="F5389" s="58" t="n">
        <f aca="false">F5372</f>
        <v>4422.6</v>
      </c>
      <c r="G5389" s="58" t="n">
        <f aca="false">G5372</f>
        <v>6318</v>
      </c>
      <c r="H5389" s="2" t="s">
        <v>1213</v>
      </c>
    </row>
    <row r="5390" customFormat="false" ht="15" hidden="false" customHeight="false" outlineLevel="1" collapsed="false">
      <c r="A5390" s="7" t="s">
        <v>598</v>
      </c>
      <c r="B5390" s="8" t="s">
        <v>10</v>
      </c>
      <c r="C5390" s="58" t="n">
        <f aca="false">C5373-C5405</f>
        <v>0</v>
      </c>
      <c r="D5390" s="58" t="n">
        <f aca="false">D5373-D5405</f>
        <v>20000</v>
      </c>
      <c r="E5390" s="58" t="n">
        <f aca="false">E5373-E5405</f>
        <v>60000</v>
      </c>
      <c r="F5390" s="58" t="n">
        <f aca="false">F5373-F5405</f>
        <v>120000</v>
      </c>
      <c r="G5390" s="58" t="n">
        <f aca="false">G5373-G5405</f>
        <v>200000</v>
      </c>
      <c r="H5390" s="2" t="s">
        <v>1214</v>
      </c>
    </row>
    <row r="5391" customFormat="false" ht="15" hidden="false" customHeight="false" outlineLevel="1" collapsed="false">
      <c r="A5391" s="7" t="s">
        <v>583</v>
      </c>
      <c r="B5391" s="8" t="s">
        <v>10</v>
      </c>
      <c r="C5391" s="58" t="n">
        <f aca="false">C5374</f>
        <v>0</v>
      </c>
      <c r="D5391" s="58" t="n">
        <f aca="false">D5374</f>
        <v>0</v>
      </c>
      <c r="E5391" s="58" t="n">
        <f aca="false">E5374</f>
        <v>0</v>
      </c>
      <c r="F5391" s="58" t="n">
        <f aca="false">F5374</f>
        <v>10000</v>
      </c>
      <c r="G5391" s="58" t="n">
        <f aca="false">G5374</f>
        <v>30000</v>
      </c>
      <c r="H5391" s="2" t="s">
        <v>1215</v>
      </c>
    </row>
    <row r="5392" customFormat="false" ht="15" hidden="false" customHeight="false" outlineLevel="1" collapsed="false">
      <c r="A5392" s="52" t="s">
        <v>599</v>
      </c>
      <c r="B5392" s="53" t="s">
        <v>10</v>
      </c>
      <c r="C5392" s="59" t="n">
        <f aca="false">C5384+C5388+C5389+C5390+C5391</f>
        <v>26681.9506164384</v>
      </c>
      <c r="D5392" s="59" t="n">
        <f aca="false">D5384+D5388+D5389+D5390+D5391</f>
        <v>172439.938647261</v>
      </c>
      <c r="E5392" s="59" t="n">
        <f aca="false">E5384+E5388+E5389+E5390+E5391</f>
        <v>431747.125059934</v>
      </c>
      <c r="F5392" s="59" t="n">
        <f aca="false">F5384+F5388+F5389+F5390+F5391</f>
        <v>778126.029297948</v>
      </c>
      <c r="G5392" s="59" t="n">
        <f aca="false">G5384+G5388+G5389+G5390+G5391</f>
        <v>1200916.28818494</v>
      </c>
      <c r="H5392" s="2" t="s">
        <v>1216</v>
      </c>
    </row>
    <row r="5393" customFormat="false" ht="15" hidden="false" customHeight="false" outlineLevel="0" collapsed="false">
      <c r="A5393" s="3" t="s">
        <v>1217</v>
      </c>
      <c r="B5393" s="4"/>
      <c r="C5393" s="4"/>
      <c r="D5393" s="4"/>
      <c r="E5393" s="4"/>
      <c r="F5393" s="4"/>
      <c r="G5393" s="4"/>
      <c r="H5393" s="4"/>
    </row>
    <row r="5394" customFormat="false" ht="15" hidden="false" customHeight="false" outlineLevel="1" collapsed="false">
      <c r="A5394" s="7" t="s">
        <v>647</v>
      </c>
      <c r="B5394" s="8" t="s">
        <v>10</v>
      </c>
      <c r="C5394" s="58" t="n">
        <f aca="false">C5281*1000*(C5297+C5300)+C5282*1000*(C5320+C5323)+C5283*1000*(C5343+C5346)</f>
        <v>318552</v>
      </c>
      <c r="D5394" s="58" t="n">
        <f aca="false">D5281*1000*(D5297+D5300)+D5282*1000*(D5320+D5323)+D5283*1000*(D5343+D5346)</f>
        <v>4354090</v>
      </c>
      <c r="E5394" s="58" t="n">
        <f aca="false">E5281*1000*(E5297+E5300)+E5282*1000*(E5320+E5323)+E5283*1000*(E5343+E5346)</f>
        <v>11047725</v>
      </c>
      <c r="F5394" s="58" t="n">
        <f aca="false">F5281*1000*(F5297+F5300)+F5282*1000*(F5320+F5323)+F5283*1000*(F5343+F5346)</f>
        <v>18387005</v>
      </c>
      <c r="G5394" s="58" t="n">
        <f aca="false">G5281*1000*(G5297+G5300)+G5282*1000*(G5320+G5323)+G5283*1000*(G5343+G5346)</f>
        <v>26468650</v>
      </c>
      <c r="H5394" s="2" t="s">
        <v>1218</v>
      </c>
    </row>
    <row r="5395" customFormat="false" ht="15" hidden="false" customHeight="false" outlineLevel="1" collapsed="false">
      <c r="A5395" s="7" t="s">
        <v>648</v>
      </c>
      <c r="B5395" s="8" t="s">
        <v>10</v>
      </c>
      <c r="C5395" s="58" t="n">
        <f aca="false">C5292*1000*Pressupostos!$C$90</f>
        <v>0</v>
      </c>
      <c r="D5395" s="58" t="n">
        <f aca="false">D5292*1000*Pressupostos!$C$90</f>
        <v>0</v>
      </c>
      <c r="E5395" s="58" t="n">
        <f aca="false">E5292*1000*Pressupostos!$C$90</f>
        <v>0</v>
      </c>
      <c r="F5395" s="58" t="n">
        <f aca="false">F5292*1000*Pressupostos!$C$90</f>
        <v>182000</v>
      </c>
      <c r="G5395" s="58" t="n">
        <f aca="false">G5292*1000*Pressupostos!$C$90</f>
        <v>455000</v>
      </c>
      <c r="H5395" s="2" t="s">
        <v>1219</v>
      </c>
    </row>
    <row r="5396" customFormat="false" ht="15" hidden="false" customHeight="false" outlineLevel="1" collapsed="false">
      <c r="A5396" s="7" t="s">
        <v>649</v>
      </c>
      <c r="B5396" s="8" t="s">
        <v>10</v>
      </c>
      <c r="C5396" s="58" t="n">
        <f aca="false">C5394+C5395</f>
        <v>318552</v>
      </c>
      <c r="D5396" s="58" t="n">
        <f aca="false">D5394+D5395</f>
        <v>4354090</v>
      </c>
      <c r="E5396" s="58" t="n">
        <f aca="false">E5394+E5395</f>
        <v>11047725</v>
      </c>
      <c r="F5396" s="58" t="n">
        <f aca="false">F5394+F5395</f>
        <v>18569005</v>
      </c>
      <c r="G5396" s="58" t="n">
        <f aca="false">G5394+G5395</f>
        <v>26923650</v>
      </c>
      <c r="H5396" s="2" t="s">
        <v>1220</v>
      </c>
    </row>
    <row r="5397" customFormat="false" ht="15" hidden="false" customHeight="false" outlineLevel="1" collapsed="false">
      <c r="A5397" s="7" t="s">
        <v>205</v>
      </c>
      <c r="B5397" s="8" t="s">
        <v>10</v>
      </c>
      <c r="C5397" s="58" t="n">
        <f aca="false">C5281*1000*(C5301)+C5282*1000*(C5324)+C5283*1000*(C5347)+C5292*1000*Pressupostos!$C$92</f>
        <v>9958</v>
      </c>
      <c r="D5397" s="58" t="n">
        <f aca="false">D5281*1000*(D5301)+D5282*1000*(D5324)+D5283*1000*(D5347)+D5292*1000*Pressupostos!$C$92</f>
        <v>85182.5</v>
      </c>
      <c r="E5397" s="58" t="n">
        <f aca="false">E5281*1000*(E5301)+E5282*1000*(E5324)+E5283*1000*(E5347)+E5292*1000*Pressupostos!$C$92</f>
        <v>191737</v>
      </c>
      <c r="F5397" s="58" t="n">
        <f aca="false">F5281*1000*(F5301)+F5282*1000*(F5324)+F5283*1000*(F5347)+F5292*1000*Pressupostos!$C$92</f>
        <v>322679.5</v>
      </c>
      <c r="G5397" s="58" t="n">
        <f aca="false">G5281*1000*(G5301)+G5282*1000*(G5324)+G5283*1000*(G5347)+G5292*1000*Pressupostos!$C$92</f>
        <v>473135</v>
      </c>
      <c r="H5397" s="2" t="s">
        <v>1221</v>
      </c>
    </row>
    <row r="5398" customFormat="false" ht="15" hidden="false" customHeight="false" outlineLevel="1" collapsed="false">
      <c r="A5398" s="7" t="s">
        <v>109</v>
      </c>
      <c r="B5398" s="8" t="s">
        <v>10</v>
      </c>
      <c r="C5398" s="58" t="n">
        <f aca="false">C5281*1000*(C5302)+C5282*1000*(C5325)+C5283*1000*(C5348)</f>
        <v>639.6</v>
      </c>
      <c r="D5398" s="58" t="n">
        <f aca="false">D5281*1000*(D5302)+D5282*1000*(D5325)+D5283*1000*(D5348)</f>
        <v>2398.5</v>
      </c>
      <c r="E5398" s="58" t="n">
        <f aca="false">E5281*1000*(E5302)+E5282*1000*(E5325)+E5283*1000*(E5348)</f>
        <v>6396</v>
      </c>
      <c r="F5398" s="58" t="n">
        <f aca="false">F5281*1000*(F5302)+F5282*1000*(F5325)+F5283*1000*(F5348)</f>
        <v>11193</v>
      </c>
      <c r="G5398" s="58" t="n">
        <f aca="false">G5281*1000*(G5302)+G5282*1000*(G5325)+G5283*1000*(G5348)</f>
        <v>15990</v>
      </c>
      <c r="H5398" s="2" t="s">
        <v>1222</v>
      </c>
    </row>
    <row r="5399" customFormat="false" ht="15" hidden="false" customHeight="false" outlineLevel="1" collapsed="false">
      <c r="A5399" s="7" t="s">
        <v>650</v>
      </c>
      <c r="B5399" s="8" t="s">
        <v>10</v>
      </c>
      <c r="C5399" s="58" t="n">
        <f aca="false">C5281*1000*(C5305+C5306)+C5282*1000*(C5328+C5329)+C5283*1000*(C5351+C5352)</f>
        <v>604.620383561644</v>
      </c>
      <c r="D5399" s="58" t="n">
        <f aca="false">D5281*1000*(D5305+D5306)+D5282*1000*(D5328+D5329)+D5283*1000*(D5351+D5352)</f>
        <v>4757.15767123288</v>
      </c>
      <c r="E5399" s="58" t="n">
        <f aca="false">E5281*1000*(E5305+E5306)+E5282*1000*(E5328+E5329)+E5283*1000*(E5351+E5352)</f>
        <v>9476.49780821918</v>
      </c>
      <c r="F5399" s="58" t="n">
        <f aca="false">F5281*1000*(F5305+F5306)+F5282*1000*(F5328+F5329)+F5283*1000*(F5351+F5352)</f>
        <v>15783.8262328767</v>
      </c>
      <c r="G5399" s="58" t="n">
        <f aca="false">G5281*1000*(G5305+G5306)+G5282*1000*(G5328+G5329)+G5283*1000*(G5351+G5352)</f>
        <v>22932.8280821918</v>
      </c>
      <c r="H5399" s="2" t="s">
        <v>1223</v>
      </c>
    </row>
    <row r="5400" customFormat="false" ht="15" hidden="false" customHeight="false" outlineLevel="1" collapsed="false">
      <c r="A5400" s="7" t="s">
        <v>651</v>
      </c>
      <c r="B5400" s="8" t="s">
        <v>10</v>
      </c>
      <c r="C5400" s="58" t="n">
        <f aca="false">C5281*1000*(C5307+C5308+C5309)+C5282*1000*(C5330+C5331+C5332)+C5283*1000*(C5353+C5354+C5355)</f>
        <v>3477.825</v>
      </c>
      <c r="D5400" s="58" t="n">
        <f aca="false">D5281*1000*(D5307+D5308+D5309)+D5282*1000*(D5330+D5331+D5332)+D5283*1000*(D5353+D5354+D5355)</f>
        <v>38246.24375</v>
      </c>
      <c r="E5400" s="58" t="n">
        <f aca="false">E5281*1000*(E5307+E5308+E5309)+E5282*1000*(E5330+E5331+E5332)+E5283*1000*(E5353+E5354+E5355)</f>
        <v>92589.25</v>
      </c>
      <c r="F5400" s="58" t="n">
        <f aca="false">F5281*1000*(F5307+F5308+F5309)+F5282*1000*(F5330+F5331+F5332)+F5283*1000*(F5353+F5354+F5355)</f>
        <v>154144.4125</v>
      </c>
      <c r="G5400" s="58" t="n">
        <f aca="false">G5281*1000*(G5307+G5308+G5309)+G5282*1000*(G5330+G5331+G5332)+G5283*1000*(G5353+G5354+G5355)</f>
        <v>223214.875</v>
      </c>
      <c r="H5400" s="2" t="s">
        <v>1224</v>
      </c>
    </row>
    <row r="5401" customFormat="false" ht="15" hidden="false" customHeight="false" outlineLevel="1" collapsed="false">
      <c r="A5401" s="7" t="s">
        <v>637</v>
      </c>
      <c r="B5401" s="8" t="s">
        <v>10</v>
      </c>
      <c r="C5401" s="58" t="n">
        <f aca="false">C5281*1000*(C5310)+C5282*1000*(C5333)+C5283*1000*(C5356)</f>
        <v>3770</v>
      </c>
      <c r="D5401" s="58" t="n">
        <f aca="false">D5281*1000*(D5310)+D5282*1000*(D5333)+D5283*1000*(D5356)</f>
        <v>30673.5</v>
      </c>
      <c r="E5401" s="58" t="n">
        <f aca="false">E5281*1000*(E5310)+E5282*1000*(E5333)+E5283*1000*(E5356)</f>
        <v>71344</v>
      </c>
      <c r="F5401" s="58" t="n">
        <f aca="false">F5281*1000*(F5310)+F5282*1000*(F5333)+F5283*1000*(F5356)</f>
        <v>119171</v>
      </c>
      <c r="G5401" s="58" t="n">
        <f aca="false">G5281*1000*(G5310)+G5282*1000*(G5333)+G5283*1000*(G5356)</f>
        <v>174330</v>
      </c>
      <c r="H5401" s="2" t="s">
        <v>1225</v>
      </c>
    </row>
    <row r="5402" customFormat="false" ht="15" hidden="false" customHeight="false" outlineLevel="1" collapsed="false">
      <c r="A5402" s="7" t="s">
        <v>652</v>
      </c>
      <c r="B5402" s="8" t="s">
        <v>10</v>
      </c>
      <c r="C5402" s="58" t="n">
        <f aca="false">C5281*1000*(C5311)+C5282*1000*(C5334)+C5283*1000*(C5357)+C5292*1000*Pressupostos!$C$97</f>
        <v>444.6</v>
      </c>
      <c r="D5402" s="58" t="n">
        <f aca="false">D5281*1000*(D5311)+D5282*1000*(D5334)+D5283*1000*(D5357)+D5292*1000*Pressupostos!$C$97</f>
        <v>3409.25</v>
      </c>
      <c r="E5402" s="58" t="n">
        <f aca="false">E5281*1000*(E5311)+E5282*1000*(E5334)+E5283*1000*(E5357)+E5292*1000*Pressupostos!$C$97</f>
        <v>7676.5</v>
      </c>
      <c r="F5402" s="58" t="n">
        <f aca="false">F5281*1000*(F5311)+F5282*1000*(F5334)+F5283*1000*(F5357)+F5292*1000*Pressupostos!$C$97</f>
        <v>13585</v>
      </c>
      <c r="G5402" s="58" t="n">
        <f aca="false">G5281*1000*(G5311)+G5282*1000*(G5334)+G5283*1000*(G5357)+G5292*1000*Pressupostos!$C$97</f>
        <v>20800</v>
      </c>
      <c r="H5402" s="2" t="s">
        <v>1226</v>
      </c>
    </row>
    <row r="5403" customFormat="false" ht="15" hidden="false" customHeight="false" outlineLevel="1" collapsed="false">
      <c r="A5403" s="7" t="s">
        <v>76</v>
      </c>
      <c r="B5403" s="8" t="s">
        <v>10</v>
      </c>
      <c r="C5403" s="58" t="n">
        <f aca="false">C5281*1000*(C5312)+C5282*1000*(C5335)+C5283*1000*(C5358)+C5292*1000*Pressupostos!$C$96*Pressupostos!$C$91</f>
        <v>1268.124</v>
      </c>
      <c r="D5403" s="58" t="n">
        <f aca="false">D5281*1000*(D5312)+D5282*1000*(D5335)+D5283*1000*(D5358)+D5292*1000*Pressupostos!$C$96*Pressupostos!$C$91</f>
        <v>14854.125</v>
      </c>
      <c r="E5403" s="58" t="n">
        <f aca="false">E5281*1000*(E5312)+E5282*1000*(E5335)+E5283*1000*(E5358)+E5292*1000*Pressupostos!$C$96*Pressupostos!$C$91</f>
        <v>37529.505</v>
      </c>
      <c r="F5403" s="58" t="n">
        <f aca="false">F5281*1000*(F5312)+F5282*1000*(F5335)+F5283*1000*(F5358)+F5292*1000*Pressupostos!$C$96*Pressupostos!$C$91</f>
        <v>63848.655</v>
      </c>
      <c r="G5403" s="58" t="n">
        <f aca="false">G5281*1000*(G5312)+G5282*1000*(G5335)+G5283*1000*(G5358)+G5292*1000*Pressupostos!$C$96*Pressupostos!$C$91</f>
        <v>93282.15</v>
      </c>
      <c r="H5403" s="2" t="s">
        <v>1227</v>
      </c>
    </row>
    <row r="5404" customFormat="false" ht="15" hidden="false" customHeight="false" outlineLevel="1" collapsed="false">
      <c r="A5404" s="7" t="s">
        <v>653</v>
      </c>
      <c r="B5404" s="8" t="s">
        <v>10</v>
      </c>
      <c r="C5404" s="58" t="n">
        <f aca="false">C5281*1000*(C5313)+C5282*1000*(C5336)+C5283*1000*(C5359)+C5292*1000*Pressupostos!$F$29*Pressupostos!$C$90</f>
        <v>0</v>
      </c>
      <c r="D5404" s="58" t="n">
        <f aca="false">D5281*1000*(D5313)+D5282*1000*(D5336)+D5283*1000*(D5359)+D5292*1000*Pressupostos!$F$29*Pressupostos!$C$90</f>
        <v>0</v>
      </c>
      <c r="E5404" s="58" t="n">
        <f aca="false">E5281*1000*(E5313)+E5282*1000*(E5336)+E5283*1000*(E5359)+E5292*1000*Pressupostos!$F$29*Pressupostos!$C$90</f>
        <v>0</v>
      </c>
      <c r="F5404" s="58" t="n">
        <f aca="false">F5281*1000*(F5313)+F5282*1000*(F5336)+F5283*1000*(F5359)+F5292*1000*Pressupostos!$F$29*Pressupostos!$C$90</f>
        <v>546</v>
      </c>
      <c r="G5404" s="58" t="n">
        <f aca="false">G5281*1000*(G5313)+G5282*1000*(G5336)+G5283*1000*(G5359)+G5292*1000*Pressupostos!$F$29*Pressupostos!$C$90</f>
        <v>1365</v>
      </c>
      <c r="H5404" s="2" t="s">
        <v>1228</v>
      </c>
    </row>
    <row r="5405" customFormat="false" ht="15" hidden="false" customHeight="false" outlineLevel="1" collapsed="false">
      <c r="A5405" s="7" t="s">
        <v>654</v>
      </c>
      <c r="B5405" s="8" t="s">
        <v>10</v>
      </c>
      <c r="C5405" s="58" t="n">
        <f aca="false">C5295*1000*Pressupostos!$C$102*Pressupostos!$F$30</f>
        <v>0</v>
      </c>
      <c r="D5405" s="58" t="n">
        <f aca="false">D5295*1000*Pressupostos!$C$102*Pressupostos!$F$30</f>
        <v>0</v>
      </c>
      <c r="E5405" s="58" t="n">
        <f aca="false">E5295*1000*Pressupostos!$C$102*Pressupostos!$F$30</f>
        <v>0</v>
      </c>
      <c r="F5405" s="58" t="n">
        <f aca="false">F5295*1000*Pressupostos!$C$102*Pressupostos!$F$30</f>
        <v>0</v>
      </c>
      <c r="G5405" s="58" t="n">
        <f aca="false">G5295*1000*Pressupostos!$C$102*Pressupostos!$F$30</f>
        <v>0</v>
      </c>
      <c r="H5405" s="2" t="s">
        <v>1229</v>
      </c>
    </row>
    <row r="5406" customFormat="false" ht="15" hidden="false" customHeight="false" outlineLevel="1" collapsed="false">
      <c r="A5406" s="7" t="s">
        <v>655</v>
      </c>
      <c r="B5406" s="8" t="s">
        <v>10</v>
      </c>
      <c r="C5406" s="58" t="n">
        <f aca="false">C5397+C5398+C5399+C5400+C5401+C5402+C5403+C5404+C5405</f>
        <v>20162.7693835616</v>
      </c>
      <c r="D5406" s="58" t="n">
        <f aca="false">D5397+D5398+D5399+D5400+D5401+D5402+D5403+D5404+D5405</f>
        <v>179521.276421233</v>
      </c>
      <c r="E5406" s="58" t="n">
        <f aca="false">E5397+E5398+E5399+E5400+E5401+E5402+E5403+E5404+E5405</f>
        <v>416748.752808219</v>
      </c>
      <c r="F5406" s="58" t="n">
        <f aca="false">F5397+F5398+F5399+F5400+F5401+F5402+F5403+F5404+F5405</f>
        <v>700951.393732877</v>
      </c>
      <c r="G5406" s="58" t="n">
        <f aca="false">G5397+G5398+G5399+G5400+G5401+G5402+G5403+G5404+G5405</f>
        <v>1025049.85308219</v>
      </c>
      <c r="H5406" s="2" t="s">
        <v>1230</v>
      </c>
    </row>
    <row r="5407" customFormat="false" ht="15" hidden="false" customHeight="false" outlineLevel="1" collapsed="false">
      <c r="A5407" s="7" t="s">
        <v>656</v>
      </c>
      <c r="B5407" s="8" t="s">
        <v>10</v>
      </c>
      <c r="C5407" s="58" t="n">
        <f aca="false">C5281*1000*(C5314)+C5282*1000*(C5337)+C5283*1000*(C5360)</f>
        <v>0</v>
      </c>
      <c r="D5407" s="58" t="n">
        <f aca="false">D5281*1000*(D5314)+D5282*1000*(D5337)+D5283*1000*(D5360)</f>
        <v>50406.4849315069</v>
      </c>
      <c r="E5407" s="58" t="n">
        <f aca="false">E5281*1000*(E5314)+E5282*1000*(E5337)+E5283*1000*(E5360)</f>
        <v>100501.322131849</v>
      </c>
      <c r="F5407" s="58" t="n">
        <f aca="false">F5281*1000*(F5314)+F5282*1000*(F5337)+F5283*1000*(F5360)</f>
        <v>155988.156421233</v>
      </c>
      <c r="G5407" s="58" t="n">
        <f aca="false">G5281*1000*(G5314)+G5282*1000*(G5337)+G5283*1000*(G5360)</f>
        <v>226984.307363014</v>
      </c>
      <c r="H5407" s="2" t="s">
        <v>1231</v>
      </c>
    </row>
    <row r="5408" customFormat="false" ht="15" hidden="false" customHeight="false" outlineLevel="1" collapsed="false">
      <c r="A5408" s="7" t="s">
        <v>657</v>
      </c>
      <c r="B5408" s="8" t="s">
        <v>10</v>
      </c>
      <c r="C5408" s="58" t="n">
        <f aca="false">C5292*1000*C5387</f>
        <v>0</v>
      </c>
      <c r="D5408" s="58" t="n">
        <f aca="false">D5292*1000*D5387</f>
        <v>0</v>
      </c>
      <c r="E5408" s="58" t="n">
        <f aca="false">E5292*1000*E5387</f>
        <v>0</v>
      </c>
      <c r="F5408" s="58" t="n">
        <f aca="false">F5292*1000*F5387</f>
        <v>1767.02054794521</v>
      </c>
      <c r="G5408" s="58" t="n">
        <f aca="false">G5292*1000*G5387</f>
        <v>4417.55136986302</v>
      </c>
      <c r="H5408" s="2" t="s">
        <v>1232</v>
      </c>
    </row>
    <row r="5409" customFormat="false" ht="15" hidden="false" customHeight="false" outlineLevel="1" collapsed="false">
      <c r="A5409" s="7" t="s">
        <v>658</v>
      </c>
      <c r="B5409" s="8" t="s">
        <v>10</v>
      </c>
      <c r="C5409" s="58" t="n">
        <f aca="false">C5407+C5408</f>
        <v>0</v>
      </c>
      <c r="D5409" s="58" t="n">
        <f aca="false">D5407+D5408</f>
        <v>50406.4849315069</v>
      </c>
      <c r="E5409" s="58" t="n">
        <f aca="false">E5407+E5408</f>
        <v>100501.322131849</v>
      </c>
      <c r="F5409" s="58" t="n">
        <f aca="false">F5407+F5408</f>
        <v>157755.176969178</v>
      </c>
      <c r="G5409" s="58" t="n">
        <f aca="false">G5407+G5408</f>
        <v>231401.858732877</v>
      </c>
      <c r="H5409" s="2" t="s">
        <v>1233</v>
      </c>
    </row>
    <row r="5410" customFormat="false" ht="15" hidden="false" customHeight="false" outlineLevel="1" collapsed="false">
      <c r="A5410" s="8" t="s">
        <v>659</v>
      </c>
      <c r="B5410" s="8" t="s">
        <v>10</v>
      </c>
      <c r="C5410" s="66" t="n">
        <f aca="false">ROUND(C5375-C5396-C5406-C5409-C5392,6)</f>
        <v>-0</v>
      </c>
      <c r="D5410" s="66" t="n">
        <f aca="false">ROUND(D5375-D5396-D5406-D5409-D5392,6)</f>
        <v>-0</v>
      </c>
      <c r="E5410" s="66" t="n">
        <f aca="false">ROUND(E5375-E5396-E5406-E5409-E5392,6)</f>
        <v>-0</v>
      </c>
      <c r="F5410" s="66" t="n">
        <f aca="false">ROUND(F5375-F5396-F5406-F5409-F5392,6)</f>
        <v>0</v>
      </c>
      <c r="G5410" s="66" t="n">
        <f aca="false">ROUND(G5375-G5396-G5406-G5409-G5392,6)</f>
        <v>0</v>
      </c>
      <c r="H5410" s="2" t="s">
        <v>1234</v>
      </c>
    </row>
    <row r="5411" customFormat="false" ht="15" hidden="false" customHeight="false" outlineLevel="0" collapsed="false">
      <c r="A5411" s="3" t="s">
        <v>1235</v>
      </c>
      <c r="B5411" s="4"/>
      <c r="C5411" s="4"/>
      <c r="D5411" s="4"/>
      <c r="E5411" s="4"/>
      <c r="F5411" s="4"/>
      <c r="G5411" s="4"/>
      <c r="H5411" s="4"/>
    </row>
    <row r="5412" customFormat="false" ht="15" hidden="false" customHeight="false" outlineLevel="1" collapsed="false">
      <c r="A5412" s="7" t="s">
        <v>602</v>
      </c>
      <c r="B5412" s="8" t="s">
        <v>413</v>
      </c>
      <c r="C5412" s="61" t="n">
        <f aca="false">Pressupostos!$C$317</f>
        <v>1</v>
      </c>
      <c r="D5412" s="61" t="n">
        <f aca="false">Pressupostos!$D$317</f>
        <v>1</v>
      </c>
      <c r="E5412" s="61" t="n">
        <f aca="false">Pressupostos!$E$317</f>
        <v>1</v>
      </c>
      <c r="F5412" s="61" t="n">
        <f aca="false">Pressupostos!$F$317</f>
        <v>1</v>
      </c>
      <c r="G5412" s="61" t="n">
        <f aca="false">Pressupostos!$G$317</f>
        <v>1</v>
      </c>
      <c r="H5412" s="2" t="s">
        <v>1236</v>
      </c>
    </row>
    <row r="5413" customFormat="false" ht="15" hidden="false" customHeight="false" outlineLevel="1" collapsed="false">
      <c r="A5413" s="7" t="s">
        <v>603</v>
      </c>
      <c r="B5413" s="8" t="s">
        <v>413</v>
      </c>
      <c r="C5413" s="61" t="n">
        <f aca="false">Pressupostos!$C$323</f>
        <v>1</v>
      </c>
      <c r="D5413" s="61" t="n">
        <f aca="false">Pressupostos!$D$323</f>
        <v>1</v>
      </c>
      <c r="E5413" s="61" t="n">
        <f aca="false">Pressupostos!$E$323</f>
        <v>1</v>
      </c>
      <c r="F5413" s="61" t="n">
        <f aca="false">Pressupostos!$F$323</f>
        <v>1</v>
      </c>
      <c r="G5413" s="61" t="n">
        <f aca="false">Pressupostos!$G$323</f>
        <v>1</v>
      </c>
      <c r="H5413" s="2" t="s">
        <v>1237</v>
      </c>
    </row>
    <row r="5414" customFormat="false" ht="15" hidden="false" customHeight="false" outlineLevel="1" collapsed="false">
      <c r="A5414" s="7" t="s">
        <v>604</v>
      </c>
      <c r="B5414" s="8" t="s">
        <v>413</v>
      </c>
      <c r="C5414" s="61" t="n">
        <f aca="false">Pressupostos!$C$329</f>
        <v>0</v>
      </c>
      <c r="D5414" s="61" t="n">
        <f aca="false">Pressupostos!$D$329</f>
        <v>1</v>
      </c>
      <c r="E5414" s="61" t="n">
        <f aca="false">Pressupostos!$E$329</f>
        <v>1</v>
      </c>
      <c r="F5414" s="61" t="n">
        <f aca="false">Pressupostos!$F$329</f>
        <v>1</v>
      </c>
      <c r="G5414" s="61" t="n">
        <f aca="false">Pressupostos!$G$329</f>
        <v>1</v>
      </c>
      <c r="H5414" s="2" t="s">
        <v>1238</v>
      </c>
    </row>
    <row r="5415" customFormat="false" ht="15" hidden="false" customHeight="false" outlineLevel="1" collapsed="false">
      <c r="A5415" s="7" t="s">
        <v>605</v>
      </c>
      <c r="B5415" s="8" t="s">
        <v>413</v>
      </c>
      <c r="C5415" s="61" t="n">
        <f aca="false">Pressupostos!$C$335</f>
        <v>0.5</v>
      </c>
      <c r="D5415" s="61" t="n">
        <f aca="false">Pressupostos!$D$335</f>
        <v>1</v>
      </c>
      <c r="E5415" s="61" t="n">
        <f aca="false">Pressupostos!$E$335</f>
        <v>1</v>
      </c>
      <c r="F5415" s="61" t="n">
        <f aca="false">Pressupostos!$F$335</f>
        <v>1</v>
      </c>
      <c r="G5415" s="61" t="n">
        <f aca="false">Pressupostos!$G$335</f>
        <v>1</v>
      </c>
      <c r="H5415" s="2" t="s">
        <v>1239</v>
      </c>
    </row>
    <row r="5416" customFormat="false" ht="15" hidden="false" customHeight="false" outlineLevel="1" collapsed="false">
      <c r="A5416" s="7" t="s">
        <v>606</v>
      </c>
      <c r="B5416" s="8" t="s">
        <v>413</v>
      </c>
      <c r="C5416" s="61" t="n">
        <f aca="false">Pressupostos!$C$341</f>
        <v>0.5</v>
      </c>
      <c r="D5416" s="61" t="n">
        <f aca="false">Pressupostos!$D$341</f>
        <v>0.5</v>
      </c>
      <c r="E5416" s="61" t="n">
        <f aca="false">Pressupostos!$E$341</f>
        <v>0.5</v>
      </c>
      <c r="F5416" s="61" t="n">
        <f aca="false">Pressupostos!$F$341</f>
        <v>1</v>
      </c>
      <c r="G5416" s="61" t="n">
        <f aca="false">Pressupostos!$G$341</f>
        <v>1</v>
      </c>
      <c r="H5416" s="2" t="s">
        <v>1240</v>
      </c>
    </row>
    <row r="5417" customFormat="false" ht="15" hidden="false" customHeight="false" outlineLevel="1" collapsed="false">
      <c r="A5417" s="7" t="s">
        <v>607</v>
      </c>
      <c r="B5417" s="8" t="s">
        <v>413</v>
      </c>
      <c r="C5417" s="61" t="n">
        <f aca="false">Pressupostos!$C$347</f>
        <v>1</v>
      </c>
      <c r="D5417" s="61" t="n">
        <f aca="false">Pressupostos!$D$347</f>
        <v>1</v>
      </c>
      <c r="E5417" s="61" t="n">
        <f aca="false">Pressupostos!$E$347</f>
        <v>1</v>
      </c>
      <c r="F5417" s="61" t="n">
        <f aca="false">Pressupostos!$F$347</f>
        <v>1</v>
      </c>
      <c r="G5417" s="61" t="n">
        <f aca="false">Pressupostos!$G$347</f>
        <v>1</v>
      </c>
      <c r="H5417" s="2" t="s">
        <v>1241</v>
      </c>
    </row>
    <row r="5418" customFormat="false" ht="15" hidden="false" customHeight="false" outlineLevel="1" collapsed="false">
      <c r="A5418" s="7" t="s">
        <v>608</v>
      </c>
      <c r="B5418" s="8" t="s">
        <v>413</v>
      </c>
      <c r="C5418" s="61" t="n">
        <f aca="false">Pressupostos!$C$353</f>
        <v>0.5</v>
      </c>
      <c r="D5418" s="61" t="n">
        <f aca="false">Pressupostos!$D$353</f>
        <v>1</v>
      </c>
      <c r="E5418" s="61" t="n">
        <f aca="false">Pressupostos!$E$353</f>
        <v>1</v>
      </c>
      <c r="F5418" s="61" t="n">
        <f aca="false">Pressupostos!$F$353</f>
        <v>1</v>
      </c>
      <c r="G5418" s="61" t="n">
        <f aca="false">Pressupostos!$G$353</f>
        <v>1</v>
      </c>
      <c r="H5418" s="2" t="s">
        <v>1242</v>
      </c>
    </row>
    <row r="5419" customFormat="false" ht="15" hidden="false" customHeight="false" outlineLevel="1" collapsed="false">
      <c r="A5419" s="7" t="s">
        <v>609</v>
      </c>
      <c r="B5419" s="8" t="s">
        <v>413</v>
      </c>
      <c r="C5419" s="61" t="n">
        <f aca="false">Pressupostos!$C$359</f>
        <v>1</v>
      </c>
      <c r="D5419" s="61" t="n">
        <f aca="false">Pressupostos!$D$359</f>
        <v>1</v>
      </c>
      <c r="E5419" s="61" t="n">
        <f aca="false">Pressupostos!$E$359</f>
        <v>1</v>
      </c>
      <c r="F5419" s="61" t="n">
        <f aca="false">Pressupostos!$F$359</f>
        <v>2</v>
      </c>
      <c r="G5419" s="61" t="n">
        <f aca="false">Pressupostos!$G$359</f>
        <v>3</v>
      </c>
      <c r="H5419" s="2" t="s">
        <v>1243</v>
      </c>
    </row>
    <row r="5420" customFormat="false" ht="15" hidden="false" customHeight="false" outlineLevel="1" collapsed="false">
      <c r="A5420" s="7" t="s">
        <v>610</v>
      </c>
      <c r="B5420" s="8" t="s">
        <v>413</v>
      </c>
      <c r="C5420" s="61" t="n">
        <f aca="false">Pressupostos!$C$365</f>
        <v>0</v>
      </c>
      <c r="D5420" s="61" t="n">
        <f aca="false">Pressupostos!$D$365</f>
        <v>0</v>
      </c>
      <c r="E5420" s="61" t="n">
        <f aca="false">Pressupostos!$E$365</f>
        <v>0</v>
      </c>
      <c r="F5420" s="61" t="n">
        <f aca="false">Pressupostos!$F$365</f>
        <v>0</v>
      </c>
      <c r="G5420" s="61" t="n">
        <f aca="false">Pressupostos!$G$365</f>
        <v>0</v>
      </c>
      <c r="H5420" s="2" t="s">
        <v>1244</v>
      </c>
    </row>
    <row r="5421" customFormat="false" ht="15" hidden="false" customHeight="false" outlineLevel="1" collapsed="false">
      <c r="A5421" s="7" t="s">
        <v>611</v>
      </c>
      <c r="B5421" s="8" t="s">
        <v>413</v>
      </c>
      <c r="C5421" s="61" t="n">
        <f aca="false">Pressupostos!$C$371</f>
        <v>0</v>
      </c>
      <c r="D5421" s="61" t="n">
        <f aca="false">Pressupostos!$D$371</f>
        <v>0</v>
      </c>
      <c r="E5421" s="61" t="n">
        <f aca="false">Pressupostos!$E$371</f>
        <v>0</v>
      </c>
      <c r="F5421" s="61" t="n">
        <f aca="false">Pressupostos!$F$371</f>
        <v>0</v>
      </c>
      <c r="G5421" s="61" t="n">
        <f aca="false">Pressupostos!$G$371</f>
        <v>0</v>
      </c>
      <c r="H5421" s="2" t="s">
        <v>1245</v>
      </c>
    </row>
    <row r="5422" customFormat="false" ht="15" hidden="false" customHeight="false" outlineLevel="1" collapsed="false">
      <c r="A5422" s="7" t="s">
        <v>612</v>
      </c>
      <c r="B5422" s="8" t="s">
        <v>413</v>
      </c>
      <c r="C5422" s="61" t="n">
        <f aca="false">Pressupostos!$C$377</f>
        <v>0</v>
      </c>
      <c r="D5422" s="61" t="n">
        <f aca="false">Pressupostos!$D$377</f>
        <v>0</v>
      </c>
      <c r="E5422" s="61" t="n">
        <f aca="false">Pressupostos!$E$377</f>
        <v>0</v>
      </c>
      <c r="F5422" s="61" t="n">
        <f aca="false">Pressupostos!$F$377</f>
        <v>1</v>
      </c>
      <c r="G5422" s="61" t="n">
        <f aca="false">Pressupostos!$G$377</f>
        <v>1</v>
      </c>
      <c r="H5422" s="2" t="s">
        <v>1246</v>
      </c>
    </row>
    <row r="5423" customFormat="false" ht="15" hidden="false" customHeight="false" outlineLevel="1" collapsed="false">
      <c r="A5423" s="7" t="s">
        <v>613</v>
      </c>
      <c r="B5423" s="8" t="s">
        <v>413</v>
      </c>
      <c r="C5423" s="61" t="n">
        <f aca="false">Pressupostos!$C$383</f>
        <v>0</v>
      </c>
      <c r="D5423" s="61" t="n">
        <f aca="false">Pressupostos!$D$383</f>
        <v>0</v>
      </c>
      <c r="E5423" s="61" t="n">
        <f aca="false">Pressupostos!$E$383</f>
        <v>1</v>
      </c>
      <c r="F5423" s="61" t="n">
        <f aca="false">Pressupostos!$F$383</f>
        <v>1</v>
      </c>
      <c r="G5423" s="61" t="n">
        <f aca="false">Pressupostos!$G$383</f>
        <v>1</v>
      </c>
      <c r="H5423" s="2" t="s">
        <v>1247</v>
      </c>
    </row>
    <row r="5424" customFormat="false" ht="15" hidden="false" customHeight="false" outlineLevel="1" collapsed="false">
      <c r="A5424" s="52" t="s">
        <v>614</v>
      </c>
      <c r="B5424" s="53" t="s">
        <v>413</v>
      </c>
      <c r="C5424" s="62" t="n">
        <f aca="false">C5412+C5413+C5414+C5415+C5416+C5417+C5418+C5419+C5420+C5421+C5422+C5423</f>
        <v>5.5</v>
      </c>
      <c r="D5424" s="62" t="n">
        <f aca="false">D5412+D5413+D5414+D5415+D5416+D5417+D5418+D5419+D5420+D5421+D5422+D5423</f>
        <v>7.5</v>
      </c>
      <c r="E5424" s="62" t="n">
        <f aca="false">E5412+E5413+E5414+E5415+E5416+E5417+E5418+E5419+E5420+E5421+E5422+E5423</f>
        <v>8.5</v>
      </c>
      <c r="F5424" s="62" t="n">
        <f aca="false">F5412+F5413+F5414+F5415+F5416+F5417+F5418+F5419+F5420+F5421+F5422+F5423</f>
        <v>11</v>
      </c>
      <c r="G5424" s="62" t="n">
        <f aca="false">G5412+G5413+G5414+G5415+G5416+G5417+G5418+G5419+G5420+G5421+G5422+G5423</f>
        <v>12</v>
      </c>
      <c r="H5424" s="2" t="s">
        <v>1248</v>
      </c>
    </row>
    <row r="5425" customFormat="false" ht="15" hidden="false" customHeight="false" outlineLevel="0" collapsed="false">
      <c r="A5425" s="3" t="s">
        <v>1249</v>
      </c>
      <c r="B5425" s="4"/>
      <c r="C5425" s="4"/>
      <c r="D5425" s="4"/>
      <c r="E5425" s="4"/>
      <c r="F5425" s="4"/>
      <c r="G5425" s="4"/>
      <c r="H5425" s="4"/>
    </row>
    <row r="5426" customFormat="false" ht="15" hidden="false" customHeight="false" outlineLevel="1" collapsed="false">
      <c r="A5426" s="7" t="s">
        <v>602</v>
      </c>
      <c r="B5426" s="8" t="s">
        <v>10</v>
      </c>
      <c r="C5426" s="58" t="n">
        <f aca="false">C5412*Pressupostos!$C$129*(1+Pressupostos!$C$125)^0*(1+Pressupostos!$C$130)*Pressupostos!$C$126</f>
        <v>43998</v>
      </c>
      <c r="D5426" s="58" t="n">
        <f aca="false">D5412*Pressupostos!$C$129*(1+Pressupostos!$C$125)^1*(1+Pressupostos!$C$130)</f>
        <v>61800</v>
      </c>
      <c r="E5426" s="58" t="n">
        <f aca="false">E5412*Pressupostos!$C$129*(1+Pressupostos!$C$125)^2*(1+Pressupostos!$C$130)</f>
        <v>63654</v>
      </c>
      <c r="F5426" s="58" t="n">
        <f aca="false">F5412*Pressupostos!$C$129*(1+Pressupostos!$C$125)^3*(1+Pressupostos!$C$130)</f>
        <v>65563.62</v>
      </c>
      <c r="G5426" s="58" t="n">
        <f aca="false">G5412*Pressupostos!$C$129*(1+Pressupostos!$C$125)^4*(1+Pressupostos!$C$130)</f>
        <v>67530.5286</v>
      </c>
      <c r="H5426" s="2" t="s">
        <v>1250</v>
      </c>
    </row>
    <row r="5427" customFormat="false" ht="15" hidden="false" customHeight="false" outlineLevel="1" collapsed="false">
      <c r="A5427" s="7" t="s">
        <v>603</v>
      </c>
      <c r="B5427" s="8" t="s">
        <v>10</v>
      </c>
      <c r="C5427" s="58" t="n">
        <f aca="false">C5413*Pressupostos!$C$131*(1+Pressupostos!$C$125)^0*(1+Pressupostos!$C$132)*Pressupostos!$C$126</f>
        <v>47664.5</v>
      </c>
      <c r="D5427" s="58" t="n">
        <f aca="false">D5413*Pressupostos!$C$131*(1+Pressupostos!$C$125)^1*(1+Pressupostos!$C$132)</f>
        <v>66950</v>
      </c>
      <c r="E5427" s="58" t="n">
        <f aca="false">E5413*Pressupostos!$C$131*(1+Pressupostos!$C$125)^2*(1+Pressupostos!$C$132)</f>
        <v>68958.5</v>
      </c>
      <c r="F5427" s="58" t="n">
        <f aca="false">F5413*Pressupostos!$C$131*(1+Pressupostos!$C$125)^3*(1+Pressupostos!$C$132)</f>
        <v>71027.255</v>
      </c>
      <c r="G5427" s="58" t="n">
        <f aca="false">G5413*Pressupostos!$C$131*(1+Pressupostos!$C$125)^4*(1+Pressupostos!$C$132)</f>
        <v>73158.07265</v>
      </c>
      <c r="H5427" s="2" t="s">
        <v>1251</v>
      </c>
    </row>
    <row r="5428" customFormat="false" ht="15" hidden="false" customHeight="false" outlineLevel="1" collapsed="false">
      <c r="A5428" s="7" t="s">
        <v>604</v>
      </c>
      <c r="B5428" s="8" t="s">
        <v>10</v>
      </c>
      <c r="C5428" s="58" t="n">
        <f aca="false">C5414*Pressupostos!$C$133*(1+Pressupostos!$C$125)^0*(1+Pressupostos!$C$134)</f>
        <v>0</v>
      </c>
      <c r="D5428" s="58" t="n">
        <f aca="false">D5414*Pressupostos!$C$133*(1+Pressupostos!$C$125)^1*(1+Pressupostos!$C$134)</f>
        <v>46350</v>
      </c>
      <c r="E5428" s="58" t="n">
        <f aca="false">E5414*Pressupostos!$C$133*(1+Pressupostos!$C$125)^2*(1+Pressupostos!$C$134)</f>
        <v>47740.5</v>
      </c>
      <c r="F5428" s="58" t="n">
        <f aca="false">F5414*Pressupostos!$C$133*(1+Pressupostos!$C$125)^3*(1+Pressupostos!$C$134)</f>
        <v>49172.715</v>
      </c>
      <c r="G5428" s="58" t="n">
        <f aca="false">G5414*Pressupostos!$C$133*(1+Pressupostos!$C$125)^4*(1+Pressupostos!$C$134)</f>
        <v>50647.89645</v>
      </c>
      <c r="H5428" s="2" t="s">
        <v>1252</v>
      </c>
    </row>
    <row r="5429" customFormat="false" ht="15" hidden="false" customHeight="false" outlineLevel="1" collapsed="false">
      <c r="A5429" s="7" t="s">
        <v>605</v>
      </c>
      <c r="B5429" s="8" t="s">
        <v>10</v>
      </c>
      <c r="C5429" s="58" t="n">
        <f aca="false">C5415*Pressupostos!$C$135*(1+Pressupostos!$C$125)^0*(1+Pressupostos!$C$136)</f>
        <v>30000</v>
      </c>
      <c r="D5429" s="58" t="n">
        <f aca="false">D5415*Pressupostos!$C$135*(1+Pressupostos!$C$125)^1*(1+Pressupostos!$C$136)</f>
        <v>61800</v>
      </c>
      <c r="E5429" s="58" t="n">
        <f aca="false">E5415*Pressupostos!$C$135*(1+Pressupostos!$C$125)^2*(1+Pressupostos!$C$136)</f>
        <v>63654</v>
      </c>
      <c r="F5429" s="58" t="n">
        <f aca="false">F5415*Pressupostos!$C$135*(1+Pressupostos!$C$125)^3*(1+Pressupostos!$C$136)</f>
        <v>65563.62</v>
      </c>
      <c r="G5429" s="58" t="n">
        <f aca="false">G5415*Pressupostos!$C$135*(1+Pressupostos!$C$125)^4*(1+Pressupostos!$C$136)</f>
        <v>67530.5286</v>
      </c>
      <c r="H5429" s="2" t="s">
        <v>1253</v>
      </c>
    </row>
    <row r="5430" customFormat="false" ht="15" hidden="false" customHeight="false" outlineLevel="1" collapsed="false">
      <c r="A5430" s="7" t="s">
        <v>606</v>
      </c>
      <c r="B5430" s="8" t="s">
        <v>10</v>
      </c>
      <c r="C5430" s="58" t="n">
        <f aca="false">C5416*Pressupostos!$C$137*(1+Pressupostos!$C$125)^0*(1+Pressupostos!$C$138)</f>
        <v>22500</v>
      </c>
      <c r="D5430" s="58" t="n">
        <f aca="false">D5416*Pressupostos!$C$137*(1+Pressupostos!$C$125)^1*(1+Pressupostos!$C$138)</f>
        <v>23175</v>
      </c>
      <c r="E5430" s="58" t="n">
        <f aca="false">E5416*Pressupostos!$C$137*(1+Pressupostos!$C$125)^2*(1+Pressupostos!$C$138)</f>
        <v>23870.25</v>
      </c>
      <c r="F5430" s="58" t="n">
        <f aca="false">F5416*Pressupostos!$C$137*(1+Pressupostos!$C$125)^3*(1+Pressupostos!$C$138)</f>
        <v>49172.715</v>
      </c>
      <c r="G5430" s="58" t="n">
        <f aca="false">G5416*Pressupostos!$C$137*(1+Pressupostos!$C$125)^4*(1+Pressupostos!$C$138)</f>
        <v>50647.89645</v>
      </c>
      <c r="H5430" s="2" t="s">
        <v>1254</v>
      </c>
    </row>
    <row r="5431" customFormat="false" ht="15" hidden="false" customHeight="false" outlineLevel="1" collapsed="false">
      <c r="A5431" s="7" t="s">
        <v>607</v>
      </c>
      <c r="B5431" s="8" t="s">
        <v>10</v>
      </c>
      <c r="C5431" s="58" t="n">
        <f aca="false">C5417*Pressupostos!$C$139*(1+Pressupostos!$C$125)^0*(1+Pressupostos!$C$140)</f>
        <v>38000</v>
      </c>
      <c r="D5431" s="58" t="n">
        <f aca="false">D5417*Pressupostos!$C$139*(1+Pressupostos!$C$125)^1*(1+Pressupostos!$C$140)</f>
        <v>39140</v>
      </c>
      <c r="E5431" s="58" t="n">
        <f aca="false">E5417*Pressupostos!$C$139*(1+Pressupostos!$C$125)^2*(1+Pressupostos!$C$140)</f>
        <v>40314.2</v>
      </c>
      <c r="F5431" s="58" t="n">
        <f aca="false">F5417*Pressupostos!$C$139*(1+Pressupostos!$C$125)^3*(1+Pressupostos!$C$140)</f>
        <v>41523.626</v>
      </c>
      <c r="G5431" s="58" t="n">
        <f aca="false">G5417*Pressupostos!$C$139*(1+Pressupostos!$C$125)^4*(1+Pressupostos!$C$140)</f>
        <v>42769.33478</v>
      </c>
      <c r="H5431" s="2" t="s">
        <v>1255</v>
      </c>
    </row>
    <row r="5432" customFormat="false" ht="15" hidden="false" customHeight="false" outlineLevel="1" collapsed="false">
      <c r="A5432" s="7" t="s">
        <v>608</v>
      </c>
      <c r="B5432" s="8" t="s">
        <v>10</v>
      </c>
      <c r="C5432" s="58" t="n">
        <f aca="false">C5418*Pressupostos!$C$141*(1+Pressupostos!$C$125)^0*(1+Pressupostos!$C$142)</f>
        <v>16000</v>
      </c>
      <c r="D5432" s="58" t="n">
        <f aca="false">D5418*Pressupostos!$C$141*(1+Pressupostos!$C$125)^1*(1+Pressupostos!$C$142)</f>
        <v>32960</v>
      </c>
      <c r="E5432" s="58" t="n">
        <f aca="false">E5418*Pressupostos!$C$141*(1+Pressupostos!$C$125)^2*(1+Pressupostos!$C$142)</f>
        <v>33948.8</v>
      </c>
      <c r="F5432" s="58" t="n">
        <f aca="false">F5418*Pressupostos!$C$141*(1+Pressupostos!$C$125)^3*(1+Pressupostos!$C$142)</f>
        <v>34967.264</v>
      </c>
      <c r="G5432" s="58" t="n">
        <f aca="false">G5418*Pressupostos!$C$141*(1+Pressupostos!$C$125)^4*(1+Pressupostos!$C$142)</f>
        <v>36016.28192</v>
      </c>
      <c r="H5432" s="2" t="s">
        <v>1256</v>
      </c>
    </row>
    <row r="5433" customFormat="false" ht="15" hidden="false" customHeight="false" outlineLevel="1" collapsed="false">
      <c r="A5433" s="7" t="s">
        <v>609</v>
      </c>
      <c r="B5433" s="8" t="s">
        <v>10</v>
      </c>
      <c r="C5433" s="58" t="n">
        <f aca="false">C5419*Pressupostos!$C$143*(1+Pressupostos!$C$125)^0*(1+Pressupostos!$C$144)</f>
        <v>34500</v>
      </c>
      <c r="D5433" s="58" t="n">
        <f aca="false">D5419*Pressupostos!$C$143*(1+Pressupostos!$C$125)^1*(1+Pressupostos!$C$144)</f>
        <v>35535</v>
      </c>
      <c r="E5433" s="58" t="n">
        <f aca="false">E5419*Pressupostos!$C$143*(1+Pressupostos!$C$125)^2*(1+Pressupostos!$C$144)</f>
        <v>36601.05</v>
      </c>
      <c r="F5433" s="58" t="n">
        <f aca="false">F5419*Pressupostos!$C$143*(1+Pressupostos!$C$125)^3*(1+Pressupostos!$C$144)</f>
        <v>75398.163</v>
      </c>
      <c r="G5433" s="58" t="n">
        <f aca="false">G5419*Pressupostos!$C$143*(1+Pressupostos!$C$125)^4*(1+Pressupostos!$C$144)</f>
        <v>116490.161835</v>
      </c>
      <c r="H5433" s="2" t="s">
        <v>1257</v>
      </c>
    </row>
    <row r="5434" customFormat="false" ht="15" hidden="false" customHeight="false" outlineLevel="1" collapsed="false">
      <c r="A5434" s="7" t="s">
        <v>610</v>
      </c>
      <c r="B5434" s="8" t="s">
        <v>10</v>
      </c>
      <c r="C5434" s="58" t="n">
        <f aca="false">C5420*Pressupostos!$C$145*(1+Pressupostos!$C$125)^0*(1+Pressupostos!$C$146)</f>
        <v>0</v>
      </c>
      <c r="D5434" s="58" t="n">
        <f aca="false">D5420*Pressupostos!$C$145*(1+Pressupostos!$C$125)^1*(1+Pressupostos!$C$146)</f>
        <v>0</v>
      </c>
      <c r="E5434" s="58" t="n">
        <f aca="false">E5420*Pressupostos!$C$145*(1+Pressupostos!$C$125)^2*(1+Pressupostos!$C$146)</f>
        <v>0</v>
      </c>
      <c r="F5434" s="58" t="n">
        <f aca="false">F5420*Pressupostos!$C$145*(1+Pressupostos!$C$125)^3*(1+Pressupostos!$C$146)</f>
        <v>0</v>
      </c>
      <c r="G5434" s="58" t="n">
        <f aca="false">G5420*Pressupostos!$C$145*(1+Pressupostos!$C$125)^4*(1+Pressupostos!$C$146)</f>
        <v>0</v>
      </c>
      <c r="H5434" s="2" t="s">
        <v>1258</v>
      </c>
    </row>
    <row r="5435" customFormat="false" ht="15" hidden="false" customHeight="false" outlineLevel="1" collapsed="false">
      <c r="A5435" s="7" t="s">
        <v>611</v>
      </c>
      <c r="B5435" s="8" t="s">
        <v>10</v>
      </c>
      <c r="C5435" s="58" t="n">
        <f aca="false">C5421*Pressupostos!$C$147*(1+Pressupostos!$C$125)^0*(1+Pressupostos!$C$148)</f>
        <v>0</v>
      </c>
      <c r="D5435" s="58" t="n">
        <f aca="false">D5421*Pressupostos!$C$147*(1+Pressupostos!$C$125)^1*(1+Pressupostos!$C$148)</f>
        <v>0</v>
      </c>
      <c r="E5435" s="58" t="n">
        <f aca="false">E5421*Pressupostos!$C$147*(1+Pressupostos!$C$125)^2*(1+Pressupostos!$C$148)</f>
        <v>0</v>
      </c>
      <c r="F5435" s="58" t="n">
        <f aca="false">F5421*Pressupostos!$C$147*(1+Pressupostos!$C$125)^3*(1+Pressupostos!$C$148)</f>
        <v>0</v>
      </c>
      <c r="G5435" s="58" t="n">
        <f aca="false">G5421*Pressupostos!$C$147*(1+Pressupostos!$C$125)^4*(1+Pressupostos!$C$148)</f>
        <v>0</v>
      </c>
      <c r="H5435" s="2" t="s">
        <v>1259</v>
      </c>
    </row>
    <row r="5436" customFormat="false" ht="15" hidden="false" customHeight="false" outlineLevel="1" collapsed="false">
      <c r="A5436" s="7" t="s">
        <v>612</v>
      </c>
      <c r="B5436" s="8" t="s">
        <v>10</v>
      </c>
      <c r="C5436" s="58" t="n">
        <f aca="false">C5422*Pressupostos!$C$149*(1+Pressupostos!$C$125)^0*(1+Pressupostos!$C$150)</f>
        <v>0</v>
      </c>
      <c r="D5436" s="58" t="n">
        <f aca="false">D5422*Pressupostos!$C$149*(1+Pressupostos!$C$125)^1*(1+Pressupostos!$C$150)</f>
        <v>0</v>
      </c>
      <c r="E5436" s="58" t="n">
        <f aca="false">E5422*Pressupostos!$C$149*(1+Pressupostos!$C$125)^2*(1+Pressupostos!$C$150)</f>
        <v>0</v>
      </c>
      <c r="F5436" s="58" t="n">
        <f aca="false">F5422*Pressupostos!$C$149*(1+Pressupostos!$C$125)^3*(1+Pressupostos!$C$150)</f>
        <v>26225.448</v>
      </c>
      <c r="G5436" s="58" t="n">
        <f aca="false">G5422*Pressupostos!$C$149*(1+Pressupostos!$C$125)^4*(1+Pressupostos!$C$150)</f>
        <v>27012.21144</v>
      </c>
      <c r="H5436" s="2" t="s">
        <v>1260</v>
      </c>
    </row>
    <row r="5437" customFormat="false" ht="15" hidden="false" customHeight="false" outlineLevel="1" collapsed="false">
      <c r="A5437" s="7" t="s">
        <v>613</v>
      </c>
      <c r="B5437" s="8" t="s">
        <v>10</v>
      </c>
      <c r="C5437" s="58" t="n">
        <f aca="false">C5423*Pressupostos!$C$151*(1+Pressupostos!$C$125)^0*(1+Pressupostos!$C$152)</f>
        <v>0</v>
      </c>
      <c r="D5437" s="58" t="n">
        <f aca="false">D5423*Pressupostos!$C$151*(1+Pressupostos!$C$125)^1*(1+Pressupostos!$C$152)</f>
        <v>0</v>
      </c>
      <c r="E5437" s="58" t="n">
        <f aca="false">E5423*Pressupostos!$C$151*(1+Pressupostos!$C$125)^2*(1+Pressupostos!$C$152)</f>
        <v>54901.575</v>
      </c>
      <c r="F5437" s="58" t="n">
        <f aca="false">F5423*Pressupostos!$C$151*(1+Pressupostos!$C$125)^3*(1+Pressupostos!$C$152)</f>
        <v>56548.62225</v>
      </c>
      <c r="G5437" s="58" t="n">
        <f aca="false">G5423*Pressupostos!$C$151*(1+Pressupostos!$C$125)^4*(1+Pressupostos!$C$152)</f>
        <v>58245.0809175</v>
      </c>
      <c r="H5437" s="2" t="s">
        <v>1261</v>
      </c>
    </row>
    <row r="5438" customFormat="false" ht="15" hidden="false" customHeight="false" outlineLevel="1" collapsed="false">
      <c r="A5438" s="7" t="s">
        <v>616</v>
      </c>
      <c r="B5438" s="8" t="s">
        <v>10</v>
      </c>
      <c r="C5438" s="58" t="n">
        <f aca="false">C5426+C5427+C5428+C5429+C5430+C5431+C5432+C5433+C5434+C5435+C5436+C5437</f>
        <v>232662.5</v>
      </c>
      <c r="D5438" s="58" t="n">
        <f aca="false">D5426+D5427+D5428+D5429+D5430+D5431+D5432+D5433+D5434+D5435+D5436+D5437</f>
        <v>367710</v>
      </c>
      <c r="E5438" s="58" t="n">
        <f aca="false">E5426+E5427+E5428+E5429+E5430+E5431+E5432+E5433+E5434+E5435+E5436+E5437</f>
        <v>433642.875</v>
      </c>
      <c r="F5438" s="58" t="n">
        <f aca="false">F5426+F5427+F5428+F5429+F5430+F5431+F5432+F5433+F5434+F5435+F5436+F5437</f>
        <v>535163.04825</v>
      </c>
      <c r="G5438" s="58" t="n">
        <f aca="false">G5426+G5427+G5428+G5429+G5430+G5431+G5432+G5433+G5434+G5435+G5436+G5437</f>
        <v>590047.9936425</v>
      </c>
      <c r="H5438" s="2" t="s">
        <v>1262</v>
      </c>
    </row>
    <row r="5439" customFormat="false" ht="15" hidden="false" customHeight="false" outlineLevel="1" collapsed="false">
      <c r="A5439" s="7" t="s">
        <v>617</v>
      </c>
      <c r="B5439" s="8" t="s">
        <v>10</v>
      </c>
      <c r="C5439" s="58" t="n">
        <f aca="false">C5438*(Pressupostos!$C$122+Pressupostos!$C$123)</f>
        <v>59910.59375</v>
      </c>
      <c r="D5439" s="58" t="n">
        <f aca="false">D5438*(Pressupostos!$C$122+Pressupostos!$C$123)</f>
        <v>94685.325</v>
      </c>
      <c r="E5439" s="58" t="n">
        <f aca="false">E5438*(Pressupostos!$C$122+Pressupostos!$C$123)</f>
        <v>111663.0403125</v>
      </c>
      <c r="F5439" s="58" t="n">
        <f aca="false">F5438*(Pressupostos!$C$122+Pressupostos!$C$123)</f>
        <v>137804.484924375</v>
      </c>
      <c r="G5439" s="58" t="n">
        <f aca="false">G5438*(Pressupostos!$C$122+Pressupostos!$C$123)</f>
        <v>151937.358362944</v>
      </c>
      <c r="H5439" s="2" t="s">
        <v>1263</v>
      </c>
    </row>
    <row r="5440" customFormat="false" ht="15" hidden="false" customHeight="false" outlineLevel="1" collapsed="false">
      <c r="A5440" s="7" t="s">
        <v>618</v>
      </c>
      <c r="B5440" s="8" t="s">
        <v>10</v>
      </c>
      <c r="C5440" s="58" t="n">
        <f aca="false">C5424*Pressupostos!$C$124*(1+Pressupostos!$C$125)^0</f>
        <v>11000</v>
      </c>
      <c r="D5440" s="58" t="n">
        <f aca="false">D5424*Pressupostos!$C$124*(1+Pressupostos!$C$125)^1</f>
        <v>15450</v>
      </c>
      <c r="E5440" s="58" t="n">
        <f aca="false">E5424*Pressupostos!$C$124*(1+Pressupostos!$C$125)^2</f>
        <v>18035.3</v>
      </c>
      <c r="F5440" s="58" t="n">
        <f aca="false">F5424*Pressupostos!$C$124*(1+Pressupostos!$C$125)^3</f>
        <v>24039.994</v>
      </c>
      <c r="G5440" s="58" t="n">
        <f aca="false">G5424*Pressupostos!$C$124*(1+Pressupostos!$C$125)^4</f>
        <v>27012.21144</v>
      </c>
      <c r="H5440" s="2" t="s">
        <v>1264</v>
      </c>
    </row>
    <row r="5441" customFormat="false" ht="15" hidden="false" customHeight="false" outlineLevel="1" collapsed="false">
      <c r="A5441" s="52" t="s">
        <v>619</v>
      </c>
      <c r="B5441" s="53" t="s">
        <v>10</v>
      </c>
      <c r="C5441" s="59" t="n">
        <f aca="false">C5438+C5439+C5440</f>
        <v>303573.09375</v>
      </c>
      <c r="D5441" s="59" t="n">
        <f aca="false">D5438+D5439+D5440</f>
        <v>477845.325</v>
      </c>
      <c r="E5441" s="59" t="n">
        <f aca="false">E5438+E5439+E5440</f>
        <v>563341.2153125</v>
      </c>
      <c r="F5441" s="59" t="n">
        <f aca="false">F5438+F5439+F5440</f>
        <v>697007.527174375</v>
      </c>
      <c r="G5441" s="59" t="n">
        <f aca="false">G5438+G5439+G5440</f>
        <v>768997.563445444</v>
      </c>
      <c r="H5441" s="2" t="s">
        <v>1265</v>
      </c>
    </row>
    <row r="5442" customFormat="false" ht="15" hidden="false" customHeight="false" outlineLevel="1" collapsed="false">
      <c r="A5442" s="2" t="s">
        <v>620</v>
      </c>
      <c r="B5442" s="8" t="s">
        <v>10</v>
      </c>
      <c r="C5442" s="58" t="n">
        <f aca="false">IF(C5424&gt;0,C5441/C5424,0)</f>
        <v>55195.1079545455</v>
      </c>
      <c r="D5442" s="58" t="n">
        <f aca="false">IF(D5424&gt;0,D5441/D5424,0)</f>
        <v>63712.71</v>
      </c>
      <c r="E5442" s="58" t="n">
        <f aca="false">IF(E5424&gt;0,E5441/E5424,0)</f>
        <v>66275.4370955882</v>
      </c>
      <c r="F5442" s="58" t="n">
        <f aca="false">IF(F5424&gt;0,F5441/F5424,0)</f>
        <v>63364.3206522159</v>
      </c>
      <c r="G5442" s="58" t="n">
        <f aca="false">IF(G5424&gt;0,G5441/G5424,0)</f>
        <v>64083.1302871203</v>
      </c>
      <c r="H5442" s="2" t="s">
        <v>1266</v>
      </c>
    </row>
    <row r="5443" customFormat="false" ht="15" hidden="false" customHeight="false" outlineLevel="0" collapsed="false">
      <c r="A5443" s="3" t="s">
        <v>1267</v>
      </c>
      <c r="B5443" s="4"/>
      <c r="C5443" s="4"/>
      <c r="D5443" s="4"/>
      <c r="E5443" s="4"/>
      <c r="F5443" s="4"/>
      <c r="G5443" s="4"/>
      <c r="H5443" s="4"/>
    </row>
    <row r="5444" customFormat="false" ht="15" hidden="false" customHeight="false" outlineLevel="1" collapsed="false">
      <c r="A5444" s="7" t="s">
        <v>430</v>
      </c>
      <c r="B5444" s="8" t="s">
        <v>10</v>
      </c>
      <c r="C5444" s="58" t="n">
        <f aca="false">Pressupostos!$C$390*(1+Pressupostos!$C$154)*(1+Pressupostos!$C$155)^0</f>
        <v>94500</v>
      </c>
      <c r="D5444" s="58" t="n">
        <f aca="false">Pressupostos!$D$390*(1+Pressupostos!$C$154)*(1+Pressupostos!$C$155)^1</f>
        <v>53550</v>
      </c>
      <c r="E5444" s="58" t="n">
        <f aca="false">Pressupostos!$E$390*(1+Pressupostos!$C$154)*(1+Pressupostos!$C$155)^2</f>
        <v>49158.9</v>
      </c>
      <c r="F5444" s="58" t="n">
        <f aca="false">Pressupostos!$F$390*(1+Pressupostos!$C$154)*(1+Pressupostos!$C$155)^3</f>
        <v>50142.078</v>
      </c>
      <c r="G5444" s="58" t="n">
        <f aca="false">Pressupostos!$G$390*(1+Pressupostos!$C$154)*(1+Pressupostos!$C$155)^4</f>
        <v>51144.91956</v>
      </c>
      <c r="H5444" s="2" t="s">
        <v>1268</v>
      </c>
    </row>
    <row r="5445" customFormat="false" ht="15" hidden="false" customHeight="false" outlineLevel="1" collapsed="false">
      <c r="A5445" s="7" t="s">
        <v>432</v>
      </c>
      <c r="B5445" s="8" t="s">
        <v>10</v>
      </c>
      <c r="C5445" s="58" t="n">
        <f aca="false">Pressupostos!$C$396*(1+Pressupostos!$C$154)*(1+Pressupostos!$C$155)^0</f>
        <v>10500</v>
      </c>
      <c r="D5445" s="58" t="n">
        <f aca="false">Pressupostos!$D$396*(1+Pressupostos!$C$154)*(1+Pressupostos!$C$155)^1</f>
        <v>10710</v>
      </c>
      <c r="E5445" s="58" t="n">
        <f aca="false">Pressupostos!$E$396*(1+Pressupostos!$C$154)*(1+Pressupostos!$C$155)^2</f>
        <v>10924.2</v>
      </c>
      <c r="F5445" s="58" t="n">
        <f aca="false">Pressupostos!$F$396*(1+Pressupostos!$C$154)*(1+Pressupostos!$C$155)^3</f>
        <v>11142.684</v>
      </c>
      <c r="G5445" s="58" t="n">
        <f aca="false">Pressupostos!$G$396*(1+Pressupostos!$C$154)*(1+Pressupostos!$C$155)^4</f>
        <v>11365.53768</v>
      </c>
      <c r="H5445" s="2" t="s">
        <v>1269</v>
      </c>
    </row>
    <row r="5446" customFormat="false" ht="15" hidden="false" customHeight="false" outlineLevel="1" collapsed="false">
      <c r="A5446" s="7" t="s">
        <v>433</v>
      </c>
      <c r="B5446" s="8" t="s">
        <v>10</v>
      </c>
      <c r="C5446" s="58" t="n">
        <f aca="false">Pressupostos!$C$402*(1+Pressupostos!$C$154)*(1+Pressupostos!$C$155)^0</f>
        <v>12600</v>
      </c>
      <c r="D5446" s="58" t="n">
        <f aca="false">Pressupostos!$D$402*(1+Pressupostos!$C$154)*(1+Pressupostos!$C$155)^1</f>
        <v>12852</v>
      </c>
      <c r="E5446" s="58" t="n">
        <f aca="false">Pressupostos!$E$402*(1+Pressupostos!$C$154)*(1+Pressupostos!$C$155)^2</f>
        <v>13109.04</v>
      </c>
      <c r="F5446" s="58" t="n">
        <f aca="false">Pressupostos!$F$402*(1+Pressupostos!$C$154)*(1+Pressupostos!$C$155)^3</f>
        <v>13371.2208</v>
      </c>
      <c r="G5446" s="58" t="n">
        <f aca="false">Pressupostos!$G$402*(1+Pressupostos!$C$154)*(1+Pressupostos!$C$155)^4</f>
        <v>13638.645216</v>
      </c>
      <c r="H5446" s="2" t="s">
        <v>1270</v>
      </c>
    </row>
    <row r="5447" customFormat="false" ht="15" hidden="false" customHeight="false" outlineLevel="1" collapsed="false">
      <c r="A5447" s="7" t="s">
        <v>435</v>
      </c>
      <c r="B5447" s="8" t="s">
        <v>10</v>
      </c>
      <c r="C5447" s="58" t="n">
        <f aca="false">Pressupostos!$C$408*(1+Pressupostos!$C$154)*(1+Pressupostos!$C$155)^0</f>
        <v>31500</v>
      </c>
      <c r="D5447" s="58" t="n">
        <f aca="false">Pressupostos!$D$408*(1+Pressupostos!$C$154)*(1+Pressupostos!$C$155)^1</f>
        <v>37485</v>
      </c>
      <c r="E5447" s="58" t="n">
        <f aca="false">Pressupostos!$E$408*(1+Pressupostos!$C$154)*(1+Pressupostos!$C$155)^2</f>
        <v>49158.9</v>
      </c>
      <c r="F5447" s="58" t="n">
        <f aca="false">Pressupostos!$F$408*(1+Pressupostos!$C$154)*(1+Pressupostos!$C$155)^3</f>
        <v>55713.42</v>
      </c>
      <c r="G5447" s="58" t="n">
        <f aca="false">Pressupostos!$G$408*(1+Pressupostos!$C$154)*(1+Pressupostos!$C$155)^4</f>
        <v>62510.45724</v>
      </c>
      <c r="H5447" s="2" t="s">
        <v>1271</v>
      </c>
    </row>
    <row r="5448" customFormat="false" ht="15" hidden="false" customHeight="false" outlineLevel="1" collapsed="false">
      <c r="A5448" s="7" t="s">
        <v>437</v>
      </c>
      <c r="B5448" s="8" t="s">
        <v>10</v>
      </c>
      <c r="C5448" s="58" t="n">
        <f aca="false">Pressupostos!$C$414*(1+Pressupostos!$C$154)*(1+Pressupostos!$C$155)^0</f>
        <v>15750</v>
      </c>
      <c r="D5448" s="58" t="n">
        <f aca="false">Pressupostos!$D$414*(1+Pressupostos!$C$154)*(1+Pressupostos!$C$155)^1</f>
        <v>16065</v>
      </c>
      <c r="E5448" s="58" t="n">
        <f aca="false">Pressupostos!$E$414*(1+Pressupostos!$C$154)*(1+Pressupostos!$C$155)^2</f>
        <v>38234.7</v>
      </c>
      <c r="F5448" s="58" t="n">
        <f aca="false">Pressupostos!$F$414*(1+Pressupostos!$C$154)*(1+Pressupostos!$C$155)^3</f>
        <v>22285.368</v>
      </c>
      <c r="G5448" s="58" t="n">
        <f aca="false">Pressupostos!$G$414*(1+Pressupostos!$C$154)*(1+Pressupostos!$C$155)^4</f>
        <v>22731.07536</v>
      </c>
      <c r="H5448" s="2" t="s">
        <v>1272</v>
      </c>
    </row>
    <row r="5449" customFormat="false" ht="15" hidden="false" customHeight="false" outlineLevel="1" collapsed="false">
      <c r="A5449" s="7" t="s">
        <v>439</v>
      </c>
      <c r="B5449" s="8" t="s">
        <v>10</v>
      </c>
      <c r="C5449" s="58" t="n">
        <f aca="false">Pressupostos!$C$420*(1+Pressupostos!$C$154)*(1+Pressupostos!$C$155)^0</f>
        <v>10500</v>
      </c>
      <c r="D5449" s="58" t="n">
        <f aca="false">Pressupostos!$D$420*(1+Pressupostos!$C$154)*(1+Pressupostos!$C$155)^1</f>
        <v>12852</v>
      </c>
      <c r="E5449" s="58" t="n">
        <f aca="false">Pressupostos!$E$420*(1+Pressupostos!$C$154)*(1+Pressupostos!$C$155)^2</f>
        <v>16386.3</v>
      </c>
      <c r="F5449" s="58" t="n">
        <f aca="false">Pressupostos!$F$420*(1+Pressupostos!$C$154)*(1+Pressupostos!$C$155)^3</f>
        <v>20056.8312</v>
      </c>
      <c r="G5449" s="58" t="n">
        <f aca="false">Pressupostos!$G$420*(1+Pressupostos!$C$154)*(1+Pressupostos!$C$155)^4</f>
        <v>22731.07536</v>
      </c>
      <c r="H5449" s="2" t="s">
        <v>1273</v>
      </c>
    </row>
    <row r="5450" customFormat="false" ht="15" hidden="false" customHeight="false" outlineLevel="1" collapsed="false">
      <c r="A5450" s="7" t="s">
        <v>440</v>
      </c>
      <c r="B5450" s="8" t="s">
        <v>10</v>
      </c>
      <c r="C5450" s="58" t="n">
        <f aca="false">Pressupostos!$C$426*(1+Pressupostos!$C$154)*(1+Pressupostos!$C$155)^0</f>
        <v>31500</v>
      </c>
      <c r="D5450" s="58" t="n">
        <f aca="false">Pressupostos!$D$426*(1+Pressupostos!$C$154)*(1+Pressupostos!$C$155)^1</f>
        <v>37485</v>
      </c>
      <c r="E5450" s="58" t="n">
        <f aca="false">Pressupostos!$E$426*(1+Pressupostos!$C$154)*(1+Pressupostos!$C$155)^2</f>
        <v>49158.9</v>
      </c>
      <c r="F5450" s="58" t="n">
        <f aca="false">Pressupostos!$F$426*(1+Pressupostos!$C$154)*(1+Pressupostos!$C$155)^3</f>
        <v>55713.42</v>
      </c>
      <c r="G5450" s="58" t="n">
        <f aca="false">Pressupostos!$G$426*(1+Pressupostos!$C$154)*(1+Pressupostos!$C$155)^4</f>
        <v>62510.45724</v>
      </c>
      <c r="H5450" s="2" t="s">
        <v>1274</v>
      </c>
    </row>
    <row r="5451" customFormat="false" ht="15" hidden="false" customHeight="false" outlineLevel="1" collapsed="false">
      <c r="A5451" s="7" t="s">
        <v>442</v>
      </c>
      <c r="B5451" s="8" t="s">
        <v>10</v>
      </c>
      <c r="C5451" s="58" t="n">
        <f aca="false">Pressupostos!$C$432*(1+Pressupostos!$C$154)*(1+Pressupostos!$C$155)^0</f>
        <v>6300</v>
      </c>
      <c r="D5451" s="58" t="n">
        <f aca="false">Pressupostos!$D$432*(1+Pressupostos!$C$154)*(1+Pressupostos!$C$155)^1</f>
        <v>8568</v>
      </c>
      <c r="E5451" s="58" t="n">
        <f aca="false">Pressupostos!$E$432*(1+Pressupostos!$C$154)*(1+Pressupostos!$C$155)^2</f>
        <v>13109.04</v>
      </c>
      <c r="F5451" s="58" t="n">
        <f aca="false">Pressupostos!$F$432*(1+Pressupostos!$C$154)*(1+Pressupostos!$C$155)^3</f>
        <v>16714.026</v>
      </c>
      <c r="G5451" s="58" t="n">
        <f aca="false">Pressupostos!$G$432*(1+Pressupostos!$C$154)*(1+Pressupostos!$C$155)^4</f>
        <v>20457.967824</v>
      </c>
      <c r="H5451" s="2" t="s">
        <v>1275</v>
      </c>
    </row>
    <row r="5452" customFormat="false" ht="15" hidden="false" customHeight="false" outlineLevel="1" collapsed="false">
      <c r="A5452" s="7" t="s">
        <v>444</v>
      </c>
      <c r="B5452" s="8" t="s">
        <v>10</v>
      </c>
      <c r="C5452" s="58" t="n">
        <f aca="false">Pressupostos!$C$438*(1+Pressupostos!$C$154)*(1+Pressupostos!$C$155)^0</f>
        <v>15750</v>
      </c>
      <c r="D5452" s="58" t="n">
        <f aca="false">Pressupostos!$D$438*(1+Pressupostos!$C$154)*(1+Pressupostos!$C$155)^1</f>
        <v>21420</v>
      </c>
      <c r="E5452" s="58" t="n">
        <f aca="false">Pressupostos!$E$438*(1+Pressupostos!$C$154)*(1+Pressupostos!$C$155)^2</f>
        <v>30587.76</v>
      </c>
      <c r="F5452" s="58" t="n">
        <f aca="false">Pressupostos!$F$438*(1+Pressupostos!$C$154)*(1+Pressupostos!$C$155)^3</f>
        <v>35656.5888</v>
      </c>
      <c r="G5452" s="58" t="n">
        <f aca="false">Pressupostos!$G$438*(1+Pressupostos!$C$154)*(1+Pressupostos!$C$155)^4</f>
        <v>40915.935648</v>
      </c>
      <c r="H5452" s="2" t="s">
        <v>1276</v>
      </c>
    </row>
    <row r="5453" customFormat="false" ht="15" hidden="false" customHeight="false" outlineLevel="1" collapsed="false">
      <c r="A5453" s="7" t="s">
        <v>445</v>
      </c>
      <c r="B5453" s="8" t="s">
        <v>10</v>
      </c>
      <c r="C5453" s="58" t="n">
        <f aca="false">Pressupostos!$C$444*(1+Pressupostos!$C$154)*(1+Pressupostos!$C$155)^0</f>
        <v>4200</v>
      </c>
      <c r="D5453" s="58" t="n">
        <f aca="false">Pressupostos!$D$444*(1+Pressupostos!$C$154)*(1+Pressupostos!$C$155)^1</f>
        <v>6426</v>
      </c>
      <c r="E5453" s="58" t="n">
        <f aca="false">Pressupostos!$E$444*(1+Pressupostos!$C$154)*(1+Pressupostos!$C$155)^2</f>
        <v>8739.36</v>
      </c>
      <c r="F5453" s="58" t="n">
        <f aca="false">Pressupostos!$F$444*(1+Pressupostos!$C$154)*(1+Pressupostos!$C$155)^3</f>
        <v>8914.1472</v>
      </c>
      <c r="G5453" s="58" t="n">
        <f aca="false">Pressupostos!$G$444*(1+Pressupostos!$C$154)*(1+Pressupostos!$C$155)^4</f>
        <v>9092.430144</v>
      </c>
      <c r="H5453" s="2" t="s">
        <v>1277</v>
      </c>
    </row>
    <row r="5454" customFormat="false" ht="15" hidden="false" customHeight="false" outlineLevel="1" collapsed="false">
      <c r="A5454" s="7" t="s">
        <v>661</v>
      </c>
      <c r="B5454" s="8" t="s">
        <v>10</v>
      </c>
      <c r="C5454" s="58" t="n">
        <f aca="false">C5444+C5445+C5446+C5447+C5448+C5449+C5450+C5451+C5452+C5453</f>
        <v>233100</v>
      </c>
      <c r="D5454" s="58" t="n">
        <f aca="false">D5444+D5445+D5446+D5447+D5448+D5449+D5450+D5451+D5452+D5453</f>
        <v>217413</v>
      </c>
      <c r="E5454" s="58" t="n">
        <f aca="false">E5444+E5445+E5446+E5447+E5448+E5449+E5450+E5451+E5452+E5453</f>
        <v>278567.1</v>
      </c>
      <c r="F5454" s="58" t="n">
        <f aca="false">F5444+F5445+F5446+F5447+F5448+F5449+F5450+F5451+F5452+F5453</f>
        <v>289709.784</v>
      </c>
      <c r="G5454" s="58" t="n">
        <f aca="false">G5444+G5445+G5446+G5447+G5448+G5449+G5450+G5451+G5452+G5453</f>
        <v>317098.501272</v>
      </c>
      <c r="H5454" s="2" t="s">
        <v>1278</v>
      </c>
    </row>
    <row r="5455" customFormat="false" ht="15" hidden="false" customHeight="false" outlineLevel="1" collapsed="false">
      <c r="A5455" s="7" t="s">
        <v>662</v>
      </c>
      <c r="B5455" s="8" t="s">
        <v>10</v>
      </c>
      <c r="C5455" s="58" t="n">
        <f aca="false">Pressupostos!$C$112+Pressupostos!$C$113+Pressupostos!$C$114*Pressupostos!$C$291+Pressupostos!$C$449</f>
        <v>65000</v>
      </c>
      <c r="D5455" s="58" t="n">
        <f aca="false">Pressupostos!$C$113+Pressupostos!$C$114*Pressupostos!$D$291+Pressupostos!$D$449</f>
        <v>65000</v>
      </c>
      <c r="E5455" s="58" t="n">
        <f aca="false">Pressupostos!$C$113+Pressupostos!$C$114*Pressupostos!$E$291+Pressupostos!$E$449</f>
        <v>70000</v>
      </c>
      <c r="F5455" s="58" t="n">
        <f aca="false">Pressupostos!$C$113+Pressupostos!$C$114*Pressupostos!$F$291+Pressupostos!$F$449</f>
        <v>75000</v>
      </c>
      <c r="G5455" s="58" t="n">
        <f aca="false">Pressupostos!$C$113+Pressupostos!$C$114*Pressupostos!$G$291+Pressupostos!$G$449</f>
        <v>80000</v>
      </c>
      <c r="H5455" s="2" t="s">
        <v>1279</v>
      </c>
    </row>
    <row r="5456" customFormat="false" ht="15" hidden="false" customHeight="false" outlineLevel="1" collapsed="false">
      <c r="A5456" s="7" t="s">
        <v>663</v>
      </c>
      <c r="B5456" s="8" t="s">
        <v>10</v>
      </c>
      <c r="C5456" s="58" t="n">
        <f aca="false">IF(C5278&lt;Pressupostos!$C$118,0,MAX(Pressupostos!$C$297,Pressupostos!$C$116*(C5366+C5367)+Pressupostos!$C$117*C5368))</f>
        <v>0</v>
      </c>
      <c r="D5456" s="58" t="n">
        <f aca="false">IF(D5278&lt;Pressupostos!$C$118,0,MAX(Pressupostos!$D$297,Pressupostos!$C$116*(D5366+D5367)+Pressupostos!$C$117*D5368))</f>
        <v>14197.04</v>
      </c>
      <c r="E5456" s="58" t="n">
        <f aca="false">IF(E5278&lt;Pressupostos!$C$118,0,MAX(Pressupostos!$E$297,Pressupostos!$C$116*(E5366+E5367)+Pressupostos!$C$117*E5368))</f>
        <v>33501.78</v>
      </c>
      <c r="F5456" s="58" t="n">
        <f aca="false">IF(F5278&lt;Pressupostos!$C$118,0,MAX(Pressupostos!$F$297,Pressupostos!$C$116*(F5366+F5367)+Pressupostos!$C$117*F5368))</f>
        <v>55744.26</v>
      </c>
      <c r="G5456" s="58" t="n">
        <f aca="false">IF(G5278&lt;Pressupostos!$C$118,0,MAX(Pressupostos!$G$297,Pressupostos!$C$116*(G5366+G5367)+Pressupostos!$C$117*G5368))</f>
        <v>81322.8</v>
      </c>
      <c r="H5456" s="2" t="s">
        <v>1280</v>
      </c>
    </row>
    <row r="5457" customFormat="false" ht="15" hidden="false" customHeight="false" outlineLevel="1" collapsed="false">
      <c r="A5457" s="52" t="s">
        <v>664</v>
      </c>
      <c r="B5457" s="53" t="s">
        <v>10</v>
      </c>
      <c r="C5457" s="59" t="n">
        <f aca="false">C5454+C5455+C5456</f>
        <v>298100</v>
      </c>
      <c r="D5457" s="59" t="n">
        <f aca="false">D5454+D5455+D5456</f>
        <v>296610.04</v>
      </c>
      <c r="E5457" s="59" t="n">
        <f aca="false">E5454+E5455+E5456</f>
        <v>382068.88</v>
      </c>
      <c r="F5457" s="59" t="n">
        <f aca="false">F5454+F5455+F5456</f>
        <v>420454.044</v>
      </c>
      <c r="G5457" s="59" t="n">
        <f aca="false">G5454+G5455+G5456</f>
        <v>478421.301272</v>
      </c>
      <c r="H5457" s="2" t="s">
        <v>1281</v>
      </c>
    </row>
    <row r="5458" customFormat="false" ht="15" hidden="false" customHeight="false" outlineLevel="0" collapsed="false">
      <c r="A5458" s="3" t="s">
        <v>1282</v>
      </c>
      <c r="B5458" s="4"/>
      <c r="C5458" s="4"/>
      <c r="D5458" s="4"/>
      <c r="E5458" s="4"/>
      <c r="F5458" s="4"/>
      <c r="G5458" s="4"/>
      <c r="H5458" s="4"/>
    </row>
    <row r="5459" customFormat="false" ht="15" hidden="false" customHeight="false" outlineLevel="1" collapsed="false">
      <c r="A5459" s="7" t="s">
        <v>666</v>
      </c>
      <c r="B5459" s="8" t="s">
        <v>10</v>
      </c>
      <c r="C5459" s="58" t="n">
        <f aca="false">Pressupostos!$C$163*Pressupostos!$C$304</f>
        <v>18000</v>
      </c>
      <c r="D5459" s="58" t="n">
        <f aca="false">Pressupostos!$C$163*Pressupostos!$D$304</f>
        <v>12000</v>
      </c>
      <c r="E5459" s="58" t="n">
        <f aca="false">Pressupostos!$C$163*Pressupostos!$E$304</f>
        <v>12000</v>
      </c>
      <c r="F5459" s="58" t="n">
        <f aca="false">Pressupostos!$C$163*Pressupostos!$F$304</f>
        <v>12000</v>
      </c>
      <c r="G5459" s="58" t="n">
        <f aca="false">Pressupostos!$C$163*Pressupostos!$G$304</f>
        <v>12000</v>
      </c>
      <c r="H5459" s="2" t="s">
        <v>1283</v>
      </c>
    </row>
    <row r="5460" customFormat="false" ht="15" hidden="false" customHeight="false" outlineLevel="1" collapsed="false">
      <c r="A5460" s="7" t="s">
        <v>667</v>
      </c>
      <c r="B5460" s="8" t="s">
        <v>10</v>
      </c>
      <c r="C5460" s="50" t="n">
        <f aca="false">Pressupostos!$C$310</f>
        <v>60000</v>
      </c>
      <c r="D5460" s="50" t="n">
        <f aca="false">Pressupostos!$D$310</f>
        <v>30000</v>
      </c>
      <c r="E5460" s="50" t="n">
        <f aca="false">Pressupostos!$E$310</f>
        <v>30000</v>
      </c>
      <c r="F5460" s="50" t="n">
        <f aca="false">Pressupostos!$F$310</f>
        <v>20000</v>
      </c>
      <c r="G5460" s="50" t="n">
        <f aca="false">Pressupostos!$G$310</f>
        <v>20000</v>
      </c>
      <c r="H5460" s="2" t="s">
        <v>1284</v>
      </c>
    </row>
    <row r="5461" customFormat="false" ht="15" hidden="false" customHeight="false" outlineLevel="1" collapsed="false">
      <c r="A5461" s="7" t="s">
        <v>668</v>
      </c>
      <c r="B5461" s="8" t="s">
        <v>10</v>
      </c>
      <c r="C5461" s="58" t="n">
        <f aca="false">Pressupostos!$C$164*MAX(0,C5424)</f>
        <v>11000</v>
      </c>
      <c r="D5461" s="58" t="n">
        <f aca="false">Pressupostos!$C$164*MAX(0,D5424-C5424)</f>
        <v>4000</v>
      </c>
      <c r="E5461" s="58" t="n">
        <f aca="false">Pressupostos!$C$164*MAX(0,E5424-D5424)</f>
        <v>2000</v>
      </c>
      <c r="F5461" s="58" t="n">
        <f aca="false">Pressupostos!$C$164*MAX(0,F5424-E5424)</f>
        <v>5000</v>
      </c>
      <c r="G5461" s="58" t="n">
        <f aca="false">Pressupostos!$C$164*MAX(0,G5424-F5424)</f>
        <v>2000</v>
      </c>
      <c r="H5461" s="2" t="s">
        <v>1285</v>
      </c>
    </row>
    <row r="5462" customFormat="false" ht="15" hidden="false" customHeight="false" outlineLevel="1" collapsed="false">
      <c r="A5462" s="7" t="s">
        <v>407</v>
      </c>
      <c r="B5462" s="8" t="s">
        <v>10</v>
      </c>
      <c r="C5462" s="58" t="n">
        <f aca="false">C5459+C5460+C5461</f>
        <v>89000</v>
      </c>
      <c r="D5462" s="58" t="n">
        <f aca="false">D5459+D5460+D5461</f>
        <v>46000</v>
      </c>
      <c r="E5462" s="58" t="n">
        <f aca="false">E5459+E5460+E5461</f>
        <v>44000</v>
      </c>
      <c r="F5462" s="58" t="n">
        <f aca="false">F5459+F5460+F5461</f>
        <v>37000</v>
      </c>
      <c r="G5462" s="58" t="n">
        <f aca="false">G5459+G5460+G5461</f>
        <v>34000</v>
      </c>
      <c r="H5462" s="2" t="s">
        <v>1286</v>
      </c>
    </row>
    <row r="5463" customFormat="false" ht="15" hidden="false" customHeight="false" outlineLevel="1" collapsed="false">
      <c r="A5463" s="7" t="s">
        <v>669</v>
      </c>
      <c r="B5463" s="8" t="s">
        <v>10</v>
      </c>
      <c r="C5463" s="58" t="n">
        <f aca="false">(C5460*((0)&lt;Pressupostos!$C$165))/Pressupostos!$C$165</f>
        <v>20000</v>
      </c>
      <c r="D5463" s="58" t="n">
        <f aca="false">(C5460*((1)&lt;Pressupostos!$C$165)+D5460*((0)&lt;Pressupostos!$C$165))/Pressupostos!$C$165</f>
        <v>30000</v>
      </c>
      <c r="E5463" s="58" t="n">
        <f aca="false">(C5460*((2)&lt;Pressupostos!$C$165)+D5460*((1)&lt;Pressupostos!$C$165)+E5460*((0)&lt;Pressupostos!$C$165))/Pressupostos!$C$165</f>
        <v>40000</v>
      </c>
      <c r="F5463" s="58" t="n">
        <f aca="false">(C5460*((3)&lt;Pressupostos!$C$165)+D5460*((2)&lt;Pressupostos!$C$165)+E5460*((1)&lt;Pressupostos!$C$165)+F5460*((0)&lt;Pressupostos!$C$165))/Pressupostos!$C$165</f>
        <v>26666.6666666667</v>
      </c>
      <c r="G5463" s="58" t="n">
        <f aca="false">(C5460*((4)&lt;Pressupostos!$C$165)+D5460*((3)&lt;Pressupostos!$C$165)+E5460*((2)&lt;Pressupostos!$C$165)+F5460*((1)&lt;Pressupostos!$C$165)+G5460*((0)&lt;Pressupostos!$C$165))/Pressupostos!$C$165</f>
        <v>23333.3333333333</v>
      </c>
      <c r="H5463" s="2" t="s">
        <v>1287</v>
      </c>
    </row>
    <row r="5464" customFormat="false" ht="15" hidden="false" customHeight="false" outlineLevel="1" collapsed="false">
      <c r="A5464" s="7" t="s">
        <v>670</v>
      </c>
      <c r="B5464" s="8" t="s">
        <v>10</v>
      </c>
      <c r="C5464" s="58" t="n">
        <f aca="false">(C5459*((0)&lt;Pressupostos!$C$167))/Pressupostos!$C$167</f>
        <v>3600</v>
      </c>
      <c r="D5464" s="58" t="n">
        <f aca="false">(C5459*((1)&lt;Pressupostos!$C$167)+D5459*((0)&lt;Pressupostos!$C$167))/Pressupostos!$C$167</f>
        <v>6000</v>
      </c>
      <c r="E5464" s="58" t="n">
        <f aca="false">(C5459*((2)&lt;Pressupostos!$C$167)+D5459*((1)&lt;Pressupostos!$C$167)+E5459*((0)&lt;Pressupostos!$C$167))/Pressupostos!$C$167</f>
        <v>8400</v>
      </c>
      <c r="F5464" s="58" t="n">
        <f aca="false">(C5459*((3)&lt;Pressupostos!$C$167)+D5459*((2)&lt;Pressupostos!$C$167)+E5459*((1)&lt;Pressupostos!$C$167)+F5459*((0)&lt;Pressupostos!$C$167))/Pressupostos!$C$167</f>
        <v>10800</v>
      </c>
      <c r="G5464" s="58" t="n">
        <f aca="false">(C5459*((4)&lt;Pressupostos!$C$167)+D5459*((3)&lt;Pressupostos!$C$167)+E5459*((2)&lt;Pressupostos!$C$167)+F5459*((1)&lt;Pressupostos!$C$167)+G5459*((0)&lt;Pressupostos!$C$167))/Pressupostos!$C$167</f>
        <v>13200</v>
      </c>
      <c r="H5464" s="2" t="s">
        <v>1288</v>
      </c>
    </row>
    <row r="5465" customFormat="false" ht="15" hidden="false" customHeight="false" outlineLevel="1" collapsed="false">
      <c r="A5465" s="7" t="s">
        <v>671</v>
      </c>
      <c r="B5465" s="8" t="s">
        <v>10</v>
      </c>
      <c r="C5465" s="58" t="n">
        <f aca="false">(C5461*((0)&lt;Pressupostos!$C$166))/Pressupostos!$C$166</f>
        <v>2750</v>
      </c>
      <c r="D5465" s="58" t="n">
        <f aca="false">(C5461*((1)&lt;Pressupostos!$C$166)+D5461*((0)&lt;Pressupostos!$C$166))/Pressupostos!$C$166</f>
        <v>3750</v>
      </c>
      <c r="E5465" s="58" t="n">
        <f aca="false">(C5461*((2)&lt;Pressupostos!$C$166)+D5461*((1)&lt;Pressupostos!$C$166)+E5461*((0)&lt;Pressupostos!$C$166))/Pressupostos!$C$166</f>
        <v>4250</v>
      </c>
      <c r="F5465" s="58" t="n">
        <f aca="false">(C5461*((3)&lt;Pressupostos!$C$166)+D5461*((2)&lt;Pressupostos!$C$166)+E5461*((1)&lt;Pressupostos!$C$166)+F5461*((0)&lt;Pressupostos!$C$166))/Pressupostos!$C$166</f>
        <v>5500</v>
      </c>
      <c r="G5465" s="58" t="n">
        <f aca="false">(C5461*((4)&lt;Pressupostos!$C$166)+D5461*((3)&lt;Pressupostos!$C$166)+E5461*((2)&lt;Pressupostos!$C$166)+F5461*((1)&lt;Pressupostos!$C$166)+G5461*((0)&lt;Pressupostos!$C$166))/Pressupostos!$C$166</f>
        <v>3250</v>
      </c>
      <c r="H5465" s="2" t="s">
        <v>1289</v>
      </c>
    </row>
    <row r="5466" customFormat="false" ht="15" hidden="false" customHeight="false" outlineLevel="1" collapsed="false">
      <c r="A5466" s="7" t="s">
        <v>672</v>
      </c>
      <c r="B5466" s="8" t="s">
        <v>10</v>
      </c>
      <c r="C5466" s="58" t="n">
        <f aca="false">C5463+C5464+C5465</f>
        <v>26350</v>
      </c>
      <c r="D5466" s="58" t="n">
        <f aca="false">D5463+D5464+D5465</f>
        <v>39750</v>
      </c>
      <c r="E5466" s="58" t="n">
        <f aca="false">E5463+E5464+E5465</f>
        <v>52650</v>
      </c>
      <c r="F5466" s="58" t="n">
        <f aca="false">F5463+F5464+F5465</f>
        <v>42966.6666666667</v>
      </c>
      <c r="G5466" s="58" t="n">
        <f aca="false">G5463+G5464+G5465</f>
        <v>39783.3333333333</v>
      </c>
      <c r="H5466" s="2" t="s">
        <v>1290</v>
      </c>
    </row>
    <row r="5467" customFormat="false" ht="15" hidden="false" customHeight="false" outlineLevel="0" collapsed="false">
      <c r="A5467" s="3" t="s">
        <v>1291</v>
      </c>
      <c r="B5467" s="4"/>
      <c r="C5467" s="4"/>
      <c r="D5467" s="4"/>
      <c r="E5467" s="4"/>
      <c r="F5467" s="4"/>
      <c r="G5467" s="4"/>
      <c r="H5467" s="4"/>
    </row>
    <row r="5468" customFormat="false" ht="15" hidden="false" customHeight="false" outlineLevel="1" collapsed="false">
      <c r="A5468" s="52" t="s">
        <v>676</v>
      </c>
      <c r="B5468" s="53" t="s">
        <v>10</v>
      </c>
      <c r="C5468" s="59" t="n">
        <f aca="false">C5375</f>
        <v>365396.72</v>
      </c>
      <c r="D5468" s="59" t="n">
        <f aca="false">D5375</f>
        <v>4756457.7</v>
      </c>
      <c r="E5468" s="59" t="n">
        <f aca="false">E5375</f>
        <v>11996722.2</v>
      </c>
      <c r="F5468" s="59" t="n">
        <f aca="false">F5375</f>
        <v>20205837.6</v>
      </c>
      <c r="G5468" s="59" t="n">
        <f aca="false">G5375</f>
        <v>29381018</v>
      </c>
      <c r="H5468" s="2" t="s">
        <v>1292</v>
      </c>
    </row>
    <row r="5469" customFormat="false" ht="15" hidden="false" customHeight="false" outlineLevel="1" collapsed="false">
      <c r="A5469" s="7" t="s">
        <v>649</v>
      </c>
      <c r="B5469" s="8" t="s">
        <v>10</v>
      </c>
      <c r="C5469" s="58" t="n">
        <f aca="false">-C5396</f>
        <v>-318552</v>
      </c>
      <c r="D5469" s="58" t="n">
        <f aca="false">-D5396</f>
        <v>-4354090</v>
      </c>
      <c r="E5469" s="58" t="n">
        <f aca="false">-E5396</f>
        <v>-11047725</v>
      </c>
      <c r="F5469" s="58" t="n">
        <f aca="false">-F5396</f>
        <v>-18569005</v>
      </c>
      <c r="G5469" s="58" t="n">
        <f aca="false">-G5396</f>
        <v>-26923650</v>
      </c>
      <c r="H5469" s="2" t="s">
        <v>1293</v>
      </c>
    </row>
    <row r="5470" customFormat="false" ht="15" hidden="false" customHeight="false" outlineLevel="1" collapsed="false">
      <c r="A5470" s="52" t="s">
        <v>677</v>
      </c>
      <c r="B5470" s="53" t="s">
        <v>10</v>
      </c>
      <c r="C5470" s="59" t="n">
        <f aca="false">C5468+C5469</f>
        <v>46844.72</v>
      </c>
      <c r="D5470" s="59" t="n">
        <f aca="false">D5468+D5469</f>
        <v>402367.7</v>
      </c>
      <c r="E5470" s="59" t="n">
        <f aca="false">E5468+E5469</f>
        <v>948997.199999999</v>
      </c>
      <c r="F5470" s="59" t="n">
        <f aca="false">F5468+F5469</f>
        <v>1636832.6</v>
      </c>
      <c r="G5470" s="59" t="n">
        <f aca="false">G5468+G5469</f>
        <v>2457368</v>
      </c>
      <c r="H5470" s="2" t="s">
        <v>1294</v>
      </c>
    </row>
    <row r="5471" customFormat="false" ht="15" hidden="false" customHeight="false" outlineLevel="1" collapsed="false">
      <c r="A5471" s="2" t="s">
        <v>678</v>
      </c>
      <c r="B5471" s="8" t="s">
        <v>71</v>
      </c>
      <c r="C5471" s="55" t="n">
        <f aca="false">IF(C5468&gt;0,C5470/C5468,0)</f>
        <v>0.128202354963668</v>
      </c>
      <c r="D5471" s="55" t="n">
        <f aca="false">IF(D5468&gt;0,D5470/D5468,0)</f>
        <v>0.0845939826186198</v>
      </c>
      <c r="E5471" s="55" t="n">
        <f aca="false">IF(E5468&gt;0,E5470/E5468,0)</f>
        <v>0.0791047074508401</v>
      </c>
      <c r="F5471" s="55" t="n">
        <f aca="false">IF(F5468&gt;0,F5470/F5468,0)</f>
        <v>0.0810079063488069</v>
      </c>
      <c r="G5471" s="55" t="n">
        <f aca="false">IF(G5468&gt;0,G5470/G5468,0)</f>
        <v>0.083637946105203</v>
      </c>
      <c r="H5471" s="2" t="s">
        <v>1295</v>
      </c>
    </row>
    <row r="5472" customFormat="false" ht="15" hidden="false" customHeight="false" outlineLevel="1" collapsed="false">
      <c r="A5472" s="7" t="s">
        <v>679</v>
      </c>
      <c r="B5472" s="8" t="s">
        <v>10</v>
      </c>
      <c r="C5472" s="58" t="n">
        <f aca="false">-C5406</f>
        <v>-20162.7693835616</v>
      </c>
      <c r="D5472" s="58" t="n">
        <f aca="false">-D5406</f>
        <v>-179521.276421233</v>
      </c>
      <c r="E5472" s="58" t="n">
        <f aca="false">-E5406</f>
        <v>-416748.752808219</v>
      </c>
      <c r="F5472" s="58" t="n">
        <f aca="false">-F5406</f>
        <v>-700951.393732877</v>
      </c>
      <c r="G5472" s="58" t="n">
        <f aca="false">-G5406</f>
        <v>-1025049.85308219</v>
      </c>
      <c r="H5472" s="2" t="s">
        <v>1296</v>
      </c>
    </row>
    <row r="5473" customFormat="false" ht="15" hidden="false" customHeight="false" outlineLevel="1" collapsed="false">
      <c r="A5473" s="7" t="s">
        <v>658</v>
      </c>
      <c r="B5473" s="8" t="s">
        <v>10</v>
      </c>
      <c r="C5473" s="58" t="n">
        <f aca="false">-C5409</f>
        <v>-0</v>
      </c>
      <c r="D5473" s="58" t="n">
        <f aca="false">-D5409</f>
        <v>-50406.4849315069</v>
      </c>
      <c r="E5473" s="58" t="n">
        <f aca="false">-E5409</f>
        <v>-100501.322131849</v>
      </c>
      <c r="F5473" s="58" t="n">
        <f aca="false">-F5409</f>
        <v>-157755.176969178</v>
      </c>
      <c r="G5473" s="58" t="n">
        <f aca="false">-G5409</f>
        <v>-231401.858732877</v>
      </c>
      <c r="H5473" s="2" t="s">
        <v>1297</v>
      </c>
    </row>
    <row r="5474" customFormat="false" ht="15" hidden="false" customHeight="false" outlineLevel="1" collapsed="false">
      <c r="A5474" s="52" t="s">
        <v>641</v>
      </c>
      <c r="B5474" s="53" t="s">
        <v>10</v>
      </c>
      <c r="C5474" s="59" t="n">
        <f aca="false">C5470+C5472+C5473</f>
        <v>26681.9506164383</v>
      </c>
      <c r="D5474" s="59" t="n">
        <f aca="false">D5470+D5472+D5473</f>
        <v>172439.93864726</v>
      </c>
      <c r="E5474" s="59" t="n">
        <f aca="false">E5470+E5472+E5473</f>
        <v>431747.125059931</v>
      </c>
      <c r="F5474" s="59" t="n">
        <f aca="false">F5470+F5472+F5473</f>
        <v>778126.029297947</v>
      </c>
      <c r="G5474" s="59" t="n">
        <f aca="false">G5470+G5472+G5473</f>
        <v>1200916.28818493</v>
      </c>
      <c r="H5474" s="2" t="s">
        <v>1298</v>
      </c>
    </row>
    <row r="5475" customFormat="false" ht="15" hidden="false" customHeight="false" outlineLevel="1" collapsed="false">
      <c r="A5475" s="7" t="s">
        <v>251</v>
      </c>
      <c r="B5475" s="8" t="s">
        <v>10</v>
      </c>
      <c r="C5475" s="58" t="n">
        <f aca="false">-C5441</f>
        <v>-303573.09375</v>
      </c>
      <c r="D5475" s="58" t="n">
        <f aca="false">-D5441</f>
        <v>-477845.325</v>
      </c>
      <c r="E5475" s="58" t="n">
        <f aca="false">-E5441</f>
        <v>-563341.2153125</v>
      </c>
      <c r="F5475" s="58" t="n">
        <f aca="false">-F5441</f>
        <v>-697007.527174375</v>
      </c>
      <c r="G5475" s="58" t="n">
        <f aca="false">-G5441</f>
        <v>-768997.563445444</v>
      </c>
      <c r="H5475" s="2" t="s">
        <v>1299</v>
      </c>
    </row>
    <row r="5476" customFormat="false" ht="15" hidden="false" customHeight="false" outlineLevel="1" collapsed="false">
      <c r="A5476" s="7" t="s">
        <v>680</v>
      </c>
      <c r="B5476" s="8" t="s">
        <v>10</v>
      </c>
      <c r="C5476" s="58" t="n">
        <f aca="false">-C5457</f>
        <v>-298100</v>
      </c>
      <c r="D5476" s="58" t="n">
        <f aca="false">-D5457</f>
        <v>-296610.04</v>
      </c>
      <c r="E5476" s="58" t="n">
        <f aca="false">-E5457</f>
        <v>-382068.88</v>
      </c>
      <c r="F5476" s="58" t="n">
        <f aca="false">-F5457</f>
        <v>-420454.044</v>
      </c>
      <c r="G5476" s="58" t="n">
        <f aca="false">-G5457</f>
        <v>-478421.301272</v>
      </c>
      <c r="H5476" s="2" t="s">
        <v>1300</v>
      </c>
    </row>
    <row r="5477" customFormat="false" ht="15" hidden="false" customHeight="false" outlineLevel="1" collapsed="false">
      <c r="A5477" s="52" t="s">
        <v>681</v>
      </c>
      <c r="B5477" s="53" t="s">
        <v>10</v>
      </c>
      <c r="C5477" s="59" t="n">
        <f aca="false">C5474+C5475+C5476</f>
        <v>-574991.143133562</v>
      </c>
      <c r="D5477" s="59" t="n">
        <f aca="false">D5474+D5475+D5476</f>
        <v>-602015.42635274</v>
      </c>
      <c r="E5477" s="59" t="n">
        <f aca="false">E5474+E5475+E5476</f>
        <v>-513662.970252569</v>
      </c>
      <c r="F5477" s="59" t="n">
        <f aca="false">F5474+F5475+F5476</f>
        <v>-339335.541876428</v>
      </c>
      <c r="G5477" s="59" t="n">
        <f aca="false">G5474+G5475+G5476</f>
        <v>-46502.5765325122</v>
      </c>
      <c r="H5477" s="2" t="s">
        <v>1301</v>
      </c>
    </row>
    <row r="5478" customFormat="false" ht="15" hidden="false" customHeight="false" outlineLevel="1" collapsed="false">
      <c r="A5478" s="2" t="s">
        <v>683</v>
      </c>
      <c r="B5478" s="8" t="s">
        <v>71</v>
      </c>
      <c r="C5478" s="55" t="n">
        <f aca="false">IF(C5468&gt;0,C5477/C5468,0)</f>
        <v>-1.57360783953825</v>
      </c>
      <c r="D5478" s="55" t="n">
        <f aca="false">IF(D5468&gt;0,D5477/D5468,0)</f>
        <v>-0.126568018538826</v>
      </c>
      <c r="E5478" s="55" t="n">
        <f aca="false">IF(E5468&gt;0,E5477/E5468,0)</f>
        <v>-0.0428169429690194</v>
      </c>
      <c r="F5478" s="55" t="n">
        <f aca="false">IF(F5468&gt;0,F5477/F5468,0)</f>
        <v>-0.0167939359205989</v>
      </c>
      <c r="G5478" s="55" t="n">
        <f aca="false">IF(G5468&gt;0,G5477/G5468,0)</f>
        <v>-0.00158274218178935</v>
      </c>
      <c r="H5478" s="2" t="s">
        <v>1302</v>
      </c>
    </row>
    <row r="5479" customFormat="false" ht="15" hidden="false" customHeight="false" outlineLevel="1" collapsed="false">
      <c r="A5479" s="2" t="s">
        <v>684</v>
      </c>
      <c r="B5479" s="8" t="s">
        <v>10</v>
      </c>
      <c r="C5479" s="58" t="n">
        <f aca="false">C5477+C5409</f>
        <v>-574991.143133562</v>
      </c>
      <c r="D5479" s="58" t="n">
        <f aca="false">D5477+D5409</f>
        <v>-551608.941421233</v>
      </c>
      <c r="E5479" s="58" t="n">
        <f aca="false">E5477+E5409</f>
        <v>-413161.64812072</v>
      </c>
      <c r="F5479" s="58" t="n">
        <f aca="false">F5477+F5409</f>
        <v>-181580.36490725</v>
      </c>
      <c r="G5479" s="58" t="n">
        <f aca="false">G5477+G5409</f>
        <v>184899.282200365</v>
      </c>
      <c r="H5479" s="2" t="s">
        <v>1303</v>
      </c>
    </row>
    <row r="5480" customFormat="false" ht="15" hidden="false" customHeight="false" outlineLevel="1" collapsed="false">
      <c r="A5480" s="7" t="s">
        <v>672</v>
      </c>
      <c r="B5480" s="8" t="s">
        <v>10</v>
      </c>
      <c r="C5480" s="58" t="n">
        <f aca="false">-C5466</f>
        <v>-26350</v>
      </c>
      <c r="D5480" s="58" t="n">
        <f aca="false">-D5466</f>
        <v>-39750</v>
      </c>
      <c r="E5480" s="58" t="n">
        <f aca="false">-E5466</f>
        <v>-52650</v>
      </c>
      <c r="F5480" s="58" t="n">
        <f aca="false">-F5466</f>
        <v>-42966.6666666667</v>
      </c>
      <c r="G5480" s="58" t="n">
        <f aca="false">-G5466</f>
        <v>-39783.3333333333</v>
      </c>
      <c r="H5480" s="2" t="s">
        <v>1304</v>
      </c>
    </row>
    <row r="5481" customFormat="false" ht="15" hidden="false" customHeight="false" outlineLevel="1" collapsed="false">
      <c r="A5481" s="52" t="s">
        <v>685</v>
      </c>
      <c r="B5481" s="53" t="s">
        <v>10</v>
      </c>
      <c r="C5481" s="59" t="n">
        <f aca="false">C5477+C5480</f>
        <v>-601341.143133562</v>
      </c>
      <c r="D5481" s="59" t="n">
        <f aca="false">D5477+D5480</f>
        <v>-641765.42635274</v>
      </c>
      <c r="E5481" s="59" t="n">
        <f aca="false">E5477+E5480</f>
        <v>-566312.970252569</v>
      </c>
      <c r="F5481" s="59" t="n">
        <f aca="false">F5477+F5480</f>
        <v>-382302.208543095</v>
      </c>
      <c r="G5481" s="59" t="n">
        <f aca="false">G5477+G5480</f>
        <v>-86285.9098658455</v>
      </c>
      <c r="H5481" s="2" t="s">
        <v>1305</v>
      </c>
    </row>
    <row r="5482" customFormat="false" ht="15" hidden="false" customHeight="false" outlineLevel="0" collapsed="false">
      <c r="A5482" s="3" t="s">
        <v>1306</v>
      </c>
      <c r="B5482" s="4"/>
      <c r="C5482" s="4"/>
      <c r="D5482" s="4"/>
      <c r="E5482" s="4"/>
      <c r="F5482" s="4"/>
      <c r="G5482" s="4"/>
      <c r="H5482" s="4"/>
    </row>
    <row r="5483" customFormat="false" ht="15" hidden="false" customHeight="false" outlineLevel="1" collapsed="false">
      <c r="A5483" s="7" t="s">
        <v>687</v>
      </c>
      <c r="B5483" s="8" t="s">
        <v>10</v>
      </c>
      <c r="C5483" s="58" t="n">
        <f aca="false">C5481</f>
        <v>-601341.143133562</v>
      </c>
      <c r="D5483" s="58" t="n">
        <f aca="false">D5481</f>
        <v>-641765.42635274</v>
      </c>
      <c r="E5483" s="58" t="n">
        <f aca="false">E5481</f>
        <v>-566312.970252569</v>
      </c>
      <c r="F5483" s="58" t="n">
        <f aca="false">F5481</f>
        <v>-382302.208543095</v>
      </c>
      <c r="G5483" s="58" t="n">
        <f aca="false">G5481</f>
        <v>-86285.9098658455</v>
      </c>
      <c r="H5483" s="2" t="s">
        <v>1307</v>
      </c>
    </row>
    <row r="5484" customFormat="false" ht="15" hidden="false" customHeight="false" outlineLevel="1" collapsed="false">
      <c r="A5484" s="7" t="s">
        <v>688</v>
      </c>
      <c r="B5484" s="8" t="s">
        <v>10</v>
      </c>
      <c r="C5484" s="58" t="n">
        <f aca="false">0</f>
        <v>0</v>
      </c>
      <c r="D5484" s="58" t="n">
        <f aca="false">C5487</f>
        <v>601341.143133562</v>
      </c>
      <c r="E5484" s="58" t="n">
        <f aca="false">D5487</f>
        <v>1243106.5694863</v>
      </c>
      <c r="F5484" s="58" t="n">
        <f aca="false">E5487</f>
        <v>1809419.53973887</v>
      </c>
      <c r="G5484" s="58" t="n">
        <f aca="false">F5487</f>
        <v>2191721.74828197</v>
      </c>
      <c r="H5484" s="2" t="s">
        <v>1308</v>
      </c>
    </row>
    <row r="5485" customFormat="false" ht="15" hidden="false" customHeight="false" outlineLevel="1" collapsed="false">
      <c r="A5485" s="7" t="s">
        <v>689</v>
      </c>
      <c r="B5485" s="8" t="s">
        <v>10</v>
      </c>
      <c r="C5485" s="58" t="n">
        <f aca="false">MAX(0,-C5483)</f>
        <v>601341.143133562</v>
      </c>
      <c r="D5485" s="58" t="n">
        <f aca="false">MAX(0,-D5483)</f>
        <v>641765.42635274</v>
      </c>
      <c r="E5485" s="58" t="n">
        <f aca="false">MAX(0,-E5483)</f>
        <v>566312.970252569</v>
      </c>
      <c r="F5485" s="58" t="n">
        <f aca="false">MAX(0,-F5483)</f>
        <v>382302.208543095</v>
      </c>
      <c r="G5485" s="58" t="n">
        <f aca="false">MAX(0,-G5483)</f>
        <v>86285.9098658455</v>
      </c>
      <c r="H5485" s="2" t="s">
        <v>1309</v>
      </c>
    </row>
    <row r="5486" customFormat="false" ht="15" hidden="false" customHeight="false" outlineLevel="1" collapsed="false">
      <c r="A5486" s="7" t="s">
        <v>690</v>
      </c>
      <c r="B5486" s="8" t="s">
        <v>10</v>
      </c>
      <c r="C5486" s="58" t="n">
        <f aca="false">MIN(C5484,Pressupostos!$C$179*MAX(0,C5483))</f>
        <v>0</v>
      </c>
      <c r="D5486" s="58" t="n">
        <f aca="false">MIN(D5484,Pressupostos!$C$179*MAX(0,D5483))</f>
        <v>0</v>
      </c>
      <c r="E5486" s="58" t="n">
        <f aca="false">MIN(E5484,Pressupostos!$C$179*MAX(0,E5483))</f>
        <v>0</v>
      </c>
      <c r="F5486" s="58" t="n">
        <f aca="false">MIN(F5484,Pressupostos!$C$179*MAX(0,F5483))</f>
        <v>0</v>
      </c>
      <c r="G5486" s="58" t="n">
        <f aca="false">MIN(G5484,Pressupostos!$C$179*MAX(0,G5483))</f>
        <v>0</v>
      </c>
      <c r="H5486" s="2" t="s">
        <v>1310</v>
      </c>
    </row>
    <row r="5487" customFormat="false" ht="15" hidden="false" customHeight="false" outlineLevel="1" collapsed="false">
      <c r="A5487" s="7" t="s">
        <v>691</v>
      </c>
      <c r="B5487" s="8" t="s">
        <v>10</v>
      </c>
      <c r="C5487" s="58" t="n">
        <f aca="false">C5484+C5485-C5486</f>
        <v>601341.143133562</v>
      </c>
      <c r="D5487" s="58" t="n">
        <f aca="false">D5484+D5485-D5486</f>
        <v>1243106.5694863</v>
      </c>
      <c r="E5487" s="58" t="n">
        <f aca="false">E5484+E5485-E5486</f>
        <v>1809419.53973887</v>
      </c>
      <c r="F5487" s="58" t="n">
        <f aca="false">F5484+F5485-F5486</f>
        <v>2191721.74828197</v>
      </c>
      <c r="G5487" s="58" t="n">
        <f aca="false">G5484+G5485-G5486</f>
        <v>2278007.65814781</v>
      </c>
      <c r="H5487" s="2" t="s">
        <v>1311</v>
      </c>
    </row>
    <row r="5488" customFormat="false" ht="15" hidden="false" customHeight="false" outlineLevel="1" collapsed="false">
      <c r="A5488" s="7" t="s">
        <v>692</v>
      </c>
      <c r="B5488" s="8" t="s">
        <v>10</v>
      </c>
      <c r="C5488" s="58" t="n">
        <f aca="false">MAX(0,C5483)-C5486</f>
        <v>0</v>
      </c>
      <c r="D5488" s="58" t="n">
        <f aca="false">MAX(0,D5483)-D5486</f>
        <v>0</v>
      </c>
      <c r="E5488" s="58" t="n">
        <f aca="false">MAX(0,E5483)-E5486</f>
        <v>0</v>
      </c>
      <c r="F5488" s="58" t="n">
        <f aca="false">MAX(0,F5483)-F5486</f>
        <v>0</v>
      </c>
      <c r="G5488" s="58" t="n">
        <f aca="false">MAX(0,G5483)-G5486</f>
        <v>0</v>
      </c>
      <c r="H5488" s="2" t="s">
        <v>1312</v>
      </c>
    </row>
    <row r="5489" customFormat="false" ht="15" hidden="false" customHeight="false" outlineLevel="1" collapsed="false">
      <c r="A5489" s="7" t="s">
        <v>693</v>
      </c>
      <c r="B5489" s="8" t="s">
        <v>10</v>
      </c>
      <c r="C5489" s="58" t="n">
        <f aca="false">Pressupostos!$C$170*MIN(C5488,Pressupostos!$C$171)+Pressupostos!$C$450*MAX(0,C5488-Pressupostos!$C$171)</f>
        <v>0</v>
      </c>
      <c r="D5489" s="58" t="n">
        <f aca="false">Pressupostos!$C$170*MIN(D5488,Pressupostos!$C$171)+Pressupostos!$D$450*MAX(0,D5488-Pressupostos!$C$171)</f>
        <v>0</v>
      </c>
      <c r="E5489" s="58" t="n">
        <f aca="false">Pressupostos!$C$170*MIN(E5488,Pressupostos!$C$171)+Pressupostos!$E$450*MAX(0,E5488-Pressupostos!$C$171)</f>
        <v>0</v>
      </c>
      <c r="F5489" s="58" t="n">
        <f aca="false">Pressupostos!$C$170*MIN(F5488,Pressupostos!$C$171)+Pressupostos!$F$450*MAX(0,F5488-Pressupostos!$C$171)</f>
        <v>0</v>
      </c>
      <c r="G5489" s="58" t="n">
        <f aca="false">Pressupostos!$C$170*MIN(G5488,Pressupostos!$C$171)+Pressupostos!$G$450*MAX(0,G5488-Pressupostos!$C$171)</f>
        <v>0</v>
      </c>
      <c r="H5489" s="2" t="s">
        <v>1313</v>
      </c>
    </row>
    <row r="5490" customFormat="false" ht="15" hidden="false" customHeight="false" outlineLevel="1" collapsed="false">
      <c r="A5490" s="7" t="s">
        <v>694</v>
      </c>
      <c r="B5490" s="8" t="s">
        <v>10</v>
      </c>
      <c r="C5490" s="58" t="n">
        <f aca="false">Pressupostos!$C$172*MAX(0,C5483)</f>
        <v>0</v>
      </c>
      <c r="D5490" s="58" t="n">
        <f aca="false">Pressupostos!$C$172*MAX(0,D5483)</f>
        <v>0</v>
      </c>
      <c r="E5490" s="58" t="n">
        <f aca="false">Pressupostos!$C$172*MAX(0,E5483)</f>
        <v>0</v>
      </c>
      <c r="F5490" s="58" t="n">
        <f aca="false">Pressupostos!$C$172*MAX(0,F5483)</f>
        <v>0</v>
      </c>
      <c r="G5490" s="58" t="n">
        <f aca="false">Pressupostos!$C$172*MAX(0,G5483)</f>
        <v>0</v>
      </c>
      <c r="H5490" s="2" t="s">
        <v>1314</v>
      </c>
    </row>
    <row r="5491" customFormat="false" ht="15" hidden="false" customHeight="false" outlineLevel="1" collapsed="false">
      <c r="A5491" s="7" t="s">
        <v>695</v>
      </c>
      <c r="B5491" s="8" t="s">
        <v>10</v>
      </c>
      <c r="C5491" s="58" t="n">
        <f aca="false">Pressupostos!$C$174*MAX(0,MIN(C5483,Pressupostos!$C$175)-Pressupostos!$C$173)+Pressupostos!$C$176*MAX(0,MIN(C5483,Pressupostos!$C$177)-Pressupostos!$C$175)+Pressupostos!$C$178*MAX(0,C5483-Pressupostos!$C$177)</f>
        <v>0</v>
      </c>
      <c r="D5491" s="58" t="n">
        <f aca="false">Pressupostos!$C$174*MAX(0,MIN(D5483,Pressupostos!$C$175)-Pressupostos!$C$173)+Pressupostos!$C$176*MAX(0,MIN(D5483,Pressupostos!$C$177)-Pressupostos!$C$175)+Pressupostos!$C$178*MAX(0,D5483-Pressupostos!$C$177)</f>
        <v>0</v>
      </c>
      <c r="E5491" s="58" t="n">
        <f aca="false">Pressupostos!$C$174*MAX(0,MIN(E5483,Pressupostos!$C$175)-Pressupostos!$C$173)+Pressupostos!$C$176*MAX(0,MIN(E5483,Pressupostos!$C$177)-Pressupostos!$C$175)+Pressupostos!$C$178*MAX(0,E5483-Pressupostos!$C$177)</f>
        <v>0</v>
      </c>
      <c r="F5491" s="58" t="n">
        <f aca="false">Pressupostos!$C$174*MAX(0,MIN(F5483,Pressupostos!$C$175)-Pressupostos!$C$173)+Pressupostos!$C$176*MAX(0,MIN(F5483,Pressupostos!$C$177)-Pressupostos!$C$175)+Pressupostos!$C$178*MAX(0,F5483-Pressupostos!$C$177)</f>
        <v>0</v>
      </c>
      <c r="G5491" s="58" t="n">
        <f aca="false">Pressupostos!$C$174*MAX(0,MIN(G5483,Pressupostos!$C$175)-Pressupostos!$C$173)+Pressupostos!$C$176*MAX(0,MIN(G5483,Pressupostos!$C$177)-Pressupostos!$C$175)+Pressupostos!$C$178*MAX(0,G5483-Pressupostos!$C$177)</f>
        <v>0</v>
      </c>
      <c r="H5491" s="2" t="s">
        <v>1315</v>
      </c>
    </row>
    <row r="5492" customFormat="false" ht="15" hidden="false" customHeight="false" outlineLevel="1" collapsed="false">
      <c r="A5492" s="7" t="s">
        <v>696</v>
      </c>
      <c r="B5492" s="8" t="s">
        <v>10</v>
      </c>
      <c r="C5492" s="58" t="n">
        <f aca="false">C5489+C5490+C5491</f>
        <v>0</v>
      </c>
      <c r="D5492" s="58" t="n">
        <f aca="false">D5489+D5490+D5491</f>
        <v>0</v>
      </c>
      <c r="E5492" s="58" t="n">
        <f aca="false">E5489+E5490+E5491</f>
        <v>0</v>
      </c>
      <c r="F5492" s="58" t="n">
        <f aca="false">F5489+F5490+F5491</f>
        <v>0</v>
      </c>
      <c r="G5492" s="58" t="n">
        <f aca="false">G5489+G5490+G5491</f>
        <v>0</v>
      </c>
      <c r="H5492" s="2" t="s">
        <v>1316</v>
      </c>
    </row>
    <row r="5493" customFormat="false" ht="15" hidden="false" customHeight="false" outlineLevel="0" collapsed="false">
      <c r="A5493" s="3" t="s">
        <v>1317</v>
      </c>
      <c r="B5493" s="4"/>
      <c r="C5493" s="4"/>
      <c r="D5493" s="4"/>
      <c r="E5493" s="4"/>
      <c r="F5493" s="4"/>
      <c r="G5493" s="4"/>
      <c r="H5493" s="4"/>
    </row>
    <row r="5494" customFormat="false" ht="15" hidden="false" customHeight="false" outlineLevel="1" collapsed="false">
      <c r="A5494" s="7" t="s">
        <v>696</v>
      </c>
      <c r="B5494" s="8" t="s">
        <v>10</v>
      </c>
      <c r="C5494" s="58" t="n">
        <f aca="false">-C5492</f>
        <v>-0</v>
      </c>
      <c r="D5494" s="58" t="n">
        <f aca="false">-D5492</f>
        <v>-0</v>
      </c>
      <c r="E5494" s="58" t="n">
        <f aca="false">-E5492</f>
        <v>-0</v>
      </c>
      <c r="F5494" s="58" t="n">
        <f aca="false">-F5492</f>
        <v>-0</v>
      </c>
      <c r="G5494" s="58" t="n">
        <f aca="false">-G5492</f>
        <v>-0</v>
      </c>
      <c r="H5494" s="2" t="s">
        <v>1318</v>
      </c>
    </row>
    <row r="5495" customFormat="false" ht="15" hidden="false" customHeight="false" outlineLevel="1" collapsed="false">
      <c r="A5495" s="52" t="s">
        <v>698</v>
      </c>
      <c r="B5495" s="53" t="s">
        <v>10</v>
      </c>
      <c r="C5495" s="59" t="n">
        <f aca="false">C5481+C5494</f>
        <v>-601341.143133562</v>
      </c>
      <c r="D5495" s="59" t="n">
        <f aca="false">D5481+D5494</f>
        <v>-641765.42635274</v>
      </c>
      <c r="E5495" s="59" t="n">
        <f aca="false">E5481+E5494</f>
        <v>-566312.970252569</v>
      </c>
      <c r="F5495" s="59" t="n">
        <f aca="false">F5481+F5494</f>
        <v>-382302.208543095</v>
      </c>
      <c r="G5495" s="59" t="n">
        <f aca="false">G5481+G5494</f>
        <v>-86285.9098658455</v>
      </c>
      <c r="H5495" s="2" t="s">
        <v>1319</v>
      </c>
    </row>
    <row r="5496" customFormat="false" ht="15" hidden="false" customHeight="false" outlineLevel="0" collapsed="false">
      <c r="A5496" s="3" t="s">
        <v>1320</v>
      </c>
      <c r="B5496" s="4"/>
      <c r="C5496" s="4"/>
      <c r="D5496" s="4"/>
      <c r="E5496" s="4"/>
      <c r="F5496" s="4"/>
      <c r="G5496" s="4"/>
      <c r="H5496" s="4"/>
    </row>
    <row r="5497" customFormat="false" ht="15" hidden="false" customHeight="false" outlineLevel="1" collapsed="false">
      <c r="A5497" s="7" t="s">
        <v>702</v>
      </c>
      <c r="B5497" s="8" t="s">
        <v>10</v>
      </c>
      <c r="C5497" s="58" t="n">
        <f aca="false">C5281*1000*((C5297+C5300)*C5303/365)+C5282*1000*((C5320+C5323)*C5326/365)+C5283*1000*((C5343+C5346)*C5349/365)</f>
        <v>44581.8082191781</v>
      </c>
      <c r="D5497" s="58" t="n">
        <f aca="false">D5281*1000*((D5297+D5300)*D5303/365)+D5282*1000*((D5320+D5323)*D5326/365)+D5283*1000*((D5343+D5346)*D5349/365)</f>
        <v>333375.205479452</v>
      </c>
      <c r="E5497" s="58" t="n">
        <f aca="false">E5281*1000*((E5297+E5300)*E5303/365)+E5282*1000*((E5320+E5323)*E5326/365)+E5283*1000*((E5343+E5346)*E5349/365)</f>
        <v>645952.191780822</v>
      </c>
      <c r="F5497" s="58" t="n">
        <f aca="false">F5281*1000*((F5297+F5300)*F5303/365)+F5282*1000*((F5320+F5323)*F5326/365)+F5283*1000*((F5343+F5346)*F5349/365)</f>
        <v>1075993.97260274</v>
      </c>
      <c r="G5497" s="58" t="n">
        <f aca="false">G5281*1000*((G5297+G5300)*G5303/365)+G5282*1000*((G5320+G5323)*G5326/365)+G5283*1000*((G5343+G5346)*G5349/365)</f>
        <v>1567052.05479452</v>
      </c>
      <c r="H5497" s="2" t="s">
        <v>1321</v>
      </c>
    </row>
    <row r="5498" customFormat="false" ht="15" hidden="false" customHeight="false" outlineLevel="1" collapsed="false">
      <c r="A5498" s="7" t="s">
        <v>703</v>
      </c>
      <c r="B5498" s="8" t="s">
        <v>10</v>
      </c>
      <c r="C5498" s="58" t="n">
        <f aca="false">C5497+C5292*1000*Pressupostos!$C$90*Pressupostos!$C$93/365</f>
        <v>44581.8082191781</v>
      </c>
      <c r="D5498" s="58" t="n">
        <f aca="false">D5497+D5292*1000*Pressupostos!$C$90*Pressupostos!$C$93/365</f>
        <v>333375.205479452</v>
      </c>
      <c r="E5498" s="58" t="n">
        <f aca="false">E5497+E5292*1000*Pressupostos!$C$90*Pressupostos!$C$93/365</f>
        <v>645952.191780822</v>
      </c>
      <c r="F5498" s="58" t="n">
        <f aca="false">F5497+F5292*1000*Pressupostos!$C$90*Pressupostos!$C$93/365</f>
        <v>1098432.32876712</v>
      </c>
      <c r="G5498" s="58" t="n">
        <f aca="false">G5497+G5292*1000*Pressupostos!$C$90*Pressupostos!$C$93/365</f>
        <v>1623147.94520548</v>
      </c>
      <c r="H5498" s="2" t="s">
        <v>1322</v>
      </c>
    </row>
    <row r="5499" customFormat="false" ht="15" hidden="false" customHeight="false" outlineLevel="1" collapsed="false">
      <c r="A5499" s="7" t="s">
        <v>704</v>
      </c>
      <c r="B5499" s="8" t="s">
        <v>10</v>
      </c>
      <c r="C5499" s="58" t="n">
        <f aca="false">C5281*1000*(C5299*C5304/365)+C5282*1000*(C5322*C5327/365)+C5283*1000*(C5345*C5350/365)+C5370*Pressupostos!$C$94/365+C5372*Pressupostos!$C$80/365</f>
        <v>51888.2783561644</v>
      </c>
      <c r="D5499" s="58" t="n">
        <f aca="false">D5281*1000*(D5299*D5304/365)+D5282*1000*(D5322*D5327/365)+D5283*1000*(D5345*D5350/365)+D5370*Pressupostos!$C$94/365+D5372*Pressupostos!$C$80/365</f>
        <v>636819.673972603</v>
      </c>
      <c r="E5499" s="58" t="n">
        <f aca="false">E5281*1000*(E5299*E5304/365)+E5282*1000*(E5322*E5327/365)+E5283*1000*(E5345*E5350/365)+E5370*Pressupostos!$C$94/365+E5372*Pressupostos!$C$80/365</f>
        <v>1571969.15342466</v>
      </c>
      <c r="F5499" s="58" t="n">
        <f aca="false">F5281*1000*(F5299*F5304/365)+F5282*1000*(F5322*F5327/365)+F5283*1000*(F5345*F5350/365)+F5370*Pressupostos!$C$94/365+F5372*Pressupostos!$C$80/365</f>
        <v>2630645.48767123</v>
      </c>
      <c r="G5499" s="58" t="n">
        <f aca="false">G5281*1000*(G5299*G5304/365)+G5282*1000*(G5322*G5327/365)+G5283*1000*(G5345*G5350/365)+G5370*Pressupostos!$C$94/365+G5372*Pressupostos!$C$80/365</f>
        <v>3823382.98630137</v>
      </c>
      <c r="H5499" s="2" t="s">
        <v>1323</v>
      </c>
    </row>
    <row r="5500" customFormat="false" ht="15" hidden="false" customHeight="false" outlineLevel="1" collapsed="false">
      <c r="A5500" s="7" t="s">
        <v>705</v>
      </c>
      <c r="B5500" s="8" t="s">
        <v>10</v>
      </c>
      <c r="C5500" s="58" t="n">
        <f aca="false">C5281*1000*((C5297+C5300)*Pressupostos!$C$70/365)+C5282*1000*((C5320+C5323)*Pressupostos!$C$70/365)+C5283*1000*((C5343+C5346)*Pressupostos!$C$70/365)+C5292*1000*Pressupostos!$C$90*Pressupostos!$C$95/365</f>
        <v>26182.3561643836</v>
      </c>
      <c r="D5500" s="58" t="n">
        <f aca="false">D5281*1000*((D5297+D5300)*Pressupostos!$C$70/365)+D5282*1000*((D5320+D5323)*Pressupostos!$C$70/365)+D5283*1000*((D5343+D5346)*Pressupostos!$C$70/365)+D5292*1000*Pressupostos!$C$90*Pressupostos!$C$95/365</f>
        <v>357870.410958904</v>
      </c>
      <c r="E5500" s="58" t="n">
        <f aca="false">E5281*1000*((E5297+E5300)*Pressupostos!$C$70/365)+E5282*1000*((E5320+E5323)*Pressupostos!$C$70/365)+E5283*1000*((E5343+E5346)*Pressupostos!$C$70/365)+E5292*1000*Pressupostos!$C$90*Pressupostos!$C$95/365</f>
        <v>908032.191780822</v>
      </c>
      <c r="F5500" s="58" t="n">
        <f aca="false">F5281*1000*((F5297+F5300)*Pressupostos!$C$70/365)+F5282*1000*((F5320+F5323)*Pressupostos!$C$70/365)+F5283*1000*((F5343+F5346)*Pressupostos!$C$70/365)+F5292*1000*Pressupostos!$C$90*Pressupostos!$C$95/365</f>
        <v>1526219.5890411</v>
      </c>
      <c r="G5500" s="58" t="n">
        <f aca="false">G5281*1000*((G5297+G5300)*Pressupostos!$C$70/365)+G5282*1000*((G5320+G5323)*Pressupostos!$C$70/365)+G5283*1000*((G5343+G5346)*Pressupostos!$C$70/365)+G5292*1000*Pressupostos!$C$90*Pressupostos!$C$95/365</f>
        <v>2212902.73972603</v>
      </c>
      <c r="H5500" s="2" t="s">
        <v>1324</v>
      </c>
    </row>
    <row r="5501" customFormat="false" ht="15" hidden="false" customHeight="false" outlineLevel="1" collapsed="false">
      <c r="A5501" s="52" t="s">
        <v>706</v>
      </c>
      <c r="B5501" s="53" t="s">
        <v>10</v>
      </c>
      <c r="C5501" s="59" t="n">
        <f aca="false">C5498+C5499-C5500</f>
        <v>70287.7304109589</v>
      </c>
      <c r="D5501" s="59" t="n">
        <f aca="false">D5498+D5499-D5500</f>
        <v>612324.468493151</v>
      </c>
      <c r="E5501" s="59" t="n">
        <f aca="false">E5498+E5499-E5500</f>
        <v>1309889.15342466</v>
      </c>
      <c r="F5501" s="59" t="n">
        <f aca="false">F5498+F5499-F5500</f>
        <v>2202858.22739726</v>
      </c>
      <c r="G5501" s="59" t="n">
        <f aca="false">G5498+G5499-G5500</f>
        <v>3233628.19178082</v>
      </c>
      <c r="H5501" s="2" t="s">
        <v>1325</v>
      </c>
    </row>
    <row r="5502" customFormat="false" ht="15" hidden="false" customHeight="false" outlineLevel="0" collapsed="false">
      <c r="A5502" s="3" t="s">
        <v>1326</v>
      </c>
      <c r="B5502" s="4"/>
      <c r="C5502" s="4"/>
      <c r="D5502" s="4"/>
      <c r="E5502" s="4"/>
      <c r="F5502" s="4"/>
      <c r="G5502" s="4"/>
      <c r="H5502" s="4"/>
    </row>
    <row r="5503" customFormat="false" ht="15" hidden="false" customHeight="false" outlineLevel="1" collapsed="false">
      <c r="A5503" s="52" t="s">
        <v>708</v>
      </c>
      <c r="B5503" s="53" t="s">
        <v>10</v>
      </c>
      <c r="C5503" s="59" t="n">
        <f aca="false">Pressupostos!$C$279*C5501/Pressupostos!$F$31</f>
        <v>0</v>
      </c>
      <c r="D5503" s="59" t="n">
        <f aca="false">Pressupostos!$D$279*D5501/Pressupostos!$F$31</f>
        <v>688865.027054794</v>
      </c>
      <c r="E5503" s="59" t="n">
        <f aca="false">Pressupostos!$E$279*E5501/Pressupostos!$F$31</f>
        <v>1473625.29760274</v>
      </c>
      <c r="F5503" s="59" t="n">
        <f aca="false">Pressupostos!$F$279*F5501/Pressupostos!$F$31</f>
        <v>2478215.50582192</v>
      </c>
      <c r="G5503" s="59" t="n">
        <f aca="false">Pressupostos!$G$279*G5501/Pressupostos!$F$31</f>
        <v>3637831.71575343</v>
      </c>
      <c r="H5503" s="2" t="s">
        <v>1327</v>
      </c>
    </row>
    <row r="5504" customFormat="false" ht="15" hidden="false" customHeight="false" outlineLevel="1" collapsed="false">
      <c r="A5504" s="7" t="s">
        <v>709</v>
      </c>
      <c r="B5504" s="8" t="s">
        <v>10</v>
      </c>
      <c r="C5504" s="58" t="n">
        <f aca="false">Pressupostos!$C$279*C5501</f>
        <v>0</v>
      </c>
      <c r="D5504" s="58" t="n">
        <f aca="false">Pressupostos!$D$279*D5501</f>
        <v>551092.021643836</v>
      </c>
      <c r="E5504" s="58" t="n">
        <f aca="false">Pressupostos!$E$279*E5501</f>
        <v>1178900.23808219</v>
      </c>
      <c r="F5504" s="58" t="n">
        <f aca="false">Pressupostos!$F$279*F5501</f>
        <v>1982572.40465753</v>
      </c>
      <c r="G5504" s="58" t="n">
        <f aca="false">Pressupostos!$G$279*G5501</f>
        <v>2910265.37260274</v>
      </c>
      <c r="H5504" s="2" t="s">
        <v>1328</v>
      </c>
    </row>
    <row r="5505" customFormat="false" ht="15" hidden="false" customHeight="false" outlineLevel="1" collapsed="false">
      <c r="A5505" s="7" t="s">
        <v>710</v>
      </c>
      <c r="B5505" s="8" t="s">
        <v>10</v>
      </c>
      <c r="C5505" s="58" t="n">
        <f aca="false">C5503-C5504</f>
        <v>0</v>
      </c>
      <c r="D5505" s="58" t="n">
        <f aca="false">D5503-D5504</f>
        <v>137773.005410959</v>
      </c>
      <c r="E5505" s="58" t="n">
        <f aca="false">E5503-E5504</f>
        <v>294725.059520548</v>
      </c>
      <c r="F5505" s="58" t="n">
        <f aca="false">F5503-F5504</f>
        <v>495643.101164383</v>
      </c>
      <c r="G5505" s="58" t="n">
        <f aca="false">G5503-G5504</f>
        <v>727566.343150685</v>
      </c>
      <c r="H5505" s="2" t="s">
        <v>1329</v>
      </c>
    </row>
    <row r="5506" customFormat="false" ht="15" hidden="false" customHeight="false" outlineLevel="1" collapsed="false">
      <c r="A5506" s="7" t="s">
        <v>711</v>
      </c>
      <c r="B5506" s="8" t="s">
        <v>10</v>
      </c>
      <c r="C5506" s="58" t="n">
        <f aca="false">C5501-C5504</f>
        <v>70287.7304109589</v>
      </c>
      <c r="D5506" s="58" t="n">
        <f aca="false">D5501-D5504</f>
        <v>61232.4468493151</v>
      </c>
      <c r="E5506" s="58" t="n">
        <f aca="false">E5501-E5504</f>
        <v>130988.915342466</v>
      </c>
      <c r="F5506" s="58" t="n">
        <f aca="false">F5501-F5504</f>
        <v>220285.822739726</v>
      </c>
      <c r="G5506" s="58" t="n">
        <f aca="false">G5501-G5504</f>
        <v>323362.819178082</v>
      </c>
      <c r="H5506" s="2" t="s">
        <v>1330</v>
      </c>
    </row>
    <row r="5507" customFormat="false" ht="15" hidden="false" customHeight="false" outlineLevel="1" collapsed="false">
      <c r="A5507" s="7" t="s">
        <v>712</v>
      </c>
      <c r="B5507" s="8" t="s">
        <v>10</v>
      </c>
      <c r="C5507" s="58" t="n">
        <f aca="false">MAX(0,Pressupostos!$C$106-C5506)</f>
        <v>0</v>
      </c>
      <c r="D5507" s="58" t="n">
        <f aca="false">MAX(0,Pressupostos!$C$106-D5506)</f>
        <v>0</v>
      </c>
      <c r="E5507" s="58" t="n">
        <f aca="false">MAX(0,Pressupostos!$C$106-E5506)</f>
        <v>0</v>
      </c>
      <c r="F5507" s="58" t="n">
        <f aca="false">MAX(0,Pressupostos!$C$106-F5506)</f>
        <v>0</v>
      </c>
      <c r="G5507" s="58" t="n">
        <f aca="false">MAX(0,Pressupostos!$C$106-G5506)</f>
        <v>0</v>
      </c>
      <c r="H5507" s="2" t="s">
        <v>1331</v>
      </c>
    </row>
    <row r="5508" customFormat="false" ht="15" hidden="false" customHeight="false" outlineLevel="1" collapsed="false">
      <c r="A5508" s="7" t="s">
        <v>713</v>
      </c>
      <c r="B5508" s="8" t="s">
        <v>10</v>
      </c>
      <c r="C5508" s="58" t="n">
        <f aca="false">Pressupostos!$C$107*C5503</f>
        <v>0</v>
      </c>
      <c r="D5508" s="58" t="n">
        <f aca="false">Pressupostos!$C$107*D5503</f>
        <v>34443.2513527397</v>
      </c>
      <c r="E5508" s="58" t="n">
        <f aca="false">Pressupostos!$C$107*E5503</f>
        <v>73681.264880137</v>
      </c>
      <c r="F5508" s="58" t="n">
        <f aca="false">Pressupostos!$C$107*F5503</f>
        <v>123910.775291096</v>
      </c>
      <c r="G5508" s="58" t="n">
        <f aca="false">Pressupostos!$C$107*G5503</f>
        <v>181891.585787671</v>
      </c>
      <c r="H5508" s="2" t="s">
        <v>1332</v>
      </c>
    </row>
    <row r="5509" customFormat="false" ht="15" hidden="false" customHeight="false" outlineLevel="1" collapsed="false">
      <c r="A5509" s="2" t="s">
        <v>714</v>
      </c>
      <c r="B5509" s="8" t="s">
        <v>115</v>
      </c>
      <c r="C5509" s="58" t="n">
        <f aca="false">C5503/Pressupostos!$C$110</f>
        <v>0</v>
      </c>
      <c r="D5509" s="58" t="n">
        <f aca="false">D5503/Pressupostos!$C$110</f>
        <v>13.7773005410959</v>
      </c>
      <c r="E5509" s="58" t="n">
        <f aca="false">E5503/Pressupostos!$C$110</f>
        <v>29.4725059520548</v>
      </c>
      <c r="F5509" s="58" t="n">
        <f aca="false">F5503/Pressupostos!$C$110</f>
        <v>49.5643101164383</v>
      </c>
      <c r="G5509" s="58" t="n">
        <f aca="false">G5503/Pressupostos!$C$110</f>
        <v>72.7566343150685</v>
      </c>
      <c r="H5509" s="2" t="s">
        <v>1333</v>
      </c>
    </row>
    <row r="5510" customFormat="false" ht="15" hidden="false" customHeight="false" outlineLevel="0" collapsed="false">
      <c r="A5510" s="3" t="s">
        <v>1334</v>
      </c>
      <c r="B5510" s="4"/>
      <c r="C5510" s="4"/>
      <c r="D5510" s="4"/>
      <c r="E5510" s="4"/>
      <c r="F5510" s="4"/>
      <c r="G5510" s="4"/>
      <c r="H5510" s="4"/>
    </row>
    <row r="5511" customFormat="false" ht="15" hidden="false" customHeight="false" outlineLevel="1" collapsed="false">
      <c r="A5511" s="7" t="s">
        <v>681</v>
      </c>
      <c r="B5511" s="8" t="s">
        <v>10</v>
      </c>
      <c r="C5511" s="58" t="n">
        <f aca="false">C5477</f>
        <v>-574991.143133562</v>
      </c>
      <c r="D5511" s="58" t="n">
        <f aca="false">D5477</f>
        <v>-602015.42635274</v>
      </c>
      <c r="E5511" s="58" t="n">
        <f aca="false">E5477</f>
        <v>-513662.970252569</v>
      </c>
      <c r="F5511" s="58" t="n">
        <f aca="false">F5477</f>
        <v>-339335.541876428</v>
      </c>
      <c r="G5511" s="58" t="n">
        <f aca="false">G5477</f>
        <v>-46502.5765325122</v>
      </c>
      <c r="H5511" s="2" t="s">
        <v>1335</v>
      </c>
    </row>
    <row r="5512" customFormat="false" ht="15" hidden="false" customHeight="false" outlineLevel="1" collapsed="false">
      <c r="A5512" s="7" t="s">
        <v>716</v>
      </c>
      <c r="B5512" s="8" t="s">
        <v>10</v>
      </c>
      <c r="C5512" s="58" t="n">
        <f aca="false">-C5492</f>
        <v>-0</v>
      </c>
      <c r="D5512" s="58" t="n">
        <f aca="false">-D5492</f>
        <v>-0</v>
      </c>
      <c r="E5512" s="58" t="n">
        <f aca="false">-E5492</f>
        <v>-0</v>
      </c>
      <c r="F5512" s="58" t="n">
        <f aca="false">-F5492</f>
        <v>-0</v>
      </c>
      <c r="G5512" s="58" t="n">
        <f aca="false">-G5492</f>
        <v>-0</v>
      </c>
      <c r="H5512" s="2" t="s">
        <v>1336</v>
      </c>
    </row>
    <row r="5513" customFormat="false" ht="15" hidden="false" customHeight="false" outlineLevel="1" collapsed="false">
      <c r="A5513" s="7" t="s">
        <v>717</v>
      </c>
      <c r="B5513" s="8" t="s">
        <v>10</v>
      </c>
      <c r="C5513" s="58" t="n">
        <f aca="false">-C5501</f>
        <v>-70287.7304109589</v>
      </c>
      <c r="D5513" s="58" t="n">
        <f aca="false">-(D5501-C5501)</f>
        <v>-542036.738082192</v>
      </c>
      <c r="E5513" s="58" t="n">
        <f aca="false">-(E5501-D5501)</f>
        <v>-697564.684931507</v>
      </c>
      <c r="F5513" s="58" t="n">
        <f aca="false">-(F5501-E5501)</f>
        <v>-892969.073972602</v>
      </c>
      <c r="G5513" s="58" t="n">
        <f aca="false">-(G5501-F5501)</f>
        <v>-1030769.96438356</v>
      </c>
      <c r="H5513" s="2" t="s">
        <v>1337</v>
      </c>
    </row>
    <row r="5514" customFormat="false" ht="15" hidden="false" customHeight="false" outlineLevel="1" collapsed="false">
      <c r="A5514" s="7" t="s">
        <v>407</v>
      </c>
      <c r="B5514" s="8" t="s">
        <v>10</v>
      </c>
      <c r="C5514" s="58" t="n">
        <f aca="false">-C5462</f>
        <v>-89000</v>
      </c>
      <c r="D5514" s="58" t="n">
        <f aca="false">-D5462</f>
        <v>-46000</v>
      </c>
      <c r="E5514" s="58" t="n">
        <f aca="false">-E5462</f>
        <v>-44000</v>
      </c>
      <c r="F5514" s="58" t="n">
        <f aca="false">-F5462</f>
        <v>-37000</v>
      </c>
      <c r="G5514" s="58" t="n">
        <f aca="false">-G5462</f>
        <v>-34000</v>
      </c>
      <c r="H5514" s="2" t="s">
        <v>1338</v>
      </c>
    </row>
    <row r="5515" customFormat="false" ht="15" hidden="false" customHeight="false" outlineLevel="1" collapsed="false">
      <c r="A5515" s="7" t="s">
        <v>718</v>
      </c>
      <c r="B5515" s="8" t="s">
        <v>10</v>
      </c>
      <c r="C5515" s="58" t="n">
        <f aca="false">C5511+C5512+C5513+C5514</f>
        <v>-734278.873544521</v>
      </c>
      <c r="D5515" s="58" t="n">
        <f aca="false">D5511+D5512+D5513+D5514</f>
        <v>-1190052.16443493</v>
      </c>
      <c r="E5515" s="58" t="n">
        <f aca="false">E5511+E5512+E5513+E5514</f>
        <v>-1255227.65518408</v>
      </c>
      <c r="F5515" s="58" t="n">
        <f aca="false">F5511+F5512+F5513+F5514</f>
        <v>-1269304.61584903</v>
      </c>
      <c r="G5515" s="58" t="n">
        <f aca="false">G5511+G5512+G5513+G5514</f>
        <v>-1111272.54091608</v>
      </c>
      <c r="H5515" s="2" t="s">
        <v>1339</v>
      </c>
    </row>
    <row r="5516" customFormat="false" ht="15" hidden="false" customHeight="false" outlineLevel="1" collapsed="false">
      <c r="A5516" s="7" t="s">
        <v>719</v>
      </c>
      <c r="B5516" s="8" t="s">
        <v>10</v>
      </c>
      <c r="C5516" s="58" t="n">
        <f aca="false">C5503</f>
        <v>0</v>
      </c>
      <c r="D5516" s="58" t="n">
        <f aca="false">D5503-C5503</f>
        <v>688865.027054794</v>
      </c>
      <c r="E5516" s="58" t="n">
        <f aca="false">E5503-D5503</f>
        <v>784760.270547945</v>
      </c>
      <c r="F5516" s="58" t="n">
        <f aca="false">F5503-E5503</f>
        <v>1004590.20821918</v>
      </c>
      <c r="G5516" s="58" t="n">
        <f aca="false">G5503-F5503</f>
        <v>1159616.20993151</v>
      </c>
      <c r="H5516" s="2" t="s">
        <v>1340</v>
      </c>
    </row>
    <row r="5517" customFormat="false" ht="15" hidden="false" customHeight="false" outlineLevel="1" collapsed="false">
      <c r="A5517" s="7" t="s">
        <v>720</v>
      </c>
      <c r="B5517" s="8" t="s">
        <v>10</v>
      </c>
      <c r="C5517" s="58" t="n">
        <f aca="false">-C5505</f>
        <v>-0</v>
      </c>
      <c r="D5517" s="58" t="n">
        <f aca="false">-(D5505-C5505)</f>
        <v>-137773.005410959</v>
      </c>
      <c r="E5517" s="58" t="n">
        <f aca="false">-(E5505-D5505)</f>
        <v>-156952.054109589</v>
      </c>
      <c r="F5517" s="58" t="n">
        <f aca="false">-(F5505-E5505)</f>
        <v>-200918.041643836</v>
      </c>
      <c r="G5517" s="58" t="n">
        <f aca="false">-(G5505-F5505)</f>
        <v>-231923.241986302</v>
      </c>
      <c r="H5517" s="2" t="s">
        <v>1341</v>
      </c>
    </row>
    <row r="5518" customFormat="false" ht="15" hidden="false" customHeight="false" outlineLevel="1" collapsed="false">
      <c r="A5518" s="7" t="s">
        <v>721</v>
      </c>
      <c r="B5518" s="8" t="s">
        <v>10</v>
      </c>
      <c r="C5518" s="58" t="n">
        <f aca="false">-C5508</f>
        <v>-0</v>
      </c>
      <c r="D5518" s="58" t="n">
        <f aca="false">-(D5508-C5508)</f>
        <v>-34443.2513527397</v>
      </c>
      <c r="E5518" s="58" t="n">
        <f aca="false">-(E5508-D5508)</f>
        <v>-39238.0135273973</v>
      </c>
      <c r="F5518" s="58" t="n">
        <f aca="false">-(F5508-E5508)</f>
        <v>-50229.5104109589</v>
      </c>
      <c r="G5518" s="58" t="n">
        <f aca="false">-(G5508-F5508)</f>
        <v>-57980.8104965754</v>
      </c>
      <c r="H5518" s="2" t="s">
        <v>1342</v>
      </c>
    </row>
    <row r="5519" customFormat="false" ht="15" hidden="false" customHeight="false" outlineLevel="1" collapsed="false">
      <c r="A5519" s="7" t="s">
        <v>722</v>
      </c>
      <c r="B5519" s="8" t="s">
        <v>10</v>
      </c>
      <c r="C5519" s="58" t="n">
        <f aca="false">-(C5507-Pressupostos!$C$106)</f>
        <v>50000</v>
      </c>
      <c r="D5519" s="58" t="n">
        <f aca="false">-(D5507-C5507)</f>
        <v>-0</v>
      </c>
      <c r="E5519" s="58" t="n">
        <f aca="false">-(E5507-D5507)</f>
        <v>-0</v>
      </c>
      <c r="F5519" s="58" t="n">
        <f aca="false">-(F5507-E5507)</f>
        <v>-0</v>
      </c>
      <c r="G5519" s="58" t="n">
        <f aca="false">-(G5507-F5507)</f>
        <v>-0</v>
      </c>
      <c r="H5519" s="2" t="s">
        <v>1343</v>
      </c>
    </row>
    <row r="5520" customFormat="false" ht="15" hidden="false" customHeight="false" outlineLevel="1" collapsed="false">
      <c r="A5520" s="52" t="s">
        <v>723</v>
      </c>
      <c r="B5520" s="53" t="s">
        <v>10</v>
      </c>
      <c r="C5520" s="59" t="n">
        <f aca="false">C5515+C5516+C5517+C5518+C5519</f>
        <v>-684278.873544521</v>
      </c>
      <c r="D5520" s="59" t="n">
        <f aca="false">D5515+D5516+D5517+D5518+D5519</f>
        <v>-673403.394143836</v>
      </c>
      <c r="E5520" s="59" t="n">
        <f aca="false">E5515+E5516+E5517+E5518+E5519</f>
        <v>-666657.452273117</v>
      </c>
      <c r="F5520" s="59" t="n">
        <f aca="false">F5515+F5516+F5517+F5518+F5519</f>
        <v>-515861.959684647</v>
      </c>
      <c r="G5520" s="59" t="n">
        <f aca="false">G5515+G5516+G5517+G5518+G5519</f>
        <v>-241560.383467444</v>
      </c>
      <c r="H5520" s="2" t="s">
        <v>1344</v>
      </c>
    </row>
    <row r="5521" customFormat="false" ht="15" hidden="false" customHeight="false" outlineLevel="1" collapsed="false">
      <c r="A5521" s="52" t="s">
        <v>724</v>
      </c>
      <c r="B5521" s="53" t="s">
        <v>10</v>
      </c>
      <c r="C5521" s="59" t="n">
        <f aca="false">C5520</f>
        <v>-684278.873544521</v>
      </c>
      <c r="D5521" s="59" t="n">
        <f aca="false">C5521+D5520</f>
        <v>-1357682.26768836</v>
      </c>
      <c r="E5521" s="59" t="n">
        <f aca="false">D5521+E5520</f>
        <v>-2024339.71996147</v>
      </c>
      <c r="F5521" s="59" t="n">
        <f aca="false">E5521+F5520</f>
        <v>-2540201.67964612</v>
      </c>
      <c r="G5521" s="59" t="n">
        <f aca="false">F5521+G5520</f>
        <v>-2781762.06311356</v>
      </c>
      <c r="H5521" s="2" t="s">
        <v>1345</v>
      </c>
    </row>
    <row r="5522" customFormat="false" ht="15" hidden="false" customHeight="false" outlineLevel="1" collapsed="false">
      <c r="A5522" s="8" t="s">
        <v>725</v>
      </c>
      <c r="B5522" s="8" t="s">
        <v>10</v>
      </c>
      <c r="C5522" s="66" t="n">
        <f aca="false">ROUND(C5477-C5462-C5492-(MAX(C5506,Pressupostos!$C$106)-Pressupostos!$C$106)-(C5508)-C5520,6)</f>
        <v>0</v>
      </c>
      <c r="D5522" s="66" t="n">
        <f aca="false">ROUND(D5477-D5462-D5492-(MAX(D5506,Pressupostos!$C$106)-MAX(C5506,Pressupostos!$C$106))-(D5508-C5508)-D5520,6)</f>
        <v>0</v>
      </c>
      <c r="E5522" s="66" t="n">
        <f aca="false">ROUND(E5477-E5462-E5492-(MAX(E5506,Pressupostos!$C$106)-MAX(D5506,Pressupostos!$C$106))-(E5508-D5508)-E5520,6)</f>
        <v>0</v>
      </c>
      <c r="F5522" s="66" t="n">
        <f aca="false">ROUND(F5477-F5462-F5492-(MAX(F5506,Pressupostos!$C$106)-MAX(E5506,Pressupostos!$C$106))-(F5508-E5508)-F5520,6)</f>
        <v>0</v>
      </c>
      <c r="G5522" s="66" t="n">
        <f aca="false">ROUND(G5477-G5462-G5492-(MAX(G5506,Pressupostos!$C$106)-MAX(F5506,Pressupostos!$C$106))-(G5508-F5508)-G5520,6)</f>
        <v>0</v>
      </c>
      <c r="H5522" s="2" t="s">
        <v>1346</v>
      </c>
    </row>
    <row r="5523" customFormat="false" ht="15" hidden="false" customHeight="false" outlineLevel="0" collapsed="false">
      <c r="A5523" s="3" t="s">
        <v>1347</v>
      </c>
      <c r="B5523" s="4"/>
      <c r="C5523" s="4"/>
      <c r="D5523" s="4"/>
      <c r="E5523" s="4"/>
      <c r="F5523" s="4"/>
      <c r="G5523" s="4"/>
      <c r="H5523" s="4"/>
    </row>
    <row r="5524" customFormat="false" ht="15" hidden="false" customHeight="false" outlineLevel="1" collapsed="false">
      <c r="A5524" s="7" t="s">
        <v>727</v>
      </c>
      <c r="B5524" s="8" t="s">
        <v>10</v>
      </c>
      <c r="C5524" s="58" t="n">
        <f aca="false">0</f>
        <v>0</v>
      </c>
      <c r="D5524" s="58" t="n">
        <f aca="false">C5529</f>
        <v>270721.12645548</v>
      </c>
      <c r="E5524" s="58" t="n">
        <f aca="false">D5529</f>
        <v>150000</v>
      </c>
      <c r="F5524" s="58" t="n">
        <f aca="false">E5529</f>
        <v>150000</v>
      </c>
      <c r="G5524" s="58" t="n">
        <f aca="false">F5529</f>
        <v>150000</v>
      </c>
      <c r="H5524" s="2" t="s">
        <v>1348</v>
      </c>
    </row>
    <row r="5525" customFormat="false" ht="15" hidden="false" customHeight="false" outlineLevel="1" collapsed="false">
      <c r="A5525" s="7" t="s">
        <v>728</v>
      </c>
      <c r="B5525" s="8" t="s">
        <v>10</v>
      </c>
      <c r="C5525" s="58" t="n">
        <f aca="false">-(Pressupostos!$C$157+Pressupostos!$C$158+Pressupostos!$C$159+Pressupostos!$C$160+Pressupostos!$C$161+Pressupostos!$C$106)</f>
        <v>-145000</v>
      </c>
      <c r="D5525" s="58" t="n">
        <f aca="false">0</f>
        <v>0</v>
      </c>
      <c r="E5525" s="58" t="n">
        <f aca="false">0</f>
        <v>0</v>
      </c>
      <c r="F5525" s="58" t="n">
        <f aca="false">0</f>
        <v>0</v>
      </c>
      <c r="G5525" s="58" t="n">
        <f aca="false">0</f>
        <v>0</v>
      </c>
      <c r="H5525" s="2" t="s">
        <v>1349</v>
      </c>
    </row>
    <row r="5526" customFormat="false" ht="15" hidden="false" customHeight="false" outlineLevel="1" collapsed="false">
      <c r="A5526" s="7" t="s">
        <v>729</v>
      </c>
      <c r="B5526" s="8" t="s">
        <v>10</v>
      </c>
      <c r="C5526" s="50" t="n">
        <f aca="false">Pressupostos!$F$32</f>
        <v>1100000</v>
      </c>
      <c r="D5526" s="58" t="n">
        <f aca="false">0</f>
        <v>0</v>
      </c>
      <c r="E5526" s="58" t="n">
        <f aca="false">0</f>
        <v>0</v>
      </c>
      <c r="F5526" s="58" t="n">
        <f aca="false">0</f>
        <v>0</v>
      </c>
      <c r="G5526" s="58" t="n">
        <f aca="false">0</f>
        <v>0</v>
      </c>
      <c r="H5526" s="2" t="s">
        <v>1350</v>
      </c>
    </row>
    <row r="5527" customFormat="false" ht="15" hidden="false" customHeight="false" outlineLevel="1" collapsed="false">
      <c r="A5527" s="7" t="s">
        <v>730</v>
      </c>
      <c r="B5527" s="8" t="s">
        <v>10</v>
      </c>
      <c r="C5527" s="58" t="n">
        <f aca="false">C5524+C5525+C5526+C5520</f>
        <v>270721.12645548</v>
      </c>
      <c r="D5527" s="58" t="n">
        <f aca="false">D5524+D5525+D5526+D5520</f>
        <v>-402682.267688356</v>
      </c>
      <c r="E5527" s="58" t="n">
        <f aca="false">E5524+E5525+E5526+E5520</f>
        <v>-516657.452273117</v>
      </c>
      <c r="F5527" s="58" t="n">
        <f aca="false">F5524+F5525+F5526+F5520</f>
        <v>-365861.959684647</v>
      </c>
      <c r="G5527" s="58" t="n">
        <f aca="false">G5524+G5525+G5526+G5520</f>
        <v>-91560.3834674438</v>
      </c>
      <c r="H5527" s="2" t="s">
        <v>1351</v>
      </c>
    </row>
    <row r="5528" customFormat="false" ht="15" hidden="false" customHeight="false" outlineLevel="1" collapsed="false">
      <c r="A5528" s="52" t="s">
        <v>731</v>
      </c>
      <c r="B5528" s="53" t="s">
        <v>10</v>
      </c>
      <c r="C5528" s="59" t="n">
        <f aca="false">MAX(0,Pressupostos!$C$168-C5527)</f>
        <v>0</v>
      </c>
      <c r="D5528" s="59" t="n">
        <f aca="false">MAX(0,Pressupostos!$C$168-D5527)</f>
        <v>552682.267688356</v>
      </c>
      <c r="E5528" s="59" t="n">
        <f aca="false">MAX(0,Pressupostos!$C$168-E5527)</f>
        <v>666657.452273117</v>
      </c>
      <c r="F5528" s="59" t="n">
        <f aca="false">MAX(0,Pressupostos!$C$168-F5527)</f>
        <v>515861.959684647</v>
      </c>
      <c r="G5528" s="59" t="n">
        <f aca="false">MAX(0,Pressupostos!$C$168-G5527)</f>
        <v>241560.383467444</v>
      </c>
      <c r="H5528" s="2" t="s">
        <v>1352</v>
      </c>
    </row>
    <row r="5529" customFormat="false" ht="15" hidden="false" customHeight="false" outlineLevel="1" collapsed="false">
      <c r="A5529" s="52" t="s">
        <v>732</v>
      </c>
      <c r="B5529" s="53" t="s">
        <v>10</v>
      </c>
      <c r="C5529" s="59" t="n">
        <f aca="false">C5527+C5528</f>
        <v>270721.12645548</v>
      </c>
      <c r="D5529" s="59" t="n">
        <f aca="false">D5527+D5528</f>
        <v>150000</v>
      </c>
      <c r="E5529" s="59" t="n">
        <f aca="false">E5527+E5528</f>
        <v>150000</v>
      </c>
      <c r="F5529" s="59" t="n">
        <f aca="false">F5527+F5528</f>
        <v>150000</v>
      </c>
      <c r="G5529" s="59" t="n">
        <f aca="false">G5527+G5528</f>
        <v>150000</v>
      </c>
      <c r="H5529" s="2" t="s">
        <v>1353</v>
      </c>
    </row>
    <row r="5530" customFormat="false" ht="15" hidden="false" customHeight="false" outlineLevel="1" collapsed="false">
      <c r="A5530" s="7" t="s">
        <v>733</v>
      </c>
      <c r="B5530" s="8" t="s">
        <v>10</v>
      </c>
      <c r="C5530" s="58" t="n">
        <f aca="false">C5505+C5508+C5507</f>
        <v>0</v>
      </c>
      <c r="D5530" s="58" t="n">
        <f aca="false">D5505+D5508+D5507</f>
        <v>172216.256763699</v>
      </c>
      <c r="E5530" s="58" t="n">
        <f aca="false">E5505+E5508+E5507</f>
        <v>368406.324400685</v>
      </c>
      <c r="F5530" s="58" t="n">
        <f aca="false">F5505+F5508+F5507</f>
        <v>619553.876455479</v>
      </c>
      <c r="G5530" s="58" t="n">
        <f aca="false">G5505+G5508+G5507</f>
        <v>909457.928938356</v>
      </c>
      <c r="H5530" s="2" t="s">
        <v>1354</v>
      </c>
    </row>
    <row r="5531" customFormat="false" ht="15" hidden="false" customHeight="false" outlineLevel="1" collapsed="false">
      <c r="A5531" s="7" t="s">
        <v>734</v>
      </c>
      <c r="B5531" s="8" t="s">
        <v>10</v>
      </c>
      <c r="C5531" s="58" t="n">
        <f aca="false">C5529+C5530</f>
        <v>270721.12645548</v>
      </c>
      <c r="D5531" s="58" t="n">
        <f aca="false">D5529+D5530</f>
        <v>322216.256763699</v>
      </c>
      <c r="E5531" s="58" t="n">
        <f aca="false">E5529+E5530</f>
        <v>518406.324400685</v>
      </c>
      <c r="F5531" s="58" t="n">
        <f aca="false">F5529+F5530</f>
        <v>769553.876455479</v>
      </c>
      <c r="G5531" s="58" t="n">
        <f aca="false">G5529+G5530</f>
        <v>1059457.92893836</v>
      </c>
      <c r="H5531" s="2" t="s">
        <v>1355</v>
      </c>
    </row>
    <row r="5532" customFormat="false" ht="15" hidden="false" customHeight="false" outlineLevel="1" collapsed="false">
      <c r="A5532" s="7" t="s">
        <v>735</v>
      </c>
      <c r="B5532" s="8" t="s">
        <v>10</v>
      </c>
      <c r="C5532" s="58" t="n">
        <f aca="false">C5526+C5528</f>
        <v>1100000</v>
      </c>
      <c r="D5532" s="58" t="n">
        <f aca="false">C5532+D5526+D5528</f>
        <v>1652682.26768836</v>
      </c>
      <c r="E5532" s="58" t="n">
        <f aca="false">D5532+E5526+E5528</f>
        <v>2319339.71996147</v>
      </c>
      <c r="F5532" s="58" t="n">
        <f aca="false">E5532+F5526+F5528</f>
        <v>2835201.67964612</v>
      </c>
      <c r="G5532" s="58" t="n">
        <f aca="false">F5532+G5526+G5528</f>
        <v>3076762.06311356</v>
      </c>
      <c r="H5532" s="2" t="s">
        <v>1356</v>
      </c>
    </row>
    <row r="5533" customFormat="false" ht="15" hidden="false" customHeight="false" outlineLevel="0" collapsed="false">
      <c r="A5533" s="3" t="s">
        <v>1357</v>
      </c>
      <c r="B5533" s="4"/>
      <c r="C5533" s="4"/>
      <c r="D5533" s="4"/>
      <c r="E5533" s="4"/>
      <c r="F5533" s="4"/>
      <c r="G5533" s="4"/>
      <c r="H5533" s="4"/>
    </row>
    <row r="5534" customFormat="false" ht="15" hidden="false" customHeight="false" outlineLevel="1" collapsed="false">
      <c r="A5534" s="7" t="s">
        <v>739</v>
      </c>
      <c r="B5534" s="8" t="s">
        <v>10</v>
      </c>
      <c r="C5534" s="68" t="n">
        <f aca="false">Pressupostos!$C$157+Pressupostos!$C$158+Pressupostos!$C$159+Pressupostos!$C$160+Pressupostos!$C$161</f>
        <v>95000</v>
      </c>
      <c r="H5534" s="2" t="s">
        <v>1358</v>
      </c>
    </row>
    <row r="5535" customFormat="false" ht="15" hidden="false" customHeight="false" outlineLevel="1" collapsed="false">
      <c r="A5535" s="7" t="s">
        <v>740</v>
      </c>
      <c r="B5535" s="8" t="s">
        <v>10</v>
      </c>
      <c r="C5535" s="69" t="n">
        <f aca="false">Pressupostos!$C$106</f>
        <v>50000</v>
      </c>
      <c r="H5535" s="2" t="s">
        <v>1359</v>
      </c>
    </row>
    <row r="5536" customFormat="false" ht="15" hidden="false" customHeight="false" outlineLevel="1" collapsed="false">
      <c r="A5536" s="7" t="s">
        <v>312</v>
      </c>
      <c r="B5536" s="8" t="s">
        <v>10</v>
      </c>
      <c r="C5536" s="69" t="n">
        <f aca="false">Pressupostos!$C$168</f>
        <v>150000</v>
      </c>
      <c r="H5536" s="2" t="s">
        <v>1360</v>
      </c>
    </row>
    <row r="5537" customFormat="false" ht="15" hidden="false" customHeight="false" outlineLevel="1" collapsed="false">
      <c r="A5537" s="7" t="s">
        <v>741</v>
      </c>
      <c r="B5537" s="8" t="s">
        <v>10</v>
      </c>
      <c r="C5537" s="68" t="n">
        <f aca="false">MAX(0,-MIN($C$5521:$G$5521))</f>
        <v>2781762.06311356</v>
      </c>
      <c r="H5537" s="2" t="s">
        <v>1361</v>
      </c>
    </row>
    <row r="5538" customFormat="false" ht="15" hidden="false" customHeight="false" outlineLevel="1" collapsed="false">
      <c r="A5538" s="52" t="s">
        <v>14</v>
      </c>
      <c r="B5538" s="53" t="s">
        <v>10</v>
      </c>
      <c r="C5538" s="70" t="n">
        <f aca="false">C5534+C5535+C5536+C5537</f>
        <v>3076762.06311356</v>
      </c>
      <c r="H5538" s="2" t="s">
        <v>1362</v>
      </c>
    </row>
    <row r="5539" customFormat="false" ht="15" hidden="false" customHeight="false" outlineLevel="1" collapsed="false">
      <c r="A5539" s="7" t="s">
        <v>742</v>
      </c>
      <c r="B5539" s="8" t="s">
        <v>18</v>
      </c>
      <c r="C5539" s="71" t="n">
        <f aca="false">INDEX($C$5278:$G$5278,1,MATCH(MIN($C$5521:$G$5521),$C$5521:$G$5521,0))</f>
        <v>2031</v>
      </c>
      <c r="H5539" s="2" t="s">
        <v>1363</v>
      </c>
    </row>
    <row r="5540" customFormat="false" ht="15" hidden="false" customHeight="false" outlineLevel="1" collapsed="false">
      <c r="A5540" s="7" t="s">
        <v>743</v>
      </c>
      <c r="B5540" s="8"/>
      <c r="C5540" s="72" t="str">
        <f aca="false">IF(G5520&lt;0,"sim","não")</f>
        <v>sim</v>
      </c>
      <c r="H5540" s="2" t="s">
        <v>1364</v>
      </c>
    </row>
    <row r="5541" customFormat="false" ht="15" hidden="false" customHeight="false" outlineLevel="1" collapsed="false">
      <c r="A5541" s="7" t="s">
        <v>744</v>
      </c>
      <c r="B5541" s="8" t="s">
        <v>10</v>
      </c>
      <c r="C5541" s="68" t="n">
        <f aca="false">G5532</f>
        <v>3076762.06311356</v>
      </c>
      <c r="H5541" s="2" t="s">
        <v>1365</v>
      </c>
    </row>
    <row r="5542" customFormat="false" ht="15" hidden="false" customHeight="false" outlineLevel="0" collapsed="false">
      <c r="A5542" s="3" t="s">
        <v>1366</v>
      </c>
      <c r="B5542" s="4"/>
      <c r="C5542" s="4"/>
      <c r="D5542" s="4"/>
      <c r="E5542" s="4"/>
      <c r="F5542" s="4"/>
      <c r="G5542" s="4"/>
      <c r="H5542" s="4"/>
    </row>
    <row r="5543" customFormat="false" ht="15" hidden="false" customHeight="false" outlineLevel="1" collapsed="false">
      <c r="A5543" s="7" t="s">
        <v>746</v>
      </c>
      <c r="B5543" s="8" t="s">
        <v>10</v>
      </c>
      <c r="C5543" s="68" t="n">
        <f aca="false">C5534+C5535</f>
        <v>145000</v>
      </c>
      <c r="H5543" s="2" t="s">
        <v>1367</v>
      </c>
    </row>
    <row r="5544" customFormat="false" ht="15" hidden="false" customHeight="false" outlineLevel="1" collapsed="false">
      <c r="A5544" s="7" t="s">
        <v>747</v>
      </c>
      <c r="B5544" s="8" t="s">
        <v>10</v>
      </c>
      <c r="C5544" s="68" t="n">
        <f aca="false">-SUMPRODUCT(($C$5278:$G$5278&lt;=C5539)*$C$5477:$G$5477)</f>
        <v>2076507.65814781</v>
      </c>
      <c r="H5544" s="2" t="s">
        <v>1368</v>
      </c>
    </row>
    <row r="5545" customFormat="false" ht="15" hidden="false" customHeight="false" outlineLevel="1" collapsed="false">
      <c r="A5545" s="7" t="s">
        <v>407</v>
      </c>
      <c r="B5545" s="8" t="s">
        <v>10</v>
      </c>
      <c r="C5545" s="68" t="n">
        <f aca="false">SUMPRODUCT(($C$5278:$G$5278&lt;=C5539)*$C$5462:$G$5462)</f>
        <v>250000</v>
      </c>
      <c r="H5545" s="2" t="s">
        <v>1369</v>
      </c>
    </row>
    <row r="5546" customFormat="false" ht="15" hidden="false" customHeight="false" outlineLevel="1" collapsed="false">
      <c r="A5546" s="7" t="s">
        <v>748</v>
      </c>
      <c r="B5546" s="8" t="s">
        <v>10</v>
      </c>
      <c r="C5546" s="68" t="n">
        <f aca="false">SUMPRODUCT(($C$5278:$G$5278&lt;=C5539)*$C$5492:$G$5492)</f>
        <v>0</v>
      </c>
      <c r="H5546" s="2" t="s">
        <v>1370</v>
      </c>
    </row>
    <row r="5547" customFormat="false" ht="15" hidden="false" customHeight="false" outlineLevel="1" collapsed="false">
      <c r="A5547" s="7" t="s">
        <v>749</v>
      </c>
      <c r="B5547" s="8" t="s">
        <v>10</v>
      </c>
      <c r="C5547" s="68" t="n">
        <f aca="false">C5537-C5544-C5545-C5546</f>
        <v>455254.404965753</v>
      </c>
      <c r="H5547" s="2" t="s">
        <v>1371</v>
      </c>
    </row>
    <row r="5548" customFormat="false" ht="15" hidden="false" customHeight="false" outlineLevel="1" collapsed="false">
      <c r="A5548" s="7" t="s">
        <v>312</v>
      </c>
      <c r="B5548" s="8" t="s">
        <v>10</v>
      </c>
      <c r="C5548" s="68" t="n">
        <f aca="false">C5536</f>
        <v>150000</v>
      </c>
      <c r="H5548" s="2" t="s">
        <v>1372</v>
      </c>
    </row>
    <row r="5549" customFormat="false" ht="15" hidden="false" customHeight="false" outlineLevel="1" collapsed="false">
      <c r="A5549" s="52" t="s">
        <v>750</v>
      </c>
      <c r="B5549" s="53" t="s">
        <v>10</v>
      </c>
      <c r="C5549" s="70" t="n">
        <f aca="false">C5543+C5544+C5545+C5546+C5547+C5548</f>
        <v>3076762.06311356</v>
      </c>
      <c r="H5549" s="2" t="s">
        <v>1373</v>
      </c>
    </row>
    <row r="5550" customFormat="false" ht="15" hidden="false" customHeight="false" outlineLevel="0" collapsed="false">
      <c r="A5550" s="3" t="s">
        <v>1374</v>
      </c>
      <c r="B5550" s="4"/>
      <c r="C5550" s="4"/>
      <c r="D5550" s="4"/>
      <c r="E5550" s="4"/>
      <c r="F5550" s="4"/>
      <c r="G5550" s="4"/>
      <c r="H5550" s="4"/>
    </row>
    <row r="5551" customFormat="false" ht="15" hidden="false" customHeight="false" outlineLevel="1" collapsed="false">
      <c r="A5551" s="7" t="s">
        <v>729</v>
      </c>
      <c r="B5551" s="8" t="s">
        <v>10</v>
      </c>
      <c r="C5551" s="69" t="n">
        <f aca="false">Pressupostos!$F$32</f>
        <v>1100000</v>
      </c>
      <c r="H5551" s="2" t="s">
        <v>1375</v>
      </c>
    </row>
    <row r="5552" customFormat="false" ht="15" hidden="false" customHeight="false" outlineLevel="1" collapsed="false">
      <c r="A5552" s="7" t="s">
        <v>752</v>
      </c>
      <c r="B5552" s="8" t="s">
        <v>10</v>
      </c>
      <c r="C5552" s="68" t="n">
        <f aca="false">C5534+Pressupostos!$C$106+Pressupostos!$C$128/12*((C5438-C5426-C5427+(C5426+C5427)/Pressupostos!$C$126*Pressupostos!$C$127)*(1+Pressupostos!$C$122+Pressupostos!$C$123)+C5424*Pressupostos!$C$124+C5457)+C5462+MAX(0,Pressupostos!$C$181*1000*(C5297+C5300)+Pressupostos!$C$182*1000*(C5320+C5323)-Pressupostos!$C$106)</f>
        <v>652746.666666667</v>
      </c>
      <c r="H5552" s="2" t="s">
        <v>1376</v>
      </c>
    </row>
    <row r="5553" customFormat="false" ht="15" hidden="false" customHeight="false" outlineLevel="1" collapsed="false">
      <c r="A5553" s="7" t="s">
        <v>754</v>
      </c>
      <c r="B5553" s="8" t="s">
        <v>10</v>
      </c>
      <c r="C5553" s="68" t="n">
        <f aca="false">C5534+Pressupostos!$C$106-C5520</f>
        <v>829278.873544521</v>
      </c>
      <c r="H5553" s="2" t="s">
        <v>1377</v>
      </c>
    </row>
    <row r="5554" customFormat="false" ht="15" hidden="false" customHeight="false" outlineLevel="1" collapsed="false">
      <c r="A5554" s="7" t="s">
        <v>755</v>
      </c>
      <c r="B5554" s="8" t="s">
        <v>10</v>
      </c>
      <c r="C5554" s="58" t="n">
        <f aca="false">Pressupostos!$F$32-C5534-Pressupostos!$C$106+C5521</f>
        <v>270721.12645548</v>
      </c>
      <c r="D5554" s="58" t="n">
        <f aca="false">Pressupostos!$F$32-C5534-Pressupostos!$C$106+D5521</f>
        <v>-402682.267688356</v>
      </c>
      <c r="E5554" s="58" t="n">
        <f aca="false">Pressupostos!$F$32-C5534-Pressupostos!$C$106+E5521</f>
        <v>-1069339.71996147</v>
      </c>
      <c r="F5554" s="58" t="n">
        <f aca="false">Pressupostos!$F$32-C5534-Pressupostos!$C$106+F5521</f>
        <v>-1585201.67964612</v>
      </c>
      <c r="G5554" s="58" t="n">
        <f aca="false">Pressupostos!$F$32-C5534-Pressupostos!$C$106+G5521</f>
        <v>-1826762.06311356</v>
      </c>
      <c r="H5554" s="2" t="s">
        <v>1378</v>
      </c>
    </row>
    <row r="5555" customFormat="false" ht="15" hidden="false" customHeight="false" outlineLevel="1" collapsed="false">
      <c r="A5555" s="7" t="s">
        <v>756</v>
      </c>
      <c r="B5555" s="8" t="s">
        <v>16</v>
      </c>
      <c r="C5555" s="73" t="str">
        <f aca="false">IF(AND(Pressupostos!$F$32-C5534-Pressupostos!$C$106&gt;0,C5554&lt;=0),12*(Pressupostos!$F$32-C5534-Pressupostos!$C$106)/(Pressupostos!$F$32-C5534-Pressupostos!$C$106-C5554),"")</f>
        <v/>
      </c>
      <c r="D5555" s="73" t="n">
        <f aca="false">IF(AND(C5554&gt;0,D5554&lt;=0),12+12*C5554/(C5554-D5554),"")</f>
        <v>16.8242309820789</v>
      </c>
      <c r="E5555" s="73" t="str">
        <f aca="false">IF(AND(D5554&gt;0,E5554&lt;=0),24+12*D5554/(D5554-E5554),"")</f>
        <v/>
      </c>
      <c r="F5555" s="73" t="str">
        <f aca="false">IF(AND(E5554&gt;0,F5554&lt;=0),36+12*E5554/(E5554-F5554),"")</f>
        <v/>
      </c>
      <c r="G5555" s="73" t="str">
        <f aca="false">IF(AND(F5554&gt;0,G5554&lt;=0),48+12*F5554/(F5554-G5554),"")</f>
        <v/>
      </c>
      <c r="H5555" s="2" t="s">
        <v>1379</v>
      </c>
    </row>
    <row r="5556" customFormat="false" ht="15" hidden="false" customHeight="false" outlineLevel="1" collapsed="false">
      <c r="A5556" s="52" t="s">
        <v>757</v>
      </c>
      <c r="B5556" s="53" t="s">
        <v>264</v>
      </c>
      <c r="C5556" s="74" t="n">
        <f aca="false">IF(COUNT($C$5555:$G$5555)=0,"&gt; 60",MIN($C$5555:$G$5555))</f>
        <v>16.8242309820789</v>
      </c>
      <c r="H5556" s="2" t="s">
        <v>1380</v>
      </c>
    </row>
    <row r="5557" customFormat="false" ht="15" hidden="false" customHeight="false" outlineLevel="0" collapsed="false">
      <c r="A5557" s="3" t="s">
        <v>1381</v>
      </c>
      <c r="B5557" s="4"/>
      <c r="C5557" s="4"/>
      <c r="D5557" s="4"/>
      <c r="E5557" s="4"/>
      <c r="F5557" s="4"/>
      <c r="G5557" s="4"/>
      <c r="H5557" s="4"/>
    </row>
    <row r="5558" customFormat="false" ht="15" hidden="false" customHeight="false" outlineLevel="1" collapsed="false">
      <c r="A5558" s="7" t="s">
        <v>759</v>
      </c>
      <c r="B5558" s="8" t="s">
        <v>16</v>
      </c>
      <c r="C5558" s="73" t="str">
        <f aca="false">IF(C5477&gt;=0,1,"")</f>
        <v/>
      </c>
      <c r="D5558" s="73" t="str">
        <f aca="false">IF(AND(C5477&lt;0,D5477&gt;=0),6.5+12*(-C5477)/(D5477-C5477),"")</f>
        <v/>
      </c>
      <c r="E5558" s="73" t="str">
        <f aca="false">IF(AND(D5477&lt;0,E5477&gt;=0),18.5+12*(-D5477)/(E5477-D5477),"")</f>
        <v/>
      </c>
      <c r="F5558" s="73" t="str">
        <f aca="false">IF(AND(E5477&lt;0,F5477&gt;=0),30.5+12*(-E5477)/(F5477-E5477),"")</f>
        <v/>
      </c>
      <c r="G5558" s="73" t="str">
        <f aca="false">IF(AND(F5477&lt;0,G5477&gt;=0),42.5+12*(-F5477)/(G5477-F5477),"")</f>
        <v/>
      </c>
      <c r="H5558" s="2" t="s">
        <v>1382</v>
      </c>
    </row>
    <row r="5559" customFormat="false" ht="15" hidden="false" customHeight="false" outlineLevel="1" collapsed="false">
      <c r="A5559" s="7" t="s">
        <v>760</v>
      </c>
      <c r="B5559" s="8" t="s">
        <v>16</v>
      </c>
      <c r="C5559" s="75" t="str">
        <f aca="false">IF(COUNT($C$5558:$G$5558)=0,"não atinge até 2031",ROUNDUP(MIN($C$5558:$G$5558),0))</f>
        <v>não atinge até 2031</v>
      </c>
      <c r="H5559" s="2" t="s">
        <v>1383</v>
      </c>
    </row>
    <row r="5560" customFormat="false" ht="15" hidden="false" customHeight="false" outlineLevel="1" collapsed="false">
      <c r="A5560" s="52" t="s">
        <v>761</v>
      </c>
      <c r="B5560" s="53" t="s">
        <v>762</v>
      </c>
      <c r="C5560" s="76" t="str">
        <f aca="false">IF(ISNUMBER(C5559),DATE(2027,C5559,1),"não atinge até 2031")</f>
        <v>não atinge até 2031</v>
      </c>
      <c r="H5560" s="2" t="s">
        <v>1384</v>
      </c>
    </row>
    <row r="5561" customFormat="false" ht="15" hidden="false" customHeight="false" outlineLevel="1" collapsed="false">
      <c r="A5561" s="7" t="s">
        <v>763</v>
      </c>
      <c r="B5561" s="8" t="s">
        <v>18</v>
      </c>
      <c r="C5561" s="77" t="str">
        <f aca="false">IF(C5477&gt;=0,C5278,"")</f>
        <v/>
      </c>
      <c r="D5561" s="77" t="str">
        <f aca="false">IF(D5477&gt;=0,D5278,"")</f>
        <v/>
      </c>
      <c r="E5561" s="77" t="str">
        <f aca="false">IF(E5477&gt;=0,E5278,"")</f>
        <v/>
      </c>
      <c r="F5561" s="77" t="str">
        <f aca="false">IF(F5477&gt;=0,F5278,"")</f>
        <v/>
      </c>
      <c r="G5561" s="77" t="str">
        <f aca="false">IF(G5477&gt;=0,G5278,"")</f>
        <v/>
      </c>
      <c r="H5561" s="2" t="s">
        <v>1385</v>
      </c>
    </row>
    <row r="5562" customFormat="false" ht="15" hidden="false" customHeight="false" outlineLevel="1" collapsed="false">
      <c r="A5562" s="7" t="s">
        <v>764</v>
      </c>
      <c r="B5562" s="8" t="s">
        <v>18</v>
      </c>
      <c r="C5562" s="71" t="str">
        <f aca="false">IF(COUNT($C$5561:$G$5561)=0,"não atinge até 2031",MIN($C$5561:$G$5561))</f>
        <v>não atinge até 2031</v>
      </c>
      <c r="H5562" s="2" t="s">
        <v>1386</v>
      </c>
    </row>
    <row r="5563" customFormat="false" ht="15" hidden="false" customHeight="false" outlineLevel="1" collapsed="false">
      <c r="A5563" s="7" t="s">
        <v>765</v>
      </c>
      <c r="B5563" s="8" t="s">
        <v>18</v>
      </c>
      <c r="C5563" s="77" t="str">
        <f aca="false">IF(C5495&gt;=0,C5278,"")</f>
        <v/>
      </c>
      <c r="D5563" s="77" t="str">
        <f aca="false">IF(D5495&gt;=0,D5278,"")</f>
        <v/>
      </c>
      <c r="E5563" s="77" t="str">
        <f aca="false">IF(E5495&gt;=0,E5278,"")</f>
        <v/>
      </c>
      <c r="F5563" s="77" t="str">
        <f aca="false">IF(F5495&gt;=0,F5278,"")</f>
        <v/>
      </c>
      <c r="G5563" s="77" t="str">
        <f aca="false">IF(G5495&gt;=0,G5278,"")</f>
        <v/>
      </c>
      <c r="H5563" s="2" t="s">
        <v>1387</v>
      </c>
    </row>
    <row r="5564" customFormat="false" ht="15" hidden="false" customHeight="false" outlineLevel="1" collapsed="false">
      <c r="A5564" s="7" t="s">
        <v>766</v>
      </c>
      <c r="B5564" s="8" t="s">
        <v>18</v>
      </c>
      <c r="C5564" s="71" t="str">
        <f aca="false">IF(COUNT($C$5563:$G$5563)=0,"não atinge até 2031",MIN($C$5563:$G$5563))</f>
        <v>não atinge até 2031</v>
      </c>
      <c r="H5564" s="2" t="s">
        <v>1388</v>
      </c>
    </row>
    <row r="5565" customFormat="false" ht="15" hidden="false" customHeight="false" outlineLevel="1" collapsed="false">
      <c r="A5565" s="7" t="s">
        <v>767</v>
      </c>
      <c r="B5565" s="8" t="s">
        <v>18</v>
      </c>
      <c r="C5565" s="77" t="str">
        <f aca="false">IF(C5520&gt;=0,C5278,"")</f>
        <v/>
      </c>
      <c r="D5565" s="77" t="str">
        <f aca="false">IF(D5520&gt;=0,D5278,"")</f>
        <v/>
      </c>
      <c r="E5565" s="77" t="str">
        <f aca="false">IF(E5520&gt;=0,E5278,"")</f>
        <v/>
      </c>
      <c r="F5565" s="77" t="str">
        <f aca="false">IF(F5520&gt;=0,F5278,"")</f>
        <v/>
      </c>
      <c r="G5565" s="77" t="str">
        <f aca="false">IF(G5520&gt;=0,G5278,"")</f>
        <v/>
      </c>
      <c r="H5565" s="2" t="s">
        <v>1389</v>
      </c>
    </row>
    <row r="5566" customFormat="false" ht="15" hidden="false" customHeight="false" outlineLevel="1" collapsed="false">
      <c r="A5566" s="7" t="s">
        <v>17</v>
      </c>
      <c r="B5566" s="8" t="s">
        <v>18</v>
      </c>
      <c r="C5566" s="71" t="str">
        <f aca="false">IF(COUNT($C$5565:$G$5565)=0,"não atinge até 2031",MIN($C$5565:$G$5565))</f>
        <v>não atinge até 2031</v>
      </c>
      <c r="H5566" s="2" t="s">
        <v>1390</v>
      </c>
    </row>
    <row r="5567" customFormat="false" ht="15" hidden="false" customHeight="false" outlineLevel="0" collapsed="false">
      <c r="A5567" s="3" t="s">
        <v>1391</v>
      </c>
      <c r="B5567" s="4"/>
      <c r="C5567" s="4"/>
      <c r="D5567" s="4"/>
      <c r="E5567" s="4"/>
      <c r="F5567" s="4"/>
      <c r="G5567" s="4"/>
      <c r="H5567" s="4"/>
    </row>
    <row r="5568" customFormat="false" ht="15" hidden="false" customHeight="false" outlineLevel="1" collapsed="false">
      <c r="A5568" s="7" t="s">
        <v>769</v>
      </c>
      <c r="B5568" s="8" t="s">
        <v>10</v>
      </c>
      <c r="C5568" s="58" t="n">
        <f aca="false">C5503</f>
        <v>0</v>
      </c>
      <c r="D5568" s="58" t="n">
        <f aca="false">D5503</f>
        <v>688865.027054794</v>
      </c>
      <c r="E5568" s="58" t="n">
        <f aca="false">E5503</f>
        <v>1473625.29760274</v>
      </c>
      <c r="F5568" s="58" t="n">
        <f aca="false">F5503</f>
        <v>2478215.50582192</v>
      </c>
      <c r="G5568" s="58" t="n">
        <f aca="false">G5503</f>
        <v>3637831.71575343</v>
      </c>
      <c r="H5568" s="2" t="s">
        <v>1392</v>
      </c>
    </row>
    <row r="5569" customFormat="false" ht="15" hidden="false" customHeight="false" outlineLevel="1" collapsed="false">
      <c r="A5569" s="7" t="s">
        <v>487</v>
      </c>
      <c r="B5569" s="8" t="s">
        <v>71</v>
      </c>
      <c r="C5569" s="78" t="n">
        <f aca="false">Pressupostos!$C$285</f>
        <v>0.08</v>
      </c>
      <c r="D5569" s="78" t="n">
        <f aca="false">Pressupostos!$D$285</f>
        <v>0.08</v>
      </c>
      <c r="E5569" s="78" t="n">
        <f aca="false">Pressupostos!$E$285</f>
        <v>0.075</v>
      </c>
      <c r="F5569" s="78" t="n">
        <f aca="false">Pressupostos!$F$285</f>
        <v>0.07</v>
      </c>
      <c r="G5569" s="78" t="n">
        <f aca="false">Pressupostos!$G$285</f>
        <v>0.07</v>
      </c>
      <c r="H5569" s="2" t="s">
        <v>1393</v>
      </c>
    </row>
    <row r="5570" customFormat="false" ht="15" hidden="false" customHeight="false" outlineLevel="1" collapsed="false">
      <c r="A5570" s="7" t="s">
        <v>770</v>
      </c>
      <c r="B5570" s="8" t="s">
        <v>71</v>
      </c>
      <c r="C5570" s="56" t="n">
        <f aca="false">Pressupostos!$C$285*(1-Pressupostos!$C$109)</f>
        <v>0.0576</v>
      </c>
      <c r="D5570" s="56" t="n">
        <f aca="false">Pressupostos!$D$285*(1-Pressupostos!$C$109)</f>
        <v>0.0576</v>
      </c>
      <c r="E5570" s="56" t="n">
        <f aca="false">Pressupostos!$E$285*(1-Pressupostos!$C$109)</f>
        <v>0.054</v>
      </c>
      <c r="F5570" s="56" t="n">
        <f aca="false">Pressupostos!$F$285*(1-Pressupostos!$C$109)</f>
        <v>0.0504</v>
      </c>
      <c r="G5570" s="56" t="n">
        <f aca="false">Pressupostos!$G$285*(1-Pressupostos!$C$109)</f>
        <v>0.0504</v>
      </c>
      <c r="H5570" s="2" t="s">
        <v>1394</v>
      </c>
    </row>
    <row r="5571" customFormat="false" ht="15" hidden="false" customHeight="false" outlineLevel="1" collapsed="false">
      <c r="A5571" s="7" t="s">
        <v>771</v>
      </c>
      <c r="B5571" s="8" t="s">
        <v>10</v>
      </c>
      <c r="C5571" s="58" t="n">
        <f aca="false">C5409</f>
        <v>0</v>
      </c>
      <c r="D5571" s="58" t="n">
        <f aca="false">D5409</f>
        <v>50406.4849315069</v>
      </c>
      <c r="E5571" s="58" t="n">
        <f aca="false">E5409</f>
        <v>100501.322131849</v>
      </c>
      <c r="F5571" s="58" t="n">
        <f aca="false">F5409</f>
        <v>157755.176969178</v>
      </c>
      <c r="G5571" s="58" t="n">
        <f aca="false">G5409</f>
        <v>231401.858732877</v>
      </c>
      <c r="H5571" s="2" t="s">
        <v>1395</v>
      </c>
    </row>
    <row r="5572" customFormat="false" ht="15" hidden="false" customHeight="false" outlineLevel="1" collapsed="false">
      <c r="A5572" s="7" t="s">
        <v>772</v>
      </c>
      <c r="B5572" s="8" t="s">
        <v>71</v>
      </c>
      <c r="C5572" s="55" t="n">
        <f aca="false">IF(C5503&gt;0,(C5506+C5508)/C5503,0)</f>
        <v>0</v>
      </c>
      <c r="D5572" s="55" t="n">
        <f aca="false">IF(D5503&gt;0,(D5506+D5508)/D5503,0)</f>
        <v>0.138888888888889</v>
      </c>
      <c r="E5572" s="55" t="n">
        <f aca="false">IF(E5503&gt;0,(E5506+E5508)/E5503,0)</f>
        <v>0.138888888888889</v>
      </c>
      <c r="F5572" s="55" t="n">
        <f aca="false">IF(F5503&gt;0,(F5506+F5508)/F5503,0)</f>
        <v>0.138888888888889</v>
      </c>
      <c r="G5572" s="55" t="n">
        <f aca="false">IF(G5503&gt;0,(G5506+G5508)/G5503,0)</f>
        <v>0.138888888888889</v>
      </c>
      <c r="H5572" s="2" t="s">
        <v>1396</v>
      </c>
    </row>
    <row r="5573" customFormat="false" ht="15" hidden="false" customHeight="false" outlineLevel="1" collapsed="false">
      <c r="A5573" s="7" t="s">
        <v>773</v>
      </c>
      <c r="B5573" s="8" t="s">
        <v>115</v>
      </c>
      <c r="C5573" s="58" t="n">
        <f aca="false">C5509</f>
        <v>0</v>
      </c>
      <c r="D5573" s="58" t="n">
        <f aca="false">D5509</f>
        <v>13.7773005410959</v>
      </c>
      <c r="E5573" s="58" t="n">
        <f aca="false">E5509</f>
        <v>29.4725059520548</v>
      </c>
      <c r="F5573" s="58" t="n">
        <f aca="false">F5509</f>
        <v>49.5643101164383</v>
      </c>
      <c r="G5573" s="58" t="n">
        <f aca="false">G5509</f>
        <v>72.7566343150685</v>
      </c>
      <c r="H5573" s="2" t="s">
        <v>1397</v>
      </c>
    </row>
    <row r="5574" customFormat="false" ht="15" hidden="false" customHeight="false" outlineLevel="0" collapsed="false">
      <c r="A5574" s="3" t="s">
        <v>1398</v>
      </c>
      <c r="B5574" s="4"/>
      <c r="C5574" s="4"/>
      <c r="D5574" s="4"/>
      <c r="E5574" s="4"/>
      <c r="F5574" s="4"/>
      <c r="G5574" s="4"/>
      <c r="H5574" s="4"/>
    </row>
    <row r="5575" customFormat="false" ht="15" hidden="false" customHeight="false" outlineLevel="1" collapsed="false">
      <c r="A5575" s="7" t="s">
        <v>775</v>
      </c>
      <c r="B5575" s="8" t="s">
        <v>10</v>
      </c>
      <c r="C5575" s="58" t="n">
        <f aca="false">MAX(0,-C5477)</f>
        <v>574991.143133562</v>
      </c>
      <c r="D5575" s="58" t="n">
        <f aca="false">MAX(0,-D5477)</f>
        <v>602015.42635274</v>
      </c>
      <c r="E5575" s="58" t="n">
        <f aca="false">MAX(0,-E5477)</f>
        <v>513662.970252569</v>
      </c>
      <c r="F5575" s="58" t="n">
        <f aca="false">MAX(0,-F5477)</f>
        <v>339335.541876428</v>
      </c>
      <c r="G5575" s="58" t="n">
        <f aca="false">MAX(0,-G5477)</f>
        <v>46502.5765325122</v>
      </c>
      <c r="H5575" s="2" t="s">
        <v>1399</v>
      </c>
    </row>
    <row r="5576" customFormat="false" ht="15" hidden="false" customHeight="false" outlineLevel="1" collapsed="false">
      <c r="A5576" s="2" t="s">
        <v>776</v>
      </c>
      <c r="B5576" s="8"/>
      <c r="C5576" s="58" t="n">
        <f aca="false">IF(AND(C5278&gt;=Pressupostos!$C$118,Pressupostos!$C$116*(C5366+C5367)+Pressupostos!$C$117*C5368&gt;Pressupostos!$C$297),1,0)</f>
        <v>0</v>
      </c>
      <c r="D5576" s="58" t="n">
        <f aca="false">IF(AND(D5278&gt;=Pressupostos!$C$118,Pressupostos!$C$116*(D5366+D5367)+Pressupostos!$C$117*D5368&gt;Pressupostos!$D$297),1,0)</f>
        <v>1</v>
      </c>
      <c r="E5576" s="58" t="n">
        <f aca="false">IF(AND(E5278&gt;=Pressupostos!$C$118,Pressupostos!$C$116*(E5366+E5367)+Pressupostos!$C$117*E5368&gt;Pressupostos!$E$297),1,0)</f>
        <v>1</v>
      </c>
      <c r="F5576" s="58" t="n">
        <f aca="false">IF(AND(F5278&gt;=Pressupostos!$C$118,Pressupostos!$C$116*(F5366+F5367)+Pressupostos!$C$117*F5368&gt;Pressupostos!$F$297),1,0)</f>
        <v>1</v>
      </c>
      <c r="G5576" s="58" t="n">
        <f aca="false">IF(AND(G5278&gt;=Pressupostos!$C$118,Pressupostos!$C$116*(G5366+G5367)+Pressupostos!$C$117*G5368&gt;Pressupostos!$G$297),1,0)</f>
        <v>1</v>
      </c>
      <c r="H5576" s="2" t="s">
        <v>1400</v>
      </c>
    </row>
    <row r="5577" customFormat="false" ht="15" hidden="false" customHeight="false" outlineLevel="1" collapsed="false">
      <c r="A5577" s="7" t="s">
        <v>777</v>
      </c>
      <c r="B5577" s="8" t="s">
        <v>59</v>
      </c>
      <c r="C5577" s="60" t="n">
        <f aca="false">IF(C5282&gt;0,C5575/(C5282*1000*(1-Pressupostos!$F$22)*(1-Pressupostos!$F$25-C5576*Pressupostos!$C$116)),"n/a")</f>
        <v>8.53138028187464</v>
      </c>
      <c r="D5577" s="60" t="n">
        <f aca="false">IF(D5282&gt;0,D5575/(D5282*1000*(1-Pressupostos!$F$22)*(1-Pressupostos!$F$25-D5576*Pressupostos!$C$116)),"n/a")</f>
        <v>1.28471973095999</v>
      </c>
      <c r="E5577" s="60" t="n">
        <f aca="false">IF(E5282&gt;0,E5575/(E5282*1000*(1-Pressupostos!$F$22)*(1-Pressupostos!$F$25-E5576*Pressupostos!$C$116)),"n/a")</f>
        <v>0.554966160238469</v>
      </c>
      <c r="F5577" s="60" t="n">
        <f aca="false">IF(F5282&gt;0,F5575/(F5282*1000*(1-Pressupostos!$F$22)*(1-Pressupostos!$F$25-F5576*Pressupostos!$C$116)),"n/a")</f>
        <v>0.222204067445019</v>
      </c>
      <c r="G5577" s="60" t="n">
        <f aca="false">IF(G5282&gt;0,G5575/(G5282*1000*(1-Pressupostos!$F$22)*(1-Pressupostos!$F$25-G5576*Pressupostos!$C$116)),"n/a")</f>
        <v>0.0201247912579774</v>
      </c>
      <c r="H5577" s="2" t="s">
        <v>1401</v>
      </c>
    </row>
    <row r="5578" customFormat="false" ht="15" hidden="false" customHeight="false" outlineLevel="1" collapsed="false">
      <c r="A5578" s="7" t="s">
        <v>778</v>
      </c>
      <c r="B5578" s="8" t="s">
        <v>59</v>
      </c>
      <c r="C5578" s="60" t="n">
        <f aca="false">IF(C5281&gt;0,Pressupostos!$F$15+C5575/(C5281*1000*(1-Pressupostos!$F$16)*(1-Pressupostos!$F$18-C5576*Pressupostos!$C$116)),"n/a")</f>
        <v>66.2941332730133</v>
      </c>
      <c r="D5578" s="60" t="n">
        <f aca="false">IF(D5281&gt;0,Pressupostos!$F$15+D5575/(D5281*1000*(1-Pressupostos!$F$16)*(1-Pressupostos!$F$18-D5576*Pressupostos!$C$116)),"n/a")</f>
        <v>22.9021302273725</v>
      </c>
      <c r="E5578" s="60" t="n">
        <f aca="false">IF(E5281&gt;0,Pressupostos!$F$15+E5575/(E5281*1000*(1-Pressupostos!$F$16)*(1-Pressupostos!$F$18-E5576*Pressupostos!$C$116)),"n/a")</f>
        <v>11.4080830217178</v>
      </c>
      <c r="F5578" s="60" t="n">
        <f aca="false">IF(F5281&gt;0,Pressupostos!$F$15+F5575/(F5281*1000*(1-Pressupostos!$F$16)*(1-Pressupostos!$F$18-F5576*Pressupostos!$C$116)),"n/a")</f>
        <v>8.04153294387894</v>
      </c>
      <c r="G5578" s="60" t="n">
        <f aca="false">IF(G5281&gt;0,Pressupostos!$F$15+G5575/(G5281*1000*(1-Pressupostos!$F$16)*(1-Pressupostos!$F$18-G5576*Pressupostos!$C$116)),"n/a")</f>
        <v>6.19584031489594</v>
      </c>
      <c r="H5578" s="2" t="s">
        <v>1402</v>
      </c>
    </row>
    <row r="5579" customFormat="false" ht="15" hidden="false" customHeight="false" outlineLevel="1" collapsed="false">
      <c r="A5579" s="7" t="s">
        <v>779</v>
      </c>
      <c r="B5579" s="8" t="s">
        <v>59</v>
      </c>
      <c r="C5579" s="60" t="n">
        <f aca="false">C5362-C5576*Pressupostos!$C$117*C5345</f>
        <v>0.058762328767124</v>
      </c>
      <c r="D5579" s="60" t="n">
        <f aca="false">D5362-D5576*Pressupostos!$C$117*D5345</f>
        <v>0.0255719178082197</v>
      </c>
      <c r="E5579" s="60" t="n">
        <f aca="false">E5362-E5576*Pressupostos!$C$117*E5345</f>
        <v>0.0271900684931515</v>
      </c>
      <c r="F5579" s="60" t="n">
        <f aca="false">F5362-F5576*Pressupostos!$C$117*F5345</f>
        <v>0.0288082191780828</v>
      </c>
      <c r="G5579" s="60" t="n">
        <f aca="false">G5362-G5576*Pressupostos!$C$117*G5345</f>
        <v>0.0288082191780828</v>
      </c>
      <c r="H5579" s="2" t="s">
        <v>1403</v>
      </c>
    </row>
    <row r="5580" customFormat="false" ht="15" hidden="false" customHeight="false" outlineLevel="1" collapsed="false">
      <c r="A5580" s="7" t="s">
        <v>780</v>
      </c>
      <c r="B5580" s="8" t="s">
        <v>112</v>
      </c>
      <c r="C5580" s="57" t="n">
        <f aca="false">IF(C5579&gt;0,C5283+C5575/(C5579*1000),"n/a")</f>
        <v>9785.02988559662</v>
      </c>
      <c r="D5580" s="57" t="n">
        <f aca="false">IF(D5579&gt;0,D5283+D5575/(D5579*1000),"n/a")</f>
        <v>24192.0522961023</v>
      </c>
      <c r="E5580" s="57" t="n">
        <f aca="false">IF(E5579&gt;0,E5283+E5575/(E5579*1000),"n/a")</f>
        <v>20841.5658811947</v>
      </c>
      <c r="F5580" s="57" t="n">
        <f aca="false">IF(F5579&gt;0,F5283+F5575/(F5579*1000),"n/a")</f>
        <v>15029.1224712215</v>
      </c>
      <c r="G5580" s="57" t="n">
        <f aca="false">IF(G5579&gt;0,G5283+G5575/(G5579*1000),"n/a")</f>
        <v>6164.21211929307</v>
      </c>
      <c r="H5580" s="2" t="s">
        <v>1404</v>
      </c>
    </row>
    <row r="5581" customFormat="false" ht="15" hidden="false" customHeight="false" outlineLevel="1" collapsed="false">
      <c r="A5581" s="7" t="s">
        <v>781</v>
      </c>
      <c r="B5581" s="8" t="s">
        <v>71</v>
      </c>
      <c r="C5581" s="55" t="n">
        <f aca="false">C5575/(C5441+C5454+C5455)</f>
        <v>0.955653741386141</v>
      </c>
      <c r="D5581" s="55" t="n">
        <f aca="false">D5575/(D5441+D5454+D5455)</f>
        <v>0.791856407955466</v>
      </c>
      <c r="E5581" s="55" t="n">
        <f aca="false">E5575/(E5441+E5454+E5455)</f>
        <v>0.563283568783495</v>
      </c>
      <c r="F5581" s="55" t="n">
        <f aca="false">F5575/(F5441+F5454+F5455)</f>
        <v>0.319610067863626</v>
      </c>
      <c r="G5581" s="55" t="n">
        <f aca="false">G5575/(G5441+G5454+G5455)</f>
        <v>0.0398788555587658</v>
      </c>
      <c r="H5581" s="2" t="s">
        <v>1405</v>
      </c>
    </row>
    <row r="5582" customFormat="false" ht="15" hidden="false" customHeight="false" outlineLevel="1" collapsed="false">
      <c r="A5582" s="2" t="s">
        <v>782</v>
      </c>
      <c r="B5582" s="8" t="s">
        <v>71</v>
      </c>
      <c r="C5582" s="56" t="n">
        <f aca="false">Pressupostos!$C$99*Pressupostos!$C$100+Pressupostos!$C$101-Pressupostos!$F$30*Pressupostos!$C$102*Pressupostos!$C$100/(Pressupostos!$C$103*Pressupostos!$C$104)</f>
        <v>0.02</v>
      </c>
      <c r="D5582" s="56" t="n">
        <f aca="false">Pressupostos!$C$99*Pressupostos!$C$100+Pressupostos!$C$101-Pressupostos!$F$30*Pressupostos!$C$102*Pressupostos!$C$100/(Pressupostos!$C$103*Pressupostos!$C$104)</f>
        <v>0.02</v>
      </c>
      <c r="E5582" s="56" t="n">
        <f aca="false">Pressupostos!$C$99*Pressupostos!$C$100+Pressupostos!$C$101-Pressupostos!$F$30*Pressupostos!$C$102*Pressupostos!$C$100/(Pressupostos!$C$103*Pressupostos!$C$104)</f>
        <v>0.02</v>
      </c>
      <c r="F5582" s="56" t="n">
        <f aca="false">Pressupostos!$C$99*Pressupostos!$C$100+Pressupostos!$C$101-Pressupostos!$F$30*Pressupostos!$C$102*Pressupostos!$C$100/(Pressupostos!$C$103*Pressupostos!$C$104)</f>
        <v>0.02</v>
      </c>
      <c r="G5582" s="56" t="n">
        <f aca="false">Pressupostos!$C$99*Pressupostos!$C$100+Pressupostos!$C$101-Pressupostos!$F$30*Pressupostos!$C$102*Pressupostos!$C$100/(Pressupostos!$C$103*Pressupostos!$C$104)</f>
        <v>0.02</v>
      </c>
      <c r="H5582" s="2" t="s">
        <v>1406</v>
      </c>
    </row>
    <row r="5583" customFormat="false" ht="15" hidden="false" customHeight="false" outlineLevel="1" collapsed="false">
      <c r="A5583" s="7" t="s">
        <v>783</v>
      </c>
      <c r="B5583" s="8" t="s">
        <v>10</v>
      </c>
      <c r="C5583" s="58" t="n">
        <f aca="false">IF(C5582&gt;0,C5294+C5575/C5582,"n/a")</f>
        <v>28749557.1566781</v>
      </c>
      <c r="D5583" s="58" t="n">
        <f aca="false">IF(D5582&gt;0,D5294+D5575/D5582,"n/a")</f>
        <v>31100771.317637</v>
      </c>
      <c r="E5583" s="58" t="n">
        <f aca="false">IF(E5582&gt;0,E5294+E5575/E5582,"n/a")</f>
        <v>28683148.5126285</v>
      </c>
      <c r="F5583" s="58" t="n">
        <f aca="false">IF(F5582&gt;0,F5294+F5575/F5582,"n/a")</f>
        <v>22966777.0938214</v>
      </c>
      <c r="G5583" s="58" t="n">
        <f aca="false">IF(G5582&gt;0,G5294+G5575/G5582,"n/a")</f>
        <v>12325128.8266256</v>
      </c>
      <c r="H5583" s="2" t="s">
        <v>1407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2026-10-13T13:22:36Z</dcterms:created>
  <dc:creator>openpyxl</dc:creator>
  <dc:description/>
  <dc:language>en-US</dc:language>
  <cp:lastModifiedBy/>
  <dcterms:modified xsi:type="dcterms:W3CDTF">2026-10-13T13:22:40Z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